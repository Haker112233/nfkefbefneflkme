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0tonn-serv\pto\0.1 Накопительная по Объемам работ\"/>
    </mc:Choice>
  </mc:AlternateContent>
  <xr:revisionPtr revIDLastSave="0" documentId="13_ncr:1_{D1359053-5ED3-44CE-BE54-31E7E1325391}" xr6:coauthVersionLast="37" xr6:coauthVersionMax="47" xr10:uidLastSave="{00000000-0000-0000-0000-000000000000}"/>
  <bookViews>
    <workbookView xWindow="0" yWindow="0" windowWidth="28800" windowHeight="12105" firstSheet="11" activeTab="17" xr2:uid="{00000000-000D-0000-FFFF-FFFF00000000}"/>
  </bookViews>
  <sheets>
    <sheet name="холодильник" sheetId="2" r:id="rId1"/>
    <sheet name="6.28" sheetId="4" r:id="rId2"/>
    <sheet name="инспекция труба" sheetId="12" r:id="rId3"/>
    <sheet name="тележка образцов" sheetId="16" r:id="rId4"/>
    <sheet name="инспекция колесо" sheetId="13" r:id="rId5"/>
    <sheet name="накопитель труба" sheetId="14" r:id="rId6"/>
    <sheet name="центр. опр.конструкция" sheetId="15" r:id="rId7"/>
    <sheet name="Промежуточный рольганг" sheetId="18" r:id="rId8"/>
    <sheet name="Мотор-редуктор" sheetId="24" r:id="rId9"/>
    <sheet name="удаления грата" sheetId="20" r:id="rId10"/>
    <sheet name="уч. резки (1-4)" sheetId="22" r:id="rId11"/>
    <sheet name="уч. резки (5-7)" sheetId="23" r:id="rId12"/>
    <sheet name="Разгрузочный рольганг" sheetId="31" r:id="rId13"/>
    <sheet name="ППС" sheetId="10" r:id="rId14"/>
    <sheet name="Стенды" sheetId="25" r:id="rId15"/>
    <sheet name="Вакууматор" sheetId="9" r:id="rId16"/>
    <sheet name="АПК1" sheetId="17" r:id="rId17"/>
    <sheet name="АПК Свод" sheetId="28" r:id="rId18"/>
    <sheet name="Крышка Вакуум" sheetId="29" r:id="rId19"/>
    <sheet name="сварка" sheetId="30" r:id="rId20"/>
    <sheet name="персонал" sheetId="27" r:id="rId21"/>
  </sheets>
  <definedNames>
    <definedName name="_xlnm._FilterDatabase" localSheetId="1" hidden="1">'6.28'!$B$3:$O$56</definedName>
    <definedName name="_xlnm._FilterDatabase" localSheetId="17" hidden="1">'АПК Свод'!$A$3:$AC$48</definedName>
    <definedName name="_xlnm._FilterDatabase" localSheetId="16" hidden="1">АПК1!$A$3:$Z$71</definedName>
    <definedName name="_xlnm._FilterDatabase" localSheetId="15" hidden="1">Вакууматор!$A$3:$X$64</definedName>
    <definedName name="_xlnm._FilterDatabase" localSheetId="4" hidden="1">'инспекция колесо'!$A$3:$AB$3</definedName>
    <definedName name="_xlnm._FilterDatabase" localSheetId="2" hidden="1">'инспекция труба'!$A$3:$AB$65</definedName>
    <definedName name="_xlnm._FilterDatabase" localSheetId="18" hidden="1">'Крышка Вакуум'!$A$3:$X$225</definedName>
    <definedName name="_xlnm._FilterDatabase" localSheetId="8" hidden="1">'Мотор-редуктор'!$A$3:$AC$361</definedName>
    <definedName name="_xlnm._FilterDatabase" localSheetId="5" hidden="1">'накопитель труба'!$A$3:$Y$3</definedName>
    <definedName name="_xlnm._FilterDatabase" localSheetId="13" hidden="1">ППС!$A$3:$X$183</definedName>
    <definedName name="_xlnm._FilterDatabase" localSheetId="7" hidden="1">'Промежуточный рольганг'!$A$3:$Y$355</definedName>
    <definedName name="_xlnm._FilterDatabase" localSheetId="12" hidden="1">'Разгрузочный рольганг'!$A$4:$AG$4</definedName>
    <definedName name="_xlnm._FilterDatabase" localSheetId="14" hidden="1">Стенды!$A$3:$Y$67</definedName>
    <definedName name="_xlnm._FilterDatabase" localSheetId="9" hidden="1">'удаления грата'!$A$3:$Y$3</definedName>
    <definedName name="_xlnm._FilterDatabase" localSheetId="10" hidden="1">'уч. резки (1-4)'!$A$3:$X$56</definedName>
    <definedName name="_xlnm._FilterDatabase" localSheetId="11" hidden="1">'уч. резки (5-7)'!$A$3:$AC$72</definedName>
    <definedName name="_xlnm._FilterDatabase" localSheetId="0" hidden="1">холодильник!$A$1:$Z$226</definedName>
    <definedName name="_xlnm._FilterDatabase" localSheetId="6" hidden="1">'центр. опр.конструкция'!$A$3:$X$83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S3" i="9" l="1"/>
  <c r="AD21" i="28" l="1"/>
  <c r="AD20" i="28"/>
  <c r="AD19" i="28"/>
  <c r="AD18" i="28"/>
  <c r="AD17" i="28"/>
  <c r="AD10" i="28"/>
  <c r="AD9" i="28"/>
  <c r="AD8" i="28"/>
  <c r="AD7" i="28"/>
  <c r="AD6" i="28"/>
  <c r="AD5" i="28"/>
  <c r="AK45" i="23"/>
  <c r="AK46" i="23"/>
  <c r="AK44" i="23"/>
  <c r="AB104" i="29"/>
  <c r="AB105" i="29"/>
  <c r="AB106" i="29"/>
  <c r="AB107" i="29"/>
  <c r="AB108" i="29"/>
  <c r="AB109" i="29"/>
  <c r="AH28" i="22"/>
  <c r="AH27" i="22"/>
  <c r="AK295" i="24"/>
  <c r="AK296" i="24"/>
  <c r="AK297" i="24"/>
  <c r="AK298" i="24"/>
  <c r="AK299" i="24"/>
  <c r="AK300" i="24"/>
  <c r="AK301" i="24"/>
  <c r="AK302" i="24"/>
  <c r="AK303" i="24"/>
  <c r="AK294" i="24"/>
  <c r="AG48" i="22"/>
  <c r="AB99" i="29"/>
  <c r="AB100" i="29"/>
  <c r="AB101" i="29"/>
  <c r="AB102" i="29"/>
  <c r="AB103" i="29"/>
  <c r="AB98" i="29"/>
  <c r="R33" i="31" l="1"/>
  <c r="Q33" i="31"/>
  <c r="P33" i="31"/>
  <c r="O33" i="31"/>
  <c r="R32" i="31"/>
  <c r="Q32" i="31"/>
  <c r="P32" i="31"/>
  <c r="O32" i="31"/>
  <c r="R31" i="31"/>
  <c r="Q31" i="31"/>
  <c r="P31" i="31"/>
  <c r="O31" i="31"/>
  <c r="R30" i="31"/>
  <c r="Q30" i="31"/>
  <c r="P30" i="31"/>
  <c r="O30" i="31"/>
  <c r="R29" i="31"/>
  <c r="Q29" i="31"/>
  <c r="P29" i="31"/>
  <c r="O29" i="31"/>
  <c r="R28" i="31"/>
  <c r="Q28" i="31"/>
  <c r="P28" i="31"/>
  <c r="O28" i="31"/>
  <c r="R27" i="31"/>
  <c r="Q27" i="31"/>
  <c r="P27" i="31"/>
  <c r="O27" i="31"/>
  <c r="R26" i="31"/>
  <c r="Q26" i="31"/>
  <c r="P26" i="31"/>
  <c r="O26" i="31"/>
  <c r="R25" i="31"/>
  <c r="Q25" i="31"/>
  <c r="P25" i="31"/>
  <c r="O25" i="31"/>
  <c r="R24" i="31"/>
  <c r="Q24" i="31"/>
  <c r="P24" i="31"/>
  <c r="O24" i="31"/>
  <c r="R23" i="31"/>
  <c r="Q23" i="31"/>
  <c r="P23" i="31"/>
  <c r="O23" i="31"/>
  <c r="R22" i="31"/>
  <c r="Q22" i="31"/>
  <c r="P22" i="31"/>
  <c r="O22" i="31"/>
  <c r="R21" i="31"/>
  <c r="Q21" i="31"/>
  <c r="P21" i="31"/>
  <c r="O21" i="31"/>
  <c r="R20" i="31"/>
  <c r="Q20" i="31"/>
  <c r="P20" i="31"/>
  <c r="O20" i="31"/>
  <c r="R19" i="31"/>
  <c r="Q19" i="31"/>
  <c r="P19" i="31"/>
  <c r="O19" i="31"/>
  <c r="R18" i="31"/>
  <c r="Q18" i="31"/>
  <c r="P18" i="31"/>
  <c r="O18" i="31"/>
  <c r="R17" i="31"/>
  <c r="Q17" i="31"/>
  <c r="P17" i="31"/>
  <c r="O17" i="31"/>
  <c r="R16" i="31"/>
  <c r="Q16" i="31"/>
  <c r="P16" i="31"/>
  <c r="O16" i="31"/>
  <c r="R15" i="31"/>
  <c r="Q15" i="31"/>
  <c r="P15" i="31"/>
  <c r="O15" i="31"/>
  <c r="R14" i="31"/>
  <c r="Q14" i="31"/>
  <c r="P14" i="31"/>
  <c r="O14" i="31"/>
  <c r="R13" i="31"/>
  <c r="Q13" i="31"/>
  <c r="P13" i="31"/>
  <c r="O13" i="31"/>
  <c r="R12" i="31"/>
  <c r="Q12" i="31"/>
  <c r="P12" i="31"/>
  <c r="O12" i="31"/>
  <c r="R11" i="31"/>
  <c r="Q11" i="31"/>
  <c r="P11" i="31"/>
  <c r="O11" i="31"/>
  <c r="R10" i="31"/>
  <c r="Q10" i="31"/>
  <c r="P10" i="31"/>
  <c r="O10" i="31"/>
  <c r="R9" i="31"/>
  <c r="Q9" i="31"/>
  <c r="P9" i="31"/>
  <c r="O9" i="31"/>
  <c r="R8" i="31"/>
  <c r="Q8" i="31"/>
  <c r="P8" i="31"/>
  <c r="O8" i="31"/>
  <c r="R7" i="31"/>
  <c r="Q7" i="31"/>
  <c r="P7" i="31"/>
  <c r="O7" i="31"/>
  <c r="R6" i="31"/>
  <c r="Q6" i="31"/>
  <c r="P6" i="31"/>
  <c r="O6" i="31"/>
  <c r="R5" i="31"/>
  <c r="Q5" i="31"/>
  <c r="P5" i="31"/>
  <c r="O5" i="31"/>
  <c r="AG3" i="31"/>
  <c r="AF3" i="31"/>
  <c r="AE3" i="31"/>
  <c r="AD3" i="31"/>
  <c r="AK31" i="23" l="1"/>
  <c r="AK30" i="23"/>
  <c r="AK29" i="23"/>
  <c r="AG50" i="22"/>
  <c r="AG49" i="22"/>
  <c r="AG34" i="22"/>
  <c r="AG33" i="22"/>
  <c r="AK114" i="24" l="1"/>
  <c r="AK113" i="24"/>
  <c r="AK112" i="24"/>
  <c r="AK111" i="24"/>
  <c r="AK110" i="24"/>
  <c r="AK109" i="24"/>
  <c r="AK108" i="24"/>
  <c r="AK107" i="24"/>
  <c r="AK106" i="24"/>
  <c r="AK105" i="24"/>
  <c r="AI18" i="22" l="1"/>
  <c r="AI17" i="22"/>
  <c r="AI16" i="22"/>
  <c r="AI15" i="22"/>
  <c r="AI14" i="22"/>
  <c r="AI13" i="22"/>
  <c r="AI12" i="22"/>
  <c r="AI11" i="22"/>
  <c r="AM13" i="23"/>
  <c r="AM12" i="23"/>
  <c r="AM11" i="23"/>
  <c r="AM10" i="23"/>
  <c r="AM9" i="23"/>
  <c r="AM8" i="23"/>
  <c r="AM7" i="23"/>
  <c r="AM6" i="23"/>
  <c r="AM5" i="23"/>
  <c r="AG47" i="22" l="1"/>
  <c r="AG46" i="22"/>
  <c r="AG45" i="22"/>
  <c r="AG44" i="22"/>
  <c r="AQ17" i="12" l="1"/>
  <c r="AQ16" i="12"/>
  <c r="AQ15" i="12"/>
  <c r="AQ14" i="12"/>
  <c r="AQ13" i="12"/>
  <c r="AQ12" i="12"/>
  <c r="AQ11" i="12"/>
  <c r="AQ10" i="12"/>
  <c r="AQ5" i="12"/>
  <c r="AW83" i="10" l="1"/>
  <c r="AK39" i="23"/>
  <c r="AK38" i="23"/>
  <c r="AK37" i="23"/>
  <c r="AK36" i="23"/>
  <c r="AK35" i="23"/>
  <c r="AK34" i="23"/>
  <c r="AK33" i="23"/>
  <c r="AK32" i="23"/>
  <c r="AK53" i="24" l="1"/>
  <c r="AK52" i="24"/>
  <c r="AK51" i="24"/>
  <c r="AK50" i="24"/>
  <c r="AK49" i="24"/>
  <c r="AK48" i="24"/>
  <c r="AK47" i="24"/>
  <c r="AK46" i="24"/>
  <c r="AK45" i="24"/>
  <c r="AK44" i="24"/>
  <c r="AK43" i="24"/>
  <c r="AK42" i="24"/>
  <c r="AK41" i="24"/>
  <c r="AK40" i="24"/>
  <c r="AK39" i="24"/>
  <c r="AK38" i="24"/>
  <c r="AK37" i="24"/>
  <c r="AK36" i="24"/>
  <c r="AK35" i="24"/>
  <c r="AK34" i="24"/>
  <c r="AH26" i="22"/>
  <c r="AH25" i="22"/>
  <c r="AH24" i="22"/>
  <c r="AH23" i="22"/>
  <c r="AH22" i="22" l="1"/>
  <c r="AH21" i="22"/>
  <c r="AH20" i="22"/>
  <c r="AH19" i="22"/>
  <c r="AC54" i="25" l="1"/>
  <c r="AC53" i="25"/>
  <c r="AC41" i="25"/>
  <c r="AC39" i="25"/>
  <c r="AJ53" i="24"/>
  <c r="AJ52" i="24"/>
  <c r="AJ51" i="24"/>
  <c r="AJ50" i="24"/>
  <c r="AJ49" i="24"/>
  <c r="AJ48" i="24"/>
  <c r="AJ47" i="24"/>
  <c r="AJ46" i="24"/>
  <c r="AJ45" i="24"/>
  <c r="AJ44" i="24"/>
  <c r="AG43" i="22"/>
  <c r="AG42" i="22"/>
  <c r="AG41" i="22"/>
  <c r="AG40" i="22"/>
  <c r="AG39" i="22"/>
  <c r="AG38" i="22"/>
  <c r="AE3" i="29" l="1"/>
  <c r="AI3" i="29"/>
  <c r="AH3" i="29"/>
  <c r="AG3" i="29"/>
  <c r="AF3" i="29"/>
  <c r="AD3" i="29"/>
  <c r="AC3" i="29"/>
  <c r="AB3" i="29"/>
  <c r="Q225" i="29"/>
  <c r="P225" i="29"/>
  <c r="O225" i="29"/>
  <c r="N225" i="29"/>
  <c r="Q224" i="29"/>
  <c r="P224" i="29"/>
  <c r="O224" i="29"/>
  <c r="N224" i="29"/>
  <c r="Q223" i="29"/>
  <c r="P223" i="29"/>
  <c r="O223" i="29"/>
  <c r="N223" i="29"/>
  <c r="Q222" i="29"/>
  <c r="P222" i="29"/>
  <c r="O222" i="29"/>
  <c r="N222" i="29"/>
  <c r="Q221" i="29"/>
  <c r="P221" i="29"/>
  <c r="O221" i="29"/>
  <c r="N221" i="29"/>
  <c r="Q220" i="29"/>
  <c r="P220" i="29"/>
  <c r="O220" i="29"/>
  <c r="N220" i="29"/>
  <c r="Q219" i="29"/>
  <c r="P219" i="29"/>
  <c r="O219" i="29"/>
  <c r="N219" i="29"/>
  <c r="Q218" i="29"/>
  <c r="P218" i="29"/>
  <c r="O218" i="29"/>
  <c r="N218" i="29"/>
  <c r="Q217" i="29"/>
  <c r="P217" i="29"/>
  <c r="O217" i="29"/>
  <c r="N217" i="29"/>
  <c r="Q216" i="29"/>
  <c r="P216" i="29"/>
  <c r="O216" i="29"/>
  <c r="N216" i="29"/>
  <c r="Q215" i="29"/>
  <c r="P215" i="29"/>
  <c r="O215" i="29"/>
  <c r="N215" i="29"/>
  <c r="Q214" i="29"/>
  <c r="P214" i="29"/>
  <c r="O214" i="29"/>
  <c r="N214" i="29"/>
  <c r="Q213" i="29"/>
  <c r="P213" i="29"/>
  <c r="O213" i="29"/>
  <c r="N213" i="29"/>
  <c r="Q212" i="29"/>
  <c r="P212" i="29"/>
  <c r="O212" i="29"/>
  <c r="N212" i="29"/>
  <c r="Q211" i="29"/>
  <c r="P211" i="29"/>
  <c r="O211" i="29"/>
  <c r="N211" i="29"/>
  <c r="Q210" i="29"/>
  <c r="P210" i="29"/>
  <c r="O210" i="29"/>
  <c r="N210" i="29"/>
  <c r="Q209" i="29"/>
  <c r="P209" i="29"/>
  <c r="O209" i="29"/>
  <c r="N209" i="29"/>
  <c r="Q208" i="29"/>
  <c r="P208" i="29"/>
  <c r="O208" i="29"/>
  <c r="N208" i="29"/>
  <c r="Q207" i="29"/>
  <c r="P207" i="29"/>
  <c r="O207" i="29"/>
  <c r="N207" i="29"/>
  <c r="Q206" i="29"/>
  <c r="P206" i="29"/>
  <c r="O206" i="29"/>
  <c r="N206" i="29"/>
  <c r="Q205" i="29"/>
  <c r="P205" i="29"/>
  <c r="O205" i="29"/>
  <c r="N205" i="29"/>
  <c r="Q204" i="29"/>
  <c r="P204" i="29"/>
  <c r="O204" i="29"/>
  <c r="N204" i="29"/>
  <c r="Q203" i="29"/>
  <c r="P203" i="29"/>
  <c r="O203" i="29"/>
  <c r="N203" i="29"/>
  <c r="Q202" i="29"/>
  <c r="P202" i="29"/>
  <c r="O202" i="29"/>
  <c r="N202" i="29"/>
  <c r="Q201" i="29"/>
  <c r="P201" i="29"/>
  <c r="O201" i="29"/>
  <c r="N201" i="29"/>
  <c r="Q200" i="29"/>
  <c r="P200" i="29"/>
  <c r="O200" i="29"/>
  <c r="N200" i="29"/>
  <c r="Q199" i="29"/>
  <c r="P199" i="29"/>
  <c r="O199" i="29"/>
  <c r="N199" i="29"/>
  <c r="Q198" i="29"/>
  <c r="P198" i="29"/>
  <c r="O198" i="29"/>
  <c r="N198" i="29"/>
  <c r="Q197" i="29"/>
  <c r="P197" i="29"/>
  <c r="O197" i="29"/>
  <c r="N197" i="29"/>
  <c r="Q196" i="29"/>
  <c r="P196" i="29"/>
  <c r="O196" i="29"/>
  <c r="N196" i="29"/>
  <c r="Q195" i="29"/>
  <c r="P195" i="29"/>
  <c r="O195" i="29"/>
  <c r="N195" i="29"/>
  <c r="Q194" i="29"/>
  <c r="P194" i="29"/>
  <c r="O194" i="29"/>
  <c r="N194" i="29"/>
  <c r="Q193" i="29"/>
  <c r="P193" i="29"/>
  <c r="O193" i="29"/>
  <c r="N193" i="29"/>
  <c r="Q192" i="29"/>
  <c r="P192" i="29"/>
  <c r="O192" i="29"/>
  <c r="N192" i="29"/>
  <c r="Q191" i="29"/>
  <c r="P191" i="29"/>
  <c r="O191" i="29"/>
  <c r="N191" i="29"/>
  <c r="Q190" i="29"/>
  <c r="P190" i="29"/>
  <c r="O190" i="29"/>
  <c r="N190" i="29"/>
  <c r="Q189" i="29"/>
  <c r="P189" i="29"/>
  <c r="O189" i="29"/>
  <c r="N189" i="29"/>
  <c r="Q188" i="29"/>
  <c r="P188" i="29"/>
  <c r="O188" i="29"/>
  <c r="N188" i="29"/>
  <c r="Q187" i="29"/>
  <c r="P187" i="29"/>
  <c r="O187" i="29"/>
  <c r="N187" i="29"/>
  <c r="Q186" i="29"/>
  <c r="P186" i="29"/>
  <c r="O186" i="29"/>
  <c r="N186" i="29"/>
  <c r="Q185" i="29"/>
  <c r="P185" i="29"/>
  <c r="O185" i="29"/>
  <c r="N185" i="29"/>
  <c r="Q184" i="29"/>
  <c r="P184" i="29"/>
  <c r="O184" i="29"/>
  <c r="N184" i="29"/>
  <c r="Q183" i="29"/>
  <c r="P183" i="29"/>
  <c r="O183" i="29"/>
  <c r="N183" i="29"/>
  <c r="Q182" i="29"/>
  <c r="P182" i="29"/>
  <c r="O182" i="29"/>
  <c r="N182" i="29"/>
  <c r="Q181" i="29"/>
  <c r="P181" i="29"/>
  <c r="O181" i="29"/>
  <c r="N181" i="29"/>
  <c r="Q180" i="29"/>
  <c r="P180" i="29"/>
  <c r="O180" i="29"/>
  <c r="N180" i="29"/>
  <c r="Q179" i="29"/>
  <c r="P179" i="29"/>
  <c r="O179" i="29"/>
  <c r="N179" i="29"/>
  <c r="Q178" i="29"/>
  <c r="P178" i="29"/>
  <c r="O178" i="29"/>
  <c r="N178" i="29"/>
  <c r="Q177" i="29"/>
  <c r="P177" i="29"/>
  <c r="O177" i="29"/>
  <c r="N177" i="29"/>
  <c r="Q176" i="29"/>
  <c r="P176" i="29"/>
  <c r="O176" i="29"/>
  <c r="N176" i="29"/>
  <c r="Q175" i="29"/>
  <c r="P175" i="29"/>
  <c r="O175" i="29"/>
  <c r="N175" i="29"/>
  <c r="Q174" i="29"/>
  <c r="P174" i="29"/>
  <c r="O174" i="29"/>
  <c r="N174" i="29"/>
  <c r="Q173" i="29"/>
  <c r="P173" i="29"/>
  <c r="O173" i="29"/>
  <c r="N173" i="29"/>
  <c r="Q172" i="29"/>
  <c r="P172" i="29"/>
  <c r="O172" i="29"/>
  <c r="N172" i="29"/>
  <c r="Q171" i="29"/>
  <c r="P171" i="29"/>
  <c r="O171" i="29"/>
  <c r="N171" i="29"/>
  <c r="Q170" i="29"/>
  <c r="P170" i="29"/>
  <c r="O170" i="29"/>
  <c r="N170" i="29"/>
  <c r="Q169" i="29"/>
  <c r="P169" i="29"/>
  <c r="O169" i="29"/>
  <c r="N169" i="29"/>
  <c r="Q168" i="29"/>
  <c r="P168" i="29"/>
  <c r="O168" i="29"/>
  <c r="N168" i="29"/>
  <c r="Q167" i="29"/>
  <c r="P167" i="29"/>
  <c r="O167" i="29"/>
  <c r="N167" i="29"/>
  <c r="Q166" i="29"/>
  <c r="P166" i="29"/>
  <c r="O166" i="29"/>
  <c r="N166" i="29"/>
  <c r="Q165" i="29"/>
  <c r="P165" i="29"/>
  <c r="O165" i="29"/>
  <c r="N165" i="29"/>
  <c r="Q164" i="29"/>
  <c r="P164" i="29"/>
  <c r="O164" i="29"/>
  <c r="N164" i="29"/>
  <c r="Q163" i="29"/>
  <c r="P163" i="29"/>
  <c r="O163" i="29"/>
  <c r="N163" i="29"/>
  <c r="Q162" i="29"/>
  <c r="P162" i="29"/>
  <c r="O162" i="29"/>
  <c r="N162" i="29"/>
  <c r="Q161" i="29"/>
  <c r="P161" i="29"/>
  <c r="O161" i="29"/>
  <c r="N161" i="29"/>
  <c r="Q160" i="29"/>
  <c r="P160" i="29"/>
  <c r="O160" i="29"/>
  <c r="N160" i="29"/>
  <c r="Q159" i="29"/>
  <c r="P159" i="29"/>
  <c r="O159" i="29"/>
  <c r="N159" i="29"/>
  <c r="Q158" i="29"/>
  <c r="P158" i="29"/>
  <c r="O158" i="29"/>
  <c r="N158" i="29"/>
  <c r="Q157" i="29"/>
  <c r="P157" i="29"/>
  <c r="O157" i="29"/>
  <c r="N157" i="29"/>
  <c r="Q156" i="29"/>
  <c r="P156" i="29"/>
  <c r="O156" i="29"/>
  <c r="N156" i="29"/>
  <c r="Q155" i="29"/>
  <c r="P155" i="29"/>
  <c r="O155" i="29"/>
  <c r="N155" i="29"/>
  <c r="Q154" i="29"/>
  <c r="P154" i="29"/>
  <c r="O154" i="29"/>
  <c r="N154" i="29"/>
  <c r="Q153" i="29"/>
  <c r="P153" i="29"/>
  <c r="O153" i="29"/>
  <c r="N153" i="29"/>
  <c r="Q152" i="29"/>
  <c r="P152" i="29"/>
  <c r="O152" i="29"/>
  <c r="N152" i="29"/>
  <c r="Q151" i="29"/>
  <c r="P151" i="29"/>
  <c r="O151" i="29"/>
  <c r="N151" i="29"/>
  <c r="Q150" i="29"/>
  <c r="P150" i="29"/>
  <c r="O150" i="29"/>
  <c r="N150" i="29"/>
  <c r="Q149" i="29"/>
  <c r="P149" i="29"/>
  <c r="O149" i="29"/>
  <c r="N149" i="29"/>
  <c r="Q148" i="29"/>
  <c r="P148" i="29"/>
  <c r="O148" i="29"/>
  <c r="N148" i="29"/>
  <c r="Q147" i="29"/>
  <c r="P147" i="29"/>
  <c r="O147" i="29"/>
  <c r="N147" i="29"/>
  <c r="Q146" i="29"/>
  <c r="P146" i="29"/>
  <c r="O146" i="29"/>
  <c r="N146" i="29"/>
  <c r="Q145" i="29"/>
  <c r="P145" i="29"/>
  <c r="O145" i="29"/>
  <c r="N145" i="29"/>
  <c r="Q144" i="29"/>
  <c r="P144" i="29"/>
  <c r="O144" i="29"/>
  <c r="N144" i="29"/>
  <c r="Q143" i="29"/>
  <c r="P143" i="29"/>
  <c r="O143" i="29"/>
  <c r="N143" i="29"/>
  <c r="Q142" i="29"/>
  <c r="P142" i="29"/>
  <c r="O142" i="29"/>
  <c r="N142" i="29"/>
  <c r="Q141" i="29"/>
  <c r="P141" i="29"/>
  <c r="O141" i="29"/>
  <c r="N141" i="29"/>
  <c r="Q140" i="29"/>
  <c r="P140" i="29"/>
  <c r="O140" i="29"/>
  <c r="N140" i="29"/>
  <c r="Q139" i="29"/>
  <c r="P139" i="29"/>
  <c r="O139" i="29"/>
  <c r="N139" i="29"/>
  <c r="Q138" i="29"/>
  <c r="P138" i="29"/>
  <c r="O138" i="29"/>
  <c r="N138" i="29"/>
  <c r="Q137" i="29"/>
  <c r="P137" i="29"/>
  <c r="O137" i="29"/>
  <c r="N137" i="29"/>
  <c r="Q136" i="29"/>
  <c r="P136" i="29"/>
  <c r="O136" i="29"/>
  <c r="N136" i="29"/>
  <c r="Q135" i="29"/>
  <c r="P135" i="29"/>
  <c r="O135" i="29"/>
  <c r="N135" i="29"/>
  <c r="Q134" i="29"/>
  <c r="P134" i="29"/>
  <c r="O134" i="29"/>
  <c r="N134" i="29"/>
  <c r="Q133" i="29"/>
  <c r="P133" i="29"/>
  <c r="O133" i="29"/>
  <c r="N133" i="29"/>
  <c r="Q132" i="29"/>
  <c r="P132" i="29"/>
  <c r="O132" i="29"/>
  <c r="N132" i="29"/>
  <c r="Q131" i="29"/>
  <c r="P131" i="29"/>
  <c r="O131" i="29"/>
  <c r="N131" i="29"/>
  <c r="Q130" i="29"/>
  <c r="P130" i="29"/>
  <c r="O130" i="29"/>
  <c r="N130" i="29"/>
  <c r="Q129" i="29"/>
  <c r="P129" i="29"/>
  <c r="O129" i="29"/>
  <c r="N129" i="29"/>
  <c r="Q128" i="29"/>
  <c r="P128" i="29"/>
  <c r="O128" i="29"/>
  <c r="N128" i="29"/>
  <c r="Q127" i="29"/>
  <c r="P127" i="29"/>
  <c r="O127" i="29"/>
  <c r="N127" i="29"/>
  <c r="Q126" i="29"/>
  <c r="P126" i="29"/>
  <c r="O126" i="29"/>
  <c r="N126" i="29"/>
  <c r="Q125" i="29"/>
  <c r="P125" i="29"/>
  <c r="O125" i="29"/>
  <c r="N125" i="29"/>
  <c r="Q124" i="29"/>
  <c r="P124" i="29"/>
  <c r="O124" i="29"/>
  <c r="N124" i="29"/>
  <c r="Q123" i="29"/>
  <c r="P123" i="29"/>
  <c r="O123" i="29"/>
  <c r="N123" i="29"/>
  <c r="Q122" i="29"/>
  <c r="P122" i="29"/>
  <c r="O122" i="29"/>
  <c r="N122" i="29"/>
  <c r="Q121" i="29"/>
  <c r="P121" i="29"/>
  <c r="O121" i="29"/>
  <c r="N121" i="29"/>
  <c r="Q120" i="29"/>
  <c r="P120" i="29"/>
  <c r="O120" i="29"/>
  <c r="N120" i="29"/>
  <c r="Q119" i="29"/>
  <c r="P119" i="29"/>
  <c r="O119" i="29"/>
  <c r="N119" i="29"/>
  <c r="Q118" i="29"/>
  <c r="P118" i="29"/>
  <c r="O118" i="29"/>
  <c r="N118" i="29"/>
  <c r="Q117" i="29"/>
  <c r="P117" i="29"/>
  <c r="O117" i="29"/>
  <c r="N117" i="29"/>
  <c r="Q116" i="29"/>
  <c r="P116" i="29"/>
  <c r="O116" i="29"/>
  <c r="N116" i="29"/>
  <c r="Q115" i="29"/>
  <c r="P115" i="29"/>
  <c r="O115" i="29"/>
  <c r="N115" i="29"/>
  <c r="Q114" i="29"/>
  <c r="P114" i="29"/>
  <c r="O114" i="29"/>
  <c r="N114" i="29"/>
  <c r="Q113" i="29"/>
  <c r="P113" i="29"/>
  <c r="O113" i="29"/>
  <c r="N113" i="29"/>
  <c r="Q111" i="29"/>
  <c r="P111" i="29"/>
  <c r="O111" i="29"/>
  <c r="N111" i="29"/>
  <c r="Q110" i="29"/>
  <c r="P110" i="29"/>
  <c r="O110" i="29"/>
  <c r="N110" i="29"/>
  <c r="Q109" i="29"/>
  <c r="P109" i="29"/>
  <c r="O109" i="29"/>
  <c r="N109" i="29"/>
  <c r="Q108" i="29"/>
  <c r="P108" i="29"/>
  <c r="O108" i="29"/>
  <c r="N108" i="29"/>
  <c r="Q107" i="29"/>
  <c r="P107" i="29"/>
  <c r="O107" i="29"/>
  <c r="N107" i="29"/>
  <c r="Q106" i="29"/>
  <c r="P106" i="29"/>
  <c r="O106" i="29"/>
  <c r="N106" i="29"/>
  <c r="Q105" i="29"/>
  <c r="P105" i="29"/>
  <c r="O105" i="29"/>
  <c r="N105" i="29"/>
  <c r="Q104" i="29"/>
  <c r="P104" i="29"/>
  <c r="O104" i="29"/>
  <c r="N104" i="29"/>
  <c r="Q103" i="29"/>
  <c r="P103" i="29"/>
  <c r="O103" i="29"/>
  <c r="N103" i="29"/>
  <c r="Q102" i="29"/>
  <c r="P102" i="29"/>
  <c r="O102" i="29"/>
  <c r="N102" i="29"/>
  <c r="Q101" i="29"/>
  <c r="P101" i="29"/>
  <c r="O101" i="29"/>
  <c r="N101" i="29"/>
  <c r="Q100" i="29"/>
  <c r="P100" i="29"/>
  <c r="O100" i="29"/>
  <c r="N100" i="29"/>
  <c r="Q99" i="29"/>
  <c r="P99" i="29"/>
  <c r="O99" i="29"/>
  <c r="N99" i="29"/>
  <c r="Q98" i="29"/>
  <c r="P98" i="29"/>
  <c r="O98" i="29"/>
  <c r="N98" i="29"/>
  <c r="Q97" i="29"/>
  <c r="P97" i="29"/>
  <c r="O97" i="29"/>
  <c r="N97" i="29"/>
  <c r="Q96" i="29"/>
  <c r="P96" i="29"/>
  <c r="O96" i="29"/>
  <c r="N96" i="29"/>
  <c r="Q95" i="29"/>
  <c r="P95" i="29"/>
  <c r="O95" i="29"/>
  <c r="N95" i="29"/>
  <c r="Q94" i="29"/>
  <c r="P94" i="29"/>
  <c r="O94" i="29"/>
  <c r="N94" i="29"/>
  <c r="Q93" i="29"/>
  <c r="P93" i="29"/>
  <c r="O93" i="29"/>
  <c r="N93" i="29"/>
  <c r="Q92" i="29"/>
  <c r="P92" i="29"/>
  <c r="O92" i="29"/>
  <c r="N92" i="29"/>
  <c r="Q91" i="29"/>
  <c r="P91" i="29"/>
  <c r="O91" i="29"/>
  <c r="N91" i="29"/>
  <c r="Q90" i="29"/>
  <c r="P90" i="29"/>
  <c r="O90" i="29"/>
  <c r="N90" i="29"/>
  <c r="Q89" i="29"/>
  <c r="P89" i="29"/>
  <c r="O89" i="29"/>
  <c r="N89" i="29"/>
  <c r="Q88" i="29"/>
  <c r="P88" i="29"/>
  <c r="O88" i="29"/>
  <c r="N88" i="29"/>
  <c r="Q87" i="29"/>
  <c r="P87" i="29"/>
  <c r="O87" i="29"/>
  <c r="N87" i="29"/>
  <c r="Q86" i="29"/>
  <c r="P86" i="29"/>
  <c r="O86" i="29"/>
  <c r="N86" i="29"/>
  <c r="Q85" i="29"/>
  <c r="P85" i="29"/>
  <c r="O85" i="29"/>
  <c r="N85" i="29"/>
  <c r="Q84" i="29"/>
  <c r="P84" i="29"/>
  <c r="O84" i="29"/>
  <c r="N84" i="29"/>
  <c r="Q83" i="29"/>
  <c r="P83" i="29"/>
  <c r="O83" i="29"/>
  <c r="N83" i="29"/>
  <c r="Q82" i="29"/>
  <c r="P82" i="29"/>
  <c r="O82" i="29"/>
  <c r="N82" i="29"/>
  <c r="Q81" i="29"/>
  <c r="P81" i="29"/>
  <c r="O81" i="29"/>
  <c r="N81" i="29"/>
  <c r="Q80" i="29"/>
  <c r="P80" i="29"/>
  <c r="O80" i="29"/>
  <c r="N80" i="29"/>
  <c r="Q79" i="29"/>
  <c r="P79" i="29"/>
  <c r="O79" i="29"/>
  <c r="N79" i="29"/>
  <c r="Q78" i="29"/>
  <c r="P78" i="29"/>
  <c r="O78" i="29"/>
  <c r="N78" i="29"/>
  <c r="Q77" i="29"/>
  <c r="P77" i="29"/>
  <c r="O77" i="29"/>
  <c r="N77" i="29"/>
  <c r="Q76" i="29"/>
  <c r="P76" i="29"/>
  <c r="O76" i="29"/>
  <c r="N76" i="29"/>
  <c r="Q75" i="29"/>
  <c r="P75" i="29"/>
  <c r="O75" i="29"/>
  <c r="N75" i="29"/>
  <c r="Q74" i="29"/>
  <c r="P74" i="29"/>
  <c r="O74" i="29"/>
  <c r="N74" i="29"/>
  <c r="Q73" i="29"/>
  <c r="P73" i="29"/>
  <c r="O73" i="29"/>
  <c r="N73" i="29"/>
  <c r="Q72" i="29"/>
  <c r="P72" i="29"/>
  <c r="O72" i="29"/>
  <c r="N72" i="29"/>
  <c r="Q71" i="29"/>
  <c r="P71" i="29"/>
  <c r="O71" i="29"/>
  <c r="N71" i="29"/>
  <c r="Q70" i="29"/>
  <c r="P70" i="29"/>
  <c r="O70" i="29"/>
  <c r="N70" i="29"/>
  <c r="Q69" i="29"/>
  <c r="P69" i="29"/>
  <c r="O69" i="29"/>
  <c r="N69" i="29"/>
  <c r="Q68" i="29"/>
  <c r="P68" i="29"/>
  <c r="O68" i="29"/>
  <c r="N68" i="29"/>
  <c r="Q67" i="29"/>
  <c r="P67" i="29"/>
  <c r="O67" i="29"/>
  <c r="N67" i="29"/>
  <c r="Q66" i="29"/>
  <c r="P66" i="29"/>
  <c r="O66" i="29"/>
  <c r="N66" i="29"/>
  <c r="Q65" i="29"/>
  <c r="P65" i="29"/>
  <c r="O65" i="29"/>
  <c r="N65" i="29"/>
  <c r="Q64" i="29"/>
  <c r="P64" i="29"/>
  <c r="O64" i="29"/>
  <c r="N64" i="29"/>
  <c r="Q63" i="29"/>
  <c r="P63" i="29"/>
  <c r="O63" i="29"/>
  <c r="N63" i="29"/>
  <c r="Q62" i="29"/>
  <c r="P62" i="29"/>
  <c r="O62" i="29"/>
  <c r="N62" i="29"/>
  <c r="Q61" i="29"/>
  <c r="P61" i="29"/>
  <c r="O61" i="29"/>
  <c r="N61" i="29"/>
  <c r="Q60" i="29"/>
  <c r="P60" i="29"/>
  <c r="O60" i="29"/>
  <c r="N60" i="29"/>
  <c r="Q59" i="29"/>
  <c r="P59" i="29"/>
  <c r="O59" i="29"/>
  <c r="N59" i="29"/>
  <c r="Q58" i="29"/>
  <c r="P58" i="29"/>
  <c r="O58" i="29"/>
  <c r="N58" i="29"/>
  <c r="Q57" i="29"/>
  <c r="P57" i="29"/>
  <c r="O57" i="29"/>
  <c r="N57" i="29"/>
  <c r="Q56" i="29"/>
  <c r="P56" i="29"/>
  <c r="O56" i="29"/>
  <c r="N56" i="29"/>
  <c r="Q55" i="29"/>
  <c r="P55" i="29"/>
  <c r="O55" i="29"/>
  <c r="N55" i="29"/>
  <c r="Q54" i="29"/>
  <c r="P54" i="29"/>
  <c r="O54" i="29"/>
  <c r="N54" i="29"/>
  <c r="Q53" i="29"/>
  <c r="P53" i="29"/>
  <c r="O53" i="29"/>
  <c r="N53" i="29"/>
  <c r="Q52" i="29"/>
  <c r="P52" i="29"/>
  <c r="O52" i="29"/>
  <c r="N52" i="29"/>
  <c r="Q51" i="29"/>
  <c r="P51" i="29"/>
  <c r="O51" i="29"/>
  <c r="N51" i="29"/>
  <c r="Q50" i="29"/>
  <c r="P50" i="29"/>
  <c r="O50" i="29"/>
  <c r="N50" i="29"/>
  <c r="Q49" i="29"/>
  <c r="P49" i="29"/>
  <c r="O49" i="29"/>
  <c r="N49" i="29"/>
  <c r="Q48" i="29"/>
  <c r="P48" i="29"/>
  <c r="O48" i="29"/>
  <c r="N48" i="29"/>
  <c r="Q47" i="29"/>
  <c r="P47" i="29"/>
  <c r="O47" i="29"/>
  <c r="N47" i="29"/>
  <c r="Q46" i="29"/>
  <c r="P46" i="29"/>
  <c r="O46" i="29"/>
  <c r="N46" i="29"/>
  <c r="Q45" i="29"/>
  <c r="P45" i="29"/>
  <c r="O45" i="29"/>
  <c r="N45" i="29"/>
  <c r="Q44" i="29"/>
  <c r="P44" i="29"/>
  <c r="O44" i="29"/>
  <c r="N44" i="29"/>
  <c r="Q43" i="29"/>
  <c r="P43" i="29"/>
  <c r="O43" i="29"/>
  <c r="N43" i="29"/>
  <c r="Q42" i="29"/>
  <c r="P42" i="29"/>
  <c r="O42" i="29"/>
  <c r="N42" i="29"/>
  <c r="Q41" i="29"/>
  <c r="P41" i="29"/>
  <c r="O41" i="29"/>
  <c r="N41" i="29"/>
  <c r="Q40" i="29"/>
  <c r="P40" i="29"/>
  <c r="O40" i="29"/>
  <c r="N40" i="29"/>
  <c r="Q39" i="29"/>
  <c r="P39" i="29"/>
  <c r="O39" i="29"/>
  <c r="N39" i="29"/>
  <c r="Q38" i="29"/>
  <c r="P38" i="29"/>
  <c r="O38" i="29"/>
  <c r="N38" i="29"/>
  <c r="Q37" i="29"/>
  <c r="P37" i="29"/>
  <c r="O37" i="29"/>
  <c r="N37" i="29"/>
  <c r="Q36" i="29"/>
  <c r="P36" i="29"/>
  <c r="O36" i="29"/>
  <c r="N36" i="29"/>
  <c r="Q35" i="29"/>
  <c r="P35" i="29"/>
  <c r="O35" i="29"/>
  <c r="N35" i="29"/>
  <c r="Q34" i="29"/>
  <c r="P34" i="29"/>
  <c r="O34" i="29"/>
  <c r="N34" i="29"/>
  <c r="Q33" i="29"/>
  <c r="P33" i="29"/>
  <c r="O33" i="29"/>
  <c r="N33" i="29"/>
  <c r="Q32" i="29"/>
  <c r="P32" i="29"/>
  <c r="O32" i="29"/>
  <c r="N32" i="29"/>
  <c r="Q31" i="29"/>
  <c r="P31" i="29"/>
  <c r="O31" i="29"/>
  <c r="N31" i="29"/>
  <c r="Q30" i="29"/>
  <c r="P30" i="29"/>
  <c r="O30" i="29"/>
  <c r="N30" i="29"/>
  <c r="Q29" i="29"/>
  <c r="P29" i="29"/>
  <c r="O29" i="29"/>
  <c r="N29" i="29"/>
  <c r="Q28" i="29"/>
  <c r="P28" i="29"/>
  <c r="O28" i="29"/>
  <c r="N28" i="29"/>
  <c r="Q27" i="29"/>
  <c r="P27" i="29"/>
  <c r="O27" i="29"/>
  <c r="N27" i="29"/>
  <c r="Q26" i="29"/>
  <c r="P26" i="29"/>
  <c r="O26" i="29"/>
  <c r="N26" i="29"/>
  <c r="Q25" i="29"/>
  <c r="P25" i="29"/>
  <c r="O25" i="29"/>
  <c r="N25" i="29"/>
  <c r="Q24" i="29"/>
  <c r="P24" i="29"/>
  <c r="O24" i="29"/>
  <c r="N24" i="29"/>
  <c r="Q23" i="29"/>
  <c r="P23" i="29"/>
  <c r="O23" i="29"/>
  <c r="N23" i="29"/>
  <c r="Q22" i="29"/>
  <c r="P22" i="29"/>
  <c r="O22" i="29"/>
  <c r="N22" i="29"/>
  <c r="Q21" i="29"/>
  <c r="P21" i="29"/>
  <c r="O21" i="29"/>
  <c r="N21" i="29"/>
  <c r="Q20" i="29"/>
  <c r="P20" i="29"/>
  <c r="O20" i="29"/>
  <c r="N20" i="29"/>
  <c r="Q19" i="29"/>
  <c r="P19" i="29"/>
  <c r="O19" i="29"/>
  <c r="N19" i="29"/>
  <c r="Q18" i="29"/>
  <c r="P18" i="29"/>
  <c r="O18" i="29"/>
  <c r="N18" i="29"/>
  <c r="Q17" i="29"/>
  <c r="P17" i="29"/>
  <c r="O17" i="29"/>
  <c r="N17" i="29"/>
  <c r="Q16" i="29"/>
  <c r="P16" i="29"/>
  <c r="O16" i="29"/>
  <c r="N16" i="29"/>
  <c r="Q15" i="29"/>
  <c r="P15" i="29"/>
  <c r="O15" i="29"/>
  <c r="N15" i="29"/>
  <c r="Q14" i="29"/>
  <c r="P14" i="29"/>
  <c r="O14" i="29"/>
  <c r="N14" i="29"/>
  <c r="Q13" i="29"/>
  <c r="P13" i="29"/>
  <c r="O13" i="29"/>
  <c r="N13" i="29"/>
  <c r="Q12" i="29"/>
  <c r="P12" i="29"/>
  <c r="O12" i="29"/>
  <c r="N12" i="29"/>
  <c r="Q11" i="29"/>
  <c r="P11" i="29"/>
  <c r="O11" i="29"/>
  <c r="N11" i="29"/>
  <c r="Q10" i="29"/>
  <c r="P10" i="29"/>
  <c r="O10" i="29"/>
  <c r="N10" i="29"/>
  <c r="Q9" i="29"/>
  <c r="P9" i="29"/>
  <c r="O9" i="29"/>
  <c r="N9" i="29"/>
  <c r="Q8" i="29"/>
  <c r="P8" i="29"/>
  <c r="O8" i="29"/>
  <c r="N8" i="29"/>
  <c r="Q7" i="29"/>
  <c r="P7" i="29"/>
  <c r="O7" i="29"/>
  <c r="N7" i="29"/>
  <c r="Q6" i="29"/>
  <c r="P6" i="29"/>
  <c r="O6" i="29"/>
  <c r="N6" i="29"/>
  <c r="Q5" i="29"/>
  <c r="P5" i="29"/>
  <c r="O5" i="29"/>
  <c r="N5" i="29"/>
  <c r="AJ43" i="24"/>
  <c r="AJ42" i="24"/>
  <c r="AJ41" i="24"/>
  <c r="AJ40" i="24"/>
  <c r="AJ39" i="24"/>
  <c r="AJ38" i="24"/>
  <c r="AJ37" i="24"/>
  <c r="AJ36" i="24"/>
  <c r="AJ35" i="24"/>
  <c r="AJ34" i="24"/>
  <c r="AK28" i="23"/>
  <c r="AK27" i="23"/>
  <c r="AK26" i="23"/>
  <c r="AK25" i="23"/>
  <c r="AK24" i="23"/>
  <c r="AK23" i="23"/>
  <c r="AK22" i="23"/>
  <c r="AK21" i="23"/>
  <c r="AK20" i="23"/>
  <c r="R15" i="25" l="1"/>
  <c r="Q15" i="25"/>
  <c r="P15" i="25"/>
  <c r="O15" i="25"/>
  <c r="R12" i="25"/>
  <c r="Q12" i="25"/>
  <c r="P12" i="25"/>
  <c r="O12" i="25"/>
  <c r="AG19" i="23" l="1"/>
  <c r="AG18" i="23"/>
  <c r="AG17" i="23"/>
  <c r="AG16" i="23"/>
  <c r="AG15" i="23"/>
  <c r="AG14" i="23"/>
  <c r="AR58" i="9"/>
  <c r="AR57" i="9"/>
  <c r="AC37" i="22" l="1"/>
  <c r="AC36" i="22"/>
  <c r="AC35" i="22"/>
  <c r="AC32" i="22"/>
  <c r="AC31" i="22"/>
  <c r="AC30" i="22"/>
  <c r="AC29" i="22"/>
  <c r="AN3" i="17" l="1"/>
  <c r="AM3" i="17"/>
  <c r="AL3" i="17"/>
  <c r="AK3" i="17"/>
  <c r="AR3" i="23"/>
  <c r="AQ3" i="23"/>
  <c r="AP3" i="23"/>
  <c r="AO3" i="23"/>
  <c r="AN3" i="22"/>
  <c r="AM3" i="22"/>
  <c r="AL3" i="22"/>
  <c r="AK3" i="22"/>
  <c r="AQ3" i="24"/>
  <c r="AP3" i="24"/>
  <c r="AO3" i="24"/>
  <c r="AN3" i="24"/>
  <c r="AR3" i="18"/>
  <c r="AQ3" i="18"/>
  <c r="AP3" i="18"/>
  <c r="AO3" i="18"/>
  <c r="AW3" i="15"/>
  <c r="AV3" i="15"/>
  <c r="AU3" i="15"/>
  <c r="AT3" i="15"/>
  <c r="AV3" i="12"/>
  <c r="AU3" i="12"/>
  <c r="AT3" i="12"/>
  <c r="AS3" i="12"/>
  <c r="AL15" i="12"/>
  <c r="AZ3" i="9"/>
  <c r="AY3" i="9"/>
  <c r="AX3" i="9"/>
  <c r="AW3" i="9"/>
  <c r="AK3" i="28" l="1"/>
  <c r="AJ3" i="28"/>
  <c r="AI3" i="28"/>
  <c r="AH3" i="28"/>
  <c r="R48" i="28"/>
  <c r="Q48" i="28"/>
  <c r="P48" i="28"/>
  <c r="O48" i="28"/>
  <c r="R47" i="28"/>
  <c r="Q47" i="28"/>
  <c r="P47" i="28"/>
  <c r="O47" i="28"/>
  <c r="R46" i="28"/>
  <c r="Q46" i="28"/>
  <c r="P46" i="28"/>
  <c r="O46" i="28"/>
  <c r="R45" i="28"/>
  <c r="Q45" i="28"/>
  <c r="P45" i="28"/>
  <c r="O45" i="28"/>
  <c r="R44" i="28"/>
  <c r="Q44" i="28"/>
  <c r="P44" i="28"/>
  <c r="O44" i="28"/>
  <c r="R43" i="28"/>
  <c r="Q43" i="28"/>
  <c r="P43" i="28"/>
  <c r="O43" i="28"/>
  <c r="R42" i="28"/>
  <c r="Q42" i="28"/>
  <c r="P42" i="28"/>
  <c r="O42" i="28"/>
  <c r="R41" i="28"/>
  <c r="Q41" i="28"/>
  <c r="P41" i="28"/>
  <c r="O41" i="28"/>
  <c r="R40" i="28"/>
  <c r="Q40" i="28"/>
  <c r="P40" i="28"/>
  <c r="O40" i="28"/>
  <c r="R39" i="28"/>
  <c r="Q39" i="28"/>
  <c r="P39" i="28"/>
  <c r="O39" i="28"/>
  <c r="R38" i="28"/>
  <c r="Q38" i="28"/>
  <c r="P38" i="28"/>
  <c r="O38" i="28"/>
  <c r="R37" i="28"/>
  <c r="Q37" i="28"/>
  <c r="P37" i="28"/>
  <c r="O37" i="28"/>
  <c r="R36" i="28"/>
  <c r="Q36" i="28"/>
  <c r="P36" i="28"/>
  <c r="O36" i="28"/>
  <c r="R35" i="28"/>
  <c r="Q35" i="28"/>
  <c r="P35" i="28"/>
  <c r="O35" i="28"/>
  <c r="R34" i="28"/>
  <c r="Q34" i="28"/>
  <c r="P34" i="28"/>
  <c r="O34" i="28"/>
  <c r="R33" i="28"/>
  <c r="Q33" i="28"/>
  <c r="P33" i="28"/>
  <c r="O33" i="28"/>
  <c r="R32" i="28"/>
  <c r="Q32" i="28"/>
  <c r="P32" i="28"/>
  <c r="O32" i="28"/>
  <c r="R31" i="28"/>
  <c r="Q31" i="28"/>
  <c r="P31" i="28"/>
  <c r="O31" i="28"/>
  <c r="R30" i="28"/>
  <c r="Q30" i="28"/>
  <c r="P30" i="28"/>
  <c r="O30" i="28"/>
  <c r="R29" i="28"/>
  <c r="Q29" i="28"/>
  <c r="P29" i="28"/>
  <c r="O29" i="28"/>
  <c r="R28" i="28"/>
  <c r="Q28" i="28"/>
  <c r="O28" i="28"/>
  <c r="R27" i="28"/>
  <c r="Q27" i="28"/>
  <c r="P27" i="28"/>
  <c r="O27" i="28"/>
  <c r="R26" i="28"/>
  <c r="Q26" i="28"/>
  <c r="P26" i="28"/>
  <c r="O26" i="28"/>
  <c r="R25" i="28"/>
  <c r="Q25" i="28"/>
  <c r="P25" i="28"/>
  <c r="O25" i="28"/>
  <c r="R24" i="28"/>
  <c r="Q24" i="28"/>
  <c r="P24" i="28"/>
  <c r="O24" i="28"/>
  <c r="R23" i="28"/>
  <c r="Q23" i="28"/>
  <c r="P23" i="28"/>
  <c r="O23" i="28"/>
  <c r="R22" i="28"/>
  <c r="Q22" i="28"/>
  <c r="P22" i="28"/>
  <c r="O22" i="28"/>
  <c r="R21" i="28"/>
  <c r="Q21" i="28"/>
  <c r="P21" i="28"/>
  <c r="O21" i="28"/>
  <c r="R20" i="28"/>
  <c r="Q20" i="28"/>
  <c r="P20" i="28"/>
  <c r="O20" i="28"/>
  <c r="R19" i="28"/>
  <c r="Q19" i="28"/>
  <c r="P19" i="28"/>
  <c r="O19" i="28"/>
  <c r="R18" i="28"/>
  <c r="Q18" i="28"/>
  <c r="P18" i="28"/>
  <c r="O18" i="28"/>
  <c r="R17" i="28"/>
  <c r="Q17" i="28"/>
  <c r="P17" i="28"/>
  <c r="O17" i="28"/>
  <c r="R16" i="28"/>
  <c r="Q16" i="28"/>
  <c r="P16" i="28"/>
  <c r="O16" i="28"/>
  <c r="R15" i="28"/>
  <c r="Q15" i="28"/>
  <c r="P15" i="28"/>
  <c r="O15" i="28"/>
  <c r="R14" i="28"/>
  <c r="Q14" i="28"/>
  <c r="P14" i="28"/>
  <c r="O14" i="28"/>
  <c r="R13" i="28"/>
  <c r="Q13" i="28"/>
  <c r="P13" i="28"/>
  <c r="O13" i="28"/>
  <c r="R12" i="28"/>
  <c r="Q12" i="28"/>
  <c r="P12" i="28"/>
  <c r="O12" i="28"/>
  <c r="R11" i="28"/>
  <c r="Q11" i="28"/>
  <c r="P11" i="28"/>
  <c r="O11" i="28"/>
  <c r="R10" i="28"/>
  <c r="Q10" i="28"/>
  <c r="P10" i="28"/>
  <c r="O10" i="28"/>
  <c r="R9" i="28"/>
  <c r="Q9" i="28"/>
  <c r="P9" i="28"/>
  <c r="O9" i="28"/>
  <c r="R8" i="28"/>
  <c r="Q8" i="28"/>
  <c r="P8" i="28"/>
  <c r="O8" i="28"/>
  <c r="R7" i="28"/>
  <c r="Q7" i="28"/>
  <c r="P7" i="28"/>
  <c r="O7" i="28"/>
  <c r="R6" i="28"/>
  <c r="Q6" i="28"/>
  <c r="P6" i="28"/>
  <c r="O6" i="28"/>
  <c r="R5" i="28"/>
  <c r="Q5" i="28"/>
  <c r="P5" i="28"/>
  <c r="O5" i="28"/>
  <c r="AG3" i="28"/>
  <c r="AF3" i="28"/>
  <c r="AE3" i="28"/>
  <c r="AD3" i="28"/>
  <c r="U4" i="28"/>
  <c r="S4" i="28"/>
  <c r="L4" i="28"/>
  <c r="AF161" i="24" l="1"/>
  <c r="AF160" i="24"/>
  <c r="AF159" i="24"/>
  <c r="AF158" i="24"/>
  <c r="AF157" i="24"/>
  <c r="AF156" i="24"/>
  <c r="AF155" i="24"/>
  <c r="AF154" i="24"/>
  <c r="AF153" i="24"/>
  <c r="AF152" i="24"/>
  <c r="AF151" i="24"/>
  <c r="AF150" i="24"/>
  <c r="AF149" i="24"/>
  <c r="AF148" i="24"/>
  <c r="AF147" i="24"/>
  <c r="AF146" i="24"/>
  <c r="AF145" i="24"/>
  <c r="AF144" i="24"/>
  <c r="AR50" i="9"/>
  <c r="AR49" i="9"/>
  <c r="AC26" i="22" l="1"/>
  <c r="AC25" i="22"/>
  <c r="AC24" i="22"/>
  <c r="AC23" i="22"/>
  <c r="AC22" i="22"/>
  <c r="AC21" i="22"/>
  <c r="AH13" i="23" l="1"/>
  <c r="AH12" i="23"/>
  <c r="AH11" i="23"/>
  <c r="AH10" i="23"/>
  <c r="AH9" i="23"/>
  <c r="AH8" i="23"/>
  <c r="AH7" i="23"/>
  <c r="AH6" i="23"/>
  <c r="AH5" i="23"/>
  <c r="AG43" i="23"/>
  <c r="AG42" i="23"/>
  <c r="AG41" i="23"/>
  <c r="AG40" i="23"/>
  <c r="AR16" i="9" l="1"/>
  <c r="AR15" i="9"/>
  <c r="AL41" i="12"/>
  <c r="AL40" i="12"/>
  <c r="AL39" i="12"/>
  <c r="AL38" i="12"/>
  <c r="AL37" i="12"/>
  <c r="AL36" i="12"/>
  <c r="AL35" i="12"/>
  <c r="AL34" i="12"/>
  <c r="AL33" i="12"/>
  <c r="AL32" i="12"/>
  <c r="AL31" i="12"/>
  <c r="AL30" i="12"/>
  <c r="AL29" i="12"/>
  <c r="AL28" i="12"/>
  <c r="AL27" i="12"/>
  <c r="AL26" i="12"/>
  <c r="AL25" i="12"/>
  <c r="AL24" i="12"/>
  <c r="AL23" i="12"/>
  <c r="AL22" i="12"/>
  <c r="AL21" i="12"/>
  <c r="AL20" i="12"/>
  <c r="AL19" i="12"/>
  <c r="AL18" i="12"/>
  <c r="AL10" i="12"/>
  <c r="AL9" i="12"/>
  <c r="AL8" i="12"/>
  <c r="AL7" i="12"/>
  <c r="AL6" i="12"/>
  <c r="AL14" i="12"/>
  <c r="AL13" i="12"/>
  <c r="AL12" i="12"/>
  <c r="AL11" i="12"/>
  <c r="AL4" i="12"/>
  <c r="AF73" i="24" l="1"/>
  <c r="AF72" i="24"/>
  <c r="AF71" i="24"/>
  <c r="AF70" i="24"/>
  <c r="AF69" i="24"/>
  <c r="AF68" i="24"/>
  <c r="AF67" i="24"/>
  <c r="AF66" i="24"/>
  <c r="AF65" i="24"/>
  <c r="AF64" i="24"/>
  <c r="AF63" i="24"/>
  <c r="AF62" i="24"/>
  <c r="AF61" i="24"/>
  <c r="AF60" i="24"/>
  <c r="AF59" i="24"/>
  <c r="AF58" i="24"/>
  <c r="AF57" i="24"/>
  <c r="AF56" i="24"/>
  <c r="AF55" i="24"/>
  <c r="AF54" i="24"/>
  <c r="AG13" i="23"/>
  <c r="AG12" i="23"/>
  <c r="AG11" i="23"/>
  <c r="AG10" i="23"/>
  <c r="AG9" i="23"/>
  <c r="AG8" i="23"/>
  <c r="AC31" i="17" l="1"/>
  <c r="AC30" i="17"/>
  <c r="AC29" i="17"/>
  <c r="AC28" i="17"/>
  <c r="AC27" i="17"/>
  <c r="AC26" i="17"/>
  <c r="AC25" i="17"/>
  <c r="AC24" i="17"/>
  <c r="AC23" i="17"/>
  <c r="AC22" i="17"/>
  <c r="AC21" i="17"/>
  <c r="AC20" i="17"/>
  <c r="AC19" i="17"/>
  <c r="AR40" i="9" l="1"/>
  <c r="AR39" i="9"/>
  <c r="AR43" i="9"/>
  <c r="AR54" i="9"/>
  <c r="AR53" i="9"/>
  <c r="AR38" i="9" l="1"/>
  <c r="AR37" i="9"/>
  <c r="AG7" i="23" l="1"/>
  <c r="AG6" i="23"/>
  <c r="AG5" i="23"/>
  <c r="AJ3" i="4" l="1"/>
  <c r="AI3" i="4"/>
  <c r="AH3" i="4"/>
  <c r="AG3" i="4"/>
  <c r="AM12" i="16" l="1"/>
  <c r="AM11" i="16"/>
  <c r="AM10" i="16"/>
  <c r="AM9" i="16"/>
  <c r="AM8" i="16"/>
  <c r="AM7" i="16"/>
  <c r="AM6" i="16"/>
  <c r="AM5" i="16"/>
  <c r="AM4" i="16"/>
  <c r="AS167" i="10"/>
  <c r="AR46" i="9"/>
  <c r="AR45" i="9"/>
  <c r="AN34" i="15"/>
  <c r="AN33" i="15"/>
  <c r="AR44" i="9" l="1"/>
  <c r="AD18" i="22"/>
  <c r="AD17" i="22"/>
  <c r="AD16" i="22"/>
  <c r="AD15" i="22"/>
  <c r="AD14" i="22"/>
  <c r="AD13" i="22"/>
  <c r="AD12" i="22"/>
  <c r="AD11" i="22"/>
  <c r="AF313" i="24" l="1"/>
  <c r="AF312" i="24"/>
  <c r="AF311" i="24"/>
  <c r="AF310" i="24"/>
  <c r="AF309" i="24"/>
  <c r="AF308" i="24"/>
  <c r="AF307" i="24"/>
  <c r="AF306" i="24"/>
  <c r="AF305" i="24"/>
  <c r="AF304" i="24"/>
  <c r="AF33" i="24"/>
  <c r="AF32" i="24"/>
  <c r="AF31" i="24"/>
  <c r="AF30" i="24"/>
  <c r="AF29" i="24"/>
  <c r="AF28" i="24"/>
  <c r="AF27" i="24"/>
  <c r="AF26" i="24"/>
  <c r="AF25" i="24"/>
  <c r="AF24" i="24"/>
  <c r="AF23" i="24"/>
  <c r="AF22" i="24"/>
  <c r="AF21" i="24"/>
  <c r="AF20" i="24"/>
  <c r="AF19" i="24"/>
  <c r="AF18" i="24"/>
  <c r="AF17" i="24"/>
  <c r="AF16" i="24"/>
  <c r="AF15" i="24"/>
  <c r="AF14" i="24"/>
  <c r="AQ50" i="9"/>
  <c r="AQ49" i="9"/>
  <c r="AC18" i="22"/>
  <c r="AC17" i="22"/>
  <c r="AC16" i="22"/>
  <c r="AC15" i="22"/>
  <c r="AC14" i="22"/>
  <c r="AC13" i="22"/>
  <c r="AN30" i="15" l="1"/>
  <c r="AN29" i="15"/>
  <c r="AN26" i="15"/>
  <c r="AN25" i="15"/>
  <c r="AN22" i="15"/>
  <c r="AN21" i="15"/>
  <c r="AN18" i="15"/>
  <c r="AN17" i="15"/>
  <c r="AN14" i="15"/>
  <c r="AN11" i="15"/>
  <c r="AN10" i="15"/>
  <c r="AF303" i="24" l="1"/>
  <c r="AF302" i="24"/>
  <c r="AQ46" i="9" l="1"/>
  <c r="AQ45" i="9"/>
  <c r="AQ44" i="9"/>
  <c r="AQ43" i="9" l="1"/>
  <c r="AF301" i="24"/>
  <c r="AF300" i="24"/>
  <c r="AF299" i="24"/>
  <c r="AF298" i="24"/>
  <c r="AF297" i="24"/>
  <c r="AF296" i="24"/>
  <c r="AF295" i="24"/>
  <c r="AF294" i="24"/>
  <c r="AF197" i="24"/>
  <c r="AF196" i="24"/>
  <c r="AF195" i="24"/>
  <c r="AF194" i="24"/>
  <c r="AF193" i="24"/>
  <c r="AF192" i="24"/>
  <c r="AF191" i="24"/>
  <c r="AF190" i="24"/>
  <c r="AF189" i="24"/>
  <c r="AF188" i="24"/>
  <c r="AF187" i="24"/>
  <c r="AF186" i="24"/>
  <c r="AF185" i="24"/>
  <c r="AF184" i="24"/>
  <c r="AF183" i="24"/>
  <c r="AF182" i="24"/>
  <c r="AF181" i="24"/>
  <c r="AF180" i="24"/>
  <c r="AS70" i="10"/>
  <c r="AS68" i="10"/>
  <c r="AS67" i="10"/>
  <c r="AS66" i="10"/>
  <c r="AS65" i="10"/>
  <c r="AS64" i="10"/>
  <c r="AS63" i="10"/>
  <c r="AS62" i="10"/>
  <c r="AS61" i="10"/>
  <c r="AS60" i="10"/>
  <c r="AS59" i="10"/>
  <c r="AS58" i="10"/>
  <c r="AS57" i="10"/>
  <c r="AS56" i="10"/>
  <c r="AS55" i="10"/>
  <c r="AS54" i="10"/>
  <c r="AS53" i="10"/>
  <c r="AS52" i="10"/>
  <c r="AS51" i="10"/>
  <c r="AS50" i="10"/>
  <c r="AS49" i="10"/>
  <c r="AS48" i="10"/>
  <c r="AS47" i="10"/>
  <c r="AS46" i="10"/>
  <c r="AS45" i="10"/>
  <c r="AS43" i="10"/>
  <c r="AS42" i="10"/>
  <c r="AS41" i="10"/>
  <c r="AS40" i="10"/>
  <c r="AS39" i="10"/>
  <c r="AS38" i="10"/>
  <c r="AS37" i="10"/>
  <c r="AS36" i="10"/>
  <c r="AS35" i="10"/>
  <c r="AS34" i="10"/>
  <c r="AS33" i="10"/>
  <c r="AS32" i="10"/>
  <c r="AS31" i="10"/>
  <c r="AS30" i="10"/>
  <c r="AS29" i="10"/>
  <c r="AS28" i="10"/>
  <c r="AS27" i="10"/>
  <c r="AS26" i="10"/>
  <c r="AS25" i="10"/>
  <c r="AS24" i="10"/>
  <c r="AS23" i="10"/>
  <c r="AS22" i="10"/>
  <c r="AS21" i="10"/>
  <c r="AS20" i="10"/>
  <c r="AS19" i="10"/>
  <c r="AS18" i="10"/>
  <c r="AS17" i="10"/>
  <c r="AS16" i="10"/>
  <c r="AS15" i="10"/>
  <c r="AS14" i="10"/>
  <c r="AS13" i="10"/>
  <c r="AS12" i="10"/>
  <c r="AS11" i="10"/>
  <c r="AS10" i="10"/>
  <c r="AS9" i="10"/>
  <c r="AS8" i="10"/>
  <c r="AS7" i="10"/>
  <c r="AS6" i="10"/>
  <c r="AS5" i="10"/>
  <c r="AS4" i="10"/>
  <c r="R67" i="25" l="1"/>
  <c r="Q67" i="25"/>
  <c r="P67" i="25"/>
  <c r="O67" i="25"/>
  <c r="R66" i="25"/>
  <c r="Q66" i="25"/>
  <c r="P66" i="25"/>
  <c r="O66" i="25"/>
  <c r="R65" i="25"/>
  <c r="Q65" i="25"/>
  <c r="P65" i="25"/>
  <c r="O65" i="25"/>
  <c r="R64" i="25"/>
  <c r="Q64" i="25"/>
  <c r="P64" i="25"/>
  <c r="O64" i="25"/>
  <c r="R63" i="25"/>
  <c r="Q63" i="25"/>
  <c r="P63" i="25"/>
  <c r="O63" i="25"/>
  <c r="R62" i="25"/>
  <c r="Q62" i="25"/>
  <c r="P62" i="25"/>
  <c r="O62" i="25"/>
  <c r="R61" i="25"/>
  <c r="Q61" i="25"/>
  <c r="P61" i="25"/>
  <c r="O61" i="25"/>
  <c r="R60" i="25"/>
  <c r="Q60" i="25"/>
  <c r="P60" i="25"/>
  <c r="O60" i="25"/>
  <c r="R59" i="25"/>
  <c r="Q59" i="25"/>
  <c r="P59" i="25"/>
  <c r="O59" i="25"/>
  <c r="R58" i="25"/>
  <c r="Q58" i="25"/>
  <c r="P58" i="25"/>
  <c r="O58" i="25"/>
  <c r="R57" i="25"/>
  <c r="Q57" i="25"/>
  <c r="P57" i="25"/>
  <c r="O57" i="25"/>
  <c r="R56" i="25"/>
  <c r="Q56" i="25"/>
  <c r="P56" i="25"/>
  <c r="O56" i="25"/>
  <c r="R55" i="25"/>
  <c r="Q55" i="25"/>
  <c r="P55" i="25"/>
  <c r="O55" i="25"/>
  <c r="R54" i="25"/>
  <c r="Q54" i="25"/>
  <c r="P54" i="25"/>
  <c r="O54" i="25"/>
  <c r="R53" i="25"/>
  <c r="Q53" i="25"/>
  <c r="P53" i="25"/>
  <c r="O53" i="25"/>
  <c r="R52" i="25"/>
  <c r="Q52" i="25"/>
  <c r="P52" i="25"/>
  <c r="O52" i="25"/>
  <c r="R51" i="25"/>
  <c r="Q51" i="25"/>
  <c r="P51" i="25"/>
  <c r="O51" i="25"/>
  <c r="R50" i="25"/>
  <c r="Q50" i="25"/>
  <c r="P50" i="25"/>
  <c r="O50" i="25"/>
  <c r="R49" i="25"/>
  <c r="Q49" i="25"/>
  <c r="P49" i="25"/>
  <c r="O49" i="25"/>
  <c r="R48" i="25"/>
  <c r="Q48" i="25"/>
  <c r="P48" i="25"/>
  <c r="O48" i="25"/>
  <c r="R47" i="25"/>
  <c r="Q47" i="25"/>
  <c r="P47" i="25"/>
  <c r="O47" i="25"/>
  <c r="R46" i="25"/>
  <c r="Q46" i="25"/>
  <c r="P46" i="25"/>
  <c r="O46" i="25"/>
  <c r="R45" i="25"/>
  <c r="Q45" i="25"/>
  <c r="P45" i="25"/>
  <c r="O45" i="25"/>
  <c r="R44" i="25"/>
  <c r="Q44" i="25"/>
  <c r="P44" i="25"/>
  <c r="O44" i="25"/>
  <c r="R43" i="25"/>
  <c r="Q43" i="25"/>
  <c r="P43" i="25"/>
  <c r="O43" i="25"/>
  <c r="R42" i="25"/>
  <c r="Q42" i="25"/>
  <c r="P42" i="25"/>
  <c r="O42" i="25"/>
  <c r="R41" i="25"/>
  <c r="Q41" i="25"/>
  <c r="P41" i="25"/>
  <c r="O41" i="25"/>
  <c r="R40" i="25"/>
  <c r="Q40" i="25"/>
  <c r="P40" i="25"/>
  <c r="O40" i="25"/>
  <c r="R39" i="25"/>
  <c r="Q39" i="25"/>
  <c r="P39" i="25"/>
  <c r="O39" i="25"/>
  <c r="R38" i="25"/>
  <c r="Q38" i="25"/>
  <c r="P38" i="25"/>
  <c r="O38" i="25"/>
  <c r="R37" i="25"/>
  <c r="Q37" i="25"/>
  <c r="P37" i="25"/>
  <c r="O37" i="25"/>
  <c r="R36" i="25"/>
  <c r="Q36" i="25"/>
  <c r="P36" i="25"/>
  <c r="O36" i="25"/>
  <c r="R35" i="25"/>
  <c r="Q35" i="25"/>
  <c r="P35" i="25"/>
  <c r="O35" i="25"/>
  <c r="R34" i="25"/>
  <c r="Q34" i="25"/>
  <c r="P34" i="25"/>
  <c r="O34" i="25"/>
  <c r="R33" i="25"/>
  <c r="Q33" i="25"/>
  <c r="P33" i="25"/>
  <c r="O33" i="25"/>
  <c r="R32" i="25"/>
  <c r="Q32" i="25"/>
  <c r="P32" i="25"/>
  <c r="O32" i="25"/>
  <c r="R31" i="25"/>
  <c r="Q31" i="25"/>
  <c r="P31" i="25"/>
  <c r="O31" i="25"/>
  <c r="R30" i="25"/>
  <c r="Q30" i="25"/>
  <c r="P30" i="25"/>
  <c r="O30" i="25"/>
  <c r="R29" i="25"/>
  <c r="Q29" i="25"/>
  <c r="P29" i="25"/>
  <c r="O29" i="25"/>
  <c r="R28" i="25"/>
  <c r="Q28" i="25"/>
  <c r="P28" i="25"/>
  <c r="O28" i="25"/>
  <c r="R27" i="25"/>
  <c r="Q27" i="25"/>
  <c r="P27" i="25"/>
  <c r="O27" i="25"/>
  <c r="R26" i="25"/>
  <c r="Q26" i="25"/>
  <c r="P26" i="25"/>
  <c r="O26" i="25"/>
  <c r="R25" i="25"/>
  <c r="Q25" i="25"/>
  <c r="P25" i="25"/>
  <c r="O25" i="25"/>
  <c r="R24" i="25"/>
  <c r="Q24" i="25"/>
  <c r="P24" i="25"/>
  <c r="O24" i="25"/>
  <c r="R23" i="25"/>
  <c r="Q23" i="25"/>
  <c r="P23" i="25"/>
  <c r="O23" i="25"/>
  <c r="R22" i="25"/>
  <c r="Q22" i="25"/>
  <c r="P22" i="25"/>
  <c r="O22" i="25"/>
  <c r="R21" i="25"/>
  <c r="Q21" i="25"/>
  <c r="P21" i="25"/>
  <c r="O21" i="25"/>
  <c r="R20" i="25"/>
  <c r="Q20" i="25"/>
  <c r="P20" i="25"/>
  <c r="O20" i="25"/>
  <c r="R19" i="25"/>
  <c r="Q19" i="25"/>
  <c r="P19" i="25"/>
  <c r="O19" i="25"/>
  <c r="R18" i="25"/>
  <c r="Q18" i="25"/>
  <c r="P18" i="25"/>
  <c r="O18" i="25"/>
  <c r="R17" i="25"/>
  <c r="Q17" i="25"/>
  <c r="P17" i="25"/>
  <c r="O17" i="25"/>
  <c r="R16" i="25"/>
  <c r="Q16" i="25"/>
  <c r="P16" i="25"/>
  <c r="O16" i="25"/>
  <c r="R14" i="25"/>
  <c r="Q14" i="25"/>
  <c r="P14" i="25"/>
  <c r="O14" i="25"/>
  <c r="R13" i="25"/>
  <c r="Q13" i="25"/>
  <c r="P13" i="25"/>
  <c r="O13" i="25"/>
  <c r="R11" i="25"/>
  <c r="Q11" i="25"/>
  <c r="P11" i="25"/>
  <c r="O11" i="25"/>
  <c r="R10" i="25"/>
  <c r="Q10" i="25"/>
  <c r="P10" i="25"/>
  <c r="O10" i="25"/>
  <c r="R9" i="25"/>
  <c r="Q9" i="25"/>
  <c r="P9" i="25"/>
  <c r="O9" i="25"/>
  <c r="R8" i="25"/>
  <c r="Q8" i="25"/>
  <c r="P8" i="25"/>
  <c r="O8" i="25"/>
  <c r="R7" i="25"/>
  <c r="Q7" i="25"/>
  <c r="P7" i="25"/>
  <c r="O7" i="25"/>
  <c r="R6" i="25"/>
  <c r="Q6" i="25"/>
  <c r="P6" i="25"/>
  <c r="O6" i="25"/>
  <c r="R5" i="25"/>
  <c r="Q5" i="25"/>
  <c r="P5" i="25"/>
  <c r="O5" i="25"/>
  <c r="AH3" i="25"/>
  <c r="AC3" i="25"/>
  <c r="AE3" i="25"/>
  <c r="AJ3" i="25"/>
  <c r="AI3" i="25"/>
  <c r="AG3" i="25"/>
  <c r="AF3" i="25"/>
  <c r="AD3" i="25"/>
  <c r="AP5" i="25"/>
  <c r="U4" i="25"/>
  <c r="S4" i="25"/>
  <c r="L4" i="25"/>
  <c r="AQ4" i="25" s="1"/>
  <c r="AQ5" i="25" s="1"/>
  <c r="AQ6" i="25" l="1"/>
  <c r="AR5" i="25"/>
  <c r="AC28" i="22"/>
  <c r="AC27" i="22"/>
  <c r="AC20" i="22"/>
  <c r="AC19" i="22"/>
  <c r="AF143" i="24"/>
  <c r="AF142" i="24"/>
  <c r="AF141" i="24"/>
  <c r="AF140" i="24"/>
  <c r="AF139" i="24"/>
  <c r="AF138" i="24"/>
  <c r="AF137" i="24"/>
  <c r="AF136" i="24"/>
  <c r="AF135" i="24"/>
  <c r="AF134" i="24"/>
  <c r="AF133" i="24"/>
  <c r="AF132" i="24"/>
  <c r="AF131" i="24"/>
  <c r="AF130" i="24"/>
  <c r="AF129" i="24"/>
  <c r="AF128" i="24"/>
  <c r="AF127" i="24"/>
  <c r="AF126" i="24"/>
  <c r="AF125" i="24"/>
  <c r="AF124" i="24"/>
  <c r="AF123" i="24"/>
  <c r="AF122" i="24"/>
  <c r="AF121" i="24"/>
  <c r="AF120" i="24"/>
  <c r="AF119" i="24"/>
  <c r="AF118" i="24"/>
  <c r="AF117" i="24"/>
  <c r="AF116" i="24"/>
  <c r="AF115" i="24"/>
  <c r="AF114" i="24"/>
  <c r="AF113" i="24"/>
  <c r="AF112" i="24"/>
  <c r="AF111" i="24"/>
  <c r="AF110" i="24"/>
  <c r="AF109" i="24"/>
  <c r="AF108" i="24"/>
  <c r="AF107" i="24"/>
  <c r="AF106" i="24"/>
  <c r="AF105" i="24"/>
  <c r="AF104" i="24"/>
  <c r="AS164" i="10" l="1"/>
  <c r="AS161" i="10"/>
  <c r="AS158" i="10"/>
  <c r="AS157" i="10"/>
  <c r="AS84" i="10"/>
  <c r="AR84" i="10"/>
  <c r="AQ83" i="10"/>
  <c r="AR83" i="10"/>
  <c r="AP83" i="10"/>
  <c r="AQ40" i="9" l="1"/>
  <c r="AQ39" i="9"/>
  <c r="AQ38" i="9"/>
  <c r="AQ37" i="9"/>
  <c r="AH264" i="18"/>
  <c r="AH263" i="18"/>
  <c r="AH262" i="18"/>
  <c r="AH261" i="18"/>
  <c r="AH260" i="18"/>
  <c r="AS156" i="10"/>
  <c r="AC12" i="22"/>
  <c r="AC11" i="22"/>
  <c r="AQ58" i="9" l="1"/>
  <c r="AQ57" i="9"/>
  <c r="AQ56" i="9"/>
  <c r="AQ54" i="9"/>
  <c r="AQ53" i="9"/>
  <c r="AG264" i="18"/>
  <c r="AG263" i="18"/>
  <c r="AG262" i="18"/>
  <c r="AG261" i="18"/>
  <c r="AG260" i="18"/>
  <c r="AG259" i="18"/>
  <c r="AG258" i="18"/>
  <c r="AG257" i="18"/>
  <c r="AH323" i="18"/>
  <c r="AH322" i="18"/>
  <c r="AH321" i="18"/>
  <c r="AH320" i="18"/>
  <c r="AH319" i="18"/>
  <c r="AG323" i="18"/>
  <c r="AG322" i="18"/>
  <c r="AG321" i="18"/>
  <c r="AG320" i="18"/>
  <c r="AG319" i="18"/>
  <c r="AG318" i="18"/>
  <c r="AG317" i="18"/>
  <c r="AG316" i="18"/>
  <c r="AQ64" i="9" l="1"/>
  <c r="AQ60" i="9"/>
  <c r="AL12" i="16"/>
  <c r="AL11" i="16"/>
  <c r="AL10" i="16"/>
  <c r="AL9" i="16"/>
  <c r="AL8" i="16"/>
  <c r="AL7" i="16"/>
  <c r="AL6" i="16"/>
  <c r="AL5" i="16"/>
  <c r="AL4" i="16"/>
  <c r="AG205" i="18"/>
  <c r="AG204" i="18"/>
  <c r="AG203" i="18"/>
  <c r="AG202" i="18"/>
  <c r="AG201" i="18"/>
  <c r="AG200" i="18"/>
  <c r="AG199" i="18"/>
  <c r="AG198" i="18"/>
  <c r="AG197" i="18"/>
  <c r="AG196" i="18"/>
  <c r="AG195" i="18"/>
  <c r="AG194" i="18"/>
  <c r="AG193" i="18"/>
  <c r="AG192" i="18"/>
  <c r="AG191" i="18"/>
  <c r="AG190" i="18"/>
  <c r="AG189" i="18"/>
  <c r="AG188" i="18"/>
  <c r="AG187" i="18"/>
  <c r="AG186" i="18"/>
  <c r="AG185" i="18"/>
  <c r="AG184" i="18"/>
  <c r="AG183" i="18"/>
  <c r="AG182" i="18"/>
  <c r="AG181" i="18"/>
  <c r="AG180" i="18"/>
  <c r="AG179" i="18"/>
  <c r="AG178" i="18"/>
  <c r="AG177" i="18"/>
  <c r="AG176" i="18"/>
  <c r="AG175" i="18"/>
  <c r="AG174" i="18"/>
  <c r="AG173" i="18"/>
  <c r="AG172" i="18"/>
  <c r="AG171" i="18"/>
  <c r="AG170" i="18"/>
  <c r="AG169" i="18"/>
  <c r="AG168" i="18"/>
  <c r="AG167" i="18"/>
  <c r="AG166" i="18"/>
  <c r="AG165" i="18"/>
  <c r="AG164" i="18"/>
  <c r="AG163" i="18"/>
  <c r="AG162" i="18"/>
  <c r="AG161" i="18"/>
  <c r="AG160" i="18"/>
  <c r="AG159" i="18"/>
  <c r="AG158" i="18"/>
  <c r="AG157" i="18"/>
  <c r="AG156" i="18"/>
  <c r="AG155" i="18"/>
  <c r="AG154" i="18"/>
  <c r="AG153" i="18"/>
  <c r="AG152" i="18"/>
  <c r="AG151" i="18"/>
  <c r="AG150" i="18"/>
  <c r="AG149" i="18"/>
  <c r="AG148" i="18"/>
  <c r="AG147" i="18"/>
  <c r="AG146" i="18"/>
  <c r="AG145" i="18"/>
  <c r="AG144" i="18"/>
  <c r="AG143" i="18"/>
  <c r="AG142" i="18"/>
  <c r="AG141" i="18"/>
  <c r="AG140" i="18"/>
  <c r="AG139" i="18"/>
  <c r="AG138" i="18"/>
  <c r="AG137" i="18"/>
  <c r="AG136" i="18"/>
  <c r="AG135" i="18"/>
  <c r="AG134" i="18"/>
  <c r="AG133" i="18"/>
  <c r="AG132" i="18"/>
  <c r="AG131" i="18"/>
  <c r="AG130" i="18"/>
  <c r="AG129" i="18"/>
  <c r="AG128" i="18"/>
  <c r="AG127" i="18"/>
  <c r="AG126" i="18"/>
  <c r="AG125" i="18"/>
  <c r="AG124" i="18"/>
  <c r="AG123" i="18"/>
  <c r="AG122" i="18"/>
  <c r="AG121" i="18"/>
  <c r="AG120" i="18"/>
  <c r="AG119" i="18"/>
  <c r="AG118" i="18"/>
  <c r="AG117" i="18"/>
  <c r="AG116" i="18"/>
  <c r="AG115" i="18"/>
  <c r="AG114" i="18"/>
  <c r="AG113" i="18"/>
  <c r="AG112" i="18"/>
  <c r="AG111" i="18"/>
  <c r="AG110" i="18"/>
  <c r="AG109" i="18"/>
  <c r="AG108" i="18"/>
  <c r="AG107" i="18"/>
  <c r="AG106" i="18"/>
  <c r="AG105" i="18"/>
  <c r="AG104" i="18"/>
  <c r="AG103" i="18"/>
  <c r="AG102" i="18"/>
  <c r="AG101" i="18"/>
  <c r="AG100" i="18"/>
  <c r="AG99" i="18"/>
  <c r="AG98" i="18"/>
  <c r="AG97" i="18"/>
  <c r="AG96" i="18"/>
  <c r="AG95" i="18"/>
  <c r="AG94" i="18"/>
  <c r="AG93" i="18"/>
  <c r="AG92" i="18"/>
  <c r="AG91" i="18"/>
  <c r="AG90" i="18"/>
  <c r="AG89" i="18"/>
  <c r="AG88" i="18"/>
  <c r="AG87" i="18"/>
  <c r="AG86" i="18"/>
  <c r="AG85" i="18"/>
  <c r="AG84" i="18"/>
  <c r="AG83" i="18"/>
  <c r="AG82" i="18"/>
  <c r="AG81" i="18"/>
  <c r="AG80" i="18"/>
  <c r="AG79" i="18"/>
  <c r="AG78" i="18"/>
  <c r="AG77" i="18"/>
  <c r="AG76" i="18"/>
  <c r="AG75" i="18"/>
  <c r="AG74" i="18"/>
  <c r="AG73" i="18"/>
  <c r="AG72" i="18"/>
  <c r="AG71" i="18"/>
  <c r="AG70" i="18"/>
  <c r="AG69" i="18"/>
  <c r="AG68" i="18"/>
  <c r="AG67" i="18"/>
  <c r="AG66" i="18"/>
  <c r="AG65" i="18"/>
  <c r="AG64" i="18"/>
  <c r="AG63" i="18"/>
  <c r="AG62" i="18"/>
  <c r="AG61" i="18"/>
  <c r="AG60" i="18"/>
  <c r="AG59" i="18"/>
  <c r="AG58" i="18"/>
  <c r="AG57" i="18"/>
  <c r="AG56" i="18"/>
  <c r="AG55" i="18"/>
  <c r="AG54" i="18"/>
  <c r="AG53" i="18"/>
  <c r="AG52" i="18"/>
  <c r="AG51" i="18"/>
  <c r="AG50" i="18"/>
  <c r="AG49" i="18"/>
  <c r="AG48" i="18"/>
  <c r="AG47" i="18"/>
  <c r="AG46" i="18"/>
  <c r="AG45" i="18"/>
  <c r="AG44" i="18"/>
  <c r="AG43" i="18"/>
  <c r="AG42" i="18"/>
  <c r="AG41" i="18"/>
  <c r="AG40" i="18"/>
  <c r="AG39" i="18"/>
  <c r="AG38" i="18"/>
  <c r="AG37" i="18"/>
  <c r="AG36" i="18"/>
  <c r="AG35" i="18"/>
  <c r="AG34" i="18"/>
  <c r="AG33" i="18"/>
  <c r="AG32" i="18"/>
  <c r="AG31" i="18"/>
  <c r="AG30" i="18"/>
  <c r="AG29" i="18"/>
  <c r="AG28" i="18"/>
  <c r="AG27" i="18"/>
  <c r="AG26" i="18"/>
  <c r="AG25" i="18"/>
  <c r="AG24" i="18"/>
  <c r="AG23" i="18"/>
  <c r="AG22" i="18"/>
  <c r="AG21" i="18"/>
  <c r="AG20" i="18"/>
  <c r="AG19" i="18"/>
  <c r="AG18" i="18"/>
  <c r="AG17" i="18"/>
  <c r="AG16" i="18"/>
  <c r="AG15" i="18"/>
  <c r="AG14" i="18"/>
  <c r="AG13" i="18"/>
  <c r="AG12" i="18"/>
  <c r="AG11" i="18"/>
  <c r="AG10" i="18"/>
  <c r="AG9" i="18"/>
  <c r="AG8" i="18"/>
  <c r="AG7" i="18"/>
  <c r="AG6" i="18"/>
  <c r="AG5" i="18"/>
  <c r="AQ59" i="9" l="1"/>
  <c r="AL45" i="12"/>
  <c r="AQ55" i="9" l="1"/>
  <c r="AK12" i="16"/>
  <c r="AK11" i="16"/>
  <c r="AK10" i="16"/>
  <c r="AK9" i="16"/>
  <c r="AK8" i="16"/>
  <c r="AK7" i="16"/>
  <c r="AK6" i="16"/>
  <c r="AK5" i="16"/>
  <c r="AK4" i="16"/>
  <c r="AL5" i="12"/>
  <c r="AQ16" i="9" l="1"/>
  <c r="AP16" i="9"/>
  <c r="AH355" i="18" l="1"/>
  <c r="AH354" i="18"/>
  <c r="AH353" i="18"/>
  <c r="AH352" i="18"/>
  <c r="AH351" i="18"/>
  <c r="AG355" i="18"/>
  <c r="AG354" i="18"/>
  <c r="AG353" i="18"/>
  <c r="AG352" i="18"/>
  <c r="AG351" i="18"/>
  <c r="AG350" i="18"/>
  <c r="AG349" i="18"/>
  <c r="AG348" i="18"/>
  <c r="AG347" i="18"/>
  <c r="AH347" i="18"/>
  <c r="AH346" i="18"/>
  <c r="AH345" i="18"/>
  <c r="AH344" i="18"/>
  <c r="AH343" i="18"/>
  <c r="AH315" i="18"/>
  <c r="AG310" i="18"/>
  <c r="AG309" i="18"/>
  <c r="AG308" i="18"/>
  <c r="AQ36" i="9"/>
  <c r="AQ24" i="9"/>
  <c r="AQ18" i="9"/>
  <c r="AQ17" i="9"/>
  <c r="AT3" i="10" l="1"/>
  <c r="AU3" i="10"/>
  <c r="AW3" i="10"/>
  <c r="AV3" i="10"/>
  <c r="AR3" i="12"/>
  <c r="AP3" i="12"/>
  <c r="AO3" i="12"/>
  <c r="AP15" i="9" l="1"/>
  <c r="AQ15" i="9"/>
  <c r="AL17" i="12"/>
  <c r="AL16" i="12"/>
  <c r="AR68" i="10"/>
  <c r="AR67" i="10"/>
  <c r="AR66" i="10"/>
  <c r="AR65" i="10"/>
  <c r="AR64" i="10"/>
  <c r="AR63" i="10"/>
  <c r="AR62" i="10"/>
  <c r="AR61" i="10"/>
  <c r="AR60" i="10"/>
  <c r="AR59" i="10"/>
  <c r="AR58" i="10"/>
  <c r="AR57" i="10"/>
  <c r="AR56" i="10"/>
  <c r="AR55" i="10"/>
  <c r="AR54" i="10"/>
  <c r="AR53" i="10"/>
  <c r="AR52" i="10"/>
  <c r="AR51" i="10"/>
  <c r="AR50" i="10"/>
  <c r="AR49" i="10"/>
  <c r="AR48" i="10"/>
  <c r="AR47" i="10"/>
  <c r="AR46" i="10"/>
  <c r="AR45" i="10"/>
  <c r="AR43" i="10"/>
  <c r="AR42" i="10"/>
  <c r="AR41" i="10"/>
  <c r="AR40" i="10"/>
  <c r="AR39" i="10"/>
  <c r="AR38" i="10"/>
  <c r="AR37" i="10"/>
  <c r="AR36" i="10"/>
  <c r="AR35" i="10"/>
  <c r="AR34" i="10"/>
  <c r="AR33" i="10"/>
  <c r="AR32" i="10"/>
  <c r="AR31" i="10"/>
  <c r="AR30" i="10"/>
  <c r="AR29" i="10"/>
  <c r="AR28" i="10"/>
  <c r="AR27" i="10"/>
  <c r="AR26" i="10"/>
  <c r="AR25" i="10"/>
  <c r="AR24" i="10"/>
  <c r="AR23" i="10"/>
  <c r="AR22" i="10"/>
  <c r="AR21" i="10"/>
  <c r="AR20" i="10"/>
  <c r="AR19" i="10"/>
  <c r="AR18" i="10"/>
  <c r="AR17" i="10"/>
  <c r="AR16" i="10"/>
  <c r="AR15" i="10"/>
  <c r="AR14" i="10"/>
  <c r="AR13" i="10"/>
  <c r="AR12" i="10"/>
  <c r="AR11" i="10"/>
  <c r="AR10" i="10"/>
  <c r="AR9" i="10"/>
  <c r="AR8" i="10"/>
  <c r="AR7" i="10"/>
  <c r="AR6" i="10"/>
  <c r="AR5" i="10"/>
  <c r="AR4" i="10"/>
  <c r="AS166" i="10" l="1"/>
  <c r="AS165" i="10"/>
  <c r="AQ32" i="9"/>
  <c r="AQ29" i="9"/>
  <c r="AQ23" i="9"/>
  <c r="AQ22" i="9"/>
  <c r="AV3" i="9" l="1"/>
  <c r="AU3" i="9"/>
  <c r="AT3" i="9"/>
  <c r="AS160" i="10" l="1"/>
  <c r="AR160" i="10"/>
  <c r="AQ160" i="10"/>
  <c r="AS159" i="10"/>
  <c r="AR159" i="10"/>
  <c r="AQ159" i="10"/>
  <c r="AS163" i="10"/>
  <c r="AR163" i="10"/>
  <c r="AQ21" i="9"/>
  <c r="AQ5" i="9"/>
  <c r="AS154" i="10"/>
  <c r="AS153" i="10"/>
  <c r="AS44" i="10"/>
  <c r="AQ35" i="9"/>
  <c r="AN3" i="18" l="1"/>
  <c r="AM3" i="18"/>
  <c r="AL3" i="18"/>
  <c r="AK3" i="18"/>
  <c r="AS3" i="15"/>
  <c r="AR3" i="15"/>
  <c r="AQ3" i="15"/>
  <c r="AP3" i="15"/>
  <c r="AM68" i="10" l="1"/>
  <c r="AL68" i="10"/>
  <c r="AM67" i="10"/>
  <c r="AL67" i="10"/>
  <c r="AM66" i="10"/>
  <c r="AL66" i="10"/>
  <c r="AM65" i="10"/>
  <c r="AL65" i="10"/>
  <c r="AM64" i="10"/>
  <c r="AL64" i="10"/>
  <c r="AM63" i="10"/>
  <c r="AL63" i="10"/>
  <c r="AM62" i="10"/>
  <c r="AL62" i="10"/>
  <c r="AM61" i="10"/>
  <c r="AL61" i="10"/>
  <c r="AM60" i="10"/>
  <c r="AL60" i="10"/>
  <c r="AM59" i="10"/>
  <c r="AL59" i="10"/>
  <c r="AM58" i="10"/>
  <c r="AL58" i="10"/>
  <c r="AM57" i="10"/>
  <c r="AL57" i="10"/>
  <c r="AM56" i="10"/>
  <c r="AL56" i="10"/>
  <c r="AM55" i="10"/>
  <c r="AL55" i="10"/>
  <c r="AM54" i="10"/>
  <c r="AL54" i="10"/>
  <c r="AM53" i="10"/>
  <c r="AL53" i="10"/>
  <c r="AM52" i="10"/>
  <c r="AL52" i="10"/>
  <c r="AM51" i="10"/>
  <c r="AL51" i="10"/>
  <c r="AM50" i="10"/>
  <c r="AL50" i="10"/>
  <c r="AM49" i="10"/>
  <c r="AL49" i="10"/>
  <c r="AM48" i="10" l="1"/>
  <c r="AM47" i="10"/>
  <c r="AM46" i="10"/>
  <c r="AM45" i="10"/>
  <c r="AM43" i="10"/>
  <c r="AM42" i="10"/>
  <c r="AM41" i="10"/>
  <c r="AM40" i="10"/>
  <c r="AM39" i="10"/>
  <c r="AM38" i="10"/>
  <c r="AM37" i="10"/>
  <c r="AM36" i="10"/>
  <c r="AM35" i="10"/>
  <c r="AM34" i="10"/>
  <c r="AM33" i="10"/>
  <c r="AM32" i="10"/>
  <c r="AM31" i="10"/>
  <c r="AM30" i="10"/>
  <c r="AM29" i="10"/>
  <c r="AM28" i="10"/>
  <c r="AM27" i="10"/>
  <c r="AM26" i="10"/>
  <c r="AM25" i="10"/>
  <c r="AM24" i="10"/>
  <c r="AM23" i="10"/>
  <c r="AM22" i="10"/>
  <c r="AM21" i="10"/>
  <c r="AM20" i="10"/>
  <c r="AM19" i="10"/>
  <c r="AM18" i="10"/>
  <c r="AM17" i="10"/>
  <c r="AM16" i="10"/>
  <c r="AM15" i="10"/>
  <c r="AM14" i="10"/>
  <c r="AM13" i="10"/>
  <c r="AM12" i="10"/>
  <c r="AM11" i="10"/>
  <c r="AM10" i="10"/>
  <c r="AM9" i="10"/>
  <c r="AM8" i="10"/>
  <c r="AM7" i="10"/>
  <c r="AM6" i="10"/>
  <c r="AM5" i="10"/>
  <c r="AM4" i="10"/>
  <c r="AL48" i="10"/>
  <c r="AL47" i="10"/>
  <c r="AL46" i="10"/>
  <c r="AL45" i="10"/>
  <c r="AL43" i="10"/>
  <c r="AL42" i="10"/>
  <c r="AL41" i="10"/>
  <c r="AL40" i="10"/>
  <c r="AL39" i="10"/>
  <c r="AL38" i="10"/>
  <c r="AL37" i="10"/>
  <c r="AL36" i="10"/>
  <c r="AL35" i="10"/>
  <c r="AL34" i="10"/>
  <c r="AL33" i="10"/>
  <c r="AL32" i="10"/>
  <c r="AL31" i="10"/>
  <c r="AL30" i="10"/>
  <c r="AL29" i="10"/>
  <c r="AL28" i="10"/>
  <c r="AL27" i="10"/>
  <c r="AL26" i="10"/>
  <c r="AT118" i="2"/>
  <c r="AT28" i="2"/>
  <c r="AS28" i="2"/>
  <c r="AT26" i="2"/>
  <c r="AS26" i="2"/>
  <c r="AT9" i="2"/>
  <c r="AS9" i="2"/>
  <c r="AT23" i="2"/>
  <c r="AS23" i="2"/>
  <c r="AC346" i="18"/>
  <c r="AC345" i="18"/>
  <c r="AC344" i="18"/>
  <c r="AC343" i="18"/>
  <c r="AC342" i="18"/>
  <c r="AC341" i="18"/>
  <c r="AC340" i="18"/>
  <c r="AD314" i="18" l="1"/>
  <c r="AD313" i="18"/>
  <c r="AD312" i="18"/>
  <c r="AD311" i="18"/>
  <c r="AL25" i="10"/>
  <c r="AL24" i="10"/>
  <c r="AL23" i="10"/>
  <c r="AL22" i="10"/>
  <c r="AL21" i="10"/>
  <c r="AL20" i="10"/>
  <c r="AL19" i="10"/>
  <c r="AL18" i="10"/>
  <c r="AL17" i="10"/>
  <c r="AL16" i="10"/>
  <c r="AL15" i="10"/>
  <c r="AL14" i="10"/>
  <c r="AL13" i="10"/>
  <c r="AL12" i="10"/>
  <c r="AL11" i="10"/>
  <c r="AL10" i="10"/>
  <c r="AL9" i="10"/>
  <c r="AL8" i="10"/>
  <c r="AL7" i="10"/>
  <c r="AL6" i="10"/>
  <c r="AL5" i="10"/>
  <c r="AL4" i="10"/>
  <c r="AC315" i="18" l="1"/>
  <c r="AC313" i="18"/>
  <c r="AC312" i="18"/>
  <c r="AC311" i="18"/>
  <c r="AC314" i="18"/>
  <c r="AM3" i="24" l="1"/>
  <c r="AL3" i="24"/>
  <c r="AK3" i="24"/>
  <c r="AJ3" i="24"/>
  <c r="AI3" i="24"/>
  <c r="AH3" i="24"/>
  <c r="AG3" i="24"/>
  <c r="AF3" i="24"/>
  <c r="R361" i="24"/>
  <c r="Q361" i="24"/>
  <c r="P361" i="24"/>
  <c r="O361" i="24"/>
  <c r="R360" i="24"/>
  <c r="Q360" i="24"/>
  <c r="P360" i="24"/>
  <c r="O360" i="24"/>
  <c r="R359" i="24"/>
  <c r="Q359" i="24"/>
  <c r="P359" i="24"/>
  <c r="O359" i="24"/>
  <c r="R358" i="24"/>
  <c r="Q358" i="24"/>
  <c r="P358" i="24"/>
  <c r="O358" i="24"/>
  <c r="R357" i="24"/>
  <c r="Q357" i="24"/>
  <c r="P357" i="24"/>
  <c r="O357" i="24"/>
  <c r="R356" i="24"/>
  <c r="Q356" i="24"/>
  <c r="P356" i="24"/>
  <c r="O356" i="24"/>
  <c r="R355" i="24"/>
  <c r="Q355" i="24"/>
  <c r="P355" i="24"/>
  <c r="O355" i="24"/>
  <c r="R354" i="24"/>
  <c r="Q354" i="24"/>
  <c r="P354" i="24"/>
  <c r="O354" i="24"/>
  <c r="R353" i="24"/>
  <c r="Q353" i="24"/>
  <c r="P353" i="24"/>
  <c r="O353" i="24"/>
  <c r="R352" i="24"/>
  <c r="Q352" i="24"/>
  <c r="P352" i="24"/>
  <c r="O352" i="24"/>
  <c r="R351" i="24"/>
  <c r="Q351" i="24"/>
  <c r="P351" i="24"/>
  <c r="O351" i="24"/>
  <c r="R350" i="24"/>
  <c r="Q350" i="24"/>
  <c r="P350" i="24"/>
  <c r="O350" i="24"/>
  <c r="R349" i="24"/>
  <c r="Q349" i="24"/>
  <c r="P349" i="24"/>
  <c r="O349" i="24"/>
  <c r="R348" i="24"/>
  <c r="Q348" i="24"/>
  <c r="P348" i="24"/>
  <c r="O348" i="24"/>
  <c r="R347" i="24"/>
  <c r="Q347" i="24"/>
  <c r="P347" i="24"/>
  <c r="O347" i="24"/>
  <c r="R346" i="24"/>
  <c r="Q346" i="24"/>
  <c r="P346" i="24"/>
  <c r="O346" i="24"/>
  <c r="R345" i="24"/>
  <c r="Q345" i="24"/>
  <c r="P345" i="24"/>
  <c r="O345" i="24"/>
  <c r="R344" i="24"/>
  <c r="Q344" i="24"/>
  <c r="P344" i="24"/>
  <c r="O344" i="24"/>
  <c r="R343" i="24"/>
  <c r="Q343" i="24"/>
  <c r="P343" i="24"/>
  <c r="O343" i="24"/>
  <c r="R342" i="24"/>
  <c r="Q342" i="24"/>
  <c r="P342" i="24"/>
  <c r="O342" i="24"/>
  <c r="R341" i="24"/>
  <c r="Q341" i="24"/>
  <c r="P341" i="24"/>
  <c r="O341" i="24"/>
  <c r="R340" i="24"/>
  <c r="Q340" i="24"/>
  <c r="P340" i="24"/>
  <c r="O340" i="24"/>
  <c r="R339" i="24"/>
  <c r="Q339" i="24"/>
  <c r="P339" i="24"/>
  <c r="O339" i="24"/>
  <c r="R338" i="24"/>
  <c r="Q338" i="24"/>
  <c r="P338" i="24"/>
  <c r="O338" i="24"/>
  <c r="R337" i="24"/>
  <c r="Q337" i="24"/>
  <c r="P337" i="24"/>
  <c r="O337" i="24"/>
  <c r="R336" i="24"/>
  <c r="Q336" i="24"/>
  <c r="P336" i="24"/>
  <c r="O336" i="24"/>
  <c r="R335" i="24"/>
  <c r="Q335" i="24"/>
  <c r="P335" i="24"/>
  <c r="O335" i="24"/>
  <c r="R334" i="24"/>
  <c r="Q334" i="24"/>
  <c r="P334" i="24"/>
  <c r="O334" i="24"/>
  <c r="R333" i="24"/>
  <c r="Q333" i="24"/>
  <c r="P333" i="24"/>
  <c r="O333" i="24"/>
  <c r="R332" i="24"/>
  <c r="Q332" i="24"/>
  <c r="P332" i="24"/>
  <c r="O332" i="24"/>
  <c r="R331" i="24"/>
  <c r="Q331" i="24"/>
  <c r="P331" i="24"/>
  <c r="O331" i="24"/>
  <c r="R330" i="24"/>
  <c r="Q330" i="24"/>
  <c r="P330" i="24"/>
  <c r="O330" i="24"/>
  <c r="R329" i="24"/>
  <c r="Q329" i="24"/>
  <c r="P329" i="24"/>
  <c r="O329" i="24"/>
  <c r="R328" i="24"/>
  <c r="Q328" i="24"/>
  <c r="P328" i="24"/>
  <c r="O328" i="24"/>
  <c r="R327" i="24"/>
  <c r="Q327" i="24"/>
  <c r="P327" i="24"/>
  <c r="O327" i="24"/>
  <c r="R326" i="24"/>
  <c r="Q326" i="24"/>
  <c r="P326" i="24"/>
  <c r="O326" i="24"/>
  <c r="R325" i="24"/>
  <c r="Q325" i="24"/>
  <c r="P325" i="24"/>
  <c r="O325" i="24"/>
  <c r="R324" i="24"/>
  <c r="Q324" i="24"/>
  <c r="P324" i="24"/>
  <c r="O324" i="24"/>
  <c r="R323" i="24"/>
  <c r="Q323" i="24"/>
  <c r="P323" i="24"/>
  <c r="O323" i="24"/>
  <c r="R322" i="24"/>
  <c r="Q322" i="24"/>
  <c r="P322" i="24"/>
  <c r="O322" i="24"/>
  <c r="R321" i="24"/>
  <c r="Q321" i="24"/>
  <c r="P321" i="24"/>
  <c r="O321" i="24"/>
  <c r="R320" i="24"/>
  <c r="Q320" i="24"/>
  <c r="P320" i="24"/>
  <c r="O320" i="24"/>
  <c r="R319" i="24"/>
  <c r="Q319" i="24"/>
  <c r="P319" i="24"/>
  <c r="O319" i="24"/>
  <c r="R318" i="24"/>
  <c r="Q318" i="24"/>
  <c r="P318" i="24"/>
  <c r="O318" i="24"/>
  <c r="R317" i="24"/>
  <c r="Q317" i="24"/>
  <c r="P317" i="24"/>
  <c r="O317" i="24"/>
  <c r="R316" i="24"/>
  <c r="Q316" i="24"/>
  <c r="P316" i="24"/>
  <c r="O316" i="24"/>
  <c r="R315" i="24"/>
  <c r="Q315" i="24"/>
  <c r="P315" i="24"/>
  <c r="O315" i="24"/>
  <c r="R314" i="24"/>
  <c r="Q314" i="24"/>
  <c r="P314" i="24"/>
  <c r="O314" i="24"/>
  <c r="R313" i="24"/>
  <c r="Q313" i="24"/>
  <c r="P313" i="24"/>
  <c r="O313" i="24"/>
  <c r="R312" i="24"/>
  <c r="Q312" i="24"/>
  <c r="P312" i="24"/>
  <c r="O312" i="24"/>
  <c r="R311" i="24"/>
  <c r="Q311" i="24"/>
  <c r="P311" i="24"/>
  <c r="O311" i="24"/>
  <c r="R310" i="24"/>
  <c r="Q310" i="24"/>
  <c r="P310" i="24"/>
  <c r="O310" i="24"/>
  <c r="R309" i="24"/>
  <c r="Q309" i="24"/>
  <c r="P309" i="24"/>
  <c r="O309" i="24"/>
  <c r="R308" i="24"/>
  <c r="Q308" i="24"/>
  <c r="P308" i="24"/>
  <c r="O308" i="24"/>
  <c r="R307" i="24"/>
  <c r="Q307" i="24"/>
  <c r="P307" i="24"/>
  <c r="O307" i="24"/>
  <c r="R306" i="24"/>
  <c r="Q306" i="24"/>
  <c r="P306" i="24"/>
  <c r="O306" i="24"/>
  <c r="R305" i="24"/>
  <c r="Q305" i="24"/>
  <c r="P305" i="24"/>
  <c r="O305" i="24"/>
  <c r="R304" i="24"/>
  <c r="Q304" i="24"/>
  <c r="P304" i="24"/>
  <c r="O304" i="24"/>
  <c r="R303" i="24"/>
  <c r="Q303" i="24"/>
  <c r="P303" i="24"/>
  <c r="O303" i="24"/>
  <c r="R302" i="24"/>
  <c r="Q302" i="24"/>
  <c r="P302" i="24"/>
  <c r="O302" i="24"/>
  <c r="R301" i="24"/>
  <c r="Q301" i="24"/>
  <c r="P301" i="24"/>
  <c r="O301" i="24"/>
  <c r="R300" i="24"/>
  <c r="Q300" i="24"/>
  <c r="P300" i="24"/>
  <c r="O300" i="24"/>
  <c r="R299" i="24"/>
  <c r="Q299" i="24"/>
  <c r="P299" i="24"/>
  <c r="O299" i="24"/>
  <c r="R298" i="24"/>
  <c r="Q298" i="24"/>
  <c r="P298" i="24"/>
  <c r="O298" i="24"/>
  <c r="R297" i="24"/>
  <c r="Q297" i="24"/>
  <c r="P297" i="24"/>
  <c r="O297" i="24"/>
  <c r="R296" i="24"/>
  <c r="Q296" i="24"/>
  <c r="P296" i="24"/>
  <c r="O296" i="24"/>
  <c r="R295" i="24"/>
  <c r="Q295" i="24"/>
  <c r="P295" i="24"/>
  <c r="O295" i="24"/>
  <c r="R294" i="24"/>
  <c r="Q294" i="24"/>
  <c r="P294" i="24"/>
  <c r="O294" i="24"/>
  <c r="R293" i="24"/>
  <c r="Q293" i="24"/>
  <c r="P293" i="24"/>
  <c r="O293" i="24"/>
  <c r="R292" i="24"/>
  <c r="Q292" i="24"/>
  <c r="P292" i="24"/>
  <c r="O292" i="24"/>
  <c r="R291" i="24"/>
  <c r="Q291" i="24"/>
  <c r="P291" i="24"/>
  <c r="O291" i="24"/>
  <c r="R290" i="24"/>
  <c r="Q290" i="24"/>
  <c r="P290" i="24"/>
  <c r="O290" i="24"/>
  <c r="R289" i="24"/>
  <c r="Q289" i="24"/>
  <c r="P289" i="24"/>
  <c r="O289" i="24"/>
  <c r="R288" i="24"/>
  <c r="Q288" i="24"/>
  <c r="P288" i="24"/>
  <c r="O288" i="24"/>
  <c r="R287" i="24"/>
  <c r="Q287" i="24"/>
  <c r="P287" i="24"/>
  <c r="O287" i="24"/>
  <c r="R286" i="24"/>
  <c r="Q286" i="24"/>
  <c r="P286" i="24"/>
  <c r="O286" i="24"/>
  <c r="R285" i="24"/>
  <c r="Q285" i="24"/>
  <c r="P285" i="24"/>
  <c r="O285" i="24"/>
  <c r="R284" i="24"/>
  <c r="Q284" i="24"/>
  <c r="P284" i="24"/>
  <c r="O284" i="24"/>
  <c r="R283" i="24"/>
  <c r="Q283" i="24"/>
  <c r="P283" i="24"/>
  <c r="O283" i="24"/>
  <c r="R282" i="24"/>
  <c r="Q282" i="24"/>
  <c r="P282" i="24"/>
  <c r="O282" i="24"/>
  <c r="R281" i="24"/>
  <c r="Q281" i="24"/>
  <c r="P281" i="24"/>
  <c r="O281" i="24"/>
  <c r="R280" i="24"/>
  <c r="Q280" i="24"/>
  <c r="P280" i="24"/>
  <c r="O280" i="24"/>
  <c r="R279" i="24"/>
  <c r="Q279" i="24"/>
  <c r="P279" i="24"/>
  <c r="O279" i="24"/>
  <c r="R278" i="24"/>
  <c r="Q278" i="24"/>
  <c r="P278" i="24"/>
  <c r="O278" i="24"/>
  <c r="R277" i="24"/>
  <c r="Q277" i="24"/>
  <c r="P277" i="24"/>
  <c r="O277" i="24"/>
  <c r="R276" i="24"/>
  <c r="Q276" i="24"/>
  <c r="P276" i="24"/>
  <c r="O276" i="24"/>
  <c r="R275" i="24"/>
  <c r="Q275" i="24"/>
  <c r="P275" i="24"/>
  <c r="O275" i="24"/>
  <c r="R274" i="24"/>
  <c r="Q274" i="24"/>
  <c r="P274" i="24"/>
  <c r="O274" i="24"/>
  <c r="R273" i="24"/>
  <c r="Q273" i="24"/>
  <c r="P273" i="24"/>
  <c r="O273" i="24"/>
  <c r="R272" i="24"/>
  <c r="Q272" i="24"/>
  <c r="P272" i="24"/>
  <c r="O272" i="24"/>
  <c r="R271" i="24"/>
  <c r="Q271" i="24"/>
  <c r="P271" i="24"/>
  <c r="O271" i="24"/>
  <c r="R270" i="24"/>
  <c r="Q270" i="24"/>
  <c r="P270" i="24"/>
  <c r="O270" i="24"/>
  <c r="R269" i="24"/>
  <c r="Q269" i="24"/>
  <c r="P269" i="24"/>
  <c r="O269" i="24"/>
  <c r="R268" i="24"/>
  <c r="Q268" i="24"/>
  <c r="P268" i="24"/>
  <c r="O268" i="24"/>
  <c r="R267" i="24"/>
  <c r="Q267" i="24"/>
  <c r="P267" i="24"/>
  <c r="O267" i="24"/>
  <c r="R266" i="24"/>
  <c r="Q266" i="24"/>
  <c r="P266" i="24"/>
  <c r="O266" i="24"/>
  <c r="R265" i="24"/>
  <c r="Q265" i="24"/>
  <c r="P265" i="24"/>
  <c r="O265" i="24"/>
  <c r="R264" i="24"/>
  <c r="Q264" i="24"/>
  <c r="P264" i="24"/>
  <c r="O264" i="24"/>
  <c r="R263" i="24"/>
  <c r="Q263" i="24"/>
  <c r="P263" i="24"/>
  <c r="O263" i="24"/>
  <c r="R262" i="24"/>
  <c r="Q262" i="24"/>
  <c r="P262" i="24"/>
  <c r="O262" i="24"/>
  <c r="R261" i="24"/>
  <c r="Q261" i="24"/>
  <c r="P261" i="24"/>
  <c r="O261" i="24"/>
  <c r="R260" i="24"/>
  <c r="Q260" i="24"/>
  <c r="P260" i="24"/>
  <c r="O260" i="24"/>
  <c r="R259" i="24"/>
  <c r="Q259" i="24"/>
  <c r="P259" i="24"/>
  <c r="O259" i="24"/>
  <c r="R258" i="24"/>
  <c r="Q258" i="24"/>
  <c r="P258" i="24"/>
  <c r="O258" i="24"/>
  <c r="R257" i="24"/>
  <c r="Q257" i="24"/>
  <c r="P257" i="24"/>
  <c r="O257" i="24"/>
  <c r="R256" i="24"/>
  <c r="Q256" i="24"/>
  <c r="P256" i="24"/>
  <c r="O256" i="24"/>
  <c r="R255" i="24"/>
  <c r="Q255" i="24"/>
  <c r="P255" i="24"/>
  <c r="O255" i="24"/>
  <c r="R254" i="24"/>
  <c r="Q254" i="24"/>
  <c r="P254" i="24"/>
  <c r="O254" i="24"/>
  <c r="R253" i="24"/>
  <c r="Q253" i="24"/>
  <c r="P253" i="24"/>
  <c r="O253" i="24"/>
  <c r="R252" i="24"/>
  <c r="Q252" i="24"/>
  <c r="P252" i="24"/>
  <c r="O252" i="24"/>
  <c r="R251" i="24"/>
  <c r="Q251" i="24"/>
  <c r="P251" i="24"/>
  <c r="O251" i="24"/>
  <c r="R250" i="24"/>
  <c r="Q250" i="24"/>
  <c r="P250" i="24"/>
  <c r="O250" i="24"/>
  <c r="R249" i="24"/>
  <c r="Q249" i="24"/>
  <c r="P249" i="24"/>
  <c r="O249" i="24"/>
  <c r="R248" i="24"/>
  <c r="Q248" i="24"/>
  <c r="P248" i="24"/>
  <c r="O248" i="24"/>
  <c r="R247" i="24"/>
  <c r="Q247" i="24"/>
  <c r="P247" i="24"/>
  <c r="O247" i="24"/>
  <c r="R246" i="24"/>
  <c r="Q246" i="24"/>
  <c r="P246" i="24"/>
  <c r="O246" i="24"/>
  <c r="R245" i="24"/>
  <c r="Q245" i="24"/>
  <c r="P245" i="24"/>
  <c r="O245" i="24"/>
  <c r="R244" i="24"/>
  <c r="Q244" i="24"/>
  <c r="P244" i="24"/>
  <c r="O244" i="24"/>
  <c r="R243" i="24"/>
  <c r="Q243" i="24"/>
  <c r="P243" i="24"/>
  <c r="O243" i="24"/>
  <c r="R242" i="24"/>
  <c r="Q242" i="24"/>
  <c r="P242" i="24"/>
  <c r="O242" i="24"/>
  <c r="R241" i="24"/>
  <c r="Q241" i="24"/>
  <c r="P241" i="24"/>
  <c r="O241" i="24"/>
  <c r="R240" i="24"/>
  <c r="Q240" i="24"/>
  <c r="P240" i="24"/>
  <c r="O240" i="24"/>
  <c r="R239" i="24"/>
  <c r="Q239" i="24"/>
  <c r="P239" i="24"/>
  <c r="O239" i="24"/>
  <c r="R238" i="24"/>
  <c r="Q238" i="24"/>
  <c r="P238" i="24"/>
  <c r="O238" i="24"/>
  <c r="R237" i="24"/>
  <c r="Q237" i="24"/>
  <c r="P237" i="24"/>
  <c r="O237" i="24"/>
  <c r="R236" i="24"/>
  <c r="Q236" i="24"/>
  <c r="P236" i="24"/>
  <c r="O236" i="24"/>
  <c r="R235" i="24"/>
  <c r="Q235" i="24"/>
  <c r="P235" i="24"/>
  <c r="O235" i="24"/>
  <c r="R234" i="24"/>
  <c r="Q234" i="24"/>
  <c r="P234" i="24"/>
  <c r="O234" i="24"/>
  <c r="R233" i="24"/>
  <c r="Q233" i="24"/>
  <c r="P233" i="24"/>
  <c r="O233" i="24"/>
  <c r="R232" i="24"/>
  <c r="Q232" i="24"/>
  <c r="P232" i="24"/>
  <c r="O232" i="24"/>
  <c r="R231" i="24"/>
  <c r="Q231" i="24"/>
  <c r="P231" i="24"/>
  <c r="O231" i="24"/>
  <c r="R230" i="24"/>
  <c r="Q230" i="24"/>
  <c r="P230" i="24"/>
  <c r="O230" i="24"/>
  <c r="R229" i="24"/>
  <c r="Q229" i="24"/>
  <c r="P229" i="24"/>
  <c r="O229" i="24"/>
  <c r="R228" i="24"/>
  <c r="Q228" i="24"/>
  <c r="P228" i="24"/>
  <c r="O228" i="24"/>
  <c r="R227" i="24"/>
  <c r="Q227" i="24"/>
  <c r="P227" i="24"/>
  <c r="O227" i="24"/>
  <c r="R226" i="24"/>
  <c r="Q226" i="24"/>
  <c r="P226" i="24"/>
  <c r="O226" i="24"/>
  <c r="R225" i="24"/>
  <c r="Q225" i="24"/>
  <c r="P225" i="24"/>
  <c r="O225" i="24"/>
  <c r="R224" i="24"/>
  <c r="Q224" i="24"/>
  <c r="P224" i="24"/>
  <c r="O224" i="24"/>
  <c r="R223" i="24"/>
  <c r="Q223" i="24"/>
  <c r="P223" i="24"/>
  <c r="O223" i="24"/>
  <c r="R222" i="24"/>
  <c r="Q222" i="24"/>
  <c r="P222" i="24"/>
  <c r="O222" i="24"/>
  <c r="R221" i="24"/>
  <c r="Q221" i="24"/>
  <c r="P221" i="24"/>
  <c r="O221" i="24"/>
  <c r="R220" i="24"/>
  <c r="Q220" i="24"/>
  <c r="P220" i="24"/>
  <c r="O220" i="24"/>
  <c r="R219" i="24"/>
  <c r="Q219" i="24"/>
  <c r="P219" i="24"/>
  <c r="O219" i="24"/>
  <c r="R218" i="24"/>
  <c r="Q218" i="24"/>
  <c r="P218" i="24"/>
  <c r="O218" i="24"/>
  <c r="R217" i="24"/>
  <c r="Q217" i="24"/>
  <c r="P217" i="24"/>
  <c r="O217" i="24"/>
  <c r="R216" i="24"/>
  <c r="Q216" i="24"/>
  <c r="P216" i="24"/>
  <c r="O216" i="24"/>
  <c r="R215" i="24"/>
  <c r="Q215" i="24"/>
  <c r="P215" i="24"/>
  <c r="O215" i="24"/>
  <c r="R214" i="24"/>
  <c r="Q214" i="24"/>
  <c r="P214" i="24"/>
  <c r="O214" i="24"/>
  <c r="R213" i="24"/>
  <c r="Q213" i="24"/>
  <c r="P213" i="24"/>
  <c r="O213" i="24"/>
  <c r="R212" i="24"/>
  <c r="Q212" i="24"/>
  <c r="P212" i="24"/>
  <c r="O212" i="24"/>
  <c r="R211" i="24"/>
  <c r="Q211" i="24"/>
  <c r="P211" i="24"/>
  <c r="O211" i="24"/>
  <c r="R210" i="24"/>
  <c r="Q210" i="24"/>
  <c r="P210" i="24"/>
  <c r="O210" i="24"/>
  <c r="R209" i="24"/>
  <c r="Q209" i="24"/>
  <c r="P209" i="24"/>
  <c r="O209" i="24"/>
  <c r="R208" i="24"/>
  <c r="Q208" i="24"/>
  <c r="P208" i="24"/>
  <c r="O208" i="24"/>
  <c r="R207" i="24"/>
  <c r="Q207" i="24"/>
  <c r="P207" i="24"/>
  <c r="O207" i="24"/>
  <c r="R206" i="24"/>
  <c r="Q206" i="24"/>
  <c r="P206" i="24"/>
  <c r="O206" i="24"/>
  <c r="R205" i="24"/>
  <c r="Q205" i="24"/>
  <c r="P205" i="24"/>
  <c r="O205" i="24"/>
  <c r="R204" i="24"/>
  <c r="Q204" i="24"/>
  <c r="P204" i="24"/>
  <c r="O204" i="24"/>
  <c r="R203" i="24"/>
  <c r="Q203" i="24"/>
  <c r="P203" i="24"/>
  <c r="O203" i="24"/>
  <c r="R202" i="24"/>
  <c r="Q202" i="24"/>
  <c r="P202" i="24"/>
  <c r="O202" i="24"/>
  <c r="R201" i="24"/>
  <c r="Q201" i="24"/>
  <c r="P201" i="24"/>
  <c r="O201" i="24"/>
  <c r="R200" i="24"/>
  <c r="Q200" i="24"/>
  <c r="P200" i="24"/>
  <c r="O200" i="24"/>
  <c r="R199" i="24"/>
  <c r="Q199" i="24"/>
  <c r="P199" i="24"/>
  <c r="O199" i="24"/>
  <c r="R198" i="24"/>
  <c r="Q198" i="24"/>
  <c r="P198" i="24"/>
  <c r="O198" i="24"/>
  <c r="R197" i="24"/>
  <c r="Q197" i="24"/>
  <c r="P197" i="24"/>
  <c r="O197" i="24"/>
  <c r="R196" i="24"/>
  <c r="Q196" i="24"/>
  <c r="P196" i="24"/>
  <c r="O196" i="24"/>
  <c r="R195" i="24"/>
  <c r="Q195" i="24"/>
  <c r="P195" i="24"/>
  <c r="O195" i="24"/>
  <c r="R194" i="24"/>
  <c r="Q194" i="24"/>
  <c r="P194" i="24"/>
  <c r="O194" i="24"/>
  <c r="R193" i="24"/>
  <c r="Q193" i="24"/>
  <c r="P193" i="24"/>
  <c r="O193" i="24"/>
  <c r="R192" i="24"/>
  <c r="Q192" i="24"/>
  <c r="P192" i="24"/>
  <c r="O192" i="24"/>
  <c r="R191" i="24"/>
  <c r="Q191" i="24"/>
  <c r="P191" i="24"/>
  <c r="O191" i="24"/>
  <c r="R190" i="24"/>
  <c r="Q190" i="24"/>
  <c r="P190" i="24"/>
  <c r="O190" i="24"/>
  <c r="R189" i="24"/>
  <c r="Q189" i="24"/>
  <c r="P189" i="24"/>
  <c r="O189" i="24"/>
  <c r="R188" i="24"/>
  <c r="Q188" i="24"/>
  <c r="P188" i="24"/>
  <c r="O188" i="24"/>
  <c r="R187" i="24"/>
  <c r="Q187" i="24"/>
  <c r="P187" i="24"/>
  <c r="O187" i="24"/>
  <c r="R186" i="24"/>
  <c r="Q186" i="24"/>
  <c r="P186" i="24"/>
  <c r="O186" i="24"/>
  <c r="R185" i="24"/>
  <c r="Q185" i="24"/>
  <c r="P185" i="24"/>
  <c r="O185" i="24"/>
  <c r="R184" i="24"/>
  <c r="Q184" i="24"/>
  <c r="P184" i="24"/>
  <c r="O184" i="24"/>
  <c r="R183" i="24"/>
  <c r="Q183" i="24"/>
  <c r="P183" i="24"/>
  <c r="O183" i="24"/>
  <c r="R182" i="24"/>
  <c r="Q182" i="24"/>
  <c r="P182" i="24"/>
  <c r="O182" i="24"/>
  <c r="R181" i="24"/>
  <c r="Q181" i="24"/>
  <c r="P181" i="24"/>
  <c r="O181" i="24"/>
  <c r="R180" i="24"/>
  <c r="Q180" i="24"/>
  <c r="P180" i="24"/>
  <c r="O180" i="24"/>
  <c r="R179" i="24"/>
  <c r="Q179" i="24"/>
  <c r="P179" i="24"/>
  <c r="O179" i="24"/>
  <c r="R178" i="24"/>
  <c r="Q178" i="24"/>
  <c r="P178" i="24"/>
  <c r="O178" i="24"/>
  <c r="R177" i="24"/>
  <c r="Q177" i="24"/>
  <c r="P177" i="24"/>
  <c r="O177" i="24"/>
  <c r="R176" i="24"/>
  <c r="Q176" i="24"/>
  <c r="P176" i="24"/>
  <c r="O176" i="24"/>
  <c r="R175" i="24"/>
  <c r="Q175" i="24"/>
  <c r="P175" i="24"/>
  <c r="O175" i="24"/>
  <c r="R174" i="24"/>
  <c r="Q174" i="24"/>
  <c r="P174" i="24"/>
  <c r="O174" i="24"/>
  <c r="R173" i="24"/>
  <c r="Q173" i="24"/>
  <c r="P173" i="24"/>
  <c r="O173" i="24"/>
  <c r="R172" i="24"/>
  <c r="Q172" i="24"/>
  <c r="P172" i="24"/>
  <c r="O172" i="24"/>
  <c r="R171" i="24"/>
  <c r="Q171" i="24"/>
  <c r="P171" i="24"/>
  <c r="O171" i="24"/>
  <c r="R170" i="24"/>
  <c r="Q170" i="24"/>
  <c r="P170" i="24"/>
  <c r="O170" i="24"/>
  <c r="R169" i="24"/>
  <c r="Q169" i="24"/>
  <c r="P169" i="24"/>
  <c r="O169" i="24"/>
  <c r="R168" i="24"/>
  <c r="Q168" i="24"/>
  <c r="P168" i="24"/>
  <c r="O168" i="24"/>
  <c r="R167" i="24"/>
  <c r="Q167" i="24"/>
  <c r="P167" i="24"/>
  <c r="O167" i="24"/>
  <c r="R166" i="24"/>
  <c r="Q166" i="24"/>
  <c r="P166" i="24"/>
  <c r="O166" i="24"/>
  <c r="R165" i="24"/>
  <c r="Q165" i="24"/>
  <c r="P165" i="24"/>
  <c r="O165" i="24"/>
  <c r="R164" i="24"/>
  <c r="Q164" i="24"/>
  <c r="P164" i="24"/>
  <c r="O164" i="24"/>
  <c r="R163" i="24"/>
  <c r="Q163" i="24"/>
  <c r="P163" i="24"/>
  <c r="O163" i="24"/>
  <c r="R162" i="24"/>
  <c r="Q162" i="24"/>
  <c r="P162" i="24"/>
  <c r="O162" i="24"/>
  <c r="R161" i="24"/>
  <c r="Q161" i="24"/>
  <c r="P161" i="24"/>
  <c r="O161" i="24"/>
  <c r="R160" i="24"/>
  <c r="Q160" i="24"/>
  <c r="P160" i="24"/>
  <c r="O160" i="24"/>
  <c r="R159" i="24"/>
  <c r="Q159" i="24"/>
  <c r="P159" i="24"/>
  <c r="O159" i="24"/>
  <c r="R158" i="24"/>
  <c r="Q158" i="24"/>
  <c r="P158" i="24"/>
  <c r="O158" i="24"/>
  <c r="R157" i="24"/>
  <c r="Q157" i="24"/>
  <c r="P157" i="24"/>
  <c r="O157" i="24"/>
  <c r="R156" i="24"/>
  <c r="Q156" i="24"/>
  <c r="P156" i="24"/>
  <c r="O156" i="24"/>
  <c r="R155" i="24"/>
  <c r="Q155" i="24"/>
  <c r="P155" i="24"/>
  <c r="O155" i="24"/>
  <c r="R154" i="24"/>
  <c r="Q154" i="24"/>
  <c r="P154" i="24"/>
  <c r="O154" i="24"/>
  <c r="R153" i="24"/>
  <c r="Q153" i="24"/>
  <c r="P153" i="24"/>
  <c r="O153" i="24"/>
  <c r="R152" i="24"/>
  <c r="Q152" i="24"/>
  <c r="P152" i="24"/>
  <c r="O152" i="24"/>
  <c r="R151" i="24"/>
  <c r="Q151" i="24"/>
  <c r="P151" i="24"/>
  <c r="O151" i="24"/>
  <c r="R150" i="24"/>
  <c r="Q150" i="24"/>
  <c r="P150" i="24"/>
  <c r="O150" i="24"/>
  <c r="R149" i="24"/>
  <c r="Q149" i="24"/>
  <c r="P149" i="24"/>
  <c r="O149" i="24"/>
  <c r="R148" i="24"/>
  <c r="Q148" i="24"/>
  <c r="P148" i="24"/>
  <c r="O148" i="24"/>
  <c r="R147" i="24"/>
  <c r="Q147" i="24"/>
  <c r="P147" i="24"/>
  <c r="O147" i="24"/>
  <c r="R146" i="24"/>
  <c r="Q146" i="24"/>
  <c r="P146" i="24"/>
  <c r="O146" i="24"/>
  <c r="R145" i="24"/>
  <c r="Q145" i="24"/>
  <c r="P145" i="24"/>
  <c r="O145" i="24"/>
  <c r="R144" i="24"/>
  <c r="Q144" i="24"/>
  <c r="P144" i="24"/>
  <c r="O144" i="24"/>
  <c r="R143" i="24"/>
  <c r="Q143" i="24"/>
  <c r="P143" i="24"/>
  <c r="O143" i="24"/>
  <c r="R142" i="24"/>
  <c r="Q142" i="24"/>
  <c r="P142" i="24"/>
  <c r="O142" i="24"/>
  <c r="R141" i="24"/>
  <c r="Q141" i="24"/>
  <c r="P141" i="24"/>
  <c r="O141" i="24"/>
  <c r="R140" i="24"/>
  <c r="Q140" i="24"/>
  <c r="P140" i="24"/>
  <c r="O140" i="24"/>
  <c r="R139" i="24"/>
  <c r="Q139" i="24"/>
  <c r="P139" i="24"/>
  <c r="O139" i="24"/>
  <c r="R138" i="24"/>
  <c r="Q138" i="24"/>
  <c r="P138" i="24"/>
  <c r="O138" i="24"/>
  <c r="R137" i="24"/>
  <c r="Q137" i="24"/>
  <c r="P137" i="24"/>
  <c r="O137" i="24"/>
  <c r="R136" i="24"/>
  <c r="Q136" i="24"/>
  <c r="P136" i="24"/>
  <c r="O136" i="24"/>
  <c r="R135" i="24"/>
  <c r="Q135" i="24"/>
  <c r="P135" i="24"/>
  <c r="O135" i="24"/>
  <c r="R134" i="24"/>
  <c r="Q134" i="24"/>
  <c r="P134" i="24"/>
  <c r="O134" i="24"/>
  <c r="R133" i="24"/>
  <c r="Q133" i="24"/>
  <c r="P133" i="24"/>
  <c r="O133" i="24"/>
  <c r="R132" i="24"/>
  <c r="Q132" i="24"/>
  <c r="P132" i="24"/>
  <c r="O132" i="24"/>
  <c r="R131" i="24"/>
  <c r="Q131" i="24"/>
  <c r="P131" i="24"/>
  <c r="O131" i="24"/>
  <c r="R130" i="24"/>
  <c r="Q130" i="24"/>
  <c r="P130" i="24"/>
  <c r="O130" i="24"/>
  <c r="R129" i="24"/>
  <c r="Q129" i="24"/>
  <c r="P129" i="24"/>
  <c r="O129" i="24"/>
  <c r="R128" i="24"/>
  <c r="Q128" i="24"/>
  <c r="P128" i="24"/>
  <c r="O128" i="24"/>
  <c r="R127" i="24"/>
  <c r="Q127" i="24"/>
  <c r="P127" i="24"/>
  <c r="O127" i="24"/>
  <c r="R126" i="24"/>
  <c r="Q126" i="24"/>
  <c r="P126" i="24"/>
  <c r="O126" i="24"/>
  <c r="R125" i="24"/>
  <c r="Q125" i="24"/>
  <c r="P125" i="24"/>
  <c r="O125" i="24"/>
  <c r="R124" i="24"/>
  <c r="Q124" i="24"/>
  <c r="P124" i="24"/>
  <c r="O124" i="24"/>
  <c r="R123" i="24"/>
  <c r="Q123" i="24"/>
  <c r="P123" i="24"/>
  <c r="O123" i="24"/>
  <c r="R122" i="24"/>
  <c r="Q122" i="24"/>
  <c r="P122" i="24"/>
  <c r="O122" i="24"/>
  <c r="R121" i="24"/>
  <c r="Q121" i="24"/>
  <c r="P121" i="24"/>
  <c r="O121" i="24"/>
  <c r="R120" i="24"/>
  <c r="Q120" i="24"/>
  <c r="P120" i="24"/>
  <c r="O120" i="24"/>
  <c r="R119" i="24"/>
  <c r="Q119" i="24"/>
  <c r="P119" i="24"/>
  <c r="O119" i="24"/>
  <c r="R118" i="24"/>
  <c r="Q118" i="24"/>
  <c r="P118" i="24"/>
  <c r="O118" i="24"/>
  <c r="R117" i="24"/>
  <c r="Q117" i="24"/>
  <c r="P117" i="24"/>
  <c r="O117" i="24"/>
  <c r="R116" i="24"/>
  <c r="Q116" i="24"/>
  <c r="P116" i="24"/>
  <c r="O116" i="24"/>
  <c r="R115" i="24"/>
  <c r="Q115" i="24"/>
  <c r="P115" i="24"/>
  <c r="O115" i="24"/>
  <c r="R114" i="24"/>
  <c r="Q114" i="24"/>
  <c r="P114" i="24"/>
  <c r="O114" i="24"/>
  <c r="R113" i="24"/>
  <c r="Q113" i="24"/>
  <c r="P113" i="24"/>
  <c r="O113" i="24"/>
  <c r="R112" i="24"/>
  <c r="Q112" i="24"/>
  <c r="P112" i="24"/>
  <c r="O112" i="24"/>
  <c r="R111" i="24"/>
  <c r="Q111" i="24"/>
  <c r="P111" i="24"/>
  <c r="O111" i="24"/>
  <c r="R110" i="24"/>
  <c r="Q110" i="24"/>
  <c r="P110" i="24"/>
  <c r="O110" i="24"/>
  <c r="R109" i="24"/>
  <c r="Q109" i="24"/>
  <c r="P109" i="24"/>
  <c r="O109" i="24"/>
  <c r="R108" i="24"/>
  <c r="Q108" i="24"/>
  <c r="P108" i="24"/>
  <c r="O108" i="24"/>
  <c r="R107" i="24"/>
  <c r="Q107" i="24"/>
  <c r="P107" i="24"/>
  <c r="O107" i="24"/>
  <c r="R106" i="24"/>
  <c r="Q106" i="24"/>
  <c r="P106" i="24"/>
  <c r="O106" i="24"/>
  <c r="R105" i="24"/>
  <c r="Q105" i="24"/>
  <c r="P105" i="24"/>
  <c r="O105" i="24"/>
  <c r="R104" i="24"/>
  <c r="Q104" i="24"/>
  <c r="P104" i="24"/>
  <c r="O104" i="24"/>
  <c r="R103" i="24"/>
  <c r="Q103" i="24"/>
  <c r="P103" i="24"/>
  <c r="O103" i="24"/>
  <c r="R102" i="24"/>
  <c r="Q102" i="24"/>
  <c r="P102" i="24"/>
  <c r="O102" i="24"/>
  <c r="R101" i="24"/>
  <c r="Q101" i="24"/>
  <c r="P101" i="24"/>
  <c r="O101" i="24"/>
  <c r="R100" i="24"/>
  <c r="Q100" i="24"/>
  <c r="P100" i="24"/>
  <c r="O100" i="24"/>
  <c r="R99" i="24"/>
  <c r="Q99" i="24"/>
  <c r="P99" i="24"/>
  <c r="O99" i="24"/>
  <c r="R98" i="24"/>
  <c r="Q98" i="24"/>
  <c r="P98" i="24"/>
  <c r="O98" i="24"/>
  <c r="R97" i="24"/>
  <c r="Q97" i="24"/>
  <c r="P97" i="24"/>
  <c r="O97" i="24"/>
  <c r="R96" i="24"/>
  <c r="Q96" i="24"/>
  <c r="P96" i="24"/>
  <c r="O96" i="24"/>
  <c r="R95" i="24"/>
  <c r="Q95" i="24"/>
  <c r="P95" i="24"/>
  <c r="O95" i="24"/>
  <c r="R94" i="24"/>
  <c r="Q94" i="24"/>
  <c r="P94" i="24"/>
  <c r="O94" i="24"/>
  <c r="R93" i="24"/>
  <c r="Q93" i="24"/>
  <c r="P93" i="24"/>
  <c r="O93" i="24"/>
  <c r="R92" i="24"/>
  <c r="Q92" i="24"/>
  <c r="P92" i="24"/>
  <c r="O92" i="24"/>
  <c r="R91" i="24"/>
  <c r="Q91" i="24"/>
  <c r="P91" i="24"/>
  <c r="O91" i="24"/>
  <c r="R90" i="24"/>
  <c r="Q90" i="24"/>
  <c r="P90" i="24"/>
  <c r="O90" i="24"/>
  <c r="R89" i="24"/>
  <c r="Q89" i="24"/>
  <c r="P89" i="24"/>
  <c r="O89" i="24"/>
  <c r="R88" i="24"/>
  <c r="Q88" i="24"/>
  <c r="P88" i="24"/>
  <c r="O88" i="24"/>
  <c r="R87" i="24"/>
  <c r="Q87" i="24"/>
  <c r="P87" i="24"/>
  <c r="O87" i="24"/>
  <c r="R86" i="24"/>
  <c r="Q86" i="24"/>
  <c r="P86" i="24"/>
  <c r="O86" i="24"/>
  <c r="R85" i="24"/>
  <c r="Q85" i="24"/>
  <c r="P85" i="24"/>
  <c r="O85" i="24"/>
  <c r="R84" i="24"/>
  <c r="Q84" i="24"/>
  <c r="P84" i="24"/>
  <c r="O84" i="24"/>
  <c r="R83" i="24"/>
  <c r="Q83" i="24"/>
  <c r="P83" i="24"/>
  <c r="O83" i="24"/>
  <c r="R82" i="24"/>
  <c r="Q82" i="24"/>
  <c r="P82" i="24"/>
  <c r="O82" i="24"/>
  <c r="R81" i="24"/>
  <c r="Q81" i="24"/>
  <c r="P81" i="24"/>
  <c r="O81" i="24"/>
  <c r="R80" i="24"/>
  <c r="Q80" i="24"/>
  <c r="P80" i="24"/>
  <c r="O80" i="24"/>
  <c r="R79" i="24"/>
  <c r="Q79" i="24"/>
  <c r="P79" i="24"/>
  <c r="O79" i="24"/>
  <c r="R78" i="24"/>
  <c r="Q78" i="24"/>
  <c r="P78" i="24"/>
  <c r="O78" i="24"/>
  <c r="R77" i="24"/>
  <c r="Q77" i="24"/>
  <c r="P77" i="24"/>
  <c r="O77" i="24"/>
  <c r="R76" i="24"/>
  <c r="Q76" i="24"/>
  <c r="P76" i="24"/>
  <c r="O76" i="24"/>
  <c r="R75" i="24"/>
  <c r="Q75" i="24"/>
  <c r="P75" i="24"/>
  <c r="O75" i="24"/>
  <c r="R74" i="24"/>
  <c r="Q74" i="24"/>
  <c r="P74" i="24"/>
  <c r="O74" i="24"/>
  <c r="R73" i="24"/>
  <c r="Q73" i="24"/>
  <c r="P73" i="24"/>
  <c r="O73" i="24"/>
  <c r="R72" i="24"/>
  <c r="Q72" i="24"/>
  <c r="P72" i="24"/>
  <c r="O72" i="24"/>
  <c r="R71" i="24"/>
  <c r="Q71" i="24"/>
  <c r="P71" i="24"/>
  <c r="O71" i="24"/>
  <c r="R70" i="24"/>
  <c r="Q70" i="24"/>
  <c r="P70" i="24"/>
  <c r="O70" i="24"/>
  <c r="R69" i="24"/>
  <c r="Q69" i="24"/>
  <c r="P69" i="24"/>
  <c r="O69" i="24"/>
  <c r="R68" i="24"/>
  <c r="Q68" i="24"/>
  <c r="P68" i="24"/>
  <c r="O68" i="24"/>
  <c r="R67" i="24"/>
  <c r="Q67" i="24"/>
  <c r="P67" i="24"/>
  <c r="O67" i="24"/>
  <c r="R66" i="24"/>
  <c r="Q66" i="24"/>
  <c r="P66" i="24"/>
  <c r="O66" i="24"/>
  <c r="R65" i="24"/>
  <c r="Q65" i="24"/>
  <c r="P65" i="24"/>
  <c r="O65" i="24"/>
  <c r="R64" i="24"/>
  <c r="Q64" i="24"/>
  <c r="P64" i="24"/>
  <c r="O64" i="24"/>
  <c r="R63" i="24"/>
  <c r="Q63" i="24"/>
  <c r="P63" i="24"/>
  <c r="O63" i="24"/>
  <c r="R62" i="24"/>
  <c r="Q62" i="24"/>
  <c r="P62" i="24"/>
  <c r="O62" i="24"/>
  <c r="R61" i="24"/>
  <c r="Q61" i="24"/>
  <c r="P61" i="24"/>
  <c r="O61" i="24"/>
  <c r="R60" i="24"/>
  <c r="Q60" i="24"/>
  <c r="P60" i="24"/>
  <c r="O60" i="24"/>
  <c r="R59" i="24"/>
  <c r="Q59" i="24"/>
  <c r="P59" i="24"/>
  <c r="O59" i="24"/>
  <c r="R58" i="24"/>
  <c r="Q58" i="24"/>
  <c r="P58" i="24"/>
  <c r="O58" i="24"/>
  <c r="R57" i="24"/>
  <c r="Q57" i="24"/>
  <c r="P57" i="24"/>
  <c r="O57" i="24"/>
  <c r="R56" i="24"/>
  <c r="Q56" i="24"/>
  <c r="P56" i="24"/>
  <c r="O56" i="24"/>
  <c r="R55" i="24"/>
  <c r="Q55" i="24"/>
  <c r="P55" i="24"/>
  <c r="O55" i="24"/>
  <c r="R54" i="24"/>
  <c r="Q54" i="24"/>
  <c r="P54" i="24"/>
  <c r="O54" i="24"/>
  <c r="R53" i="24"/>
  <c r="Q53" i="24"/>
  <c r="P53" i="24"/>
  <c r="O53" i="24"/>
  <c r="R52" i="24"/>
  <c r="Q52" i="24"/>
  <c r="P52" i="24"/>
  <c r="O52" i="24"/>
  <c r="R51" i="24"/>
  <c r="Q51" i="24"/>
  <c r="P51" i="24"/>
  <c r="O51" i="24"/>
  <c r="R50" i="24"/>
  <c r="Q50" i="24"/>
  <c r="P50" i="24"/>
  <c r="O50" i="24"/>
  <c r="R49" i="24"/>
  <c r="Q49" i="24"/>
  <c r="P49" i="24"/>
  <c r="O49" i="24"/>
  <c r="R48" i="24"/>
  <c r="Q48" i="24"/>
  <c r="P48" i="24"/>
  <c r="O48" i="24"/>
  <c r="R47" i="24"/>
  <c r="Q47" i="24"/>
  <c r="P47" i="24"/>
  <c r="O47" i="24"/>
  <c r="R46" i="24"/>
  <c r="Q46" i="24"/>
  <c r="P46" i="24"/>
  <c r="O46" i="24"/>
  <c r="R45" i="24"/>
  <c r="Q45" i="24"/>
  <c r="P45" i="24"/>
  <c r="O45" i="24"/>
  <c r="R44" i="24"/>
  <c r="Q44" i="24"/>
  <c r="P44" i="24"/>
  <c r="O44" i="24"/>
  <c r="R43" i="24"/>
  <c r="Q43" i="24"/>
  <c r="P43" i="24"/>
  <c r="O43" i="24"/>
  <c r="R42" i="24"/>
  <c r="Q42" i="24"/>
  <c r="P42" i="24"/>
  <c r="O42" i="24"/>
  <c r="R41" i="24"/>
  <c r="Q41" i="24"/>
  <c r="P41" i="24"/>
  <c r="O41" i="24"/>
  <c r="R40" i="24"/>
  <c r="Q40" i="24"/>
  <c r="P40" i="24"/>
  <c r="O40" i="24"/>
  <c r="R39" i="24"/>
  <c r="Q39" i="24"/>
  <c r="P39" i="24"/>
  <c r="O39" i="24"/>
  <c r="R38" i="24"/>
  <c r="Q38" i="24"/>
  <c r="P38" i="24"/>
  <c r="O38" i="24"/>
  <c r="R37" i="24"/>
  <c r="Q37" i="24"/>
  <c r="P37" i="24"/>
  <c r="O37" i="24"/>
  <c r="R36" i="24"/>
  <c r="Q36" i="24"/>
  <c r="P36" i="24"/>
  <c r="O36" i="24"/>
  <c r="R35" i="24"/>
  <c r="Q35" i="24"/>
  <c r="P35" i="24"/>
  <c r="O35" i="24"/>
  <c r="R34" i="24"/>
  <c r="Q34" i="24"/>
  <c r="P34" i="24"/>
  <c r="O34" i="24"/>
  <c r="R33" i="24"/>
  <c r="Q33" i="24"/>
  <c r="P33" i="24"/>
  <c r="O33" i="24"/>
  <c r="R32" i="24"/>
  <c r="Q32" i="24"/>
  <c r="P32" i="24"/>
  <c r="O32" i="24"/>
  <c r="R31" i="24"/>
  <c r="Q31" i="24"/>
  <c r="P31" i="24"/>
  <c r="O31" i="24"/>
  <c r="R30" i="24"/>
  <c r="Q30" i="24"/>
  <c r="P30" i="24"/>
  <c r="O30" i="24"/>
  <c r="R29" i="24"/>
  <c r="Q29" i="24"/>
  <c r="P29" i="24"/>
  <c r="O29" i="24"/>
  <c r="R28" i="24"/>
  <c r="Q28" i="24"/>
  <c r="P28" i="24"/>
  <c r="O28" i="24"/>
  <c r="R27" i="24"/>
  <c r="Q27" i="24"/>
  <c r="P27" i="24"/>
  <c r="O27" i="24"/>
  <c r="R26" i="24"/>
  <c r="Q26" i="24"/>
  <c r="P26" i="24"/>
  <c r="O26" i="24"/>
  <c r="R25" i="24"/>
  <c r="Q25" i="24"/>
  <c r="P25" i="24"/>
  <c r="O25" i="24"/>
  <c r="R24" i="24"/>
  <c r="Q24" i="24"/>
  <c r="P24" i="24"/>
  <c r="O24" i="24"/>
  <c r="R23" i="24"/>
  <c r="Q23" i="24"/>
  <c r="P23" i="24"/>
  <c r="O23" i="24"/>
  <c r="R22" i="24"/>
  <c r="Q22" i="24"/>
  <c r="P22" i="24"/>
  <c r="O22" i="24"/>
  <c r="R21" i="24"/>
  <c r="Q21" i="24"/>
  <c r="P21" i="24"/>
  <c r="O21" i="24"/>
  <c r="R20" i="24"/>
  <c r="Q20" i="24"/>
  <c r="P20" i="24"/>
  <c r="O20" i="24"/>
  <c r="R19" i="24"/>
  <c r="Q19" i="24"/>
  <c r="P19" i="24"/>
  <c r="O19" i="24"/>
  <c r="R18" i="24"/>
  <c r="Q18" i="24"/>
  <c r="P18" i="24"/>
  <c r="O18" i="24"/>
  <c r="R17" i="24"/>
  <c r="Q17" i="24"/>
  <c r="P17" i="24"/>
  <c r="O17" i="24"/>
  <c r="R16" i="24"/>
  <c r="Q16" i="24"/>
  <c r="P16" i="24"/>
  <c r="O16" i="24"/>
  <c r="R15" i="24"/>
  <c r="Q15" i="24"/>
  <c r="P15" i="24"/>
  <c r="O15" i="24"/>
  <c r="R14" i="24"/>
  <c r="Q14" i="24"/>
  <c r="P14" i="24"/>
  <c r="O14" i="24"/>
  <c r="R13" i="24"/>
  <c r="Q13" i="24"/>
  <c r="P13" i="24"/>
  <c r="O13" i="24"/>
  <c r="R12" i="24"/>
  <c r="Q12" i="24"/>
  <c r="P12" i="24"/>
  <c r="O12" i="24"/>
  <c r="R11" i="24"/>
  <c r="Q11" i="24"/>
  <c r="P11" i="24"/>
  <c r="O11" i="24"/>
  <c r="R10" i="24"/>
  <c r="Q10" i="24"/>
  <c r="P10" i="24"/>
  <c r="O10" i="24"/>
  <c r="R9" i="24"/>
  <c r="Q9" i="24"/>
  <c r="P9" i="24"/>
  <c r="O9" i="24"/>
  <c r="R8" i="24"/>
  <c r="Q8" i="24"/>
  <c r="P8" i="24"/>
  <c r="O8" i="24"/>
  <c r="R7" i="24"/>
  <c r="Q7" i="24"/>
  <c r="P7" i="24"/>
  <c r="O7" i="24"/>
  <c r="R6" i="24"/>
  <c r="Q6" i="24"/>
  <c r="P6" i="24"/>
  <c r="O6" i="24"/>
  <c r="R5" i="24"/>
  <c r="Q5" i="24"/>
  <c r="P5" i="24"/>
  <c r="O5" i="24"/>
  <c r="R4" i="24"/>
  <c r="Q4" i="24"/>
  <c r="P4" i="24"/>
  <c r="O4" i="24"/>
  <c r="U2" i="24" l="1"/>
  <c r="S2" i="24"/>
  <c r="L2" i="24"/>
  <c r="AT158" i="2" l="1"/>
  <c r="AS158" i="2"/>
  <c r="AT156" i="2"/>
  <c r="AS156" i="2"/>
  <c r="AT154" i="2"/>
  <c r="AS154" i="2"/>
  <c r="AT152" i="2"/>
  <c r="AS152" i="2"/>
  <c r="AT27" i="2"/>
  <c r="AS27" i="2"/>
  <c r="AT25" i="2"/>
  <c r="AS25" i="2"/>
  <c r="AT22" i="2"/>
  <c r="AT8" i="2"/>
  <c r="AS8" i="2"/>
  <c r="AS22" i="2"/>
  <c r="AK3" i="12" l="1"/>
  <c r="AN3" i="12"/>
  <c r="AM3" i="12"/>
  <c r="K8" i="15" l="1"/>
  <c r="K7" i="15"/>
  <c r="AD26" i="15"/>
  <c r="AD35" i="15"/>
  <c r="AD34" i="15"/>
  <c r="AD33" i="15"/>
  <c r="AD31" i="15"/>
  <c r="AD30" i="15"/>
  <c r="AD29" i="15"/>
  <c r="AD27" i="15"/>
  <c r="AD25" i="15"/>
  <c r="AD23" i="15"/>
  <c r="AD22" i="15"/>
  <c r="AD21" i="15"/>
  <c r="AD19" i="15"/>
  <c r="AD18" i="15"/>
  <c r="AD17" i="15"/>
  <c r="AD12" i="15"/>
  <c r="AD11" i="15"/>
  <c r="AD10" i="15"/>
  <c r="AD7" i="15"/>
  <c r="K6" i="15"/>
  <c r="K5" i="15"/>
  <c r="K4" i="15"/>
  <c r="K13" i="15"/>
  <c r="K20" i="15"/>
  <c r="AD20" i="15" s="1"/>
  <c r="R13" i="15" l="1"/>
  <c r="AN13" i="15"/>
  <c r="AO4" i="15"/>
  <c r="AN4" i="15"/>
  <c r="R20" i="15"/>
  <c r="AN20" i="15"/>
  <c r="AO6" i="15"/>
  <c r="AN6" i="15"/>
  <c r="AD4" i="15"/>
  <c r="AD6" i="15"/>
  <c r="AI4" i="15"/>
  <c r="AO5" i="15"/>
  <c r="AN5" i="15"/>
  <c r="AD5" i="15"/>
  <c r="AO7" i="15"/>
  <c r="AN7" i="15"/>
  <c r="AD8" i="15"/>
  <c r="AO8" i="15"/>
  <c r="AN8" i="15"/>
  <c r="K32" i="15"/>
  <c r="K28" i="15"/>
  <c r="K24" i="15"/>
  <c r="K16" i="15"/>
  <c r="K9" i="15"/>
  <c r="AN24" i="15" l="1"/>
  <c r="AD24" i="15"/>
  <c r="R24" i="15"/>
  <c r="AN32" i="15"/>
  <c r="R32" i="15"/>
  <c r="AD32" i="15"/>
  <c r="AN16" i="15"/>
  <c r="R16" i="15"/>
  <c r="AD16" i="15"/>
  <c r="AN9" i="15"/>
  <c r="R9" i="15"/>
  <c r="AD9" i="15"/>
  <c r="AN28" i="15"/>
  <c r="AD28" i="15"/>
  <c r="R28" i="15"/>
  <c r="R2" i="15" s="1"/>
  <c r="Q56" i="22"/>
  <c r="P56" i="22"/>
  <c r="O56" i="22"/>
  <c r="N56" i="22"/>
  <c r="Q55" i="22"/>
  <c r="P55" i="22"/>
  <c r="O55" i="22"/>
  <c r="N55" i="22"/>
  <c r="Q54" i="22"/>
  <c r="P54" i="22"/>
  <c r="O54" i="22"/>
  <c r="N54" i="22"/>
  <c r="Q53" i="22"/>
  <c r="P53" i="22"/>
  <c r="O53" i="22"/>
  <c r="N53" i="22"/>
  <c r="Q52" i="22"/>
  <c r="P52" i="22"/>
  <c r="O52" i="22"/>
  <c r="N52" i="22"/>
  <c r="Q51" i="22"/>
  <c r="P51" i="22"/>
  <c r="O51" i="22"/>
  <c r="N51" i="22"/>
  <c r="Q50" i="22"/>
  <c r="P50" i="22"/>
  <c r="O50" i="22"/>
  <c r="N50" i="22"/>
  <c r="Q49" i="22"/>
  <c r="P49" i="22"/>
  <c r="O49" i="22"/>
  <c r="N49" i="22"/>
  <c r="Q48" i="22"/>
  <c r="P48" i="22"/>
  <c r="O48" i="22"/>
  <c r="N48" i="22"/>
  <c r="Q47" i="22"/>
  <c r="P47" i="22"/>
  <c r="O47" i="22"/>
  <c r="N47" i="22"/>
  <c r="Q46" i="22"/>
  <c r="P46" i="22"/>
  <c r="O46" i="22"/>
  <c r="N46" i="22"/>
  <c r="Q45" i="22"/>
  <c r="P45" i="22"/>
  <c r="O45" i="22"/>
  <c r="N45" i="22"/>
  <c r="Q44" i="22"/>
  <c r="P44" i="22"/>
  <c r="O44" i="22"/>
  <c r="N44" i="22"/>
  <c r="Q43" i="22"/>
  <c r="P43" i="22"/>
  <c r="O43" i="22"/>
  <c r="N43" i="22"/>
  <c r="Q42" i="22"/>
  <c r="P42" i="22"/>
  <c r="O42" i="22"/>
  <c r="N42" i="22"/>
  <c r="Q41" i="22"/>
  <c r="P41" i="22"/>
  <c r="O41" i="22"/>
  <c r="N41" i="22"/>
  <c r="Q40" i="22"/>
  <c r="P40" i="22"/>
  <c r="O40" i="22"/>
  <c r="N40" i="22"/>
  <c r="Q39" i="22"/>
  <c r="P39" i="22"/>
  <c r="O39" i="22"/>
  <c r="N39" i="22"/>
  <c r="Q38" i="22"/>
  <c r="P38" i="22"/>
  <c r="O38" i="22"/>
  <c r="N38" i="22"/>
  <c r="Q37" i="22"/>
  <c r="P37" i="22"/>
  <c r="O37" i="22"/>
  <c r="N37" i="22"/>
  <c r="Q36" i="22"/>
  <c r="P36" i="22"/>
  <c r="O36" i="22"/>
  <c r="N36" i="22"/>
  <c r="Q35" i="22"/>
  <c r="P35" i="22"/>
  <c r="O35" i="22"/>
  <c r="N35" i="22"/>
  <c r="Q34" i="22"/>
  <c r="P34" i="22"/>
  <c r="O34" i="22"/>
  <c r="N34" i="22"/>
  <c r="Q33" i="22"/>
  <c r="P33" i="22"/>
  <c r="O33" i="22"/>
  <c r="N33" i="22"/>
  <c r="Q32" i="22"/>
  <c r="P32" i="22"/>
  <c r="O32" i="22"/>
  <c r="N32" i="22"/>
  <c r="Q31" i="22"/>
  <c r="P31" i="22"/>
  <c r="O31" i="22"/>
  <c r="N31" i="22"/>
  <c r="Q30" i="22"/>
  <c r="P30" i="22"/>
  <c r="O30" i="22"/>
  <c r="N30" i="22"/>
  <c r="Q29" i="22"/>
  <c r="P29" i="22"/>
  <c r="O29" i="22"/>
  <c r="N29" i="22"/>
  <c r="Q28" i="22"/>
  <c r="P28" i="22"/>
  <c r="O28" i="22"/>
  <c r="N28" i="22"/>
  <c r="Q27" i="22"/>
  <c r="P27" i="22"/>
  <c r="O27" i="22"/>
  <c r="N27" i="22"/>
  <c r="Q26" i="22"/>
  <c r="P26" i="22"/>
  <c r="O26" i="22"/>
  <c r="N26" i="22"/>
  <c r="Q25" i="22"/>
  <c r="P25" i="22"/>
  <c r="O25" i="22"/>
  <c r="N25" i="22"/>
  <c r="Q24" i="22"/>
  <c r="P24" i="22"/>
  <c r="O24" i="22"/>
  <c r="N24" i="22"/>
  <c r="Q23" i="22"/>
  <c r="P23" i="22"/>
  <c r="O23" i="22"/>
  <c r="N23" i="22"/>
  <c r="Q22" i="22"/>
  <c r="P22" i="22"/>
  <c r="O22" i="22"/>
  <c r="N22" i="22"/>
  <c r="Q21" i="22"/>
  <c r="P21" i="22"/>
  <c r="O21" i="22"/>
  <c r="N21" i="22"/>
  <c r="Q20" i="22"/>
  <c r="P20" i="22"/>
  <c r="O20" i="22"/>
  <c r="N20" i="22"/>
  <c r="Q19" i="22"/>
  <c r="P19" i="22"/>
  <c r="O19" i="22"/>
  <c r="N19" i="22"/>
  <c r="Q18" i="22"/>
  <c r="P18" i="22"/>
  <c r="O18" i="22"/>
  <c r="N18" i="22"/>
  <c r="Q17" i="22"/>
  <c r="P17" i="22"/>
  <c r="O17" i="22"/>
  <c r="N17" i="22"/>
  <c r="Q16" i="22"/>
  <c r="P16" i="22"/>
  <c r="O16" i="22"/>
  <c r="N16" i="22"/>
  <c r="Q15" i="22"/>
  <c r="P15" i="22"/>
  <c r="O15" i="22"/>
  <c r="N15" i="22"/>
  <c r="Q14" i="22"/>
  <c r="P14" i="22"/>
  <c r="O14" i="22"/>
  <c r="N14" i="22"/>
  <c r="Q13" i="22"/>
  <c r="P13" i="22"/>
  <c r="O13" i="22"/>
  <c r="N13" i="22"/>
  <c r="Q12" i="22"/>
  <c r="P12" i="22"/>
  <c r="O12" i="22"/>
  <c r="N12" i="22"/>
  <c r="Q11" i="22"/>
  <c r="P11" i="22"/>
  <c r="O11" i="22"/>
  <c r="N11" i="22"/>
  <c r="Q10" i="22"/>
  <c r="P10" i="22"/>
  <c r="O10" i="22"/>
  <c r="N10" i="22"/>
  <c r="Q9" i="22"/>
  <c r="P9" i="22"/>
  <c r="O9" i="22"/>
  <c r="N9" i="22"/>
  <c r="Q8" i="22"/>
  <c r="P8" i="22"/>
  <c r="O8" i="22"/>
  <c r="N8" i="22"/>
  <c r="Q7" i="22"/>
  <c r="P7" i="22"/>
  <c r="O7" i="22"/>
  <c r="N7" i="22"/>
  <c r="Q6" i="22"/>
  <c r="P6" i="22"/>
  <c r="O6" i="22"/>
  <c r="N6" i="22"/>
  <c r="N5" i="22"/>
  <c r="Q5" i="22"/>
  <c r="P5" i="22"/>
  <c r="O5" i="22"/>
  <c r="AC3" i="22"/>
  <c r="AJ3" i="22"/>
  <c r="AI3" i="22"/>
  <c r="AH3" i="22"/>
  <c r="AG3" i="22"/>
  <c r="AF3" i="22"/>
  <c r="AE3" i="22"/>
  <c r="AD3" i="22"/>
  <c r="AN61" i="9"/>
  <c r="AM61" i="9"/>
  <c r="AL61" i="9"/>
  <c r="AM3" i="15" l="1"/>
  <c r="AL3" i="15"/>
  <c r="AO3" i="15"/>
  <c r="AN3" i="15"/>
  <c r="AN3" i="16" l="1"/>
  <c r="AO3" i="16"/>
  <c r="AP3" i="16"/>
  <c r="AQ3" i="16"/>
  <c r="R72" i="23" l="1"/>
  <c r="Q72" i="23"/>
  <c r="P72" i="23"/>
  <c r="O72" i="23"/>
  <c r="R71" i="23"/>
  <c r="Q71" i="23"/>
  <c r="P71" i="23"/>
  <c r="O71" i="23"/>
  <c r="R70" i="23"/>
  <c r="Q70" i="23"/>
  <c r="P70" i="23"/>
  <c r="O70" i="23"/>
  <c r="R69" i="23"/>
  <c r="Q69" i="23"/>
  <c r="P69" i="23"/>
  <c r="O69" i="23"/>
  <c r="R68" i="23"/>
  <c r="Q68" i="23"/>
  <c r="P68" i="23"/>
  <c r="O68" i="23"/>
  <c r="R67" i="23"/>
  <c r="Q67" i="23"/>
  <c r="P67" i="23"/>
  <c r="O67" i="23"/>
  <c r="R66" i="23"/>
  <c r="Q66" i="23"/>
  <c r="P66" i="23"/>
  <c r="O66" i="23"/>
  <c r="R65" i="23"/>
  <c r="Q65" i="23"/>
  <c r="P65" i="23"/>
  <c r="O65" i="23"/>
  <c r="R64" i="23"/>
  <c r="Q64" i="23"/>
  <c r="P64" i="23"/>
  <c r="O64" i="23"/>
  <c r="R63" i="23"/>
  <c r="Q63" i="23"/>
  <c r="P63" i="23"/>
  <c r="O63" i="23"/>
  <c r="R62" i="23"/>
  <c r="Q62" i="23"/>
  <c r="P62" i="23"/>
  <c r="O62" i="23"/>
  <c r="R61" i="23"/>
  <c r="Q61" i="23"/>
  <c r="P61" i="23"/>
  <c r="O61" i="23"/>
  <c r="R60" i="23"/>
  <c r="Q60" i="23"/>
  <c r="P60" i="23"/>
  <c r="O60" i="23"/>
  <c r="R59" i="23"/>
  <c r="Q59" i="23"/>
  <c r="P59" i="23"/>
  <c r="O59" i="23"/>
  <c r="R58" i="23"/>
  <c r="Q58" i="23"/>
  <c r="P58" i="23"/>
  <c r="O58" i="23"/>
  <c r="R57" i="23"/>
  <c r="Q57" i="23"/>
  <c r="P57" i="23"/>
  <c r="O57" i="23"/>
  <c r="R56" i="23"/>
  <c r="Q56" i="23"/>
  <c r="P56" i="23"/>
  <c r="O56" i="23"/>
  <c r="R55" i="23"/>
  <c r="Q55" i="23"/>
  <c r="P55" i="23"/>
  <c r="O55" i="23"/>
  <c r="R54" i="23"/>
  <c r="Q54" i="23"/>
  <c r="P54" i="23"/>
  <c r="O54" i="23"/>
  <c r="R53" i="23"/>
  <c r="Q53" i="23"/>
  <c r="P53" i="23"/>
  <c r="O53" i="23"/>
  <c r="R52" i="23"/>
  <c r="Q52" i="23"/>
  <c r="P52" i="23"/>
  <c r="O52" i="23"/>
  <c r="AK52" i="23" s="1"/>
  <c r="R51" i="23"/>
  <c r="Q51" i="23"/>
  <c r="P51" i="23"/>
  <c r="O51" i="23"/>
  <c r="AK51" i="23" s="1"/>
  <c r="R50" i="23"/>
  <c r="Q50" i="23"/>
  <c r="P50" i="23"/>
  <c r="O50" i="23"/>
  <c r="AK50" i="23" s="1"/>
  <c r="R49" i="23"/>
  <c r="Q49" i="23"/>
  <c r="P49" i="23"/>
  <c r="O49" i="23"/>
  <c r="R48" i="23"/>
  <c r="Q48" i="23"/>
  <c r="P48" i="23"/>
  <c r="O48" i="23"/>
  <c r="R47" i="23"/>
  <c r="Q47" i="23"/>
  <c r="P47" i="23"/>
  <c r="O47" i="23"/>
  <c r="R46" i="23"/>
  <c r="Q46" i="23"/>
  <c r="P46" i="23"/>
  <c r="O46" i="23"/>
  <c r="R45" i="23"/>
  <c r="Q45" i="23"/>
  <c r="P45" i="23"/>
  <c r="O45" i="23"/>
  <c r="R44" i="23"/>
  <c r="Q44" i="23"/>
  <c r="P44" i="23"/>
  <c r="O44" i="23"/>
  <c r="R43" i="23"/>
  <c r="Q43" i="23"/>
  <c r="P43" i="23"/>
  <c r="O43" i="23"/>
  <c r="R42" i="23"/>
  <c r="Q42" i="23"/>
  <c r="P42" i="23"/>
  <c r="O42" i="23"/>
  <c r="R41" i="23"/>
  <c r="Q41" i="23"/>
  <c r="P41" i="23"/>
  <c r="O41" i="23"/>
  <c r="R40" i="23"/>
  <c r="Q40" i="23"/>
  <c r="P40" i="23"/>
  <c r="O40" i="23"/>
  <c r="R39" i="23"/>
  <c r="Q39" i="23"/>
  <c r="P39" i="23"/>
  <c r="O39" i="23"/>
  <c r="R38" i="23"/>
  <c r="Q38" i="23"/>
  <c r="P38" i="23"/>
  <c r="O38" i="23"/>
  <c r="R37" i="23"/>
  <c r="Q37" i="23"/>
  <c r="P37" i="23"/>
  <c r="O37" i="23"/>
  <c r="R36" i="23"/>
  <c r="Q36" i="23"/>
  <c r="P36" i="23"/>
  <c r="O36" i="23"/>
  <c r="R35" i="23"/>
  <c r="Q35" i="23"/>
  <c r="P35" i="23"/>
  <c r="O35" i="23"/>
  <c r="R34" i="23"/>
  <c r="Q34" i="23"/>
  <c r="P34" i="23"/>
  <c r="O34" i="23"/>
  <c r="R33" i="23"/>
  <c r="Q33" i="23"/>
  <c r="P33" i="23"/>
  <c r="O33" i="23"/>
  <c r="R32" i="23"/>
  <c r="Q32" i="23"/>
  <c r="P32" i="23"/>
  <c r="O32" i="23"/>
  <c r="R31" i="23"/>
  <c r="Q31" i="23"/>
  <c r="P31" i="23"/>
  <c r="O31" i="23"/>
  <c r="R30" i="23"/>
  <c r="Q30" i="23"/>
  <c r="P30" i="23"/>
  <c r="O30" i="23"/>
  <c r="R29" i="23"/>
  <c r="Q29" i="23"/>
  <c r="P29" i="23"/>
  <c r="O29" i="23"/>
  <c r="R28" i="23"/>
  <c r="Q28" i="23"/>
  <c r="P28" i="23"/>
  <c r="O28" i="23"/>
  <c r="R27" i="23"/>
  <c r="Q27" i="23"/>
  <c r="P27" i="23"/>
  <c r="O27" i="23"/>
  <c r="R26" i="23"/>
  <c r="Q26" i="23"/>
  <c r="P26" i="23"/>
  <c r="O26" i="23"/>
  <c r="R25" i="23"/>
  <c r="Q25" i="23"/>
  <c r="P25" i="23"/>
  <c r="O25" i="23"/>
  <c r="R24" i="23"/>
  <c r="Q24" i="23"/>
  <c r="P24" i="23"/>
  <c r="O24" i="23"/>
  <c r="R23" i="23"/>
  <c r="Q23" i="23"/>
  <c r="P23" i="23"/>
  <c r="O23" i="23"/>
  <c r="R22" i="23"/>
  <c r="Q22" i="23"/>
  <c r="P22" i="23"/>
  <c r="O22" i="23"/>
  <c r="R21" i="23"/>
  <c r="Q21" i="23"/>
  <c r="P21" i="23"/>
  <c r="O21" i="23"/>
  <c r="R20" i="23"/>
  <c r="Q20" i="23"/>
  <c r="P20" i="23"/>
  <c r="O20" i="23"/>
  <c r="R19" i="23"/>
  <c r="Q19" i="23"/>
  <c r="P19" i="23"/>
  <c r="O19" i="23"/>
  <c r="R18" i="23"/>
  <c r="Q18" i="23"/>
  <c r="P18" i="23"/>
  <c r="O18" i="23"/>
  <c r="R17" i="23"/>
  <c r="Q17" i="23"/>
  <c r="P17" i="23"/>
  <c r="O17" i="23"/>
  <c r="R16" i="23"/>
  <c r="Q16" i="23"/>
  <c r="P16" i="23"/>
  <c r="O16" i="23"/>
  <c r="R15" i="23"/>
  <c r="Q15" i="23"/>
  <c r="P15" i="23"/>
  <c r="O15" i="23"/>
  <c r="R14" i="23"/>
  <c r="Q14" i="23"/>
  <c r="P14" i="23"/>
  <c r="O14" i="23"/>
  <c r="R13" i="23"/>
  <c r="Q13" i="23"/>
  <c r="P13" i="23"/>
  <c r="O13" i="23"/>
  <c r="R12" i="23"/>
  <c r="Q12" i="23"/>
  <c r="P12" i="23"/>
  <c r="O12" i="23"/>
  <c r="R11" i="23"/>
  <c r="Q11" i="23"/>
  <c r="P11" i="23"/>
  <c r="O11" i="23"/>
  <c r="R10" i="23"/>
  <c r="Q10" i="23"/>
  <c r="P10" i="23"/>
  <c r="O10" i="23"/>
  <c r="R9" i="23"/>
  <c r="Q9" i="23"/>
  <c r="P9" i="23"/>
  <c r="O9" i="23"/>
  <c r="R8" i="23"/>
  <c r="Q8" i="23"/>
  <c r="P8" i="23"/>
  <c r="O8" i="23"/>
  <c r="R7" i="23"/>
  <c r="Q7" i="23"/>
  <c r="P7" i="23"/>
  <c r="O7" i="23"/>
  <c r="R6" i="23"/>
  <c r="Q6" i="23"/>
  <c r="P6" i="23"/>
  <c r="O6" i="23"/>
  <c r="R5" i="23"/>
  <c r="Q5" i="23"/>
  <c r="P5" i="23"/>
  <c r="O5" i="23"/>
  <c r="AN3" i="23"/>
  <c r="AM3" i="23"/>
  <c r="AL3" i="23"/>
  <c r="AK3" i="23"/>
  <c r="AJ3" i="23"/>
  <c r="AI3" i="23"/>
  <c r="AH3" i="23"/>
  <c r="AG3" i="23"/>
  <c r="AP3" i="10" l="1"/>
  <c r="AS3" i="10"/>
  <c r="AO3" i="9"/>
  <c r="AQ3" i="9"/>
  <c r="AP3" i="9"/>
  <c r="AR3" i="9"/>
  <c r="AX3" i="2"/>
  <c r="AW3" i="2"/>
  <c r="AV3" i="2"/>
  <c r="AU3" i="2"/>
  <c r="AQ3" i="10" l="1"/>
  <c r="AR3" i="10"/>
  <c r="AL54" i="9"/>
  <c r="AL53" i="9"/>
  <c r="AL60" i="9"/>
  <c r="AL59" i="9"/>
  <c r="AL32" i="9"/>
  <c r="AL29" i="9"/>
  <c r="AL24" i="9"/>
  <c r="AL23" i="9"/>
  <c r="AL18" i="9"/>
  <c r="AL17" i="9"/>
  <c r="AL64" i="9"/>
  <c r="AL56" i="9"/>
  <c r="AL55" i="9"/>
  <c r="AL22" i="9"/>
  <c r="AL21" i="9"/>
  <c r="AK63" i="9"/>
  <c r="AK62" i="9"/>
  <c r="AK61" i="9"/>
  <c r="AL50" i="9"/>
  <c r="AL49" i="9"/>
  <c r="AL46" i="9"/>
  <c r="AL45" i="9"/>
  <c r="AL44" i="9"/>
  <c r="AL43" i="9"/>
  <c r="AL20" i="9"/>
  <c r="AM20" i="9"/>
  <c r="AM19" i="9"/>
  <c r="AM52" i="9"/>
  <c r="AM51" i="9"/>
  <c r="AM28" i="9"/>
  <c r="AM27" i="9"/>
  <c r="AM9" i="9"/>
  <c r="AM8" i="9"/>
  <c r="AT193" i="2"/>
  <c r="AT192" i="2"/>
  <c r="AT191" i="2"/>
  <c r="AT190" i="2"/>
  <c r="AT189" i="2"/>
  <c r="AT188" i="2"/>
  <c r="AH15" i="15"/>
  <c r="AH14" i="15"/>
  <c r="AH13" i="15"/>
  <c r="AI14" i="15"/>
  <c r="AI13" i="15"/>
  <c r="AI34" i="15"/>
  <c r="AI33" i="15"/>
  <c r="AI32" i="15"/>
  <c r="AI30" i="15"/>
  <c r="AI29" i="15"/>
  <c r="AI28" i="15"/>
  <c r="AI26" i="15"/>
  <c r="AI25" i="15"/>
  <c r="AI24" i="15"/>
  <c r="AI22" i="15"/>
  <c r="AI21" i="15"/>
  <c r="AI20" i="15"/>
  <c r="AI18" i="15"/>
  <c r="AI17" i="15"/>
  <c r="AI16" i="15"/>
  <c r="AI11" i="15"/>
  <c r="AI10" i="15"/>
  <c r="AI9" i="15"/>
  <c r="AI8" i="15"/>
  <c r="AI7" i="15"/>
  <c r="AI6" i="15"/>
  <c r="AI5" i="15"/>
  <c r="AN156" i="10"/>
  <c r="AN157" i="10"/>
  <c r="AN158" i="10"/>
  <c r="AN161" i="10"/>
  <c r="AM163" i="10"/>
  <c r="AL163" i="10"/>
  <c r="AM161" i="10"/>
  <c r="AM158" i="10"/>
  <c r="AM157" i="10"/>
  <c r="AM156" i="10"/>
  <c r="AN44" i="10"/>
  <c r="AN154" i="10"/>
  <c r="AN153" i="10"/>
  <c r="AN166" i="10"/>
  <c r="AN165" i="10"/>
  <c r="AN164" i="10"/>
  <c r="AN167" i="10"/>
  <c r="AM44" i="10"/>
  <c r="AN65" i="9" l="1"/>
  <c r="AM65" i="9"/>
  <c r="AN184" i="10"/>
  <c r="AM166" i="10"/>
  <c r="AM154" i="10"/>
  <c r="AM165" i="10" l="1"/>
  <c r="AM153" i="10"/>
  <c r="AF3" i="4" l="1"/>
  <c r="AE3" i="4"/>
  <c r="AD3" i="4"/>
  <c r="AC3" i="4"/>
  <c r="AL162" i="10" l="1"/>
  <c r="AL161" i="10"/>
  <c r="AL160" i="10"/>
  <c r="AL159" i="10"/>
  <c r="AL158" i="10"/>
  <c r="AL157" i="10"/>
  <c r="AL19" i="9"/>
  <c r="R81" i="20" l="1"/>
  <c r="Q81" i="20"/>
  <c r="P81" i="20"/>
  <c r="O81" i="20"/>
  <c r="R80" i="20"/>
  <c r="Q80" i="20"/>
  <c r="P80" i="20"/>
  <c r="O80" i="20"/>
  <c r="R79" i="20"/>
  <c r="Q79" i="20"/>
  <c r="P79" i="20"/>
  <c r="O79" i="20"/>
  <c r="R78" i="20"/>
  <c r="Q78" i="20"/>
  <c r="P78" i="20"/>
  <c r="O78" i="20"/>
  <c r="R77" i="20"/>
  <c r="Q77" i="20"/>
  <c r="P77" i="20"/>
  <c r="O77" i="20"/>
  <c r="R76" i="20"/>
  <c r="Q76" i="20"/>
  <c r="P76" i="20"/>
  <c r="O76" i="20"/>
  <c r="R75" i="20"/>
  <c r="Q75" i="20"/>
  <c r="P75" i="20"/>
  <c r="O75" i="20"/>
  <c r="R74" i="20"/>
  <c r="Q74" i="20"/>
  <c r="P74" i="20"/>
  <c r="O74" i="20"/>
  <c r="R73" i="20"/>
  <c r="Q73" i="20"/>
  <c r="P73" i="20"/>
  <c r="O73" i="20"/>
  <c r="R72" i="20"/>
  <c r="Q72" i="20"/>
  <c r="P72" i="20"/>
  <c r="O72" i="20"/>
  <c r="R71" i="20"/>
  <c r="Q71" i="20"/>
  <c r="P71" i="20"/>
  <c r="O71" i="20"/>
  <c r="R70" i="20"/>
  <c r="Q70" i="20"/>
  <c r="P70" i="20"/>
  <c r="O70" i="20"/>
  <c r="R69" i="20"/>
  <c r="Q69" i="20"/>
  <c r="P69" i="20"/>
  <c r="O69" i="20"/>
  <c r="R68" i="20"/>
  <c r="Q68" i="20"/>
  <c r="P68" i="20"/>
  <c r="O68" i="20"/>
  <c r="R67" i="20"/>
  <c r="Q67" i="20"/>
  <c r="P67" i="20"/>
  <c r="O67" i="20"/>
  <c r="R66" i="20"/>
  <c r="Q66" i="20"/>
  <c r="P66" i="20"/>
  <c r="O66" i="20"/>
  <c r="R65" i="20"/>
  <c r="Q65" i="20"/>
  <c r="P65" i="20"/>
  <c r="O65" i="20"/>
  <c r="R64" i="20"/>
  <c r="Q64" i="20"/>
  <c r="P64" i="20"/>
  <c r="O64" i="20"/>
  <c r="R63" i="20"/>
  <c r="Q63" i="20"/>
  <c r="P63" i="20"/>
  <c r="O63" i="20"/>
  <c r="R62" i="20"/>
  <c r="Q62" i="20"/>
  <c r="P62" i="20"/>
  <c r="O62" i="20"/>
  <c r="R61" i="20"/>
  <c r="Q61" i="20"/>
  <c r="P61" i="20"/>
  <c r="O61" i="20"/>
  <c r="R60" i="20"/>
  <c r="Q60" i="20"/>
  <c r="P60" i="20"/>
  <c r="O60" i="20"/>
  <c r="R59" i="20"/>
  <c r="Q59" i="20"/>
  <c r="P59" i="20"/>
  <c r="O59" i="20"/>
  <c r="R58" i="20"/>
  <c r="Q58" i="20"/>
  <c r="P58" i="20"/>
  <c r="O58" i="20"/>
  <c r="R57" i="20"/>
  <c r="Q57" i="20"/>
  <c r="P57" i="20"/>
  <c r="O57" i="20"/>
  <c r="R56" i="20"/>
  <c r="Q56" i="20"/>
  <c r="P56" i="20"/>
  <c r="O56" i="20"/>
  <c r="R55" i="20"/>
  <c r="Q55" i="20"/>
  <c r="P55" i="20"/>
  <c r="O55" i="20"/>
  <c r="R54" i="20"/>
  <c r="Q54" i="20"/>
  <c r="P54" i="20"/>
  <c r="O54" i="20"/>
  <c r="R53" i="20"/>
  <c r="Q53" i="20"/>
  <c r="P53" i="20"/>
  <c r="O53" i="20"/>
  <c r="R52" i="20"/>
  <c r="Q52" i="20"/>
  <c r="P52" i="20"/>
  <c r="O52" i="20"/>
  <c r="R51" i="20"/>
  <c r="Q51" i="20"/>
  <c r="P51" i="20"/>
  <c r="O51" i="20"/>
  <c r="R50" i="20"/>
  <c r="Q50" i="20"/>
  <c r="P50" i="20"/>
  <c r="O50" i="20"/>
  <c r="R49" i="20"/>
  <c r="Q49" i="20"/>
  <c r="P49" i="20"/>
  <c r="O49" i="20"/>
  <c r="R48" i="20"/>
  <c r="Q48" i="20"/>
  <c r="P48" i="20"/>
  <c r="O48" i="20"/>
  <c r="R47" i="20"/>
  <c r="Q47" i="20"/>
  <c r="P47" i="20"/>
  <c r="O47" i="20"/>
  <c r="R46" i="20"/>
  <c r="Q46" i="20"/>
  <c r="P46" i="20"/>
  <c r="O46" i="20"/>
  <c r="R45" i="20"/>
  <c r="Q45" i="20"/>
  <c r="P45" i="20"/>
  <c r="O45" i="20"/>
  <c r="R44" i="20"/>
  <c r="Q44" i="20"/>
  <c r="P44" i="20"/>
  <c r="O44" i="20"/>
  <c r="R43" i="20"/>
  <c r="Q43" i="20"/>
  <c r="P43" i="20"/>
  <c r="O43" i="20"/>
  <c r="R42" i="20"/>
  <c r="Q42" i="20"/>
  <c r="P42" i="20"/>
  <c r="O42" i="20"/>
  <c r="R41" i="20"/>
  <c r="Q41" i="20"/>
  <c r="P41" i="20"/>
  <c r="O41" i="20"/>
  <c r="R40" i="20"/>
  <c r="Q40" i="20"/>
  <c r="P40" i="20"/>
  <c r="O40" i="20"/>
  <c r="R39" i="20"/>
  <c r="Q39" i="20"/>
  <c r="P39" i="20"/>
  <c r="O39" i="20"/>
  <c r="R38" i="20"/>
  <c r="Q38" i="20"/>
  <c r="P38" i="20"/>
  <c r="O38" i="20"/>
  <c r="R37" i="20"/>
  <c r="Q37" i="20"/>
  <c r="P37" i="20"/>
  <c r="O37" i="20"/>
  <c r="R36" i="20"/>
  <c r="Q36" i="20"/>
  <c r="P36" i="20"/>
  <c r="O36" i="20"/>
  <c r="R35" i="20"/>
  <c r="Q35" i="20"/>
  <c r="P35" i="20"/>
  <c r="O35" i="20"/>
  <c r="R34" i="20"/>
  <c r="Q34" i="20"/>
  <c r="P34" i="20"/>
  <c r="O34" i="20"/>
  <c r="R33" i="20"/>
  <c r="Q33" i="20"/>
  <c r="P33" i="20"/>
  <c r="O33" i="20"/>
  <c r="R32" i="20"/>
  <c r="Q32" i="20"/>
  <c r="P32" i="20"/>
  <c r="O32" i="20"/>
  <c r="R31" i="20"/>
  <c r="Q31" i="20"/>
  <c r="P31" i="20"/>
  <c r="O31" i="20"/>
  <c r="R30" i="20"/>
  <c r="Q30" i="20"/>
  <c r="P30" i="20"/>
  <c r="O30" i="20"/>
  <c r="R29" i="20"/>
  <c r="Q29" i="20"/>
  <c r="P29" i="20"/>
  <c r="O29" i="20"/>
  <c r="R28" i="20"/>
  <c r="Q28" i="20"/>
  <c r="P28" i="20"/>
  <c r="O28" i="20"/>
  <c r="R27" i="20"/>
  <c r="Q27" i="20"/>
  <c r="P27" i="20"/>
  <c r="O27" i="20"/>
  <c r="R26" i="20"/>
  <c r="Q26" i="20"/>
  <c r="P26" i="20"/>
  <c r="O26" i="20"/>
  <c r="R25" i="20"/>
  <c r="Q25" i="20"/>
  <c r="P25" i="20"/>
  <c r="O25" i="20"/>
  <c r="R24" i="20"/>
  <c r="Q24" i="20"/>
  <c r="P24" i="20"/>
  <c r="O24" i="20"/>
  <c r="R23" i="20"/>
  <c r="Q23" i="20"/>
  <c r="P23" i="20"/>
  <c r="O23" i="20"/>
  <c r="R22" i="20"/>
  <c r="Q22" i="20"/>
  <c r="P22" i="20"/>
  <c r="O22" i="20"/>
  <c r="R21" i="20"/>
  <c r="Q21" i="20"/>
  <c r="P21" i="20"/>
  <c r="O21" i="20"/>
  <c r="R20" i="20"/>
  <c r="Q20" i="20"/>
  <c r="P20" i="20"/>
  <c r="O20" i="20"/>
  <c r="R19" i="20"/>
  <c r="Q19" i="20"/>
  <c r="P19" i="20"/>
  <c r="O19" i="20"/>
  <c r="R18" i="20"/>
  <c r="Q18" i="20"/>
  <c r="P18" i="20"/>
  <c r="O18" i="20"/>
  <c r="R17" i="20"/>
  <c r="Q17" i="20"/>
  <c r="P17" i="20"/>
  <c r="O17" i="20"/>
  <c r="R16" i="20"/>
  <c r="Q16" i="20"/>
  <c r="P16" i="20"/>
  <c r="O16" i="20"/>
  <c r="R15" i="20"/>
  <c r="Q15" i="20"/>
  <c r="P15" i="20"/>
  <c r="O15" i="20"/>
  <c r="R14" i="20"/>
  <c r="Q14" i="20"/>
  <c r="P14" i="20"/>
  <c r="O14" i="20"/>
  <c r="R13" i="20"/>
  <c r="Q13" i="20"/>
  <c r="P13" i="20"/>
  <c r="O13" i="20"/>
  <c r="R12" i="20"/>
  <c r="Q12" i="20"/>
  <c r="P12" i="20"/>
  <c r="O12" i="20"/>
  <c r="R11" i="20"/>
  <c r="Q11" i="20"/>
  <c r="P11" i="20"/>
  <c r="O11" i="20"/>
  <c r="R10" i="20"/>
  <c r="Q10" i="20"/>
  <c r="P10" i="20"/>
  <c r="O10" i="20"/>
  <c r="R9" i="20"/>
  <c r="Q9" i="20"/>
  <c r="P9" i="20"/>
  <c r="O9" i="20"/>
  <c r="R8" i="20"/>
  <c r="Q8" i="20"/>
  <c r="P8" i="20"/>
  <c r="O8" i="20"/>
  <c r="R7" i="20"/>
  <c r="Q7" i="20"/>
  <c r="P7" i="20"/>
  <c r="O7" i="20"/>
  <c r="R6" i="20"/>
  <c r="Q6" i="20"/>
  <c r="P6" i="20"/>
  <c r="O6" i="20"/>
  <c r="R5" i="20"/>
  <c r="Q5" i="20"/>
  <c r="P5" i="20"/>
  <c r="O5" i="20"/>
  <c r="AE3" i="20"/>
  <c r="AK3" i="20"/>
  <c r="AJ3" i="20"/>
  <c r="AI3" i="20"/>
  <c r="AH3" i="20"/>
  <c r="AG3" i="20"/>
  <c r="AF3" i="20"/>
  <c r="AD3" i="20"/>
  <c r="F81" i="20"/>
  <c r="F80" i="20"/>
  <c r="F79" i="20"/>
  <c r="F78" i="20"/>
  <c r="F77" i="20"/>
  <c r="F76" i="20"/>
  <c r="F75" i="20"/>
  <c r="F74" i="20"/>
  <c r="F73" i="20"/>
  <c r="F72" i="20"/>
  <c r="F71" i="20"/>
  <c r="F70" i="20"/>
  <c r="F69" i="20"/>
  <c r="F68" i="20"/>
  <c r="F67" i="20"/>
  <c r="F66" i="20"/>
  <c r="F65" i="20"/>
  <c r="F64" i="20"/>
  <c r="F63" i="20"/>
  <c r="F62" i="20"/>
  <c r="F61" i="20"/>
  <c r="F60" i="20"/>
  <c r="F59" i="20"/>
  <c r="F58" i="20"/>
  <c r="F57" i="20"/>
  <c r="F56" i="20"/>
  <c r="F55" i="20"/>
  <c r="F54" i="20"/>
  <c r="F53" i="20"/>
  <c r="F52" i="20"/>
  <c r="F51" i="20"/>
  <c r="F50" i="20"/>
  <c r="F49" i="20"/>
  <c r="F48" i="20"/>
  <c r="F47" i="20"/>
  <c r="F46" i="20"/>
  <c r="F45" i="20"/>
  <c r="F44" i="20"/>
  <c r="F43" i="20"/>
  <c r="F42" i="20"/>
  <c r="F41" i="20"/>
  <c r="F40" i="20"/>
  <c r="F39" i="20"/>
  <c r="F38" i="20"/>
  <c r="F37" i="20"/>
  <c r="F36" i="20"/>
  <c r="F35" i="20"/>
  <c r="F34" i="20"/>
  <c r="F33" i="20"/>
  <c r="F32" i="20"/>
  <c r="F31" i="20"/>
  <c r="F30" i="20"/>
  <c r="F29" i="20"/>
  <c r="F28" i="20"/>
  <c r="F27" i="20"/>
  <c r="F26" i="20"/>
  <c r="F25" i="20"/>
  <c r="F24" i="20"/>
  <c r="F23" i="20"/>
  <c r="F22" i="20"/>
  <c r="F21" i="20"/>
  <c r="F20" i="20"/>
  <c r="F19" i="20"/>
  <c r="F18" i="20"/>
  <c r="F17" i="20"/>
  <c r="F16" i="20"/>
  <c r="F15" i="20"/>
  <c r="F14" i="20"/>
  <c r="F13" i="20"/>
  <c r="F12" i="20"/>
  <c r="F11" i="20"/>
  <c r="F10" i="20"/>
  <c r="F9" i="20"/>
  <c r="F8" i="20"/>
  <c r="F7" i="20"/>
  <c r="AM6" i="20"/>
  <c r="AO5" i="20" s="1"/>
  <c r="AO7" i="20" s="1"/>
  <c r="F6" i="20"/>
  <c r="AM5" i="20"/>
  <c r="F5" i="20"/>
  <c r="R355" i="18"/>
  <c r="Q355" i="18"/>
  <c r="P355" i="18"/>
  <c r="O355" i="18"/>
  <c r="R354" i="18"/>
  <c r="Q354" i="18"/>
  <c r="P354" i="18"/>
  <c r="O354" i="18"/>
  <c r="R353" i="18"/>
  <c r="Q353" i="18"/>
  <c r="P353" i="18"/>
  <c r="O353" i="18"/>
  <c r="R352" i="18"/>
  <c r="Q352" i="18"/>
  <c r="P352" i="18"/>
  <c r="O352" i="18"/>
  <c r="R351" i="18"/>
  <c r="Q351" i="18"/>
  <c r="P351" i="18"/>
  <c r="O351" i="18"/>
  <c r="R350" i="18"/>
  <c r="Q350" i="18"/>
  <c r="P350" i="18"/>
  <c r="O350" i="18"/>
  <c r="R349" i="18"/>
  <c r="Q349" i="18"/>
  <c r="P349" i="18"/>
  <c r="O349" i="18"/>
  <c r="R348" i="18"/>
  <c r="Q348" i="18"/>
  <c r="P348" i="18"/>
  <c r="O348" i="18"/>
  <c r="R347" i="18"/>
  <c r="Q347" i="18"/>
  <c r="P347" i="18"/>
  <c r="O347" i="18"/>
  <c r="R346" i="18"/>
  <c r="Q346" i="18"/>
  <c r="P346" i="18"/>
  <c r="O346" i="18"/>
  <c r="R345" i="18"/>
  <c r="Q345" i="18"/>
  <c r="P345" i="18"/>
  <c r="O345" i="18"/>
  <c r="R344" i="18"/>
  <c r="Q344" i="18"/>
  <c r="P344" i="18"/>
  <c r="O344" i="18"/>
  <c r="R343" i="18"/>
  <c r="Q343" i="18"/>
  <c r="P343" i="18"/>
  <c r="O343" i="18"/>
  <c r="R342" i="18"/>
  <c r="Q342" i="18"/>
  <c r="P342" i="18"/>
  <c r="O342" i="18"/>
  <c r="R341" i="18"/>
  <c r="Q341" i="18"/>
  <c r="P341" i="18"/>
  <c r="O341" i="18"/>
  <c r="R340" i="18"/>
  <c r="Q340" i="18"/>
  <c r="P340" i="18"/>
  <c r="O340" i="18"/>
  <c r="R339" i="18"/>
  <c r="Q339" i="18"/>
  <c r="P339" i="18"/>
  <c r="O339" i="18"/>
  <c r="R338" i="18"/>
  <c r="Q338" i="18"/>
  <c r="P338" i="18"/>
  <c r="O338" i="18"/>
  <c r="R337" i="18"/>
  <c r="Q337" i="18"/>
  <c r="P337" i="18"/>
  <c r="O337" i="18"/>
  <c r="R336" i="18"/>
  <c r="Q336" i="18"/>
  <c r="P336" i="18"/>
  <c r="O336" i="18"/>
  <c r="R335" i="18"/>
  <c r="Q335" i="18"/>
  <c r="P335" i="18"/>
  <c r="O335" i="18"/>
  <c r="R334" i="18"/>
  <c r="Q334" i="18"/>
  <c r="P334" i="18"/>
  <c r="O334" i="18"/>
  <c r="R333" i="18"/>
  <c r="Q333" i="18"/>
  <c r="P333" i="18"/>
  <c r="O333" i="18"/>
  <c r="R332" i="18"/>
  <c r="Q332" i="18"/>
  <c r="P332" i="18"/>
  <c r="O332" i="18"/>
  <c r="R331" i="18"/>
  <c r="Q331" i="18"/>
  <c r="P331" i="18"/>
  <c r="O331" i="18"/>
  <c r="R330" i="18"/>
  <c r="Q330" i="18"/>
  <c r="P330" i="18"/>
  <c r="O330" i="18"/>
  <c r="R329" i="18"/>
  <c r="Q329" i="18"/>
  <c r="P329" i="18"/>
  <c r="O329" i="18"/>
  <c r="R328" i="18"/>
  <c r="Q328" i="18"/>
  <c r="P328" i="18"/>
  <c r="O328" i="18"/>
  <c r="R327" i="18"/>
  <c r="Q327" i="18"/>
  <c r="P327" i="18"/>
  <c r="O327" i="18"/>
  <c r="R326" i="18"/>
  <c r="Q326" i="18"/>
  <c r="P326" i="18"/>
  <c r="O326" i="18"/>
  <c r="R325" i="18"/>
  <c r="Q325" i="18"/>
  <c r="P325" i="18"/>
  <c r="O325" i="18"/>
  <c r="R324" i="18"/>
  <c r="Q324" i="18"/>
  <c r="P324" i="18"/>
  <c r="O324" i="18"/>
  <c r="R323" i="18"/>
  <c r="Q323" i="18"/>
  <c r="P323" i="18"/>
  <c r="O323" i="18"/>
  <c r="R322" i="18"/>
  <c r="Q322" i="18"/>
  <c r="P322" i="18"/>
  <c r="O322" i="18"/>
  <c r="R321" i="18"/>
  <c r="Q321" i="18"/>
  <c r="P321" i="18"/>
  <c r="O321" i="18"/>
  <c r="R320" i="18"/>
  <c r="Q320" i="18"/>
  <c r="P320" i="18"/>
  <c r="O320" i="18"/>
  <c r="R319" i="18"/>
  <c r="Q319" i="18"/>
  <c r="P319" i="18"/>
  <c r="O319" i="18"/>
  <c r="R318" i="18"/>
  <c r="Q318" i="18"/>
  <c r="P318" i="18"/>
  <c r="O318" i="18"/>
  <c r="R317" i="18"/>
  <c r="Q317" i="18"/>
  <c r="P317" i="18"/>
  <c r="O317" i="18"/>
  <c r="R316" i="18"/>
  <c r="Q316" i="18"/>
  <c r="P316" i="18"/>
  <c r="O316" i="18"/>
  <c r="R315" i="18"/>
  <c r="Q315" i="18"/>
  <c r="P315" i="18"/>
  <c r="O315" i="18"/>
  <c r="R314" i="18"/>
  <c r="Q314" i="18"/>
  <c r="P314" i="18"/>
  <c r="O314" i="18"/>
  <c r="R313" i="18"/>
  <c r="Q313" i="18"/>
  <c r="P313" i="18"/>
  <c r="O313" i="18"/>
  <c r="R312" i="18"/>
  <c r="Q312" i="18"/>
  <c r="P312" i="18"/>
  <c r="O312" i="18"/>
  <c r="R311" i="18"/>
  <c r="Q311" i="18"/>
  <c r="P311" i="18"/>
  <c r="O311" i="18"/>
  <c r="R310" i="18"/>
  <c r="Q310" i="18"/>
  <c r="P310" i="18"/>
  <c r="O310" i="18"/>
  <c r="R309" i="18"/>
  <c r="Q309" i="18"/>
  <c r="P309" i="18"/>
  <c r="O309" i="18"/>
  <c r="R308" i="18"/>
  <c r="Q308" i="18"/>
  <c r="P308" i="18"/>
  <c r="O308" i="18"/>
  <c r="R307" i="18"/>
  <c r="Q307" i="18"/>
  <c r="P307" i="18"/>
  <c r="O307" i="18"/>
  <c r="R306" i="18"/>
  <c r="Q306" i="18"/>
  <c r="P306" i="18"/>
  <c r="O306" i="18"/>
  <c r="R305" i="18"/>
  <c r="Q305" i="18"/>
  <c r="P305" i="18"/>
  <c r="O305" i="18"/>
  <c r="R304" i="18"/>
  <c r="Q304" i="18"/>
  <c r="P304" i="18"/>
  <c r="O304" i="18"/>
  <c r="R303" i="18"/>
  <c r="Q303" i="18"/>
  <c r="P303" i="18"/>
  <c r="O303" i="18"/>
  <c r="R302" i="18"/>
  <c r="Q302" i="18"/>
  <c r="P302" i="18"/>
  <c r="O302" i="18"/>
  <c r="R301" i="18"/>
  <c r="Q301" i="18"/>
  <c r="P301" i="18"/>
  <c r="O301" i="18"/>
  <c r="R300" i="18"/>
  <c r="Q300" i="18"/>
  <c r="P300" i="18"/>
  <c r="O300" i="18"/>
  <c r="R299" i="18"/>
  <c r="Q299" i="18"/>
  <c r="P299" i="18"/>
  <c r="O299" i="18"/>
  <c r="R298" i="18"/>
  <c r="Q298" i="18"/>
  <c r="P298" i="18"/>
  <c r="O298" i="18"/>
  <c r="R297" i="18"/>
  <c r="Q297" i="18"/>
  <c r="P297" i="18"/>
  <c r="O297" i="18"/>
  <c r="R296" i="18"/>
  <c r="Q296" i="18"/>
  <c r="P296" i="18"/>
  <c r="O296" i="18"/>
  <c r="R295" i="18"/>
  <c r="Q295" i="18"/>
  <c r="P295" i="18"/>
  <c r="O295" i="18"/>
  <c r="R294" i="18"/>
  <c r="Q294" i="18"/>
  <c r="P294" i="18"/>
  <c r="O294" i="18"/>
  <c r="R293" i="18"/>
  <c r="Q293" i="18"/>
  <c r="P293" i="18"/>
  <c r="O293" i="18"/>
  <c r="R292" i="18"/>
  <c r="Q292" i="18"/>
  <c r="P292" i="18"/>
  <c r="O292" i="18"/>
  <c r="R291" i="18"/>
  <c r="Q291" i="18"/>
  <c r="P291" i="18"/>
  <c r="O291" i="18"/>
  <c r="R290" i="18"/>
  <c r="Q290" i="18"/>
  <c r="P290" i="18"/>
  <c r="O290" i="18"/>
  <c r="R289" i="18"/>
  <c r="Q289" i="18"/>
  <c r="P289" i="18"/>
  <c r="O289" i="18"/>
  <c r="R288" i="18"/>
  <c r="Q288" i="18"/>
  <c r="P288" i="18"/>
  <c r="O288" i="18"/>
  <c r="R287" i="18"/>
  <c r="Q287" i="18"/>
  <c r="P287" i="18"/>
  <c r="O287" i="18"/>
  <c r="R286" i="18"/>
  <c r="Q286" i="18"/>
  <c r="P286" i="18"/>
  <c r="O286" i="18"/>
  <c r="R285" i="18"/>
  <c r="Q285" i="18"/>
  <c r="P285" i="18"/>
  <c r="O285" i="18"/>
  <c r="R284" i="18"/>
  <c r="Q284" i="18"/>
  <c r="P284" i="18"/>
  <c r="O284" i="18"/>
  <c r="R283" i="18"/>
  <c r="Q283" i="18"/>
  <c r="P283" i="18"/>
  <c r="O283" i="18"/>
  <c r="R282" i="18"/>
  <c r="Q282" i="18"/>
  <c r="P282" i="18"/>
  <c r="O282" i="18"/>
  <c r="R281" i="18"/>
  <c r="Q281" i="18"/>
  <c r="P281" i="18"/>
  <c r="O281" i="18"/>
  <c r="R280" i="18"/>
  <c r="Q280" i="18"/>
  <c r="P280" i="18"/>
  <c r="O280" i="18"/>
  <c r="R279" i="18"/>
  <c r="Q279" i="18"/>
  <c r="P279" i="18"/>
  <c r="O279" i="18"/>
  <c r="R278" i="18"/>
  <c r="Q278" i="18"/>
  <c r="P278" i="18"/>
  <c r="O278" i="18"/>
  <c r="R277" i="18"/>
  <c r="Q277" i="18"/>
  <c r="P277" i="18"/>
  <c r="O277" i="18"/>
  <c r="R276" i="18"/>
  <c r="Q276" i="18"/>
  <c r="P276" i="18"/>
  <c r="O276" i="18"/>
  <c r="R275" i="18"/>
  <c r="Q275" i="18"/>
  <c r="P275" i="18"/>
  <c r="O275" i="18"/>
  <c r="R274" i="18"/>
  <c r="Q274" i="18"/>
  <c r="P274" i="18"/>
  <c r="O274" i="18"/>
  <c r="R273" i="18"/>
  <c r="Q273" i="18"/>
  <c r="P273" i="18"/>
  <c r="O273" i="18"/>
  <c r="R272" i="18"/>
  <c r="Q272" i="18"/>
  <c r="P272" i="18"/>
  <c r="O272" i="18"/>
  <c r="R271" i="18"/>
  <c r="Q271" i="18"/>
  <c r="P271" i="18"/>
  <c r="O271" i="18"/>
  <c r="R270" i="18"/>
  <c r="Q270" i="18"/>
  <c r="P270" i="18"/>
  <c r="O270" i="18"/>
  <c r="R269" i="18"/>
  <c r="Q269" i="18"/>
  <c r="P269" i="18"/>
  <c r="O269" i="18"/>
  <c r="R268" i="18"/>
  <c r="Q268" i="18"/>
  <c r="P268" i="18"/>
  <c r="O268" i="18"/>
  <c r="R267" i="18"/>
  <c r="Q267" i="18"/>
  <c r="P267" i="18"/>
  <c r="O267" i="18"/>
  <c r="R266" i="18"/>
  <c r="Q266" i="18"/>
  <c r="P266" i="18"/>
  <c r="O266" i="18"/>
  <c r="R265" i="18"/>
  <c r="Q265" i="18"/>
  <c r="P265" i="18"/>
  <c r="O265" i="18"/>
  <c r="R264" i="18"/>
  <c r="Q264" i="18"/>
  <c r="P264" i="18"/>
  <c r="O264" i="18"/>
  <c r="R263" i="18"/>
  <c r="Q263" i="18"/>
  <c r="P263" i="18"/>
  <c r="O263" i="18"/>
  <c r="R262" i="18"/>
  <c r="Q262" i="18"/>
  <c r="P262" i="18"/>
  <c r="O262" i="18"/>
  <c r="R261" i="18"/>
  <c r="Q261" i="18"/>
  <c r="P261" i="18"/>
  <c r="O261" i="18"/>
  <c r="R260" i="18"/>
  <c r="Q260" i="18"/>
  <c r="P260" i="18"/>
  <c r="O260" i="18"/>
  <c r="R259" i="18"/>
  <c r="Q259" i="18"/>
  <c r="P259" i="18"/>
  <c r="O259" i="18"/>
  <c r="R258" i="18"/>
  <c r="Q258" i="18"/>
  <c r="P258" i="18"/>
  <c r="O258" i="18"/>
  <c r="R257" i="18"/>
  <c r="Q257" i="18"/>
  <c r="P257" i="18"/>
  <c r="O257" i="18"/>
  <c r="R256" i="18"/>
  <c r="Q256" i="18"/>
  <c r="P256" i="18"/>
  <c r="O256" i="18"/>
  <c r="R255" i="18"/>
  <c r="Q255" i="18"/>
  <c r="P255" i="18"/>
  <c r="O255" i="18"/>
  <c r="R254" i="18"/>
  <c r="Q254" i="18"/>
  <c r="P254" i="18"/>
  <c r="O254" i="18"/>
  <c r="R253" i="18"/>
  <c r="Q253" i="18"/>
  <c r="P253" i="18"/>
  <c r="O253" i="18"/>
  <c r="R252" i="18"/>
  <c r="Q252" i="18"/>
  <c r="P252" i="18"/>
  <c r="O252" i="18"/>
  <c r="R251" i="18"/>
  <c r="Q251" i="18"/>
  <c r="P251" i="18"/>
  <c r="O251" i="18"/>
  <c r="R250" i="18"/>
  <c r="Q250" i="18"/>
  <c r="P250" i="18"/>
  <c r="O250" i="18"/>
  <c r="R249" i="18"/>
  <c r="Q249" i="18"/>
  <c r="P249" i="18"/>
  <c r="O249" i="18"/>
  <c r="R248" i="18"/>
  <c r="Q248" i="18"/>
  <c r="P248" i="18"/>
  <c r="O248" i="18"/>
  <c r="R247" i="18"/>
  <c r="Q247" i="18"/>
  <c r="P247" i="18"/>
  <c r="O247" i="18"/>
  <c r="R246" i="18"/>
  <c r="Q246" i="18"/>
  <c r="P246" i="18"/>
  <c r="O246" i="18"/>
  <c r="R245" i="18"/>
  <c r="Q245" i="18"/>
  <c r="P245" i="18"/>
  <c r="O245" i="18"/>
  <c r="R244" i="18"/>
  <c r="Q244" i="18"/>
  <c r="P244" i="18"/>
  <c r="O244" i="18"/>
  <c r="R243" i="18"/>
  <c r="Q243" i="18"/>
  <c r="P243" i="18"/>
  <c r="O243" i="18"/>
  <c r="R242" i="18"/>
  <c r="Q242" i="18"/>
  <c r="P242" i="18"/>
  <c r="O242" i="18"/>
  <c r="R241" i="18"/>
  <c r="Q241" i="18"/>
  <c r="P241" i="18"/>
  <c r="O241" i="18"/>
  <c r="R240" i="18"/>
  <c r="Q240" i="18"/>
  <c r="P240" i="18"/>
  <c r="O240" i="18"/>
  <c r="R239" i="18"/>
  <c r="Q239" i="18"/>
  <c r="P239" i="18"/>
  <c r="O239" i="18"/>
  <c r="R238" i="18"/>
  <c r="Q238" i="18"/>
  <c r="P238" i="18"/>
  <c r="O238" i="18"/>
  <c r="R237" i="18"/>
  <c r="Q237" i="18"/>
  <c r="P237" i="18"/>
  <c r="O237" i="18"/>
  <c r="R236" i="18"/>
  <c r="Q236" i="18"/>
  <c r="P236" i="18"/>
  <c r="O236" i="18"/>
  <c r="R235" i="18"/>
  <c r="Q235" i="18"/>
  <c r="P235" i="18"/>
  <c r="O235" i="18"/>
  <c r="R234" i="18"/>
  <c r="Q234" i="18"/>
  <c r="P234" i="18"/>
  <c r="O234" i="18"/>
  <c r="R233" i="18"/>
  <c r="Q233" i="18"/>
  <c r="P233" i="18"/>
  <c r="O233" i="18"/>
  <c r="R232" i="18"/>
  <c r="Q232" i="18"/>
  <c r="P232" i="18"/>
  <c r="O232" i="18"/>
  <c r="R231" i="18"/>
  <c r="Q231" i="18"/>
  <c r="P231" i="18"/>
  <c r="O231" i="18"/>
  <c r="R230" i="18"/>
  <c r="Q230" i="18"/>
  <c r="P230" i="18"/>
  <c r="O230" i="18"/>
  <c r="R229" i="18"/>
  <c r="Q229" i="18"/>
  <c r="P229" i="18"/>
  <c r="O229" i="18"/>
  <c r="R228" i="18"/>
  <c r="Q228" i="18"/>
  <c r="P228" i="18"/>
  <c r="O228" i="18"/>
  <c r="R227" i="18"/>
  <c r="Q227" i="18"/>
  <c r="P227" i="18"/>
  <c r="O227" i="18"/>
  <c r="R226" i="18"/>
  <c r="Q226" i="18"/>
  <c r="P226" i="18"/>
  <c r="O226" i="18"/>
  <c r="R225" i="18"/>
  <c r="Q225" i="18"/>
  <c r="P225" i="18"/>
  <c r="O225" i="18"/>
  <c r="R224" i="18"/>
  <c r="Q224" i="18"/>
  <c r="P224" i="18"/>
  <c r="O224" i="18"/>
  <c r="R223" i="18"/>
  <c r="Q223" i="18"/>
  <c r="P223" i="18"/>
  <c r="O223" i="18"/>
  <c r="R222" i="18"/>
  <c r="Q222" i="18"/>
  <c r="P222" i="18"/>
  <c r="O222" i="18"/>
  <c r="R221" i="18"/>
  <c r="Q221" i="18"/>
  <c r="P221" i="18"/>
  <c r="O221" i="18"/>
  <c r="R220" i="18"/>
  <c r="Q220" i="18"/>
  <c r="P220" i="18"/>
  <c r="O220" i="18"/>
  <c r="R219" i="18"/>
  <c r="Q219" i="18"/>
  <c r="P219" i="18"/>
  <c r="O219" i="18"/>
  <c r="R218" i="18"/>
  <c r="Q218" i="18"/>
  <c r="P218" i="18"/>
  <c r="O218" i="18"/>
  <c r="R217" i="18"/>
  <c r="Q217" i="18"/>
  <c r="P217" i="18"/>
  <c r="O217" i="18"/>
  <c r="R216" i="18"/>
  <c r="Q216" i="18"/>
  <c r="P216" i="18"/>
  <c r="O216" i="18"/>
  <c r="R215" i="18"/>
  <c r="Q215" i="18"/>
  <c r="P215" i="18"/>
  <c r="O215" i="18"/>
  <c r="R214" i="18"/>
  <c r="Q214" i="18"/>
  <c r="P214" i="18"/>
  <c r="O214" i="18"/>
  <c r="R213" i="18"/>
  <c r="Q213" i="18"/>
  <c r="P213" i="18"/>
  <c r="O213" i="18"/>
  <c r="R212" i="18"/>
  <c r="Q212" i="18"/>
  <c r="P212" i="18"/>
  <c r="O212" i="18"/>
  <c r="R211" i="18"/>
  <c r="Q211" i="18"/>
  <c r="P211" i="18"/>
  <c r="O211" i="18"/>
  <c r="R210" i="18"/>
  <c r="Q210" i="18"/>
  <c r="P210" i="18"/>
  <c r="O210" i="18"/>
  <c r="R209" i="18"/>
  <c r="Q209" i="18"/>
  <c r="P209" i="18"/>
  <c r="O209" i="18"/>
  <c r="R208" i="18"/>
  <c r="Q208" i="18"/>
  <c r="P208" i="18"/>
  <c r="O208" i="18"/>
  <c r="R207" i="18"/>
  <c r="Q207" i="18"/>
  <c r="P207" i="18"/>
  <c r="O207" i="18"/>
  <c r="R206" i="18"/>
  <c r="Q206" i="18"/>
  <c r="P206" i="18"/>
  <c r="O206" i="18"/>
  <c r="R205" i="18"/>
  <c r="Q205" i="18"/>
  <c r="P205" i="18"/>
  <c r="O205" i="18"/>
  <c r="R204" i="18"/>
  <c r="Q204" i="18"/>
  <c r="P204" i="18"/>
  <c r="O204" i="18"/>
  <c r="R203" i="18"/>
  <c r="Q203" i="18"/>
  <c r="P203" i="18"/>
  <c r="O203" i="18"/>
  <c r="R202" i="18"/>
  <c r="Q202" i="18"/>
  <c r="P202" i="18"/>
  <c r="O202" i="18"/>
  <c r="R201" i="18"/>
  <c r="Q201" i="18"/>
  <c r="P201" i="18"/>
  <c r="O201" i="18"/>
  <c r="R200" i="18"/>
  <c r="Q200" i="18"/>
  <c r="P200" i="18"/>
  <c r="O200" i="18"/>
  <c r="R199" i="18"/>
  <c r="Q199" i="18"/>
  <c r="P199" i="18"/>
  <c r="O199" i="18"/>
  <c r="R198" i="18"/>
  <c r="Q198" i="18"/>
  <c r="P198" i="18"/>
  <c r="O198" i="18"/>
  <c r="R197" i="18"/>
  <c r="Q197" i="18"/>
  <c r="P197" i="18"/>
  <c r="O197" i="18"/>
  <c r="R196" i="18"/>
  <c r="Q196" i="18"/>
  <c r="P196" i="18"/>
  <c r="O196" i="18"/>
  <c r="R195" i="18"/>
  <c r="Q195" i="18"/>
  <c r="P195" i="18"/>
  <c r="O195" i="18"/>
  <c r="R194" i="18"/>
  <c r="Q194" i="18"/>
  <c r="P194" i="18"/>
  <c r="O194" i="18"/>
  <c r="R193" i="18"/>
  <c r="Q193" i="18"/>
  <c r="P193" i="18"/>
  <c r="O193" i="18"/>
  <c r="R192" i="18"/>
  <c r="Q192" i="18"/>
  <c r="P192" i="18"/>
  <c r="O192" i="18"/>
  <c r="R191" i="18"/>
  <c r="Q191" i="18"/>
  <c r="P191" i="18"/>
  <c r="O191" i="18"/>
  <c r="R190" i="18"/>
  <c r="Q190" i="18"/>
  <c r="P190" i="18"/>
  <c r="O190" i="18"/>
  <c r="R189" i="18"/>
  <c r="Q189" i="18"/>
  <c r="P189" i="18"/>
  <c r="O189" i="18"/>
  <c r="R188" i="18"/>
  <c r="Q188" i="18"/>
  <c r="P188" i="18"/>
  <c r="O188" i="18"/>
  <c r="R187" i="18"/>
  <c r="Q187" i="18"/>
  <c r="P187" i="18"/>
  <c r="O187" i="18"/>
  <c r="R186" i="18"/>
  <c r="Q186" i="18"/>
  <c r="P186" i="18"/>
  <c r="O186" i="18"/>
  <c r="R185" i="18"/>
  <c r="Q185" i="18"/>
  <c r="P185" i="18"/>
  <c r="O185" i="18"/>
  <c r="R184" i="18"/>
  <c r="Q184" i="18"/>
  <c r="P184" i="18"/>
  <c r="O184" i="18"/>
  <c r="R183" i="18"/>
  <c r="Q183" i="18"/>
  <c r="P183" i="18"/>
  <c r="O183" i="18"/>
  <c r="R182" i="18"/>
  <c r="Q182" i="18"/>
  <c r="P182" i="18"/>
  <c r="O182" i="18"/>
  <c r="R181" i="18"/>
  <c r="Q181" i="18"/>
  <c r="P181" i="18"/>
  <c r="O181" i="18"/>
  <c r="R180" i="18"/>
  <c r="Q180" i="18"/>
  <c r="P180" i="18"/>
  <c r="O180" i="18"/>
  <c r="R179" i="18"/>
  <c r="Q179" i="18"/>
  <c r="P179" i="18"/>
  <c r="O179" i="18"/>
  <c r="R178" i="18"/>
  <c r="Q178" i="18"/>
  <c r="P178" i="18"/>
  <c r="O178" i="18"/>
  <c r="R177" i="18"/>
  <c r="Q177" i="18"/>
  <c r="P177" i="18"/>
  <c r="O177" i="18"/>
  <c r="R176" i="18"/>
  <c r="Q176" i="18"/>
  <c r="P176" i="18"/>
  <c r="O176" i="18"/>
  <c r="R175" i="18"/>
  <c r="Q175" i="18"/>
  <c r="P175" i="18"/>
  <c r="O175" i="18"/>
  <c r="R174" i="18"/>
  <c r="Q174" i="18"/>
  <c r="P174" i="18"/>
  <c r="O174" i="18"/>
  <c r="R173" i="18"/>
  <c r="Q173" i="18"/>
  <c r="P173" i="18"/>
  <c r="O173" i="18"/>
  <c r="R172" i="18"/>
  <c r="Q172" i="18"/>
  <c r="P172" i="18"/>
  <c r="O172" i="18"/>
  <c r="R171" i="18"/>
  <c r="Q171" i="18"/>
  <c r="P171" i="18"/>
  <c r="O171" i="18"/>
  <c r="R170" i="18"/>
  <c r="Q170" i="18"/>
  <c r="P170" i="18"/>
  <c r="O170" i="18"/>
  <c r="R169" i="18"/>
  <c r="Q169" i="18"/>
  <c r="P169" i="18"/>
  <c r="O169" i="18"/>
  <c r="R168" i="18"/>
  <c r="Q168" i="18"/>
  <c r="P168" i="18"/>
  <c r="O168" i="18"/>
  <c r="R167" i="18"/>
  <c r="Q167" i="18"/>
  <c r="P167" i="18"/>
  <c r="O167" i="18"/>
  <c r="R166" i="18"/>
  <c r="Q166" i="18"/>
  <c r="P166" i="18"/>
  <c r="O166" i="18"/>
  <c r="R165" i="18"/>
  <c r="Q165" i="18"/>
  <c r="P165" i="18"/>
  <c r="O165" i="18"/>
  <c r="R164" i="18"/>
  <c r="Q164" i="18"/>
  <c r="P164" i="18"/>
  <c r="O164" i="18"/>
  <c r="R163" i="18"/>
  <c r="Q163" i="18"/>
  <c r="P163" i="18"/>
  <c r="O163" i="18"/>
  <c r="R162" i="18"/>
  <c r="Q162" i="18"/>
  <c r="P162" i="18"/>
  <c r="O162" i="18"/>
  <c r="R161" i="18"/>
  <c r="Q161" i="18"/>
  <c r="P161" i="18"/>
  <c r="O161" i="18"/>
  <c r="R160" i="18"/>
  <c r="Q160" i="18"/>
  <c r="P160" i="18"/>
  <c r="O160" i="18"/>
  <c r="R159" i="18"/>
  <c r="Q159" i="18"/>
  <c r="P159" i="18"/>
  <c r="O159" i="18"/>
  <c r="R158" i="18"/>
  <c r="Q158" i="18"/>
  <c r="P158" i="18"/>
  <c r="O158" i="18"/>
  <c r="R157" i="18"/>
  <c r="Q157" i="18"/>
  <c r="P157" i="18"/>
  <c r="O157" i="18"/>
  <c r="R156" i="18"/>
  <c r="Q156" i="18"/>
  <c r="P156" i="18"/>
  <c r="O156" i="18"/>
  <c r="R155" i="18"/>
  <c r="Q155" i="18"/>
  <c r="P155" i="18"/>
  <c r="O155" i="18"/>
  <c r="R154" i="18"/>
  <c r="Q154" i="18"/>
  <c r="P154" i="18"/>
  <c r="O154" i="18"/>
  <c r="R153" i="18"/>
  <c r="Q153" i="18"/>
  <c r="P153" i="18"/>
  <c r="O153" i="18"/>
  <c r="R152" i="18"/>
  <c r="Q152" i="18"/>
  <c r="P152" i="18"/>
  <c r="O152" i="18"/>
  <c r="R151" i="18"/>
  <c r="Q151" i="18"/>
  <c r="P151" i="18"/>
  <c r="O151" i="18"/>
  <c r="R150" i="18"/>
  <c r="Q150" i="18"/>
  <c r="P150" i="18"/>
  <c r="O150" i="18"/>
  <c r="R149" i="18"/>
  <c r="Q149" i="18"/>
  <c r="P149" i="18"/>
  <c r="O149" i="18"/>
  <c r="R148" i="18"/>
  <c r="Q148" i="18"/>
  <c r="P148" i="18"/>
  <c r="O148" i="18"/>
  <c r="R147" i="18"/>
  <c r="Q147" i="18"/>
  <c r="P147" i="18"/>
  <c r="O147" i="18"/>
  <c r="R146" i="18"/>
  <c r="Q146" i="18"/>
  <c r="P146" i="18"/>
  <c r="O146" i="18"/>
  <c r="R145" i="18"/>
  <c r="Q145" i="18"/>
  <c r="P145" i="18"/>
  <c r="O145" i="18"/>
  <c r="R144" i="18"/>
  <c r="Q144" i="18"/>
  <c r="P144" i="18"/>
  <c r="O144" i="18"/>
  <c r="R143" i="18"/>
  <c r="Q143" i="18"/>
  <c r="P143" i="18"/>
  <c r="O143" i="18"/>
  <c r="R142" i="18"/>
  <c r="Q142" i="18"/>
  <c r="P142" i="18"/>
  <c r="O142" i="18"/>
  <c r="R141" i="18"/>
  <c r="Q141" i="18"/>
  <c r="P141" i="18"/>
  <c r="O141" i="18"/>
  <c r="R140" i="18"/>
  <c r="Q140" i="18"/>
  <c r="P140" i="18"/>
  <c r="O140" i="18"/>
  <c r="R139" i="18"/>
  <c r="Q139" i="18"/>
  <c r="P139" i="18"/>
  <c r="O139" i="18"/>
  <c r="R138" i="18"/>
  <c r="Q138" i="18"/>
  <c r="P138" i="18"/>
  <c r="O138" i="18"/>
  <c r="R137" i="18"/>
  <c r="Q137" i="18"/>
  <c r="P137" i="18"/>
  <c r="O137" i="18"/>
  <c r="R136" i="18"/>
  <c r="Q136" i="18"/>
  <c r="P136" i="18"/>
  <c r="O136" i="18"/>
  <c r="R135" i="18"/>
  <c r="Q135" i="18"/>
  <c r="P135" i="18"/>
  <c r="O135" i="18"/>
  <c r="R134" i="18"/>
  <c r="Q134" i="18"/>
  <c r="P134" i="18"/>
  <c r="O134" i="18"/>
  <c r="R133" i="18"/>
  <c r="Q133" i="18"/>
  <c r="P133" i="18"/>
  <c r="O133" i="18"/>
  <c r="R132" i="18"/>
  <c r="Q132" i="18"/>
  <c r="P132" i="18"/>
  <c r="O132" i="18"/>
  <c r="R131" i="18"/>
  <c r="Q131" i="18"/>
  <c r="P131" i="18"/>
  <c r="O131" i="18"/>
  <c r="R130" i="18"/>
  <c r="Q130" i="18"/>
  <c r="P130" i="18"/>
  <c r="O130" i="18"/>
  <c r="R129" i="18"/>
  <c r="Q129" i="18"/>
  <c r="P129" i="18"/>
  <c r="O129" i="18"/>
  <c r="R128" i="18"/>
  <c r="Q128" i="18"/>
  <c r="P128" i="18"/>
  <c r="O128" i="18"/>
  <c r="R127" i="18"/>
  <c r="Q127" i="18"/>
  <c r="P127" i="18"/>
  <c r="O127" i="18"/>
  <c r="R126" i="18"/>
  <c r="Q126" i="18"/>
  <c r="P126" i="18"/>
  <c r="O126" i="18"/>
  <c r="R125" i="18"/>
  <c r="Q125" i="18"/>
  <c r="P125" i="18"/>
  <c r="O125" i="18"/>
  <c r="R124" i="18"/>
  <c r="Q124" i="18"/>
  <c r="P124" i="18"/>
  <c r="O124" i="18"/>
  <c r="R123" i="18"/>
  <c r="Q123" i="18"/>
  <c r="P123" i="18"/>
  <c r="O123" i="18"/>
  <c r="R122" i="18"/>
  <c r="Q122" i="18"/>
  <c r="P122" i="18"/>
  <c r="O122" i="18"/>
  <c r="R121" i="18"/>
  <c r="Q121" i="18"/>
  <c r="P121" i="18"/>
  <c r="O121" i="18"/>
  <c r="R120" i="18"/>
  <c r="Q120" i="18"/>
  <c r="P120" i="18"/>
  <c r="O120" i="18"/>
  <c r="R119" i="18"/>
  <c r="Q119" i="18"/>
  <c r="P119" i="18"/>
  <c r="O119" i="18"/>
  <c r="R118" i="18"/>
  <c r="Q118" i="18"/>
  <c r="P118" i="18"/>
  <c r="O118" i="18"/>
  <c r="R117" i="18"/>
  <c r="Q117" i="18"/>
  <c r="P117" i="18"/>
  <c r="O117" i="18"/>
  <c r="R116" i="18"/>
  <c r="Q116" i="18"/>
  <c r="P116" i="18"/>
  <c r="O116" i="18"/>
  <c r="R115" i="18"/>
  <c r="Q115" i="18"/>
  <c r="P115" i="18"/>
  <c r="O115" i="18"/>
  <c r="R114" i="18"/>
  <c r="Q114" i="18"/>
  <c r="P114" i="18"/>
  <c r="O114" i="18"/>
  <c r="R113" i="18"/>
  <c r="Q113" i="18"/>
  <c r="P113" i="18"/>
  <c r="O113" i="18"/>
  <c r="R112" i="18"/>
  <c r="Q112" i="18"/>
  <c r="P112" i="18"/>
  <c r="O112" i="18"/>
  <c r="R111" i="18"/>
  <c r="Q111" i="18"/>
  <c r="P111" i="18"/>
  <c r="O111" i="18"/>
  <c r="R110" i="18"/>
  <c r="Q110" i="18"/>
  <c r="P110" i="18"/>
  <c r="O110" i="18"/>
  <c r="R109" i="18"/>
  <c r="Q109" i="18"/>
  <c r="P109" i="18"/>
  <c r="O109" i="18"/>
  <c r="R108" i="18"/>
  <c r="Q108" i="18"/>
  <c r="P108" i="18"/>
  <c r="O108" i="18"/>
  <c r="R107" i="18"/>
  <c r="Q107" i="18"/>
  <c r="P107" i="18"/>
  <c r="O107" i="18"/>
  <c r="R106" i="18"/>
  <c r="Q106" i="18"/>
  <c r="P106" i="18"/>
  <c r="O106" i="18"/>
  <c r="R105" i="18"/>
  <c r="Q105" i="18"/>
  <c r="P105" i="18"/>
  <c r="O105" i="18"/>
  <c r="R104" i="18"/>
  <c r="Q104" i="18"/>
  <c r="P104" i="18"/>
  <c r="O104" i="18"/>
  <c r="R103" i="18"/>
  <c r="Q103" i="18"/>
  <c r="P103" i="18"/>
  <c r="O103" i="18"/>
  <c r="R102" i="18"/>
  <c r="Q102" i="18"/>
  <c r="P102" i="18"/>
  <c r="O102" i="18"/>
  <c r="R101" i="18"/>
  <c r="Q101" i="18"/>
  <c r="P101" i="18"/>
  <c r="O101" i="18"/>
  <c r="R100" i="18"/>
  <c r="Q100" i="18"/>
  <c r="P100" i="18"/>
  <c r="O100" i="18"/>
  <c r="R99" i="18"/>
  <c r="Q99" i="18"/>
  <c r="P99" i="18"/>
  <c r="O99" i="18"/>
  <c r="R98" i="18"/>
  <c r="Q98" i="18"/>
  <c r="P98" i="18"/>
  <c r="O98" i="18"/>
  <c r="R97" i="18"/>
  <c r="Q97" i="18"/>
  <c r="P97" i="18"/>
  <c r="O97" i="18"/>
  <c r="R96" i="18"/>
  <c r="Q96" i="18"/>
  <c r="P96" i="18"/>
  <c r="O96" i="18"/>
  <c r="R95" i="18"/>
  <c r="Q95" i="18"/>
  <c r="P95" i="18"/>
  <c r="O95" i="18"/>
  <c r="R94" i="18"/>
  <c r="Q94" i="18"/>
  <c r="P94" i="18"/>
  <c r="O94" i="18"/>
  <c r="R93" i="18"/>
  <c r="Q93" i="18"/>
  <c r="P93" i="18"/>
  <c r="O93" i="18"/>
  <c r="R92" i="18"/>
  <c r="Q92" i="18"/>
  <c r="P92" i="18"/>
  <c r="O92" i="18"/>
  <c r="R91" i="18"/>
  <c r="Q91" i="18"/>
  <c r="P91" i="18"/>
  <c r="O91" i="18"/>
  <c r="R90" i="18"/>
  <c r="Q90" i="18"/>
  <c r="P90" i="18"/>
  <c r="O90" i="18"/>
  <c r="R89" i="18"/>
  <c r="Q89" i="18"/>
  <c r="P89" i="18"/>
  <c r="O89" i="18"/>
  <c r="R88" i="18"/>
  <c r="Q88" i="18"/>
  <c r="P88" i="18"/>
  <c r="O88" i="18"/>
  <c r="R87" i="18"/>
  <c r="Q87" i="18"/>
  <c r="P87" i="18"/>
  <c r="O87" i="18"/>
  <c r="R86" i="18"/>
  <c r="Q86" i="18"/>
  <c r="P86" i="18"/>
  <c r="O86" i="18"/>
  <c r="R85" i="18"/>
  <c r="Q85" i="18"/>
  <c r="P85" i="18"/>
  <c r="O85" i="18"/>
  <c r="R84" i="18"/>
  <c r="Q84" i="18"/>
  <c r="P84" i="18"/>
  <c r="O84" i="18"/>
  <c r="R83" i="18"/>
  <c r="Q83" i="18"/>
  <c r="P83" i="18"/>
  <c r="O83" i="18"/>
  <c r="R82" i="18"/>
  <c r="Q82" i="18"/>
  <c r="P82" i="18"/>
  <c r="O82" i="18"/>
  <c r="R81" i="18"/>
  <c r="Q81" i="18"/>
  <c r="P81" i="18"/>
  <c r="O81" i="18"/>
  <c r="R80" i="18"/>
  <c r="Q80" i="18"/>
  <c r="P80" i="18"/>
  <c r="O80" i="18"/>
  <c r="R79" i="18"/>
  <c r="Q79" i="18"/>
  <c r="P79" i="18"/>
  <c r="O79" i="18"/>
  <c r="R78" i="18"/>
  <c r="Q78" i="18"/>
  <c r="P78" i="18"/>
  <c r="O78" i="18"/>
  <c r="R77" i="18"/>
  <c r="Q77" i="18"/>
  <c r="P77" i="18"/>
  <c r="O77" i="18"/>
  <c r="R76" i="18"/>
  <c r="Q76" i="18"/>
  <c r="P76" i="18"/>
  <c r="O76" i="18"/>
  <c r="R75" i="18"/>
  <c r="Q75" i="18"/>
  <c r="P75" i="18"/>
  <c r="O75" i="18"/>
  <c r="R74" i="18"/>
  <c r="Q74" i="18"/>
  <c r="P74" i="18"/>
  <c r="O74" i="18"/>
  <c r="R73" i="18"/>
  <c r="Q73" i="18"/>
  <c r="P73" i="18"/>
  <c r="O73" i="18"/>
  <c r="R72" i="18"/>
  <c r="Q72" i="18"/>
  <c r="P72" i="18"/>
  <c r="O72" i="18"/>
  <c r="R71" i="18"/>
  <c r="Q71" i="18"/>
  <c r="P71" i="18"/>
  <c r="O71" i="18"/>
  <c r="R70" i="18"/>
  <c r="Q70" i="18"/>
  <c r="P70" i="18"/>
  <c r="O70" i="18"/>
  <c r="R69" i="18"/>
  <c r="Q69" i="18"/>
  <c r="P69" i="18"/>
  <c r="O69" i="18"/>
  <c r="R68" i="18"/>
  <c r="Q68" i="18"/>
  <c r="P68" i="18"/>
  <c r="O68" i="18"/>
  <c r="R67" i="18"/>
  <c r="Q67" i="18"/>
  <c r="P67" i="18"/>
  <c r="O67" i="18"/>
  <c r="R66" i="18"/>
  <c r="Q66" i="18"/>
  <c r="P66" i="18"/>
  <c r="O66" i="18"/>
  <c r="R65" i="18"/>
  <c r="Q65" i="18"/>
  <c r="P65" i="18"/>
  <c r="O65" i="18"/>
  <c r="R64" i="18"/>
  <c r="Q64" i="18"/>
  <c r="P64" i="18"/>
  <c r="O64" i="18"/>
  <c r="R63" i="18"/>
  <c r="Q63" i="18"/>
  <c r="P63" i="18"/>
  <c r="O63" i="18"/>
  <c r="R62" i="18"/>
  <c r="Q62" i="18"/>
  <c r="P62" i="18"/>
  <c r="O62" i="18"/>
  <c r="R61" i="18"/>
  <c r="Q61" i="18"/>
  <c r="P61" i="18"/>
  <c r="O61" i="18"/>
  <c r="R60" i="18"/>
  <c r="Q60" i="18"/>
  <c r="P60" i="18"/>
  <c r="O60" i="18"/>
  <c r="R59" i="18"/>
  <c r="Q59" i="18"/>
  <c r="P59" i="18"/>
  <c r="O59" i="18"/>
  <c r="R58" i="18"/>
  <c r="Q58" i="18"/>
  <c r="P58" i="18"/>
  <c r="O58" i="18"/>
  <c r="R57" i="18"/>
  <c r="Q57" i="18"/>
  <c r="P57" i="18"/>
  <c r="O57" i="18"/>
  <c r="R56" i="18"/>
  <c r="Q56" i="18"/>
  <c r="P56" i="18"/>
  <c r="O56" i="18"/>
  <c r="R55" i="18"/>
  <c r="Q55" i="18"/>
  <c r="P55" i="18"/>
  <c r="O55" i="18"/>
  <c r="R54" i="18"/>
  <c r="Q54" i="18"/>
  <c r="P54" i="18"/>
  <c r="O54" i="18"/>
  <c r="R53" i="18"/>
  <c r="Q53" i="18"/>
  <c r="P53" i="18"/>
  <c r="O53" i="18"/>
  <c r="R52" i="18"/>
  <c r="Q52" i="18"/>
  <c r="P52" i="18"/>
  <c r="O52" i="18"/>
  <c r="R51" i="18"/>
  <c r="Q51" i="18"/>
  <c r="P51" i="18"/>
  <c r="O51" i="18"/>
  <c r="R50" i="18"/>
  <c r="Q50" i="18"/>
  <c r="P50" i="18"/>
  <c r="O50" i="18"/>
  <c r="R49" i="18"/>
  <c r="Q49" i="18"/>
  <c r="P49" i="18"/>
  <c r="O49" i="18"/>
  <c r="R48" i="18"/>
  <c r="Q48" i="18"/>
  <c r="P48" i="18"/>
  <c r="O48" i="18"/>
  <c r="R47" i="18"/>
  <c r="Q47" i="18"/>
  <c r="P47" i="18"/>
  <c r="O47" i="18"/>
  <c r="R46" i="18"/>
  <c r="Q46" i="18"/>
  <c r="P46" i="18"/>
  <c r="O46" i="18"/>
  <c r="R45" i="18"/>
  <c r="Q45" i="18"/>
  <c r="P45" i="18"/>
  <c r="O45" i="18"/>
  <c r="R44" i="18"/>
  <c r="Q44" i="18"/>
  <c r="P44" i="18"/>
  <c r="O44" i="18"/>
  <c r="R43" i="18"/>
  <c r="Q43" i="18"/>
  <c r="P43" i="18"/>
  <c r="O43" i="18"/>
  <c r="R42" i="18"/>
  <c r="Q42" i="18"/>
  <c r="P42" i="18"/>
  <c r="O42" i="18"/>
  <c r="R41" i="18"/>
  <c r="Q41" i="18"/>
  <c r="P41" i="18"/>
  <c r="O41" i="18"/>
  <c r="R40" i="18"/>
  <c r="Q40" i="18"/>
  <c r="P40" i="18"/>
  <c r="O40" i="18"/>
  <c r="R39" i="18"/>
  <c r="Q39" i="18"/>
  <c r="P39" i="18"/>
  <c r="O39" i="18"/>
  <c r="R38" i="18"/>
  <c r="Q38" i="18"/>
  <c r="P38" i="18"/>
  <c r="O38" i="18"/>
  <c r="R37" i="18"/>
  <c r="Q37" i="18"/>
  <c r="P37" i="18"/>
  <c r="O37" i="18"/>
  <c r="R36" i="18"/>
  <c r="Q36" i="18"/>
  <c r="P36" i="18"/>
  <c r="O36" i="18"/>
  <c r="R35" i="18"/>
  <c r="Q35" i="18"/>
  <c r="P35" i="18"/>
  <c r="O35" i="18"/>
  <c r="R34" i="18"/>
  <c r="Q34" i="18"/>
  <c r="P34" i="18"/>
  <c r="O34" i="18"/>
  <c r="R33" i="18"/>
  <c r="Q33" i="18"/>
  <c r="P33" i="18"/>
  <c r="O33" i="18"/>
  <c r="R32" i="18"/>
  <c r="Q32" i="18"/>
  <c r="P32" i="18"/>
  <c r="O32" i="18"/>
  <c r="R31" i="18"/>
  <c r="Q31" i="18"/>
  <c r="P31" i="18"/>
  <c r="O31" i="18"/>
  <c r="R30" i="18"/>
  <c r="Q30" i="18"/>
  <c r="P30" i="18"/>
  <c r="O30" i="18"/>
  <c r="R29" i="18"/>
  <c r="Q29" i="18"/>
  <c r="P29" i="18"/>
  <c r="O29" i="18"/>
  <c r="R28" i="18"/>
  <c r="Q28" i="18"/>
  <c r="P28" i="18"/>
  <c r="O28" i="18"/>
  <c r="R27" i="18"/>
  <c r="Q27" i="18"/>
  <c r="P27" i="18"/>
  <c r="O27" i="18"/>
  <c r="R26" i="18"/>
  <c r="Q26" i="18"/>
  <c r="P26" i="18"/>
  <c r="O26" i="18"/>
  <c r="R25" i="18"/>
  <c r="Q25" i="18"/>
  <c r="P25" i="18"/>
  <c r="O25" i="18"/>
  <c r="R24" i="18"/>
  <c r="Q24" i="18"/>
  <c r="P24" i="18"/>
  <c r="O24" i="18"/>
  <c r="R23" i="18"/>
  <c r="Q23" i="18"/>
  <c r="P23" i="18"/>
  <c r="O23" i="18"/>
  <c r="R22" i="18"/>
  <c r="Q22" i="18"/>
  <c r="P22" i="18"/>
  <c r="O22" i="18"/>
  <c r="R21" i="18"/>
  <c r="Q21" i="18"/>
  <c r="P21" i="18"/>
  <c r="O21" i="18"/>
  <c r="R20" i="18"/>
  <c r="Q20" i="18"/>
  <c r="P20" i="18"/>
  <c r="O20" i="18"/>
  <c r="R19" i="18"/>
  <c r="Q19" i="18"/>
  <c r="P19" i="18"/>
  <c r="O19" i="18"/>
  <c r="R18" i="18"/>
  <c r="Q18" i="18"/>
  <c r="P18" i="18"/>
  <c r="O18" i="18"/>
  <c r="R17" i="18"/>
  <c r="Q17" i="18"/>
  <c r="P17" i="18"/>
  <c r="O17" i="18"/>
  <c r="R16" i="18"/>
  <c r="Q16" i="18"/>
  <c r="P16" i="18"/>
  <c r="O16" i="18"/>
  <c r="R15" i="18"/>
  <c r="Q15" i="18"/>
  <c r="P15" i="18"/>
  <c r="O15" i="18"/>
  <c r="R14" i="18"/>
  <c r="Q14" i="18"/>
  <c r="P14" i="18"/>
  <c r="O14" i="18"/>
  <c r="R13" i="18"/>
  <c r="Q13" i="18"/>
  <c r="P13" i="18"/>
  <c r="O13" i="18"/>
  <c r="R12" i="18"/>
  <c r="Q12" i="18"/>
  <c r="P12" i="18"/>
  <c r="O12" i="18"/>
  <c r="R11" i="18"/>
  <c r="Q11" i="18"/>
  <c r="P11" i="18"/>
  <c r="O11" i="18"/>
  <c r="R10" i="18"/>
  <c r="Q10" i="18"/>
  <c r="P10" i="18"/>
  <c r="O10" i="18"/>
  <c r="R9" i="18"/>
  <c r="Q9" i="18"/>
  <c r="P9" i="18"/>
  <c r="O9" i="18"/>
  <c r="R8" i="18"/>
  <c r="Q8" i="18"/>
  <c r="P8" i="18"/>
  <c r="O8" i="18"/>
  <c r="R7" i="18"/>
  <c r="Q7" i="18"/>
  <c r="P7" i="18"/>
  <c r="O7" i="18"/>
  <c r="R6" i="18"/>
  <c r="Q6" i="18"/>
  <c r="P6" i="18"/>
  <c r="O6" i="18"/>
  <c r="AG3" i="18"/>
  <c r="AJ3" i="18"/>
  <c r="AI3" i="18"/>
  <c r="AH3" i="18"/>
  <c r="AF3" i="18"/>
  <c r="AE3" i="18"/>
  <c r="AD3" i="18"/>
  <c r="AC3" i="18"/>
  <c r="R5" i="18"/>
  <c r="Q5" i="18"/>
  <c r="P5" i="18"/>
  <c r="O5" i="18"/>
  <c r="AW7" i="18"/>
  <c r="AV6" i="18"/>
  <c r="AX6" i="18" s="1"/>
  <c r="F5" i="18"/>
  <c r="R71" i="17"/>
  <c r="Q71" i="17"/>
  <c r="P71" i="17"/>
  <c r="O71" i="17"/>
  <c r="R70" i="17"/>
  <c r="Q70" i="17"/>
  <c r="P70" i="17"/>
  <c r="O70" i="17"/>
  <c r="R69" i="17"/>
  <c r="Q69" i="17"/>
  <c r="P69" i="17"/>
  <c r="O69" i="17"/>
  <c r="R68" i="17"/>
  <c r="Q68" i="17"/>
  <c r="P68" i="17"/>
  <c r="O68" i="17"/>
  <c r="R67" i="17"/>
  <c r="Q67" i="17"/>
  <c r="P67" i="17"/>
  <c r="O67" i="17"/>
  <c r="R66" i="17"/>
  <c r="Q66" i="17"/>
  <c r="P66" i="17"/>
  <c r="O66" i="17"/>
  <c r="R65" i="17"/>
  <c r="Q65" i="17"/>
  <c r="P65" i="17"/>
  <c r="O65" i="17"/>
  <c r="R64" i="17"/>
  <c r="Q64" i="17"/>
  <c r="P64" i="17"/>
  <c r="O64" i="17"/>
  <c r="R63" i="17"/>
  <c r="Q63" i="17"/>
  <c r="P63" i="17"/>
  <c r="O63" i="17"/>
  <c r="R62" i="17"/>
  <c r="Q62" i="17"/>
  <c r="P62" i="17"/>
  <c r="O62" i="17"/>
  <c r="R61" i="17"/>
  <c r="Q61" i="17"/>
  <c r="P61" i="17"/>
  <c r="O61" i="17"/>
  <c r="R60" i="17"/>
  <c r="Q60" i="17"/>
  <c r="P60" i="17"/>
  <c r="O60" i="17"/>
  <c r="R59" i="17"/>
  <c r="Q59" i="17"/>
  <c r="P59" i="17"/>
  <c r="O59" i="17"/>
  <c r="R58" i="17"/>
  <c r="Q58" i="17"/>
  <c r="P58" i="17"/>
  <c r="O58" i="17"/>
  <c r="R57" i="17"/>
  <c r="Q57" i="17"/>
  <c r="P57" i="17"/>
  <c r="O57" i="17"/>
  <c r="R56" i="17"/>
  <c r="Q56" i="17"/>
  <c r="P56" i="17"/>
  <c r="O56" i="17"/>
  <c r="R55" i="17"/>
  <c r="Q55" i="17"/>
  <c r="P55" i="17"/>
  <c r="O55" i="17"/>
  <c r="R54" i="17"/>
  <c r="Q54" i="17"/>
  <c r="P54" i="17"/>
  <c r="O54" i="17"/>
  <c r="R53" i="17"/>
  <c r="Q53" i="17"/>
  <c r="P53" i="17"/>
  <c r="O53" i="17"/>
  <c r="R52" i="17"/>
  <c r="Q52" i="17"/>
  <c r="P52" i="17"/>
  <c r="O52" i="17"/>
  <c r="R51" i="17"/>
  <c r="Q51" i="17"/>
  <c r="P51" i="17"/>
  <c r="O51" i="17"/>
  <c r="R50" i="17"/>
  <c r="Q50" i="17"/>
  <c r="P50" i="17"/>
  <c r="O50" i="17"/>
  <c r="R49" i="17"/>
  <c r="Q49" i="17"/>
  <c r="P49" i="17"/>
  <c r="O49" i="17"/>
  <c r="R48" i="17"/>
  <c r="Q48" i="17"/>
  <c r="P48" i="17"/>
  <c r="O48" i="17"/>
  <c r="R47" i="17"/>
  <c r="Q47" i="17"/>
  <c r="P47" i="17"/>
  <c r="O47" i="17"/>
  <c r="R46" i="17"/>
  <c r="Q46" i="17"/>
  <c r="P46" i="17"/>
  <c r="O46" i="17"/>
  <c r="R45" i="17"/>
  <c r="Q45" i="17"/>
  <c r="P45" i="17"/>
  <c r="O45" i="17"/>
  <c r="R44" i="17"/>
  <c r="Q44" i="17"/>
  <c r="P44" i="17"/>
  <c r="O44" i="17"/>
  <c r="R43" i="17"/>
  <c r="Q43" i="17"/>
  <c r="P43" i="17"/>
  <c r="O43" i="17"/>
  <c r="R42" i="17"/>
  <c r="Q42" i="17"/>
  <c r="P42" i="17"/>
  <c r="O42" i="17"/>
  <c r="R41" i="17"/>
  <c r="Q41" i="17"/>
  <c r="P41" i="17"/>
  <c r="O41" i="17"/>
  <c r="R40" i="17"/>
  <c r="Q40" i="17"/>
  <c r="P40" i="17"/>
  <c r="O40" i="17"/>
  <c r="R39" i="17"/>
  <c r="Q39" i="17"/>
  <c r="P39" i="17"/>
  <c r="O39" i="17"/>
  <c r="R38" i="17"/>
  <c r="Q38" i="17"/>
  <c r="P38" i="17"/>
  <c r="O38" i="17"/>
  <c r="R37" i="17"/>
  <c r="Q37" i="17"/>
  <c r="P37" i="17"/>
  <c r="O37" i="17"/>
  <c r="R36" i="17"/>
  <c r="Q36" i="17"/>
  <c r="P36" i="17"/>
  <c r="O36" i="17"/>
  <c r="R35" i="17"/>
  <c r="Q35" i="17"/>
  <c r="P35" i="17"/>
  <c r="O35" i="17"/>
  <c r="R34" i="17"/>
  <c r="Q34" i="17"/>
  <c r="P34" i="17"/>
  <c r="O34" i="17"/>
  <c r="R33" i="17"/>
  <c r="Q33" i="17"/>
  <c r="P33" i="17"/>
  <c r="O33" i="17"/>
  <c r="R32" i="17"/>
  <c r="Q32" i="17"/>
  <c r="P32" i="17"/>
  <c r="O32" i="17"/>
  <c r="R31" i="17"/>
  <c r="Q31" i="17"/>
  <c r="P31" i="17"/>
  <c r="O31" i="17"/>
  <c r="R30" i="17"/>
  <c r="Q30" i="17"/>
  <c r="P30" i="17"/>
  <c r="O30" i="17"/>
  <c r="R29" i="17"/>
  <c r="Q29" i="17"/>
  <c r="P29" i="17"/>
  <c r="O29" i="17"/>
  <c r="R28" i="17"/>
  <c r="Q28" i="17"/>
  <c r="P28" i="17"/>
  <c r="O28" i="17"/>
  <c r="R27" i="17"/>
  <c r="Q27" i="17"/>
  <c r="P27" i="17"/>
  <c r="O27" i="17"/>
  <c r="R26" i="17"/>
  <c r="Q26" i="17"/>
  <c r="P26" i="17"/>
  <c r="O26" i="17"/>
  <c r="R25" i="17"/>
  <c r="Q25" i="17"/>
  <c r="P25" i="17"/>
  <c r="O25" i="17"/>
  <c r="R24" i="17"/>
  <c r="Q24" i="17"/>
  <c r="P24" i="17"/>
  <c r="O24" i="17"/>
  <c r="R23" i="17"/>
  <c r="Q23" i="17"/>
  <c r="P23" i="17"/>
  <c r="O23" i="17"/>
  <c r="R22" i="17"/>
  <c r="Q22" i="17"/>
  <c r="P22" i="17"/>
  <c r="O22" i="17"/>
  <c r="R21" i="17"/>
  <c r="Q21" i="17"/>
  <c r="P21" i="17"/>
  <c r="O21" i="17"/>
  <c r="R20" i="17"/>
  <c r="Q20" i="17"/>
  <c r="P20" i="17"/>
  <c r="O20" i="17"/>
  <c r="R19" i="17"/>
  <c r="Q19" i="17"/>
  <c r="P19" i="17"/>
  <c r="O19" i="17"/>
  <c r="R18" i="17"/>
  <c r="Q18" i="17"/>
  <c r="P18" i="17"/>
  <c r="O18" i="17"/>
  <c r="R17" i="17"/>
  <c r="Q17" i="17"/>
  <c r="P17" i="17"/>
  <c r="O17" i="17"/>
  <c r="R16" i="17"/>
  <c r="Q16" i="17"/>
  <c r="P16" i="17"/>
  <c r="O16" i="17"/>
  <c r="R15" i="17"/>
  <c r="Q15" i="17"/>
  <c r="P15" i="17"/>
  <c r="O15" i="17"/>
  <c r="R14" i="17"/>
  <c r="Q14" i="17"/>
  <c r="P14" i="17"/>
  <c r="O14" i="17"/>
  <c r="R13" i="17"/>
  <c r="Q13" i="17"/>
  <c r="P13" i="17"/>
  <c r="O13" i="17"/>
  <c r="R12" i="17"/>
  <c r="Q12" i="17"/>
  <c r="P12" i="17"/>
  <c r="O12" i="17"/>
  <c r="R11" i="17"/>
  <c r="Q11" i="17"/>
  <c r="P11" i="17"/>
  <c r="O11" i="17"/>
  <c r="R10" i="17"/>
  <c r="Q10" i="17"/>
  <c r="P10" i="17"/>
  <c r="O10" i="17"/>
  <c r="R9" i="17"/>
  <c r="Q9" i="17"/>
  <c r="P9" i="17"/>
  <c r="O9" i="17"/>
  <c r="R8" i="17"/>
  <c r="Q8" i="17"/>
  <c r="P8" i="17"/>
  <c r="O8" i="17"/>
  <c r="R7" i="17"/>
  <c r="Q7" i="17"/>
  <c r="P7" i="17"/>
  <c r="O7" i="17"/>
  <c r="R6" i="17"/>
  <c r="Q6" i="17"/>
  <c r="P6" i="17"/>
  <c r="O6" i="17"/>
  <c r="R5" i="17"/>
  <c r="Q5" i="17"/>
  <c r="P5" i="17"/>
  <c r="O5" i="17"/>
  <c r="AM7" i="20" l="1"/>
  <c r="AG3" i="17"/>
  <c r="AJ3" i="17"/>
  <c r="AI3" i="17"/>
  <c r="AH3" i="17"/>
  <c r="AF3" i="17"/>
  <c r="AE3" i="17"/>
  <c r="AD3" i="17"/>
  <c r="AC3" i="17"/>
  <c r="F71" i="17"/>
  <c r="F70" i="17"/>
  <c r="F69" i="17"/>
  <c r="F68" i="17"/>
  <c r="F67" i="17"/>
  <c r="F66" i="17"/>
  <c r="F65" i="17"/>
  <c r="F64" i="17"/>
  <c r="F63" i="17"/>
  <c r="F62" i="17"/>
  <c r="F61" i="17"/>
  <c r="F60" i="17"/>
  <c r="F59" i="17"/>
  <c r="F58" i="17"/>
  <c r="F57" i="17"/>
  <c r="F56" i="17"/>
  <c r="F55" i="17"/>
  <c r="F54" i="17"/>
  <c r="F53" i="17"/>
  <c r="F52" i="17"/>
  <c r="F51" i="17"/>
  <c r="F50" i="17"/>
  <c r="F49" i="17"/>
  <c r="F48" i="17"/>
  <c r="F47" i="17"/>
  <c r="F46" i="17"/>
  <c r="F45" i="17"/>
  <c r="F44" i="17"/>
  <c r="F43" i="17"/>
  <c r="F42" i="17"/>
  <c r="F41" i="17"/>
  <c r="F40" i="17"/>
  <c r="F39" i="17"/>
  <c r="F38" i="17"/>
  <c r="F37" i="17"/>
  <c r="F36" i="17"/>
  <c r="F35" i="17"/>
  <c r="F34" i="17"/>
  <c r="F33" i="17"/>
  <c r="F32" i="17"/>
  <c r="F31" i="17"/>
  <c r="F30" i="17"/>
  <c r="F29" i="17"/>
  <c r="F28" i="17"/>
  <c r="F27" i="17"/>
  <c r="F26" i="17"/>
  <c r="F25" i="17"/>
  <c r="F24" i="17"/>
  <c r="F23" i="17"/>
  <c r="F22" i="17"/>
  <c r="F21" i="17"/>
  <c r="F20" i="17"/>
  <c r="F19" i="17"/>
  <c r="F18" i="17"/>
  <c r="F17" i="17"/>
  <c r="F16" i="17"/>
  <c r="F15" i="17"/>
  <c r="F14" i="17"/>
  <c r="F13" i="17"/>
  <c r="F12" i="17"/>
  <c r="F11" i="17"/>
  <c r="F10" i="17"/>
  <c r="F9" i="17"/>
  <c r="F8" i="17"/>
  <c r="F7" i="17"/>
  <c r="F6" i="17"/>
  <c r="AV5" i="17"/>
  <c r="F5" i="17"/>
  <c r="BA4" i="17"/>
  <c r="AU4" i="17"/>
  <c r="AY4" i="17" s="1"/>
  <c r="U4" i="17"/>
  <c r="AW4" i="17" l="1"/>
  <c r="AL154" i="10"/>
  <c r="AL44" i="10"/>
  <c r="AM164" i="10" l="1"/>
  <c r="AL52" i="9"/>
  <c r="AL153" i="10"/>
  <c r="AL155" i="10"/>
  <c r="AL164" i="10"/>
  <c r="AN3" i="9"/>
  <c r="AM3" i="9"/>
  <c r="AL51" i="9"/>
  <c r="AL65" i="9" s="1"/>
  <c r="AL156" i="10"/>
  <c r="AL166" i="10"/>
  <c r="AL165" i="10"/>
  <c r="AL82" i="10"/>
  <c r="AL81" i="10"/>
  <c r="AL80" i="10"/>
  <c r="AL79" i="10"/>
  <c r="AL78" i="10"/>
  <c r="AL77" i="10"/>
  <c r="AL76" i="10"/>
  <c r="AL75" i="10"/>
  <c r="AL74" i="10"/>
  <c r="AL73" i="10"/>
  <c r="AL72" i="10"/>
  <c r="AL71" i="10"/>
  <c r="AL69" i="10"/>
  <c r="AH81" i="15"/>
  <c r="AH80" i="15"/>
  <c r="AH79" i="15"/>
  <c r="AH78" i="15"/>
  <c r="AH77" i="15"/>
  <c r="AH76" i="15"/>
  <c r="AH75" i="15"/>
  <c r="AH74" i="15"/>
  <c r="AH73" i="15"/>
  <c r="AH72" i="15"/>
  <c r="AH71" i="15"/>
  <c r="AH70" i="15"/>
  <c r="AH69" i="15"/>
  <c r="AH68" i="15"/>
  <c r="AH67" i="15"/>
  <c r="AH66" i="15"/>
  <c r="AH65" i="15"/>
  <c r="AH64" i="15"/>
  <c r="AH63" i="15"/>
  <c r="AH62" i="15"/>
  <c r="AH61" i="15"/>
  <c r="AH60" i="15"/>
  <c r="AH59" i="15"/>
  <c r="AH58" i="15"/>
  <c r="AH57" i="15"/>
  <c r="AH56" i="15"/>
  <c r="AH55" i="15"/>
  <c r="AH54" i="15"/>
  <c r="AH53" i="15"/>
  <c r="AK54" i="9"/>
  <c r="AK53" i="9"/>
  <c r="AF12" i="16"/>
  <c r="AF11" i="16"/>
  <c r="AF10" i="16"/>
  <c r="AF9" i="16"/>
  <c r="AF8" i="16"/>
  <c r="AF7" i="16"/>
  <c r="AF6" i="16"/>
  <c r="AF5" i="16"/>
  <c r="AF4" i="16"/>
  <c r="AK48" i="9"/>
  <c r="AK47" i="9"/>
  <c r="AK42" i="9"/>
  <c r="AK41" i="9"/>
  <c r="AK65" i="9" s="1"/>
  <c r="AG14" i="12"/>
  <c r="AG13" i="12"/>
  <c r="AG12" i="12"/>
  <c r="AG11" i="12"/>
  <c r="AG5" i="12"/>
  <c r="AG4" i="12"/>
  <c r="AG9" i="12"/>
  <c r="AG8" i="12"/>
  <c r="AG7" i="12"/>
  <c r="AG6" i="12"/>
  <c r="AG10" i="12"/>
  <c r="AL184" i="10" l="1"/>
  <c r="AK3" i="9"/>
  <c r="AL3" i="9"/>
  <c r="AM167" i="10"/>
  <c r="AM184" i="10" s="1"/>
  <c r="AH167" i="10" l="1"/>
  <c r="AD48" i="15"/>
  <c r="AD47" i="15"/>
  <c r="AD46" i="15"/>
  <c r="AD45" i="15"/>
  <c r="AD44" i="15"/>
  <c r="AI84" i="10"/>
  <c r="AC15" i="12" l="1"/>
  <c r="AC17" i="12"/>
  <c r="AC16" i="12"/>
  <c r="AC41" i="12"/>
  <c r="AC40" i="12"/>
  <c r="AC39" i="12"/>
  <c r="AC38" i="12"/>
  <c r="AC37" i="12"/>
  <c r="AC36" i="12"/>
  <c r="AC35" i="12"/>
  <c r="AC34" i="12"/>
  <c r="AC33" i="12"/>
  <c r="AC32" i="12"/>
  <c r="AC31" i="12"/>
  <c r="AC30" i="12"/>
  <c r="AC29" i="12"/>
  <c r="AC28" i="12"/>
  <c r="AC27" i="12"/>
  <c r="AC26" i="12"/>
  <c r="AC25" i="12"/>
  <c r="AC24" i="12"/>
  <c r="AC23" i="12"/>
  <c r="AC22" i="12"/>
  <c r="AC21" i="12"/>
  <c r="AC20" i="12"/>
  <c r="AC19" i="12"/>
  <c r="AC18" i="12"/>
  <c r="AN8" i="2"/>
  <c r="AN27" i="2"/>
  <c r="AN25" i="2"/>
  <c r="AN158" i="2"/>
  <c r="AN156" i="2"/>
  <c r="AN152" i="2"/>
  <c r="AJ70" i="10"/>
  <c r="AH9" i="9" l="1"/>
  <c r="AH58" i="9"/>
  <c r="AH57" i="9"/>
  <c r="AI70" i="10" l="1"/>
  <c r="AH39" i="9" l="1"/>
  <c r="AH40" i="9"/>
  <c r="AH38" i="9" l="1"/>
  <c r="AH37" i="9"/>
  <c r="AC45" i="12"/>
  <c r="AG58" i="9" l="1"/>
  <c r="AG57" i="9"/>
  <c r="AG44" i="9"/>
  <c r="AG43" i="9" l="1"/>
  <c r="AG40" i="9"/>
  <c r="AG39" i="9"/>
  <c r="AG50" i="9"/>
  <c r="AG49" i="9"/>
  <c r="AG38" i="9"/>
  <c r="AG37" i="9"/>
  <c r="AP124" i="2"/>
  <c r="AP123" i="2"/>
  <c r="AP180" i="2"/>
  <c r="AP179" i="2"/>
  <c r="AP178" i="2"/>
  <c r="AP177" i="2"/>
  <c r="AP187" i="2" l="1"/>
  <c r="AP186" i="2"/>
  <c r="AP185" i="2"/>
  <c r="AP141" i="2"/>
  <c r="AP85" i="2"/>
  <c r="AP84" i="2"/>
  <c r="AP83" i="2"/>
  <c r="AP82" i="2"/>
  <c r="AH5" i="9"/>
  <c r="AM158" i="2"/>
  <c r="AM156" i="2"/>
  <c r="AM152" i="2"/>
  <c r="AM25" i="2"/>
  <c r="AM27" i="2"/>
  <c r="AM22" i="2"/>
  <c r="AM8" i="2"/>
  <c r="AH84" i="10"/>
  <c r="AH8" i="9"/>
  <c r="AM9" i="2"/>
  <c r="AM28" i="2"/>
  <c r="AM26" i="2"/>
  <c r="AM23" i="2"/>
  <c r="AM159" i="2"/>
  <c r="AM157" i="2"/>
  <c r="AM153" i="2"/>
  <c r="AN155" i="2"/>
  <c r="AM155" i="2"/>
  <c r="AN154" i="2"/>
  <c r="AM154" i="2"/>
  <c r="AP117" i="2"/>
  <c r="AP116" i="2"/>
  <c r="AP115" i="2"/>
  <c r="AP114" i="2"/>
  <c r="AP113" i="2"/>
  <c r="AP112" i="2"/>
  <c r="AP111" i="2"/>
  <c r="AP110" i="2"/>
  <c r="AP109" i="2"/>
  <c r="AP108" i="2"/>
  <c r="AP107" i="2"/>
  <c r="AP106" i="2"/>
  <c r="AP105" i="2"/>
  <c r="AP104" i="2"/>
  <c r="AP103" i="2"/>
  <c r="AP102" i="2"/>
  <c r="AP101" i="2"/>
  <c r="AP100" i="2"/>
  <c r="AP99" i="2"/>
  <c r="AP98" i="2"/>
  <c r="AP97" i="2"/>
  <c r="AP96" i="2"/>
  <c r="AP95" i="2"/>
  <c r="AP94" i="2"/>
  <c r="AP93" i="2"/>
  <c r="AP92" i="2"/>
  <c r="AP91" i="2"/>
  <c r="AP90" i="2"/>
  <c r="AP89" i="2"/>
  <c r="AH70" i="10" l="1"/>
  <c r="AG55" i="9" l="1"/>
  <c r="AP176" i="2"/>
  <c r="AP175" i="2"/>
  <c r="AP174" i="2"/>
  <c r="AP173" i="2"/>
  <c r="AP172" i="2"/>
  <c r="AP171" i="2"/>
  <c r="AP170" i="2"/>
  <c r="AP169" i="2"/>
  <c r="AP168" i="2"/>
  <c r="AP167" i="2"/>
  <c r="AP166" i="2"/>
  <c r="AP165" i="2"/>
  <c r="AP130" i="2"/>
  <c r="AP129" i="2"/>
  <c r="AP128" i="2"/>
  <c r="AP127" i="2"/>
  <c r="AP126" i="2"/>
  <c r="AP125" i="2"/>
  <c r="AG56" i="9" l="1"/>
  <c r="AP196" i="2"/>
  <c r="AP195" i="2"/>
  <c r="AP194" i="2"/>
  <c r="AP184" i="2"/>
  <c r="AP183" i="2"/>
  <c r="AP182" i="2"/>
  <c r="AP181" i="2"/>
  <c r="AP197" i="2"/>
  <c r="AP164" i="2"/>
  <c r="AP163" i="2"/>
  <c r="AP122" i="2"/>
  <c r="AP121" i="2"/>
  <c r="AG46" i="9" l="1"/>
  <c r="W21" i="4"/>
  <c r="AP149" i="2"/>
  <c r="AP148" i="2"/>
  <c r="AP140" i="2"/>
  <c r="AP151" i="2"/>
  <c r="AP150" i="2"/>
  <c r="AP88" i="2"/>
  <c r="AP87" i="2"/>
  <c r="AP86" i="2"/>
  <c r="AP80" i="2"/>
  <c r="AP79" i="2"/>
  <c r="AP78" i="2"/>
  <c r="AP77" i="2"/>
  <c r="AP76" i="2"/>
  <c r="AP75" i="2"/>
  <c r="AP74" i="2"/>
  <c r="AP73" i="2"/>
  <c r="AP72" i="2"/>
  <c r="AP71" i="2"/>
  <c r="AP70" i="2"/>
  <c r="AP69" i="2"/>
  <c r="AP68" i="2"/>
  <c r="AP67" i="2"/>
  <c r="AP66" i="2"/>
  <c r="AP65" i="2"/>
  <c r="AP64" i="2"/>
  <c r="AP63" i="2"/>
  <c r="AP62" i="2"/>
  <c r="AP61" i="2"/>
  <c r="AP60" i="2"/>
  <c r="AP59" i="2"/>
  <c r="AP58" i="2"/>
  <c r="AP57" i="2"/>
  <c r="AP56" i="2"/>
  <c r="AP55" i="2"/>
  <c r="AP54" i="2"/>
  <c r="AP53" i="2"/>
  <c r="AP120" i="2" l="1"/>
  <c r="AP119" i="2"/>
  <c r="AP161" i="2"/>
  <c r="AP160" i="2"/>
  <c r="AP139" i="2"/>
  <c r="AP147" i="2"/>
  <c r="AP146" i="2"/>
  <c r="AP145" i="2"/>
  <c r="AP144" i="2"/>
  <c r="AG45" i="9"/>
  <c r="AG7" i="9"/>
  <c r="AG6" i="9"/>
  <c r="AP137" i="2"/>
  <c r="AP138" i="2"/>
  <c r="AP81" i="2"/>
  <c r="AP50" i="2"/>
  <c r="AP49" i="2"/>
  <c r="AP52" i="2"/>
  <c r="AP51" i="2"/>
  <c r="AH36" i="9" l="1"/>
  <c r="AH35" i="9"/>
  <c r="AP136" i="2"/>
  <c r="AP135" i="2"/>
  <c r="AP134" i="2"/>
  <c r="AP133" i="2"/>
  <c r="AP48" i="2"/>
  <c r="AP47" i="2"/>
  <c r="AP46" i="2"/>
  <c r="AP45" i="2"/>
  <c r="AP44" i="2"/>
  <c r="AP43" i="2"/>
  <c r="AP36" i="2" l="1"/>
  <c r="AP35" i="2"/>
  <c r="AP33" i="2"/>
  <c r="AP32" i="2"/>
  <c r="AP42" i="2"/>
  <c r="AP41" i="2"/>
  <c r="AP40" i="2"/>
  <c r="AP39" i="2"/>
  <c r="AP38" i="2"/>
  <c r="AP37" i="2"/>
  <c r="AG9" i="9"/>
  <c r="AG8" i="9"/>
  <c r="AF3" i="16" l="1"/>
  <c r="AM3" i="16"/>
  <c r="AL3" i="16"/>
  <c r="AK3" i="16"/>
  <c r="AJ3" i="16"/>
  <c r="AI3" i="16"/>
  <c r="AH3" i="16"/>
  <c r="AG3" i="16"/>
  <c r="R12" i="16"/>
  <c r="Q12" i="16"/>
  <c r="P12" i="16"/>
  <c r="O12" i="16"/>
  <c r="R11" i="16"/>
  <c r="Q11" i="16"/>
  <c r="P11" i="16"/>
  <c r="O11" i="16"/>
  <c r="R10" i="16"/>
  <c r="Q10" i="16"/>
  <c r="P10" i="16"/>
  <c r="O10" i="16"/>
  <c r="R9" i="16"/>
  <c r="Q9" i="16"/>
  <c r="P9" i="16"/>
  <c r="O9" i="16"/>
  <c r="R8" i="16"/>
  <c r="Q8" i="16"/>
  <c r="P8" i="16"/>
  <c r="O8" i="16"/>
  <c r="R7" i="16"/>
  <c r="Q7" i="16"/>
  <c r="P7" i="16"/>
  <c r="O7" i="16"/>
  <c r="R6" i="16"/>
  <c r="Q6" i="16"/>
  <c r="P6" i="16"/>
  <c r="O6" i="16"/>
  <c r="R5" i="16"/>
  <c r="Q5" i="16"/>
  <c r="P5" i="16"/>
  <c r="O5" i="16"/>
  <c r="R4" i="16"/>
  <c r="Q4" i="16"/>
  <c r="P4" i="16"/>
  <c r="O4" i="16"/>
  <c r="AP24" i="2" l="1"/>
  <c r="AG3" i="15" l="1"/>
  <c r="AK3" i="15"/>
  <c r="AJ3" i="15"/>
  <c r="AI3" i="15"/>
  <c r="AH3" i="15"/>
  <c r="AF3" i="15"/>
  <c r="AE3" i="15"/>
  <c r="AD3" i="15"/>
  <c r="Q83" i="15"/>
  <c r="P83" i="15"/>
  <c r="O83" i="15"/>
  <c r="N83" i="15"/>
  <c r="Q82" i="15"/>
  <c r="P82" i="15"/>
  <c r="O82" i="15"/>
  <c r="N82" i="15"/>
  <c r="Q81" i="15"/>
  <c r="P81" i="15"/>
  <c r="O81" i="15"/>
  <c r="N81" i="15"/>
  <c r="Q80" i="15"/>
  <c r="P80" i="15"/>
  <c r="O80" i="15"/>
  <c r="N80" i="15"/>
  <c r="Q79" i="15"/>
  <c r="P79" i="15"/>
  <c r="O79" i="15"/>
  <c r="N79" i="15"/>
  <c r="Q78" i="15"/>
  <c r="P78" i="15"/>
  <c r="O78" i="15"/>
  <c r="N78" i="15"/>
  <c r="Q77" i="15"/>
  <c r="P77" i="15"/>
  <c r="O77" i="15"/>
  <c r="N77" i="15"/>
  <c r="Q76" i="15"/>
  <c r="P76" i="15"/>
  <c r="O76" i="15"/>
  <c r="N76" i="15"/>
  <c r="Q75" i="15"/>
  <c r="P75" i="15"/>
  <c r="O75" i="15"/>
  <c r="N75" i="15"/>
  <c r="Q74" i="15"/>
  <c r="P74" i="15"/>
  <c r="O74" i="15"/>
  <c r="N74" i="15"/>
  <c r="Q73" i="15"/>
  <c r="P73" i="15"/>
  <c r="O73" i="15"/>
  <c r="N73" i="15"/>
  <c r="Q72" i="15"/>
  <c r="P72" i="15"/>
  <c r="O72" i="15"/>
  <c r="N72" i="15"/>
  <c r="Q71" i="15"/>
  <c r="P71" i="15"/>
  <c r="O71" i="15"/>
  <c r="N71" i="15"/>
  <c r="Q70" i="15"/>
  <c r="P70" i="15"/>
  <c r="O70" i="15"/>
  <c r="N70" i="15"/>
  <c r="Q69" i="15"/>
  <c r="P69" i="15"/>
  <c r="O69" i="15"/>
  <c r="N69" i="15"/>
  <c r="Q68" i="15"/>
  <c r="P68" i="15"/>
  <c r="O68" i="15"/>
  <c r="N68" i="15"/>
  <c r="Q67" i="15"/>
  <c r="P67" i="15"/>
  <c r="O67" i="15"/>
  <c r="N67" i="15"/>
  <c r="Q66" i="15"/>
  <c r="P66" i="15"/>
  <c r="O66" i="15"/>
  <c r="N66" i="15"/>
  <c r="Q65" i="15"/>
  <c r="P65" i="15"/>
  <c r="O65" i="15"/>
  <c r="N65" i="15"/>
  <c r="Q64" i="15"/>
  <c r="P64" i="15"/>
  <c r="O64" i="15"/>
  <c r="N64" i="15"/>
  <c r="Q63" i="15"/>
  <c r="P63" i="15"/>
  <c r="O63" i="15"/>
  <c r="N63" i="15"/>
  <c r="Q62" i="15"/>
  <c r="P62" i="15"/>
  <c r="O62" i="15"/>
  <c r="N62" i="15"/>
  <c r="Q61" i="15"/>
  <c r="P61" i="15"/>
  <c r="O61" i="15"/>
  <c r="N61" i="15"/>
  <c r="Q60" i="15"/>
  <c r="P60" i="15"/>
  <c r="O60" i="15"/>
  <c r="N60" i="15"/>
  <c r="Q59" i="15"/>
  <c r="P59" i="15"/>
  <c r="O59" i="15"/>
  <c r="N59" i="15"/>
  <c r="Q58" i="15"/>
  <c r="P58" i="15"/>
  <c r="O58" i="15"/>
  <c r="N58" i="15"/>
  <c r="Q57" i="15"/>
  <c r="P57" i="15"/>
  <c r="O57" i="15"/>
  <c r="N57" i="15"/>
  <c r="Q56" i="15"/>
  <c r="P56" i="15"/>
  <c r="O56" i="15"/>
  <c r="N56" i="15"/>
  <c r="Q55" i="15"/>
  <c r="P55" i="15"/>
  <c r="O55" i="15"/>
  <c r="N55" i="15"/>
  <c r="Q54" i="15"/>
  <c r="P54" i="15"/>
  <c r="O54" i="15"/>
  <c r="N54" i="15"/>
  <c r="Q53" i="15"/>
  <c r="P53" i="15"/>
  <c r="O53" i="15"/>
  <c r="N53" i="15"/>
  <c r="Q52" i="15"/>
  <c r="P52" i="15"/>
  <c r="O52" i="15"/>
  <c r="N52" i="15"/>
  <c r="Q51" i="15"/>
  <c r="P51" i="15"/>
  <c r="O51" i="15"/>
  <c r="N51" i="15"/>
  <c r="Q50" i="15"/>
  <c r="P50" i="15"/>
  <c r="O50" i="15"/>
  <c r="N50" i="15"/>
  <c r="Q49" i="15"/>
  <c r="P49" i="15"/>
  <c r="O49" i="15"/>
  <c r="N49" i="15"/>
  <c r="Q48" i="15"/>
  <c r="P48" i="15"/>
  <c r="O48" i="15"/>
  <c r="N48" i="15"/>
  <c r="Q47" i="15"/>
  <c r="P47" i="15"/>
  <c r="O47" i="15"/>
  <c r="N47" i="15"/>
  <c r="Q46" i="15"/>
  <c r="P46" i="15"/>
  <c r="O46" i="15"/>
  <c r="N46" i="15"/>
  <c r="Q45" i="15"/>
  <c r="P45" i="15"/>
  <c r="O45" i="15"/>
  <c r="N45" i="15"/>
  <c r="Q44" i="15"/>
  <c r="P44" i="15"/>
  <c r="O44" i="15"/>
  <c r="N44" i="15"/>
  <c r="Q43" i="15"/>
  <c r="P43" i="15"/>
  <c r="O43" i="15"/>
  <c r="N43" i="15"/>
  <c r="Q42" i="15"/>
  <c r="P42" i="15"/>
  <c r="O42" i="15"/>
  <c r="N42" i="15"/>
  <c r="Q41" i="15"/>
  <c r="P41" i="15"/>
  <c r="O41" i="15"/>
  <c r="N41" i="15"/>
  <c r="Q40" i="15"/>
  <c r="P40" i="15"/>
  <c r="O40" i="15"/>
  <c r="N40" i="15"/>
  <c r="Q39" i="15"/>
  <c r="P39" i="15"/>
  <c r="O39" i="15"/>
  <c r="N39" i="15"/>
  <c r="Q38" i="15"/>
  <c r="P38" i="15"/>
  <c r="O38" i="15"/>
  <c r="N38" i="15"/>
  <c r="Q37" i="15"/>
  <c r="P37" i="15"/>
  <c r="O37" i="15"/>
  <c r="N37" i="15"/>
  <c r="Q36" i="15"/>
  <c r="P36" i="15"/>
  <c r="O36" i="15"/>
  <c r="N36" i="15"/>
  <c r="Q35" i="15"/>
  <c r="P35" i="15"/>
  <c r="O35" i="15"/>
  <c r="N35" i="15"/>
  <c r="Q34" i="15"/>
  <c r="P34" i="15"/>
  <c r="O34" i="15"/>
  <c r="N34" i="15"/>
  <c r="Q33" i="15"/>
  <c r="P33" i="15"/>
  <c r="O33" i="15"/>
  <c r="N33" i="15"/>
  <c r="Q32" i="15"/>
  <c r="P32" i="15"/>
  <c r="O32" i="15"/>
  <c r="N32" i="15"/>
  <c r="Q31" i="15"/>
  <c r="P31" i="15"/>
  <c r="O31" i="15"/>
  <c r="N31" i="15"/>
  <c r="Q30" i="15"/>
  <c r="P30" i="15"/>
  <c r="O30" i="15"/>
  <c r="N30" i="15"/>
  <c r="Q29" i="15"/>
  <c r="P29" i="15"/>
  <c r="O29" i="15"/>
  <c r="N29" i="15"/>
  <c r="Q28" i="15"/>
  <c r="P28" i="15"/>
  <c r="O28" i="15"/>
  <c r="N28" i="15"/>
  <c r="Q27" i="15"/>
  <c r="P27" i="15"/>
  <c r="O27" i="15"/>
  <c r="N27" i="15"/>
  <c r="Q26" i="15"/>
  <c r="P26" i="15"/>
  <c r="O26" i="15"/>
  <c r="N26" i="15"/>
  <c r="Q25" i="15"/>
  <c r="P25" i="15"/>
  <c r="O25" i="15"/>
  <c r="N25" i="15"/>
  <c r="Q24" i="15"/>
  <c r="P24" i="15"/>
  <c r="O24" i="15"/>
  <c r="N24" i="15"/>
  <c r="Q23" i="15"/>
  <c r="P23" i="15"/>
  <c r="O23" i="15"/>
  <c r="N23" i="15"/>
  <c r="Q22" i="15"/>
  <c r="P22" i="15"/>
  <c r="O22" i="15"/>
  <c r="N22" i="15"/>
  <c r="Q21" i="15"/>
  <c r="P21" i="15"/>
  <c r="O21" i="15"/>
  <c r="N21" i="15"/>
  <c r="Q20" i="15"/>
  <c r="P20" i="15"/>
  <c r="O20" i="15"/>
  <c r="N20" i="15"/>
  <c r="Q19" i="15"/>
  <c r="P19" i="15"/>
  <c r="O19" i="15"/>
  <c r="N19" i="15"/>
  <c r="Q18" i="15"/>
  <c r="P18" i="15"/>
  <c r="O18" i="15"/>
  <c r="N18" i="15"/>
  <c r="Q17" i="15"/>
  <c r="P17" i="15"/>
  <c r="O17" i="15"/>
  <c r="N17" i="15"/>
  <c r="Q16" i="15"/>
  <c r="P16" i="15"/>
  <c r="O16" i="15"/>
  <c r="N16" i="15"/>
  <c r="Q15" i="15"/>
  <c r="P15" i="15"/>
  <c r="O15" i="15"/>
  <c r="N15" i="15"/>
  <c r="Q14" i="15"/>
  <c r="P14" i="15"/>
  <c r="O14" i="15"/>
  <c r="N14" i="15"/>
  <c r="Q13" i="15"/>
  <c r="P13" i="15"/>
  <c r="O13" i="15"/>
  <c r="N13" i="15"/>
  <c r="Q12" i="15"/>
  <c r="P12" i="15"/>
  <c r="O12" i="15"/>
  <c r="N12" i="15"/>
  <c r="Q11" i="15"/>
  <c r="P11" i="15"/>
  <c r="O11" i="15"/>
  <c r="N11" i="15"/>
  <c r="Q10" i="15"/>
  <c r="P10" i="15"/>
  <c r="O10" i="15"/>
  <c r="N10" i="15"/>
  <c r="Q9" i="15"/>
  <c r="P9" i="15"/>
  <c r="O9" i="15"/>
  <c r="N9" i="15"/>
  <c r="Q8" i="15"/>
  <c r="P8" i="15"/>
  <c r="O8" i="15"/>
  <c r="N8" i="15"/>
  <c r="Q7" i="15"/>
  <c r="P7" i="15"/>
  <c r="O7" i="15"/>
  <c r="N7" i="15"/>
  <c r="Q6" i="15"/>
  <c r="P6" i="15"/>
  <c r="O6" i="15"/>
  <c r="N6" i="15"/>
  <c r="Q5" i="15"/>
  <c r="P5" i="15"/>
  <c r="O5" i="15"/>
  <c r="N5" i="15"/>
  <c r="Q4" i="15"/>
  <c r="P4" i="15"/>
  <c r="O4" i="15"/>
  <c r="N4" i="15"/>
  <c r="T83" i="15"/>
  <c r="T82" i="15"/>
  <c r="T81" i="15"/>
  <c r="T80" i="15"/>
  <c r="T79" i="15"/>
  <c r="T78" i="15"/>
  <c r="T77" i="15"/>
  <c r="T76" i="15"/>
  <c r="T75" i="15"/>
  <c r="T74" i="15"/>
  <c r="T73" i="15"/>
  <c r="T72" i="15"/>
  <c r="T71" i="15"/>
  <c r="T70" i="15"/>
  <c r="T69" i="15"/>
  <c r="T68" i="15"/>
  <c r="T67" i="15"/>
  <c r="T66" i="15"/>
  <c r="T65" i="15"/>
  <c r="T64" i="15"/>
  <c r="T63" i="15"/>
  <c r="T62" i="15"/>
  <c r="T61" i="15"/>
  <c r="T60" i="15"/>
  <c r="T59" i="15"/>
  <c r="T58" i="15"/>
  <c r="T57" i="15"/>
  <c r="T56" i="15"/>
  <c r="T55" i="15"/>
  <c r="T54" i="15"/>
  <c r="T53" i="15"/>
  <c r="T52" i="15"/>
  <c r="T51" i="15"/>
  <c r="T50" i="15"/>
  <c r="T49" i="15"/>
  <c r="T48" i="15"/>
  <c r="T47" i="15"/>
  <c r="T46" i="15"/>
  <c r="T45" i="15"/>
  <c r="T44" i="15"/>
  <c r="T43" i="15"/>
  <c r="T42" i="15"/>
  <c r="T41" i="15"/>
  <c r="T40" i="15"/>
  <c r="T39" i="15"/>
  <c r="T38" i="15"/>
  <c r="T37" i="15"/>
  <c r="T36" i="15"/>
  <c r="T35" i="15"/>
  <c r="T34" i="15"/>
  <c r="T33" i="15"/>
  <c r="T32" i="15"/>
  <c r="T31" i="15"/>
  <c r="T30" i="15"/>
  <c r="T29" i="15"/>
  <c r="T28" i="15"/>
  <c r="T27" i="15"/>
  <c r="T26" i="15"/>
  <c r="T25" i="15"/>
  <c r="T24" i="15"/>
  <c r="T23" i="15"/>
  <c r="T22" i="15"/>
  <c r="T21" i="15"/>
  <c r="T20" i="15"/>
  <c r="T19" i="15"/>
  <c r="T18" i="15"/>
  <c r="T17" i="15"/>
  <c r="T16" i="15"/>
  <c r="T15" i="15"/>
  <c r="T14" i="15"/>
  <c r="T13" i="15"/>
  <c r="T12" i="15"/>
  <c r="T11" i="15"/>
  <c r="T10" i="15"/>
  <c r="T9" i="15"/>
  <c r="T8" i="15"/>
  <c r="T7" i="15"/>
  <c r="T6" i="15"/>
  <c r="T5" i="15"/>
  <c r="T4" i="15"/>
  <c r="AH28" i="9" l="1"/>
  <c r="AH27" i="9"/>
  <c r="AP31" i="2" l="1"/>
  <c r="AP30" i="2"/>
  <c r="AP21" i="2"/>
  <c r="AG21" i="9"/>
  <c r="AG20" i="9" l="1"/>
  <c r="AP20" i="2" l="1"/>
  <c r="AP19" i="2"/>
  <c r="AP17" i="2"/>
  <c r="AP16" i="2"/>
  <c r="AP15" i="2"/>
  <c r="N226" i="2"/>
  <c r="M226" i="2"/>
  <c r="L226" i="2"/>
  <c r="K226" i="2"/>
  <c r="N225" i="2"/>
  <c r="M225" i="2"/>
  <c r="L225" i="2"/>
  <c r="K225" i="2"/>
  <c r="N224" i="2"/>
  <c r="M224" i="2"/>
  <c r="L224" i="2"/>
  <c r="K224" i="2"/>
  <c r="N223" i="2"/>
  <c r="M223" i="2"/>
  <c r="L223" i="2"/>
  <c r="K223" i="2"/>
  <c r="N222" i="2"/>
  <c r="M222" i="2"/>
  <c r="L222" i="2"/>
  <c r="K222" i="2"/>
  <c r="N221" i="2"/>
  <c r="M221" i="2"/>
  <c r="L221" i="2"/>
  <c r="K221" i="2"/>
  <c r="N220" i="2"/>
  <c r="M220" i="2"/>
  <c r="L220" i="2"/>
  <c r="K220" i="2"/>
  <c r="N219" i="2"/>
  <c r="M219" i="2"/>
  <c r="L219" i="2"/>
  <c r="K219" i="2"/>
  <c r="N218" i="2"/>
  <c r="M218" i="2"/>
  <c r="L218" i="2"/>
  <c r="K218" i="2"/>
  <c r="N217" i="2"/>
  <c r="M217" i="2"/>
  <c r="L217" i="2"/>
  <c r="K217" i="2"/>
  <c r="N216" i="2"/>
  <c r="M216" i="2"/>
  <c r="L216" i="2"/>
  <c r="K216" i="2"/>
  <c r="N215" i="2"/>
  <c r="M215" i="2"/>
  <c r="L215" i="2"/>
  <c r="K215" i="2"/>
  <c r="N214" i="2"/>
  <c r="M214" i="2"/>
  <c r="L214" i="2"/>
  <c r="K214" i="2"/>
  <c r="N213" i="2"/>
  <c r="M213" i="2"/>
  <c r="L213" i="2"/>
  <c r="K213" i="2"/>
  <c r="N212" i="2"/>
  <c r="M212" i="2"/>
  <c r="L212" i="2"/>
  <c r="K212" i="2"/>
  <c r="N211" i="2"/>
  <c r="M211" i="2"/>
  <c r="L211" i="2"/>
  <c r="K211" i="2"/>
  <c r="N210" i="2"/>
  <c r="M210" i="2"/>
  <c r="L210" i="2"/>
  <c r="K210" i="2"/>
  <c r="N209" i="2"/>
  <c r="M209" i="2"/>
  <c r="L209" i="2"/>
  <c r="K209" i="2"/>
  <c r="N208" i="2"/>
  <c r="M208" i="2"/>
  <c r="L208" i="2"/>
  <c r="K208" i="2"/>
  <c r="N207" i="2"/>
  <c r="M207" i="2"/>
  <c r="L207" i="2"/>
  <c r="K207" i="2"/>
  <c r="N206" i="2"/>
  <c r="M206" i="2"/>
  <c r="L206" i="2"/>
  <c r="K206" i="2"/>
  <c r="N205" i="2"/>
  <c r="M205" i="2"/>
  <c r="L205" i="2"/>
  <c r="K205" i="2"/>
  <c r="N204" i="2"/>
  <c r="M204" i="2"/>
  <c r="L204" i="2"/>
  <c r="K204" i="2"/>
  <c r="N203" i="2"/>
  <c r="M203" i="2"/>
  <c r="L203" i="2"/>
  <c r="K203" i="2"/>
  <c r="N202" i="2"/>
  <c r="M202" i="2"/>
  <c r="L202" i="2"/>
  <c r="K202" i="2"/>
  <c r="N201" i="2"/>
  <c r="M201" i="2"/>
  <c r="L201" i="2"/>
  <c r="K201" i="2"/>
  <c r="N200" i="2"/>
  <c r="M200" i="2"/>
  <c r="L200" i="2"/>
  <c r="K200" i="2"/>
  <c r="N199" i="2"/>
  <c r="M199" i="2"/>
  <c r="L199" i="2"/>
  <c r="K199" i="2"/>
  <c r="N198" i="2"/>
  <c r="M198" i="2"/>
  <c r="L198" i="2"/>
  <c r="K198" i="2"/>
  <c r="N197" i="2"/>
  <c r="M197" i="2"/>
  <c r="L197" i="2"/>
  <c r="K197" i="2"/>
  <c r="N196" i="2"/>
  <c r="M196" i="2"/>
  <c r="L196" i="2"/>
  <c r="K196" i="2"/>
  <c r="N195" i="2"/>
  <c r="M195" i="2"/>
  <c r="L195" i="2"/>
  <c r="K195" i="2"/>
  <c r="N194" i="2"/>
  <c r="M194" i="2"/>
  <c r="L194" i="2"/>
  <c r="K194" i="2"/>
  <c r="N193" i="2"/>
  <c r="M193" i="2"/>
  <c r="L193" i="2"/>
  <c r="K193" i="2"/>
  <c r="N192" i="2"/>
  <c r="M192" i="2"/>
  <c r="L192" i="2"/>
  <c r="K192" i="2"/>
  <c r="N191" i="2"/>
  <c r="M191" i="2"/>
  <c r="L191" i="2"/>
  <c r="K191" i="2"/>
  <c r="N190" i="2"/>
  <c r="M190" i="2"/>
  <c r="L190" i="2"/>
  <c r="K190" i="2"/>
  <c r="N189" i="2"/>
  <c r="M189" i="2"/>
  <c r="L189" i="2"/>
  <c r="K189" i="2"/>
  <c r="N188" i="2"/>
  <c r="M188" i="2"/>
  <c r="L188" i="2"/>
  <c r="K188" i="2"/>
  <c r="N187" i="2"/>
  <c r="M187" i="2"/>
  <c r="L187" i="2"/>
  <c r="K187" i="2"/>
  <c r="N186" i="2"/>
  <c r="M186" i="2"/>
  <c r="L186" i="2"/>
  <c r="K186" i="2"/>
  <c r="N185" i="2"/>
  <c r="M185" i="2"/>
  <c r="L185" i="2"/>
  <c r="K185" i="2"/>
  <c r="N184" i="2"/>
  <c r="M184" i="2"/>
  <c r="L184" i="2"/>
  <c r="K184" i="2"/>
  <c r="N183" i="2"/>
  <c r="M183" i="2"/>
  <c r="L183" i="2"/>
  <c r="K183" i="2"/>
  <c r="N182" i="2"/>
  <c r="M182" i="2"/>
  <c r="L182" i="2"/>
  <c r="K182" i="2"/>
  <c r="N181" i="2"/>
  <c r="M181" i="2"/>
  <c r="L181" i="2"/>
  <c r="K181" i="2"/>
  <c r="N180" i="2"/>
  <c r="M180" i="2"/>
  <c r="L180" i="2"/>
  <c r="K180" i="2"/>
  <c r="N179" i="2"/>
  <c r="M179" i="2"/>
  <c r="L179" i="2"/>
  <c r="K179" i="2"/>
  <c r="N178" i="2"/>
  <c r="M178" i="2"/>
  <c r="L178" i="2"/>
  <c r="K178" i="2"/>
  <c r="N177" i="2"/>
  <c r="M177" i="2"/>
  <c r="L177" i="2"/>
  <c r="K177" i="2"/>
  <c r="N176" i="2"/>
  <c r="M176" i="2"/>
  <c r="L176" i="2"/>
  <c r="K176" i="2"/>
  <c r="N175" i="2"/>
  <c r="M175" i="2"/>
  <c r="L175" i="2"/>
  <c r="K175" i="2"/>
  <c r="N174" i="2"/>
  <c r="M174" i="2"/>
  <c r="L174" i="2"/>
  <c r="K174" i="2"/>
  <c r="N173" i="2"/>
  <c r="M173" i="2"/>
  <c r="L173" i="2"/>
  <c r="K173" i="2"/>
  <c r="N172" i="2"/>
  <c r="M172" i="2"/>
  <c r="L172" i="2"/>
  <c r="K172" i="2"/>
  <c r="N171" i="2"/>
  <c r="M171" i="2"/>
  <c r="L171" i="2"/>
  <c r="K171" i="2"/>
  <c r="N170" i="2"/>
  <c r="M170" i="2"/>
  <c r="L170" i="2"/>
  <c r="K170" i="2"/>
  <c r="N169" i="2"/>
  <c r="M169" i="2"/>
  <c r="L169" i="2"/>
  <c r="K169" i="2"/>
  <c r="N168" i="2"/>
  <c r="M168" i="2"/>
  <c r="L168" i="2"/>
  <c r="K168" i="2"/>
  <c r="N167" i="2"/>
  <c r="M167" i="2"/>
  <c r="L167" i="2"/>
  <c r="K167" i="2"/>
  <c r="N166" i="2"/>
  <c r="M166" i="2"/>
  <c r="L166" i="2"/>
  <c r="K166" i="2"/>
  <c r="N165" i="2"/>
  <c r="M165" i="2"/>
  <c r="L165" i="2"/>
  <c r="K165" i="2"/>
  <c r="N164" i="2"/>
  <c r="M164" i="2"/>
  <c r="L164" i="2"/>
  <c r="K164" i="2"/>
  <c r="N163" i="2"/>
  <c r="M163" i="2"/>
  <c r="L163" i="2"/>
  <c r="K163" i="2"/>
  <c r="N162" i="2"/>
  <c r="M162" i="2"/>
  <c r="L162" i="2"/>
  <c r="K162" i="2"/>
  <c r="N161" i="2"/>
  <c r="M161" i="2"/>
  <c r="L161" i="2"/>
  <c r="K161" i="2"/>
  <c r="N160" i="2"/>
  <c r="M160" i="2"/>
  <c r="L160" i="2"/>
  <c r="K160" i="2"/>
  <c r="N159" i="2"/>
  <c r="M159" i="2"/>
  <c r="L159" i="2"/>
  <c r="K159" i="2"/>
  <c r="N158" i="2"/>
  <c r="M158" i="2"/>
  <c r="L158" i="2"/>
  <c r="K158" i="2"/>
  <c r="N157" i="2"/>
  <c r="M157" i="2"/>
  <c r="L157" i="2"/>
  <c r="K157" i="2"/>
  <c r="N156" i="2"/>
  <c r="M156" i="2"/>
  <c r="L156" i="2"/>
  <c r="K156" i="2"/>
  <c r="N155" i="2"/>
  <c r="M155" i="2"/>
  <c r="L155" i="2"/>
  <c r="K155" i="2"/>
  <c r="N154" i="2"/>
  <c r="M154" i="2"/>
  <c r="L154" i="2"/>
  <c r="K154" i="2"/>
  <c r="N153" i="2"/>
  <c r="M153" i="2"/>
  <c r="L153" i="2"/>
  <c r="K153" i="2"/>
  <c r="N152" i="2"/>
  <c r="M152" i="2"/>
  <c r="L152" i="2"/>
  <c r="K152" i="2"/>
  <c r="N151" i="2"/>
  <c r="M151" i="2"/>
  <c r="L151" i="2"/>
  <c r="K151" i="2"/>
  <c r="N150" i="2"/>
  <c r="M150" i="2"/>
  <c r="L150" i="2"/>
  <c r="K150" i="2"/>
  <c r="N149" i="2"/>
  <c r="M149" i="2"/>
  <c r="L149" i="2"/>
  <c r="K149" i="2"/>
  <c r="N148" i="2"/>
  <c r="M148" i="2"/>
  <c r="L148" i="2"/>
  <c r="K148" i="2"/>
  <c r="N147" i="2"/>
  <c r="M147" i="2"/>
  <c r="L147" i="2"/>
  <c r="K147" i="2"/>
  <c r="N146" i="2"/>
  <c r="M146" i="2"/>
  <c r="L146" i="2"/>
  <c r="K146" i="2"/>
  <c r="N145" i="2"/>
  <c r="M145" i="2"/>
  <c r="L145" i="2"/>
  <c r="K145" i="2"/>
  <c r="N144" i="2"/>
  <c r="M144" i="2"/>
  <c r="L144" i="2"/>
  <c r="K144" i="2"/>
  <c r="N143" i="2"/>
  <c r="M143" i="2"/>
  <c r="L143" i="2"/>
  <c r="K143" i="2"/>
  <c r="N142" i="2"/>
  <c r="M142" i="2"/>
  <c r="L142" i="2"/>
  <c r="K142" i="2"/>
  <c r="N141" i="2"/>
  <c r="M141" i="2"/>
  <c r="L141" i="2"/>
  <c r="K141" i="2"/>
  <c r="N140" i="2"/>
  <c r="M140" i="2"/>
  <c r="L140" i="2"/>
  <c r="K140" i="2"/>
  <c r="N139" i="2"/>
  <c r="M139" i="2"/>
  <c r="L139" i="2"/>
  <c r="K139" i="2"/>
  <c r="N138" i="2"/>
  <c r="M138" i="2"/>
  <c r="L138" i="2"/>
  <c r="K138" i="2"/>
  <c r="N137" i="2"/>
  <c r="M137" i="2"/>
  <c r="L137" i="2"/>
  <c r="K137" i="2"/>
  <c r="N136" i="2"/>
  <c r="M136" i="2"/>
  <c r="L136" i="2"/>
  <c r="K136" i="2"/>
  <c r="N135" i="2"/>
  <c r="M135" i="2"/>
  <c r="L135" i="2"/>
  <c r="K135" i="2"/>
  <c r="N134" i="2"/>
  <c r="M134" i="2"/>
  <c r="L134" i="2"/>
  <c r="K134" i="2"/>
  <c r="N133" i="2"/>
  <c r="M133" i="2"/>
  <c r="L133" i="2"/>
  <c r="K133" i="2"/>
  <c r="N132" i="2"/>
  <c r="M132" i="2"/>
  <c r="L132" i="2"/>
  <c r="K132" i="2"/>
  <c r="N131" i="2"/>
  <c r="M131" i="2"/>
  <c r="L131" i="2"/>
  <c r="K131" i="2"/>
  <c r="N130" i="2"/>
  <c r="M130" i="2"/>
  <c r="L130" i="2"/>
  <c r="K130" i="2"/>
  <c r="N129" i="2"/>
  <c r="M129" i="2"/>
  <c r="L129" i="2"/>
  <c r="K129" i="2"/>
  <c r="N128" i="2"/>
  <c r="M128" i="2"/>
  <c r="L128" i="2"/>
  <c r="K128" i="2"/>
  <c r="N127" i="2"/>
  <c r="M127" i="2"/>
  <c r="L127" i="2"/>
  <c r="K127" i="2"/>
  <c r="N126" i="2"/>
  <c r="M126" i="2"/>
  <c r="L126" i="2"/>
  <c r="K126" i="2"/>
  <c r="N125" i="2"/>
  <c r="M125" i="2"/>
  <c r="L125" i="2"/>
  <c r="K125" i="2"/>
  <c r="N124" i="2"/>
  <c r="M124" i="2"/>
  <c r="L124" i="2"/>
  <c r="K124" i="2"/>
  <c r="N123" i="2"/>
  <c r="M123" i="2"/>
  <c r="L123" i="2"/>
  <c r="K123" i="2"/>
  <c r="N122" i="2"/>
  <c r="M122" i="2"/>
  <c r="L122" i="2"/>
  <c r="K122" i="2"/>
  <c r="N121" i="2"/>
  <c r="M121" i="2"/>
  <c r="L121" i="2"/>
  <c r="K121" i="2"/>
  <c r="N120" i="2"/>
  <c r="M120" i="2"/>
  <c r="L120" i="2"/>
  <c r="K120" i="2"/>
  <c r="N119" i="2"/>
  <c r="M119" i="2"/>
  <c r="L119" i="2"/>
  <c r="K119" i="2"/>
  <c r="N118" i="2"/>
  <c r="M118" i="2"/>
  <c r="L118" i="2"/>
  <c r="K118" i="2"/>
  <c r="N117" i="2"/>
  <c r="M117" i="2"/>
  <c r="L117" i="2"/>
  <c r="K117" i="2"/>
  <c r="N116" i="2"/>
  <c r="M116" i="2"/>
  <c r="L116" i="2"/>
  <c r="K116" i="2"/>
  <c r="N115" i="2"/>
  <c r="M115" i="2"/>
  <c r="L115" i="2"/>
  <c r="K115" i="2"/>
  <c r="N114" i="2"/>
  <c r="M114" i="2"/>
  <c r="L114" i="2"/>
  <c r="K114" i="2"/>
  <c r="N113" i="2"/>
  <c r="M113" i="2"/>
  <c r="L113" i="2"/>
  <c r="K113" i="2"/>
  <c r="N112" i="2"/>
  <c r="M112" i="2"/>
  <c r="L112" i="2"/>
  <c r="K112" i="2"/>
  <c r="N111" i="2"/>
  <c r="M111" i="2"/>
  <c r="L111" i="2"/>
  <c r="K111" i="2"/>
  <c r="N110" i="2"/>
  <c r="M110" i="2"/>
  <c r="L110" i="2"/>
  <c r="K110" i="2"/>
  <c r="N109" i="2"/>
  <c r="M109" i="2"/>
  <c r="L109" i="2"/>
  <c r="K109" i="2"/>
  <c r="N108" i="2"/>
  <c r="M108" i="2"/>
  <c r="L108" i="2"/>
  <c r="K108" i="2"/>
  <c r="N107" i="2"/>
  <c r="M107" i="2"/>
  <c r="L107" i="2"/>
  <c r="K107" i="2"/>
  <c r="N106" i="2"/>
  <c r="M106" i="2"/>
  <c r="L106" i="2"/>
  <c r="K106" i="2"/>
  <c r="N105" i="2"/>
  <c r="M105" i="2"/>
  <c r="L105" i="2"/>
  <c r="K105" i="2"/>
  <c r="N104" i="2"/>
  <c r="M104" i="2"/>
  <c r="L104" i="2"/>
  <c r="K104" i="2"/>
  <c r="N103" i="2"/>
  <c r="M103" i="2"/>
  <c r="L103" i="2"/>
  <c r="K103" i="2"/>
  <c r="N102" i="2"/>
  <c r="M102" i="2"/>
  <c r="L102" i="2"/>
  <c r="K102" i="2"/>
  <c r="N101" i="2"/>
  <c r="M101" i="2"/>
  <c r="L101" i="2"/>
  <c r="K101" i="2"/>
  <c r="N100" i="2"/>
  <c r="M100" i="2"/>
  <c r="L100" i="2"/>
  <c r="K100" i="2"/>
  <c r="N99" i="2"/>
  <c r="M99" i="2"/>
  <c r="L99" i="2"/>
  <c r="K99" i="2"/>
  <c r="N98" i="2"/>
  <c r="M98" i="2"/>
  <c r="L98" i="2"/>
  <c r="K98" i="2"/>
  <c r="N97" i="2"/>
  <c r="M97" i="2"/>
  <c r="L97" i="2"/>
  <c r="K97" i="2"/>
  <c r="N96" i="2"/>
  <c r="M96" i="2"/>
  <c r="L96" i="2"/>
  <c r="K96" i="2"/>
  <c r="N95" i="2"/>
  <c r="M95" i="2"/>
  <c r="L95" i="2"/>
  <c r="K95" i="2"/>
  <c r="N94" i="2"/>
  <c r="M94" i="2"/>
  <c r="L94" i="2"/>
  <c r="K94" i="2"/>
  <c r="N93" i="2"/>
  <c r="M93" i="2"/>
  <c r="L93" i="2"/>
  <c r="K93" i="2"/>
  <c r="N92" i="2"/>
  <c r="M92" i="2"/>
  <c r="L92" i="2"/>
  <c r="K92" i="2"/>
  <c r="N91" i="2"/>
  <c r="M91" i="2"/>
  <c r="L91" i="2"/>
  <c r="K91" i="2"/>
  <c r="N90" i="2"/>
  <c r="M90" i="2"/>
  <c r="L90" i="2"/>
  <c r="K90" i="2"/>
  <c r="N89" i="2"/>
  <c r="M89" i="2"/>
  <c r="L89" i="2"/>
  <c r="K89" i="2"/>
  <c r="N88" i="2"/>
  <c r="M88" i="2"/>
  <c r="L88" i="2"/>
  <c r="K88" i="2"/>
  <c r="N87" i="2"/>
  <c r="M87" i="2"/>
  <c r="L87" i="2"/>
  <c r="K87" i="2"/>
  <c r="N86" i="2"/>
  <c r="M86" i="2"/>
  <c r="L86" i="2"/>
  <c r="K86" i="2"/>
  <c r="N85" i="2"/>
  <c r="M85" i="2"/>
  <c r="L85" i="2"/>
  <c r="K85" i="2"/>
  <c r="N84" i="2"/>
  <c r="M84" i="2"/>
  <c r="L84" i="2"/>
  <c r="K84" i="2"/>
  <c r="N83" i="2"/>
  <c r="M83" i="2"/>
  <c r="L83" i="2"/>
  <c r="K83" i="2"/>
  <c r="N82" i="2"/>
  <c r="M82" i="2"/>
  <c r="L82" i="2"/>
  <c r="K82" i="2"/>
  <c r="N81" i="2"/>
  <c r="M81" i="2"/>
  <c r="L81" i="2"/>
  <c r="K81" i="2"/>
  <c r="N80" i="2"/>
  <c r="M80" i="2"/>
  <c r="L80" i="2"/>
  <c r="K80" i="2"/>
  <c r="N79" i="2"/>
  <c r="M79" i="2"/>
  <c r="L79" i="2"/>
  <c r="K79" i="2"/>
  <c r="N78" i="2"/>
  <c r="M78" i="2"/>
  <c r="L78" i="2"/>
  <c r="K78" i="2"/>
  <c r="N77" i="2"/>
  <c r="M77" i="2"/>
  <c r="L77" i="2"/>
  <c r="K77" i="2"/>
  <c r="N76" i="2"/>
  <c r="M76" i="2"/>
  <c r="L76" i="2"/>
  <c r="K76" i="2"/>
  <c r="N75" i="2"/>
  <c r="M75" i="2"/>
  <c r="L75" i="2"/>
  <c r="K75" i="2"/>
  <c r="N74" i="2"/>
  <c r="M74" i="2"/>
  <c r="L74" i="2"/>
  <c r="K74" i="2"/>
  <c r="N73" i="2"/>
  <c r="M73" i="2"/>
  <c r="L73" i="2"/>
  <c r="K73" i="2"/>
  <c r="N72" i="2"/>
  <c r="M72" i="2"/>
  <c r="L72" i="2"/>
  <c r="K72" i="2"/>
  <c r="N71" i="2"/>
  <c r="M71" i="2"/>
  <c r="L71" i="2"/>
  <c r="K71" i="2"/>
  <c r="N70" i="2"/>
  <c r="M70" i="2"/>
  <c r="L70" i="2"/>
  <c r="K70" i="2"/>
  <c r="N69" i="2"/>
  <c r="M69" i="2"/>
  <c r="L69" i="2"/>
  <c r="K69" i="2"/>
  <c r="N68" i="2"/>
  <c r="M68" i="2"/>
  <c r="L68" i="2"/>
  <c r="K68" i="2"/>
  <c r="N67" i="2"/>
  <c r="M67" i="2"/>
  <c r="L67" i="2"/>
  <c r="K67" i="2"/>
  <c r="N66" i="2"/>
  <c r="M66" i="2"/>
  <c r="L66" i="2"/>
  <c r="K66" i="2"/>
  <c r="N65" i="2"/>
  <c r="M65" i="2"/>
  <c r="L65" i="2"/>
  <c r="K65" i="2"/>
  <c r="N64" i="2"/>
  <c r="M64" i="2"/>
  <c r="L64" i="2"/>
  <c r="K64" i="2"/>
  <c r="N63" i="2"/>
  <c r="M63" i="2"/>
  <c r="L63" i="2"/>
  <c r="K63" i="2"/>
  <c r="N62" i="2"/>
  <c r="M62" i="2"/>
  <c r="L62" i="2"/>
  <c r="K62" i="2"/>
  <c r="N61" i="2"/>
  <c r="M61" i="2"/>
  <c r="L61" i="2"/>
  <c r="K61" i="2"/>
  <c r="N60" i="2"/>
  <c r="M60" i="2"/>
  <c r="L60" i="2"/>
  <c r="K60" i="2"/>
  <c r="N59" i="2"/>
  <c r="M59" i="2"/>
  <c r="L59" i="2"/>
  <c r="K59" i="2"/>
  <c r="N58" i="2"/>
  <c r="M58" i="2"/>
  <c r="L58" i="2"/>
  <c r="K58" i="2"/>
  <c r="N57" i="2"/>
  <c r="M57" i="2"/>
  <c r="L57" i="2"/>
  <c r="K57" i="2"/>
  <c r="N56" i="2"/>
  <c r="M56" i="2"/>
  <c r="L56" i="2"/>
  <c r="K56" i="2"/>
  <c r="N55" i="2"/>
  <c r="M55" i="2"/>
  <c r="L55" i="2"/>
  <c r="K55" i="2"/>
  <c r="N54" i="2"/>
  <c r="M54" i="2"/>
  <c r="L54" i="2"/>
  <c r="K54" i="2"/>
  <c r="N53" i="2"/>
  <c r="M53" i="2"/>
  <c r="L53" i="2"/>
  <c r="K53" i="2"/>
  <c r="N52" i="2"/>
  <c r="M52" i="2"/>
  <c r="L52" i="2"/>
  <c r="K52" i="2"/>
  <c r="N51" i="2"/>
  <c r="M51" i="2"/>
  <c r="L51" i="2"/>
  <c r="K51" i="2"/>
  <c r="N50" i="2"/>
  <c r="M50" i="2"/>
  <c r="L50" i="2"/>
  <c r="K50" i="2"/>
  <c r="N49" i="2"/>
  <c r="M49" i="2"/>
  <c r="L49" i="2"/>
  <c r="K49" i="2"/>
  <c r="N48" i="2"/>
  <c r="M48" i="2"/>
  <c r="L48" i="2"/>
  <c r="K48" i="2"/>
  <c r="N47" i="2"/>
  <c r="M47" i="2"/>
  <c r="L47" i="2"/>
  <c r="K47" i="2"/>
  <c r="N46" i="2"/>
  <c r="M46" i="2"/>
  <c r="L46" i="2"/>
  <c r="K46" i="2"/>
  <c r="N45" i="2"/>
  <c r="M45" i="2"/>
  <c r="L45" i="2"/>
  <c r="K45" i="2"/>
  <c r="N44" i="2"/>
  <c r="M44" i="2"/>
  <c r="L44" i="2"/>
  <c r="K44" i="2"/>
  <c r="N43" i="2"/>
  <c r="M43" i="2"/>
  <c r="L43" i="2"/>
  <c r="K43" i="2"/>
  <c r="N42" i="2"/>
  <c r="M42" i="2"/>
  <c r="L42" i="2"/>
  <c r="K42" i="2"/>
  <c r="N41" i="2"/>
  <c r="M41" i="2"/>
  <c r="L41" i="2"/>
  <c r="K41" i="2"/>
  <c r="N40" i="2"/>
  <c r="M40" i="2"/>
  <c r="L40" i="2"/>
  <c r="K40" i="2"/>
  <c r="N39" i="2"/>
  <c r="M39" i="2"/>
  <c r="L39" i="2"/>
  <c r="K39" i="2"/>
  <c r="N38" i="2"/>
  <c r="M38" i="2"/>
  <c r="L38" i="2"/>
  <c r="K38" i="2"/>
  <c r="N37" i="2"/>
  <c r="M37" i="2"/>
  <c r="L37" i="2"/>
  <c r="K37" i="2"/>
  <c r="N36" i="2"/>
  <c r="M36" i="2"/>
  <c r="L36" i="2"/>
  <c r="K36" i="2"/>
  <c r="N35" i="2"/>
  <c r="M35" i="2"/>
  <c r="L35" i="2"/>
  <c r="K35" i="2"/>
  <c r="N34" i="2"/>
  <c r="M34" i="2"/>
  <c r="L34" i="2"/>
  <c r="K34" i="2"/>
  <c r="N33" i="2"/>
  <c r="M33" i="2"/>
  <c r="L33" i="2"/>
  <c r="K33" i="2"/>
  <c r="N32" i="2"/>
  <c r="M32" i="2"/>
  <c r="L32" i="2"/>
  <c r="K32" i="2"/>
  <c r="N31" i="2"/>
  <c r="M31" i="2"/>
  <c r="L31" i="2"/>
  <c r="K31" i="2"/>
  <c r="N30" i="2"/>
  <c r="M30" i="2"/>
  <c r="L30" i="2"/>
  <c r="K30" i="2"/>
  <c r="N29" i="2"/>
  <c r="M29" i="2"/>
  <c r="L29" i="2"/>
  <c r="K29" i="2"/>
  <c r="N28" i="2"/>
  <c r="M28" i="2"/>
  <c r="L28" i="2"/>
  <c r="K28" i="2"/>
  <c r="N27" i="2"/>
  <c r="M27" i="2"/>
  <c r="L27" i="2"/>
  <c r="K27" i="2"/>
  <c r="N26" i="2"/>
  <c r="M26" i="2"/>
  <c r="L26" i="2"/>
  <c r="K26" i="2"/>
  <c r="N25" i="2"/>
  <c r="M25" i="2"/>
  <c r="L25" i="2"/>
  <c r="K25" i="2"/>
  <c r="N24" i="2"/>
  <c r="M24" i="2"/>
  <c r="L24" i="2"/>
  <c r="K24" i="2"/>
  <c r="N23" i="2"/>
  <c r="M23" i="2"/>
  <c r="L23" i="2"/>
  <c r="K23" i="2"/>
  <c r="N22" i="2"/>
  <c r="M22" i="2"/>
  <c r="L22" i="2"/>
  <c r="K22" i="2"/>
  <c r="N21" i="2"/>
  <c r="M21" i="2"/>
  <c r="L21" i="2"/>
  <c r="K21" i="2"/>
  <c r="N20" i="2"/>
  <c r="M20" i="2"/>
  <c r="L20" i="2"/>
  <c r="K20" i="2"/>
  <c r="N19" i="2"/>
  <c r="M19" i="2"/>
  <c r="L19" i="2"/>
  <c r="K19" i="2"/>
  <c r="N18" i="2"/>
  <c r="M18" i="2"/>
  <c r="L18" i="2"/>
  <c r="K18" i="2"/>
  <c r="N17" i="2"/>
  <c r="M17" i="2"/>
  <c r="L17" i="2"/>
  <c r="K17" i="2"/>
  <c r="N16" i="2"/>
  <c r="M16" i="2"/>
  <c r="L16" i="2"/>
  <c r="K16" i="2"/>
  <c r="N15" i="2"/>
  <c r="M15" i="2"/>
  <c r="L15" i="2"/>
  <c r="K15" i="2"/>
  <c r="N14" i="2"/>
  <c r="M14" i="2"/>
  <c r="L14" i="2"/>
  <c r="K14" i="2"/>
  <c r="N13" i="2"/>
  <c r="M13" i="2"/>
  <c r="L13" i="2"/>
  <c r="K13" i="2"/>
  <c r="N12" i="2"/>
  <c r="M12" i="2"/>
  <c r="L12" i="2"/>
  <c r="K12" i="2"/>
  <c r="N11" i="2"/>
  <c r="M11" i="2"/>
  <c r="L11" i="2"/>
  <c r="K11" i="2"/>
  <c r="N10" i="2"/>
  <c r="M10" i="2"/>
  <c r="L10" i="2"/>
  <c r="K10" i="2"/>
  <c r="N9" i="2"/>
  <c r="M9" i="2"/>
  <c r="L9" i="2"/>
  <c r="K9" i="2"/>
  <c r="N8" i="2"/>
  <c r="M8" i="2"/>
  <c r="L8" i="2"/>
  <c r="K8" i="2"/>
  <c r="N7" i="2"/>
  <c r="M7" i="2"/>
  <c r="L7" i="2"/>
  <c r="K7" i="2"/>
  <c r="N6" i="2"/>
  <c r="M6" i="2"/>
  <c r="L6" i="2"/>
  <c r="K6" i="2"/>
  <c r="N5" i="2"/>
  <c r="M5" i="2"/>
  <c r="L5" i="2"/>
  <c r="K5" i="2"/>
  <c r="N4" i="2"/>
  <c r="M4" i="2"/>
  <c r="L4" i="2"/>
  <c r="K4" i="2"/>
  <c r="AP14" i="2"/>
  <c r="AP13" i="2"/>
  <c r="AP12" i="2"/>
  <c r="AJ3" i="14" l="1"/>
  <c r="AH3" i="14"/>
  <c r="AG3" i="14"/>
  <c r="AF3" i="14"/>
  <c r="Q20" i="14"/>
  <c r="P20" i="14"/>
  <c r="O20" i="14"/>
  <c r="N20" i="14"/>
  <c r="Q19" i="14"/>
  <c r="P19" i="14"/>
  <c r="O19" i="14"/>
  <c r="N19" i="14"/>
  <c r="Q18" i="14"/>
  <c r="P18" i="14"/>
  <c r="O18" i="14"/>
  <c r="N18" i="14"/>
  <c r="Q17" i="14"/>
  <c r="P17" i="14"/>
  <c r="O17" i="14"/>
  <c r="N17" i="14"/>
  <c r="Q16" i="14"/>
  <c r="P16" i="14"/>
  <c r="O16" i="14"/>
  <c r="N16" i="14"/>
  <c r="Q15" i="14"/>
  <c r="P15" i="14"/>
  <c r="O15" i="14"/>
  <c r="N15" i="14"/>
  <c r="Q14" i="14"/>
  <c r="P14" i="14"/>
  <c r="O14" i="14"/>
  <c r="N14" i="14"/>
  <c r="Q13" i="14"/>
  <c r="P13" i="14"/>
  <c r="O13" i="14"/>
  <c r="N13" i="14"/>
  <c r="Q12" i="14"/>
  <c r="P12" i="14"/>
  <c r="O12" i="14"/>
  <c r="N12" i="14"/>
  <c r="Q11" i="14"/>
  <c r="P11" i="14"/>
  <c r="O11" i="14"/>
  <c r="N11" i="14"/>
  <c r="Q10" i="14"/>
  <c r="P10" i="14"/>
  <c r="O10" i="14"/>
  <c r="N10" i="14"/>
  <c r="Q9" i="14"/>
  <c r="P9" i="14"/>
  <c r="O9" i="14"/>
  <c r="N9" i="14"/>
  <c r="Q8" i="14"/>
  <c r="P8" i="14"/>
  <c r="O8" i="14"/>
  <c r="N8" i="14"/>
  <c r="Q7" i="14"/>
  <c r="P7" i="14"/>
  <c r="O7" i="14"/>
  <c r="N7" i="14"/>
  <c r="Q6" i="14"/>
  <c r="P6" i="14"/>
  <c r="O6" i="14"/>
  <c r="N6" i="14"/>
  <c r="Q5" i="14"/>
  <c r="P5" i="14"/>
  <c r="O5" i="14"/>
  <c r="N5" i="14"/>
  <c r="Q4" i="14"/>
  <c r="P4" i="14"/>
  <c r="O4" i="14"/>
  <c r="N4" i="14"/>
  <c r="K20" i="14"/>
  <c r="K19" i="14"/>
  <c r="K18" i="14"/>
  <c r="K17" i="14"/>
  <c r="K16" i="14"/>
  <c r="K15" i="14"/>
  <c r="K14" i="14"/>
  <c r="K13" i="14"/>
  <c r="K12" i="14"/>
  <c r="K11" i="14"/>
  <c r="K10" i="14"/>
  <c r="K9" i="14"/>
  <c r="K8" i="14"/>
  <c r="K7" i="14"/>
  <c r="AC7" i="14" s="1"/>
  <c r="K6" i="14"/>
  <c r="K5" i="14"/>
  <c r="K4" i="14"/>
  <c r="AC4" i="14" s="1"/>
  <c r="Q34" i="13"/>
  <c r="P34" i="13"/>
  <c r="O34" i="13"/>
  <c r="N34" i="13"/>
  <c r="Q33" i="13"/>
  <c r="P33" i="13"/>
  <c r="O33" i="13"/>
  <c r="N33" i="13"/>
  <c r="Q32" i="13"/>
  <c r="P32" i="13"/>
  <c r="O32" i="13"/>
  <c r="N32" i="13"/>
  <c r="Q31" i="13"/>
  <c r="P31" i="13"/>
  <c r="O31" i="13"/>
  <c r="N31" i="13"/>
  <c r="Q30" i="13"/>
  <c r="P30" i="13"/>
  <c r="O30" i="13"/>
  <c r="N30" i="13"/>
  <c r="Q29" i="13"/>
  <c r="P29" i="13"/>
  <c r="O29" i="13"/>
  <c r="N29" i="13"/>
  <c r="Q28" i="13"/>
  <c r="P28" i="13"/>
  <c r="O28" i="13"/>
  <c r="N28" i="13"/>
  <c r="Q27" i="13"/>
  <c r="P27" i="13"/>
  <c r="O27" i="13"/>
  <c r="N27" i="13"/>
  <c r="Q26" i="13"/>
  <c r="P26" i="13"/>
  <c r="O26" i="13"/>
  <c r="N26" i="13"/>
  <c r="Q25" i="13"/>
  <c r="P25" i="13"/>
  <c r="O25" i="13"/>
  <c r="N25" i="13"/>
  <c r="Q24" i="13"/>
  <c r="P24" i="13"/>
  <c r="O24" i="13"/>
  <c r="N24" i="13"/>
  <c r="Q23" i="13"/>
  <c r="P23" i="13"/>
  <c r="O23" i="13"/>
  <c r="N23" i="13"/>
  <c r="Q22" i="13"/>
  <c r="P22" i="13"/>
  <c r="O22" i="13"/>
  <c r="N22" i="13"/>
  <c r="Q21" i="13"/>
  <c r="P21" i="13"/>
  <c r="O21" i="13"/>
  <c r="N21" i="13"/>
  <c r="Q20" i="13"/>
  <c r="P20" i="13"/>
  <c r="O20" i="13"/>
  <c r="N20" i="13"/>
  <c r="Q19" i="13"/>
  <c r="P19" i="13"/>
  <c r="O19" i="13"/>
  <c r="N19" i="13"/>
  <c r="Q18" i="13"/>
  <c r="P18" i="13"/>
  <c r="O18" i="13"/>
  <c r="N18" i="13"/>
  <c r="Q17" i="13"/>
  <c r="P17" i="13"/>
  <c r="O17" i="13"/>
  <c r="N17" i="13"/>
  <c r="Q16" i="13"/>
  <c r="P16" i="13"/>
  <c r="O16" i="13"/>
  <c r="N16" i="13"/>
  <c r="Q15" i="13"/>
  <c r="P15" i="13"/>
  <c r="O15" i="13"/>
  <c r="N15" i="13"/>
  <c r="Q14" i="13"/>
  <c r="P14" i="13"/>
  <c r="O14" i="13"/>
  <c r="N14" i="13"/>
  <c r="Q13" i="13"/>
  <c r="P13" i="13"/>
  <c r="O13" i="13"/>
  <c r="N13" i="13"/>
  <c r="Q12" i="13"/>
  <c r="P12" i="13"/>
  <c r="O12" i="13"/>
  <c r="N12" i="13"/>
  <c r="Q11" i="13"/>
  <c r="P11" i="13"/>
  <c r="O11" i="13"/>
  <c r="N11" i="13"/>
  <c r="Q10" i="13"/>
  <c r="P10" i="13"/>
  <c r="O10" i="13"/>
  <c r="N10" i="13"/>
  <c r="Q9" i="13"/>
  <c r="P9" i="13"/>
  <c r="O9" i="13"/>
  <c r="N9" i="13"/>
  <c r="Q8" i="13"/>
  <c r="P8" i="13"/>
  <c r="O8" i="13"/>
  <c r="N8" i="13"/>
  <c r="Q7" i="13"/>
  <c r="P7" i="13"/>
  <c r="O7" i="13"/>
  <c r="N7" i="13"/>
  <c r="Q6" i="13"/>
  <c r="P6" i="13"/>
  <c r="O6" i="13"/>
  <c r="N6" i="13"/>
  <c r="Q5" i="13"/>
  <c r="P5" i="13"/>
  <c r="O5" i="13"/>
  <c r="N5" i="13"/>
  <c r="Q4" i="13"/>
  <c r="P4" i="13"/>
  <c r="O4" i="13"/>
  <c r="N4" i="13"/>
  <c r="AC3" i="13"/>
  <c r="AJ3" i="13"/>
  <c r="AI3" i="13"/>
  <c r="AH3" i="13"/>
  <c r="AG3" i="13"/>
  <c r="AF3" i="13"/>
  <c r="AE3" i="13"/>
  <c r="AD3" i="13"/>
  <c r="K34" i="13"/>
  <c r="K33" i="13"/>
  <c r="K32" i="13"/>
  <c r="K31" i="13"/>
  <c r="K30" i="13"/>
  <c r="K29" i="13"/>
  <c r="K27" i="13"/>
  <c r="K26" i="13"/>
  <c r="K25" i="13"/>
  <c r="K23" i="13"/>
  <c r="K22" i="13"/>
  <c r="K21" i="13"/>
  <c r="K20" i="13"/>
  <c r="K19" i="13"/>
  <c r="K18" i="13"/>
  <c r="K17" i="13"/>
  <c r="K16" i="13"/>
  <c r="K15" i="13"/>
  <c r="K14" i="13"/>
  <c r="K13" i="13"/>
  <c r="K12" i="13"/>
  <c r="AI14" i="14" l="1"/>
  <c r="AD14" i="14"/>
  <c r="AC14" i="14"/>
  <c r="AI15" i="14"/>
  <c r="AD15" i="14"/>
  <c r="AC15" i="14"/>
  <c r="AE5" i="14"/>
  <c r="AD5" i="14"/>
  <c r="AC5" i="14"/>
  <c r="AC3" i="14" s="1"/>
  <c r="AI17" i="14"/>
  <c r="AD17" i="14"/>
  <c r="AC17" i="14"/>
  <c r="AE6" i="14"/>
  <c r="AD6" i="14"/>
  <c r="AC6" i="14"/>
  <c r="AI18" i="14"/>
  <c r="AD18" i="14"/>
  <c r="AC18" i="14"/>
  <c r="AD19" i="14"/>
  <c r="AC19" i="14"/>
  <c r="AI16" i="14"/>
  <c r="AD16" i="14"/>
  <c r="AC16" i="14"/>
  <c r="AE8" i="14"/>
  <c r="AD8" i="14"/>
  <c r="AC8" i="14"/>
  <c r="AD20" i="14"/>
  <c r="AC20" i="14"/>
  <c r="AI13" i="14"/>
  <c r="AD13" i="14"/>
  <c r="AC13" i="14"/>
  <c r="AE9" i="14"/>
  <c r="AD9" i="14"/>
  <c r="AC9" i="14"/>
  <c r="AE10" i="14"/>
  <c r="AD10" i="14"/>
  <c r="AC10" i="14"/>
  <c r="AE11" i="14"/>
  <c r="AD11" i="14"/>
  <c r="AC11" i="14"/>
  <c r="AE12" i="14"/>
  <c r="AD12" i="14"/>
  <c r="AC12" i="14"/>
  <c r="Q64" i="12"/>
  <c r="P64" i="12"/>
  <c r="O64" i="12"/>
  <c r="N64" i="12"/>
  <c r="Q63" i="12"/>
  <c r="P63" i="12"/>
  <c r="O63" i="12"/>
  <c r="N63" i="12"/>
  <c r="Q62" i="12"/>
  <c r="P62" i="12"/>
  <c r="O62" i="12"/>
  <c r="N62" i="12"/>
  <c r="Q61" i="12"/>
  <c r="P61" i="12"/>
  <c r="O61" i="12"/>
  <c r="N61" i="12"/>
  <c r="Q60" i="12"/>
  <c r="P60" i="12"/>
  <c r="O60" i="12"/>
  <c r="N60" i="12"/>
  <c r="Q59" i="12"/>
  <c r="P59" i="12"/>
  <c r="O59" i="12"/>
  <c r="N59" i="12"/>
  <c r="Q58" i="12"/>
  <c r="P58" i="12"/>
  <c r="O58" i="12"/>
  <c r="N58" i="12"/>
  <c r="Q57" i="12"/>
  <c r="P57" i="12"/>
  <c r="O57" i="12"/>
  <c r="N57" i="12"/>
  <c r="Q56" i="12"/>
  <c r="P56" i="12"/>
  <c r="O56" i="12"/>
  <c r="N56" i="12"/>
  <c r="Q55" i="12"/>
  <c r="P55" i="12"/>
  <c r="O55" i="12"/>
  <c r="N55" i="12"/>
  <c r="Q54" i="12"/>
  <c r="P54" i="12"/>
  <c r="O54" i="12"/>
  <c r="N54" i="12"/>
  <c r="Q53" i="12"/>
  <c r="P53" i="12"/>
  <c r="O53" i="12"/>
  <c r="N53" i="12"/>
  <c r="Q52" i="12"/>
  <c r="P52" i="12"/>
  <c r="O52" i="12"/>
  <c r="N52" i="12"/>
  <c r="Q51" i="12"/>
  <c r="P51" i="12"/>
  <c r="O51" i="12"/>
  <c r="N51" i="12"/>
  <c r="Q50" i="12"/>
  <c r="P50" i="12"/>
  <c r="O50" i="12"/>
  <c r="N50" i="12"/>
  <c r="Q49" i="12"/>
  <c r="P49" i="12"/>
  <c r="O49" i="12"/>
  <c r="N49" i="12"/>
  <c r="Q48" i="12"/>
  <c r="P48" i="12"/>
  <c r="O48" i="12"/>
  <c r="N48" i="12"/>
  <c r="Q47" i="12"/>
  <c r="P47" i="12"/>
  <c r="O47" i="12"/>
  <c r="N47" i="12"/>
  <c r="Q46" i="12"/>
  <c r="P46" i="12"/>
  <c r="O46" i="12"/>
  <c r="N46" i="12"/>
  <c r="Q45" i="12"/>
  <c r="P45" i="12"/>
  <c r="O45" i="12"/>
  <c r="N45" i="12"/>
  <c r="Q44" i="12"/>
  <c r="P44" i="12"/>
  <c r="O44" i="12"/>
  <c r="N44" i="12"/>
  <c r="Q43" i="12"/>
  <c r="P43" i="12"/>
  <c r="O43" i="12"/>
  <c r="N43" i="12"/>
  <c r="Q42" i="12"/>
  <c r="P42" i="12"/>
  <c r="O42" i="12"/>
  <c r="N42" i="12"/>
  <c r="Q41" i="12"/>
  <c r="P41" i="12"/>
  <c r="O41" i="12"/>
  <c r="N41" i="12"/>
  <c r="Q40" i="12"/>
  <c r="P40" i="12"/>
  <c r="O40" i="12"/>
  <c r="N40" i="12"/>
  <c r="Q39" i="12"/>
  <c r="P39" i="12"/>
  <c r="O39" i="12"/>
  <c r="N39" i="12"/>
  <c r="Q38" i="12"/>
  <c r="P38" i="12"/>
  <c r="O38" i="12"/>
  <c r="N38" i="12"/>
  <c r="Q37" i="12"/>
  <c r="P37" i="12"/>
  <c r="O37" i="12"/>
  <c r="N37" i="12"/>
  <c r="Q36" i="12"/>
  <c r="P36" i="12"/>
  <c r="O36" i="12"/>
  <c r="N36" i="12"/>
  <c r="Q35" i="12"/>
  <c r="P35" i="12"/>
  <c r="O35" i="12"/>
  <c r="N35" i="12"/>
  <c r="Q34" i="12"/>
  <c r="P34" i="12"/>
  <c r="O34" i="12"/>
  <c r="N34" i="12"/>
  <c r="Q33" i="12"/>
  <c r="P33" i="12"/>
  <c r="O33" i="12"/>
  <c r="N33" i="12"/>
  <c r="Q32" i="12"/>
  <c r="P32" i="12"/>
  <c r="O32" i="12"/>
  <c r="N32" i="12"/>
  <c r="Q31" i="12"/>
  <c r="P31" i="12"/>
  <c r="O31" i="12"/>
  <c r="N31" i="12"/>
  <c r="Q30" i="12"/>
  <c r="P30" i="12"/>
  <c r="O30" i="12"/>
  <c r="N30" i="12"/>
  <c r="Q29" i="12"/>
  <c r="P29" i="12"/>
  <c r="O29" i="12"/>
  <c r="N29" i="12"/>
  <c r="Q28" i="12"/>
  <c r="P28" i="12"/>
  <c r="O28" i="12"/>
  <c r="N28" i="12"/>
  <c r="Q27" i="12"/>
  <c r="P27" i="12"/>
  <c r="O27" i="12"/>
  <c r="N27" i="12"/>
  <c r="Q26" i="12"/>
  <c r="P26" i="12"/>
  <c r="O26" i="12"/>
  <c r="N26" i="12"/>
  <c r="Q25" i="12"/>
  <c r="P25" i="12"/>
  <c r="O25" i="12"/>
  <c r="N25" i="12"/>
  <c r="Q24" i="12"/>
  <c r="P24" i="12"/>
  <c r="O24" i="12"/>
  <c r="N24" i="12"/>
  <c r="Q23" i="12"/>
  <c r="P23" i="12"/>
  <c r="O23" i="12"/>
  <c r="N23" i="12"/>
  <c r="Q22" i="12"/>
  <c r="P22" i="12"/>
  <c r="O22" i="12"/>
  <c r="N22" i="12"/>
  <c r="Q21" i="12"/>
  <c r="P21" i="12"/>
  <c r="O21" i="12"/>
  <c r="N21" i="12"/>
  <c r="Q20" i="12"/>
  <c r="P20" i="12"/>
  <c r="O20" i="12"/>
  <c r="N20" i="12"/>
  <c r="Q19" i="12"/>
  <c r="P19" i="12"/>
  <c r="O19" i="12"/>
  <c r="N19" i="12"/>
  <c r="Q18" i="12"/>
  <c r="P18" i="12"/>
  <c r="O18" i="12"/>
  <c r="N18" i="12"/>
  <c r="Q17" i="12"/>
  <c r="P17" i="12"/>
  <c r="O17" i="12"/>
  <c r="N17" i="12"/>
  <c r="Q16" i="12"/>
  <c r="P16" i="12"/>
  <c r="O16" i="12"/>
  <c r="N16" i="12"/>
  <c r="Q15" i="12"/>
  <c r="P15" i="12"/>
  <c r="O15" i="12"/>
  <c r="N15" i="12"/>
  <c r="Q14" i="12"/>
  <c r="P14" i="12"/>
  <c r="O14" i="12"/>
  <c r="N14" i="12"/>
  <c r="Q13" i="12"/>
  <c r="P13" i="12"/>
  <c r="O13" i="12"/>
  <c r="N13" i="12"/>
  <c r="Q12" i="12"/>
  <c r="P12" i="12"/>
  <c r="O12" i="12"/>
  <c r="N12" i="12"/>
  <c r="Q11" i="12"/>
  <c r="P11" i="12"/>
  <c r="O11" i="12"/>
  <c r="N11" i="12"/>
  <c r="Q10" i="12"/>
  <c r="P10" i="12"/>
  <c r="O10" i="12"/>
  <c r="N10" i="12"/>
  <c r="Q9" i="12"/>
  <c r="P9" i="12"/>
  <c r="O9" i="12"/>
  <c r="N9" i="12"/>
  <c r="Q8" i="12"/>
  <c r="P8" i="12"/>
  <c r="O8" i="12"/>
  <c r="N8" i="12"/>
  <c r="Q7" i="12"/>
  <c r="P7" i="12"/>
  <c r="O7" i="12"/>
  <c r="N7" i="12"/>
  <c r="Q6" i="12"/>
  <c r="P6" i="12"/>
  <c r="O6" i="12"/>
  <c r="N6" i="12"/>
  <c r="Q5" i="12"/>
  <c r="P5" i="12"/>
  <c r="O5" i="12"/>
  <c r="N5" i="12"/>
  <c r="Q4" i="12"/>
  <c r="P4" i="12"/>
  <c r="O4" i="12"/>
  <c r="N4" i="12"/>
  <c r="AJ3" i="12"/>
  <c r="AI3" i="12"/>
  <c r="AH3" i="12"/>
  <c r="AF3" i="12"/>
  <c r="AE3" i="12"/>
  <c r="AD3" i="12"/>
  <c r="K64" i="12"/>
  <c r="K63" i="12"/>
  <c r="K62" i="12"/>
  <c r="AC62" i="12" s="1"/>
  <c r="K61" i="12"/>
  <c r="K60" i="12"/>
  <c r="AG60" i="12" s="1"/>
  <c r="K59" i="12"/>
  <c r="K58" i="12"/>
  <c r="AG58" i="12" s="1"/>
  <c r="K57" i="12"/>
  <c r="AC57" i="12" s="1"/>
  <c r="K56" i="12"/>
  <c r="AC56" i="12" s="1"/>
  <c r="K55" i="12"/>
  <c r="AC55" i="12" s="1"/>
  <c r="K54" i="12"/>
  <c r="AC54" i="12" s="1"/>
  <c r="K53" i="12"/>
  <c r="AC53" i="12" s="1"/>
  <c r="K52" i="12"/>
  <c r="AC52" i="12" s="1"/>
  <c r="K51" i="12"/>
  <c r="AC51" i="12" s="1"/>
  <c r="K50" i="12"/>
  <c r="AC50" i="12" s="1"/>
  <c r="K49" i="12"/>
  <c r="K48" i="12"/>
  <c r="K47" i="12"/>
  <c r="AC47" i="12" s="1"/>
  <c r="K46" i="12"/>
  <c r="AC46" i="12" s="1"/>
  <c r="K44" i="12"/>
  <c r="AC44" i="12" s="1"/>
  <c r="K43" i="12"/>
  <c r="AC43" i="12" s="1"/>
  <c r="K42" i="12"/>
  <c r="AC42" i="12" s="1"/>
  <c r="AD3" i="14" l="1"/>
  <c r="AE3" i="14"/>
  <c r="AC61" i="12"/>
  <c r="AL61" i="12"/>
  <c r="AG59" i="12"/>
  <c r="AG3" i="12" s="1"/>
  <c r="AL59" i="12"/>
  <c r="AC63" i="12"/>
  <c r="AQ63" i="12"/>
  <c r="AQ3" i="12" s="1"/>
  <c r="AL63" i="12"/>
  <c r="AI3" i="14"/>
  <c r="AC49" i="12"/>
  <c r="AC3" i="12" s="1"/>
  <c r="AL49" i="12"/>
  <c r="AC48" i="12"/>
  <c r="AL48" i="12"/>
  <c r="AC64" i="12"/>
  <c r="AQ64" i="12"/>
  <c r="AL64" i="12"/>
  <c r="AG36" i="9"/>
  <c r="AL3" i="12" l="1"/>
  <c r="W4" i="4"/>
  <c r="V16" i="4"/>
  <c r="V15" i="4"/>
  <c r="Q38" i="9" l="1"/>
  <c r="AP18" i="2" l="1"/>
  <c r="AP29" i="2"/>
  <c r="AP11" i="2"/>
  <c r="AG35" i="9"/>
  <c r="AG16" i="9" l="1"/>
  <c r="AG15" i="9"/>
  <c r="AG14" i="9"/>
  <c r="AG13" i="9"/>
  <c r="AG12" i="9"/>
  <c r="AG11" i="9"/>
  <c r="AG10" i="9"/>
  <c r="AP10" i="2"/>
  <c r="AP6" i="2"/>
  <c r="AT3" i="2" l="1"/>
  <c r="AS3" i="2"/>
  <c r="AR3" i="2"/>
  <c r="AQ3" i="2"/>
  <c r="I56" i="4" l="1"/>
  <c r="H56" i="4"/>
  <c r="G56" i="4"/>
  <c r="F56" i="4"/>
  <c r="I55" i="4"/>
  <c r="H55" i="4"/>
  <c r="G55" i="4"/>
  <c r="F55" i="4"/>
  <c r="I54" i="4"/>
  <c r="H54" i="4"/>
  <c r="G54" i="4"/>
  <c r="F54" i="4"/>
  <c r="I53" i="4"/>
  <c r="H53" i="4"/>
  <c r="G53" i="4"/>
  <c r="F53" i="4"/>
  <c r="I52" i="4"/>
  <c r="H52" i="4"/>
  <c r="G52" i="4"/>
  <c r="F52" i="4"/>
  <c r="I51" i="4"/>
  <c r="H51" i="4"/>
  <c r="G51" i="4"/>
  <c r="F51" i="4"/>
  <c r="I50" i="4"/>
  <c r="H50" i="4"/>
  <c r="G50" i="4"/>
  <c r="F50" i="4"/>
  <c r="I49" i="4"/>
  <c r="H49" i="4"/>
  <c r="G49" i="4"/>
  <c r="F49" i="4"/>
  <c r="I48" i="4"/>
  <c r="H48" i="4"/>
  <c r="G48" i="4"/>
  <c r="F48" i="4"/>
  <c r="I47" i="4"/>
  <c r="H47" i="4"/>
  <c r="G47" i="4"/>
  <c r="F47" i="4"/>
  <c r="I46" i="4"/>
  <c r="H46" i="4"/>
  <c r="G46" i="4"/>
  <c r="F46" i="4"/>
  <c r="I45" i="4"/>
  <c r="H45" i="4"/>
  <c r="G45" i="4"/>
  <c r="F45" i="4"/>
  <c r="I44" i="4"/>
  <c r="H44" i="4"/>
  <c r="G44" i="4"/>
  <c r="F44" i="4"/>
  <c r="I43" i="4"/>
  <c r="H43" i="4"/>
  <c r="G43" i="4"/>
  <c r="F43" i="4"/>
  <c r="I42" i="4"/>
  <c r="H42" i="4"/>
  <c r="G42" i="4"/>
  <c r="F42" i="4"/>
  <c r="I41" i="4"/>
  <c r="H41" i="4"/>
  <c r="G41" i="4"/>
  <c r="F41" i="4"/>
  <c r="I40" i="4"/>
  <c r="H40" i="4"/>
  <c r="G40" i="4"/>
  <c r="F40" i="4"/>
  <c r="I39" i="4"/>
  <c r="H39" i="4"/>
  <c r="G39" i="4"/>
  <c r="F39" i="4"/>
  <c r="I37" i="4"/>
  <c r="H37" i="4"/>
  <c r="G37" i="4"/>
  <c r="F37" i="4"/>
  <c r="I36" i="4"/>
  <c r="H36" i="4"/>
  <c r="G36" i="4"/>
  <c r="F36" i="4"/>
  <c r="I35" i="4"/>
  <c r="H35" i="4"/>
  <c r="G35" i="4"/>
  <c r="F35" i="4"/>
  <c r="I34" i="4"/>
  <c r="H34" i="4"/>
  <c r="G34" i="4"/>
  <c r="F34" i="4"/>
  <c r="I33" i="4"/>
  <c r="H33" i="4"/>
  <c r="G33" i="4"/>
  <c r="F33" i="4"/>
  <c r="I32" i="4"/>
  <c r="H32" i="4"/>
  <c r="G32" i="4"/>
  <c r="F32" i="4"/>
  <c r="I31" i="4"/>
  <c r="H31" i="4"/>
  <c r="G31" i="4"/>
  <c r="F31" i="4"/>
  <c r="I30" i="4"/>
  <c r="H30" i="4"/>
  <c r="G30" i="4"/>
  <c r="F30" i="4"/>
  <c r="I29" i="4"/>
  <c r="H29" i="4"/>
  <c r="G29" i="4"/>
  <c r="F29" i="4"/>
  <c r="I28" i="4"/>
  <c r="H28" i="4"/>
  <c r="G28" i="4"/>
  <c r="F28" i="4"/>
  <c r="I27" i="4"/>
  <c r="H27" i="4"/>
  <c r="G27" i="4"/>
  <c r="F27" i="4"/>
  <c r="I26" i="4"/>
  <c r="H26" i="4"/>
  <c r="G26" i="4"/>
  <c r="F26" i="4"/>
  <c r="I25" i="4"/>
  <c r="H25" i="4"/>
  <c r="G25" i="4"/>
  <c r="F25" i="4"/>
  <c r="I24" i="4"/>
  <c r="H24" i="4"/>
  <c r="G24" i="4"/>
  <c r="F24" i="4"/>
  <c r="I23" i="4"/>
  <c r="H23" i="4"/>
  <c r="G23" i="4"/>
  <c r="F23" i="4"/>
  <c r="I22" i="4"/>
  <c r="H22" i="4"/>
  <c r="G22" i="4"/>
  <c r="F22" i="4"/>
  <c r="I21" i="4"/>
  <c r="H21" i="4"/>
  <c r="G21" i="4"/>
  <c r="F21" i="4"/>
  <c r="I20" i="4"/>
  <c r="H20" i="4"/>
  <c r="G20" i="4"/>
  <c r="F20" i="4"/>
  <c r="I19" i="4"/>
  <c r="H19" i="4"/>
  <c r="G19" i="4"/>
  <c r="F19" i="4"/>
  <c r="I18" i="4"/>
  <c r="H18" i="4"/>
  <c r="G18" i="4"/>
  <c r="F18" i="4"/>
  <c r="I17" i="4"/>
  <c r="H17" i="4"/>
  <c r="G17" i="4"/>
  <c r="F17" i="4"/>
  <c r="I16" i="4"/>
  <c r="H16" i="4"/>
  <c r="G16" i="4"/>
  <c r="F16" i="4"/>
  <c r="I15" i="4"/>
  <c r="H15" i="4"/>
  <c r="G15" i="4"/>
  <c r="F15" i="4"/>
  <c r="I14" i="4"/>
  <c r="H14" i="4"/>
  <c r="G14" i="4"/>
  <c r="F14" i="4"/>
  <c r="I13" i="4"/>
  <c r="H13" i="4"/>
  <c r="G13" i="4"/>
  <c r="F13" i="4"/>
  <c r="I12" i="4"/>
  <c r="H12" i="4"/>
  <c r="G12" i="4"/>
  <c r="F12" i="4"/>
  <c r="I11" i="4"/>
  <c r="H11" i="4"/>
  <c r="G11" i="4"/>
  <c r="F11" i="4"/>
  <c r="I10" i="4"/>
  <c r="H10" i="4"/>
  <c r="G10" i="4"/>
  <c r="F10" i="4"/>
  <c r="I9" i="4"/>
  <c r="H9" i="4"/>
  <c r="G9" i="4"/>
  <c r="F9" i="4"/>
  <c r="I8" i="4"/>
  <c r="H8" i="4"/>
  <c r="G8" i="4"/>
  <c r="F8" i="4"/>
  <c r="I7" i="4"/>
  <c r="H7" i="4"/>
  <c r="G7" i="4"/>
  <c r="F7" i="4"/>
  <c r="I6" i="4"/>
  <c r="H6" i="4"/>
  <c r="G6" i="4"/>
  <c r="F6" i="4"/>
  <c r="I5" i="4"/>
  <c r="H5" i="4"/>
  <c r="G5" i="4"/>
  <c r="F5" i="4"/>
  <c r="I4" i="4"/>
  <c r="H4" i="4"/>
  <c r="G4" i="4"/>
  <c r="F4" i="4"/>
  <c r="AC5" i="9"/>
  <c r="AC59" i="9"/>
  <c r="AL5" i="2"/>
  <c r="AL4" i="2"/>
  <c r="AL224" i="2"/>
  <c r="AL223" i="2"/>
  <c r="AJ184" i="2" l="1"/>
  <c r="Q183" i="10"/>
  <c r="P183" i="10"/>
  <c r="O183" i="10"/>
  <c r="N183" i="10"/>
  <c r="Q182" i="10"/>
  <c r="P182" i="10"/>
  <c r="O182" i="10"/>
  <c r="N182" i="10"/>
  <c r="Q181" i="10"/>
  <c r="P181" i="10"/>
  <c r="O181" i="10"/>
  <c r="N181" i="10"/>
  <c r="Q180" i="10"/>
  <c r="P180" i="10"/>
  <c r="O180" i="10"/>
  <c r="N180" i="10"/>
  <c r="Q179" i="10"/>
  <c r="P179" i="10"/>
  <c r="O179" i="10"/>
  <c r="N179" i="10"/>
  <c r="Q178" i="10"/>
  <c r="P178" i="10"/>
  <c r="O178" i="10"/>
  <c r="N178" i="10"/>
  <c r="Q177" i="10"/>
  <c r="P177" i="10"/>
  <c r="O177" i="10"/>
  <c r="N177" i="10"/>
  <c r="Q176" i="10"/>
  <c r="P176" i="10"/>
  <c r="O176" i="10"/>
  <c r="N176" i="10"/>
  <c r="Q175" i="10"/>
  <c r="P175" i="10"/>
  <c r="O175" i="10"/>
  <c r="N175" i="10"/>
  <c r="Q174" i="10"/>
  <c r="P174" i="10"/>
  <c r="O174" i="10"/>
  <c r="N174" i="10"/>
  <c r="Q173" i="10"/>
  <c r="P173" i="10"/>
  <c r="O173" i="10"/>
  <c r="N173" i="10"/>
  <c r="Q172" i="10"/>
  <c r="P172" i="10"/>
  <c r="O172" i="10"/>
  <c r="N172" i="10"/>
  <c r="Q171" i="10"/>
  <c r="P171" i="10"/>
  <c r="O171" i="10"/>
  <c r="N171" i="10"/>
  <c r="Q170" i="10"/>
  <c r="P170" i="10"/>
  <c r="O170" i="10"/>
  <c r="N170" i="10"/>
  <c r="Q169" i="10"/>
  <c r="P169" i="10"/>
  <c r="O169" i="10"/>
  <c r="N169" i="10"/>
  <c r="Q168" i="10"/>
  <c r="P168" i="10"/>
  <c r="O168" i="10"/>
  <c r="N168" i="10"/>
  <c r="Q167" i="10"/>
  <c r="P167" i="10"/>
  <c r="O167" i="10"/>
  <c r="N167" i="10"/>
  <c r="Q166" i="10"/>
  <c r="P166" i="10"/>
  <c r="O166" i="10"/>
  <c r="N166" i="10"/>
  <c r="Q165" i="10"/>
  <c r="P165" i="10"/>
  <c r="O165" i="10"/>
  <c r="N165" i="10"/>
  <c r="Q164" i="10"/>
  <c r="P164" i="10"/>
  <c r="O164" i="10"/>
  <c r="N164" i="10"/>
  <c r="Q163" i="10"/>
  <c r="P163" i="10"/>
  <c r="O163" i="10"/>
  <c r="N163" i="10"/>
  <c r="Q162" i="10"/>
  <c r="P162" i="10"/>
  <c r="O162" i="10"/>
  <c r="N162" i="10"/>
  <c r="Q161" i="10"/>
  <c r="P161" i="10"/>
  <c r="O161" i="10"/>
  <c r="N161" i="10"/>
  <c r="Q160" i="10"/>
  <c r="P160" i="10"/>
  <c r="O160" i="10"/>
  <c r="N160" i="10"/>
  <c r="Q159" i="10"/>
  <c r="P159" i="10"/>
  <c r="O159" i="10"/>
  <c r="N159" i="10"/>
  <c r="Q158" i="10"/>
  <c r="P158" i="10"/>
  <c r="O158" i="10"/>
  <c r="N158" i="10"/>
  <c r="Q157" i="10"/>
  <c r="P157" i="10"/>
  <c r="O157" i="10"/>
  <c r="N157" i="10"/>
  <c r="Q156" i="10"/>
  <c r="P156" i="10"/>
  <c r="O156" i="10"/>
  <c r="N156" i="10"/>
  <c r="Q155" i="10"/>
  <c r="P155" i="10"/>
  <c r="O155" i="10"/>
  <c r="N155" i="10"/>
  <c r="Q154" i="10"/>
  <c r="P154" i="10"/>
  <c r="O154" i="10"/>
  <c r="N154" i="10"/>
  <c r="Q153" i="10"/>
  <c r="P153" i="10"/>
  <c r="O153" i="10"/>
  <c r="N153" i="10"/>
  <c r="Q152" i="10"/>
  <c r="P152" i="10"/>
  <c r="O152" i="10"/>
  <c r="N152" i="10"/>
  <c r="Q151" i="10"/>
  <c r="P151" i="10"/>
  <c r="O151" i="10"/>
  <c r="N151" i="10"/>
  <c r="Q150" i="10"/>
  <c r="P150" i="10"/>
  <c r="O150" i="10"/>
  <c r="N150" i="10"/>
  <c r="Q149" i="10"/>
  <c r="P149" i="10"/>
  <c r="O149" i="10"/>
  <c r="N149" i="10"/>
  <c r="Q148" i="10"/>
  <c r="P148" i="10"/>
  <c r="O148" i="10"/>
  <c r="N148" i="10"/>
  <c r="Q147" i="10"/>
  <c r="P147" i="10"/>
  <c r="O147" i="10"/>
  <c r="N147" i="10"/>
  <c r="Q146" i="10"/>
  <c r="P146" i="10"/>
  <c r="O146" i="10"/>
  <c r="N146" i="10"/>
  <c r="Q145" i="10"/>
  <c r="P145" i="10"/>
  <c r="O145" i="10"/>
  <c r="N145" i="10"/>
  <c r="Q144" i="10"/>
  <c r="P144" i="10"/>
  <c r="O144" i="10"/>
  <c r="N144" i="10"/>
  <c r="Q143" i="10"/>
  <c r="P143" i="10"/>
  <c r="O143" i="10"/>
  <c r="N143" i="10"/>
  <c r="Q142" i="10"/>
  <c r="P142" i="10"/>
  <c r="O142" i="10"/>
  <c r="N142" i="10"/>
  <c r="Q141" i="10"/>
  <c r="P141" i="10"/>
  <c r="O141" i="10"/>
  <c r="N141" i="10"/>
  <c r="Q140" i="10"/>
  <c r="P140" i="10"/>
  <c r="O140" i="10"/>
  <c r="N140" i="10"/>
  <c r="Q139" i="10"/>
  <c r="P139" i="10"/>
  <c r="O139" i="10"/>
  <c r="N139" i="10"/>
  <c r="Q138" i="10"/>
  <c r="P138" i="10"/>
  <c r="O138" i="10"/>
  <c r="N138" i="10"/>
  <c r="Q137" i="10"/>
  <c r="P137" i="10"/>
  <c r="O137" i="10"/>
  <c r="N137" i="10"/>
  <c r="Q136" i="10"/>
  <c r="P136" i="10"/>
  <c r="O136" i="10"/>
  <c r="N136" i="10"/>
  <c r="Q135" i="10"/>
  <c r="P135" i="10"/>
  <c r="O135" i="10"/>
  <c r="N135" i="10"/>
  <c r="Q134" i="10"/>
  <c r="P134" i="10"/>
  <c r="O134" i="10"/>
  <c r="N134" i="10"/>
  <c r="Q133" i="10"/>
  <c r="P133" i="10"/>
  <c r="O133" i="10"/>
  <c r="N133" i="10"/>
  <c r="Q132" i="10"/>
  <c r="P132" i="10"/>
  <c r="O132" i="10"/>
  <c r="N132" i="10"/>
  <c r="Q131" i="10"/>
  <c r="P131" i="10"/>
  <c r="O131" i="10"/>
  <c r="N131" i="10"/>
  <c r="Q130" i="10"/>
  <c r="P130" i="10"/>
  <c r="O130" i="10"/>
  <c r="N130" i="10"/>
  <c r="Q129" i="10"/>
  <c r="P129" i="10"/>
  <c r="O129" i="10"/>
  <c r="N129" i="10"/>
  <c r="Q128" i="10"/>
  <c r="P128" i="10"/>
  <c r="O128" i="10"/>
  <c r="N128" i="10"/>
  <c r="Q127" i="10"/>
  <c r="P127" i="10"/>
  <c r="O127" i="10"/>
  <c r="N127" i="10"/>
  <c r="Q126" i="10"/>
  <c r="P126" i="10"/>
  <c r="O126" i="10"/>
  <c r="N126" i="10"/>
  <c r="Q125" i="10"/>
  <c r="P125" i="10"/>
  <c r="O125" i="10"/>
  <c r="N125" i="10"/>
  <c r="Q124" i="10"/>
  <c r="P124" i="10"/>
  <c r="O124" i="10"/>
  <c r="N124" i="10"/>
  <c r="Q123" i="10"/>
  <c r="P123" i="10"/>
  <c r="O123" i="10"/>
  <c r="N123" i="10"/>
  <c r="Q122" i="10"/>
  <c r="P122" i="10"/>
  <c r="O122" i="10"/>
  <c r="N122" i="10"/>
  <c r="Q121" i="10"/>
  <c r="P121" i="10"/>
  <c r="O121" i="10"/>
  <c r="N121" i="10"/>
  <c r="Q120" i="10"/>
  <c r="P120" i="10"/>
  <c r="O120" i="10"/>
  <c r="N120" i="10"/>
  <c r="Q119" i="10"/>
  <c r="P119" i="10"/>
  <c r="O119" i="10"/>
  <c r="N119" i="10"/>
  <c r="Q118" i="10"/>
  <c r="P118" i="10"/>
  <c r="O118" i="10"/>
  <c r="N118" i="10"/>
  <c r="Q117" i="10"/>
  <c r="P117" i="10"/>
  <c r="O117" i="10"/>
  <c r="N117" i="10"/>
  <c r="Q116" i="10"/>
  <c r="P116" i="10"/>
  <c r="O116" i="10"/>
  <c r="N116" i="10"/>
  <c r="Q115" i="10"/>
  <c r="P115" i="10"/>
  <c r="O115" i="10"/>
  <c r="N115" i="10"/>
  <c r="Q114" i="10"/>
  <c r="P114" i="10"/>
  <c r="O114" i="10"/>
  <c r="N114" i="10"/>
  <c r="Q113" i="10"/>
  <c r="P113" i="10"/>
  <c r="O113" i="10"/>
  <c r="N113" i="10"/>
  <c r="Q112" i="10"/>
  <c r="P112" i="10"/>
  <c r="O112" i="10"/>
  <c r="N112" i="10"/>
  <c r="Q111" i="10"/>
  <c r="P111" i="10"/>
  <c r="O111" i="10"/>
  <c r="N111" i="10"/>
  <c r="Q110" i="10"/>
  <c r="P110" i="10"/>
  <c r="O110" i="10"/>
  <c r="N110" i="10"/>
  <c r="Q109" i="10"/>
  <c r="P109" i="10"/>
  <c r="O109" i="10"/>
  <c r="N109" i="10"/>
  <c r="Q108" i="10"/>
  <c r="P108" i="10"/>
  <c r="O108" i="10"/>
  <c r="N108" i="10"/>
  <c r="Q107" i="10"/>
  <c r="P107" i="10"/>
  <c r="O107" i="10"/>
  <c r="N107" i="10"/>
  <c r="Q106" i="10"/>
  <c r="P106" i="10"/>
  <c r="O106" i="10"/>
  <c r="N106" i="10"/>
  <c r="Q105" i="10"/>
  <c r="P105" i="10"/>
  <c r="O105" i="10"/>
  <c r="N105" i="10"/>
  <c r="Q104" i="10"/>
  <c r="P104" i="10"/>
  <c r="O104" i="10"/>
  <c r="N104" i="10"/>
  <c r="Q103" i="10"/>
  <c r="P103" i="10"/>
  <c r="O103" i="10"/>
  <c r="N103" i="10"/>
  <c r="Q102" i="10"/>
  <c r="P102" i="10"/>
  <c r="O102" i="10"/>
  <c r="N102" i="10"/>
  <c r="Q101" i="10"/>
  <c r="P101" i="10"/>
  <c r="O101" i="10"/>
  <c r="N101" i="10"/>
  <c r="Q100" i="10"/>
  <c r="P100" i="10"/>
  <c r="O100" i="10"/>
  <c r="N100" i="10"/>
  <c r="Q99" i="10"/>
  <c r="P99" i="10"/>
  <c r="O99" i="10"/>
  <c r="N99" i="10"/>
  <c r="Q98" i="10"/>
  <c r="P98" i="10"/>
  <c r="O98" i="10"/>
  <c r="N98" i="10"/>
  <c r="Q97" i="10"/>
  <c r="P97" i="10"/>
  <c r="O97" i="10"/>
  <c r="N97" i="10"/>
  <c r="Q96" i="10"/>
  <c r="P96" i="10"/>
  <c r="O96" i="10"/>
  <c r="N96" i="10"/>
  <c r="Q95" i="10"/>
  <c r="P95" i="10"/>
  <c r="O95" i="10"/>
  <c r="N95" i="10"/>
  <c r="Q94" i="10"/>
  <c r="P94" i="10"/>
  <c r="O94" i="10"/>
  <c r="N94" i="10"/>
  <c r="Q93" i="10"/>
  <c r="P93" i="10"/>
  <c r="O93" i="10"/>
  <c r="N93" i="10"/>
  <c r="Q92" i="10"/>
  <c r="P92" i="10"/>
  <c r="O92" i="10"/>
  <c r="N92" i="10"/>
  <c r="Q91" i="10"/>
  <c r="P91" i="10"/>
  <c r="O91" i="10"/>
  <c r="N91" i="10"/>
  <c r="Q90" i="10"/>
  <c r="P90" i="10"/>
  <c r="O90" i="10"/>
  <c r="N90" i="10"/>
  <c r="Q89" i="10"/>
  <c r="P89" i="10"/>
  <c r="O89" i="10"/>
  <c r="N89" i="10"/>
  <c r="Q88" i="10"/>
  <c r="P88" i="10"/>
  <c r="O88" i="10"/>
  <c r="N88" i="10"/>
  <c r="Q87" i="10"/>
  <c r="P87" i="10"/>
  <c r="O87" i="10"/>
  <c r="N87" i="10"/>
  <c r="Q86" i="10"/>
  <c r="P86" i="10"/>
  <c r="O86" i="10"/>
  <c r="N86" i="10"/>
  <c r="Q85" i="10"/>
  <c r="P85" i="10"/>
  <c r="O85" i="10"/>
  <c r="N85" i="10"/>
  <c r="Q84" i="10"/>
  <c r="P84" i="10"/>
  <c r="O84" i="10"/>
  <c r="N84" i="10"/>
  <c r="Q83" i="10"/>
  <c r="P83" i="10"/>
  <c r="O83" i="10"/>
  <c r="N83" i="10"/>
  <c r="Q82" i="10"/>
  <c r="P82" i="10"/>
  <c r="O82" i="10"/>
  <c r="N82" i="10"/>
  <c r="Q81" i="10"/>
  <c r="P81" i="10"/>
  <c r="O81" i="10"/>
  <c r="N81" i="10"/>
  <c r="Q80" i="10"/>
  <c r="P80" i="10"/>
  <c r="O80" i="10"/>
  <c r="N80" i="10"/>
  <c r="Q79" i="10"/>
  <c r="P79" i="10"/>
  <c r="O79" i="10"/>
  <c r="N79" i="10"/>
  <c r="Q78" i="10"/>
  <c r="P78" i="10"/>
  <c r="O78" i="10"/>
  <c r="N78" i="10"/>
  <c r="Q77" i="10"/>
  <c r="P77" i="10"/>
  <c r="O77" i="10"/>
  <c r="N77" i="10"/>
  <c r="Q76" i="10"/>
  <c r="P76" i="10"/>
  <c r="O76" i="10"/>
  <c r="N76" i="10"/>
  <c r="Q75" i="10"/>
  <c r="P75" i="10"/>
  <c r="O75" i="10"/>
  <c r="N75" i="10"/>
  <c r="Q74" i="10"/>
  <c r="P74" i="10"/>
  <c r="O74" i="10"/>
  <c r="N74" i="10"/>
  <c r="Q73" i="10"/>
  <c r="P73" i="10"/>
  <c r="O73" i="10"/>
  <c r="N73" i="10"/>
  <c r="Q72" i="10"/>
  <c r="P72" i="10"/>
  <c r="O72" i="10"/>
  <c r="N72" i="10"/>
  <c r="Q71" i="10"/>
  <c r="P71" i="10"/>
  <c r="O71" i="10"/>
  <c r="N71" i="10"/>
  <c r="Q70" i="10"/>
  <c r="P70" i="10"/>
  <c r="O70" i="10"/>
  <c r="N70" i="10"/>
  <c r="Q69" i="10"/>
  <c r="P69" i="10"/>
  <c r="O69" i="10"/>
  <c r="N69" i="10"/>
  <c r="Q68" i="10"/>
  <c r="P68" i="10"/>
  <c r="O68" i="10"/>
  <c r="N68" i="10"/>
  <c r="Q67" i="10"/>
  <c r="P67" i="10"/>
  <c r="O67" i="10"/>
  <c r="N67" i="10"/>
  <c r="Q66" i="10"/>
  <c r="P66" i="10"/>
  <c r="O66" i="10"/>
  <c r="N66" i="10"/>
  <c r="Q65" i="10"/>
  <c r="P65" i="10"/>
  <c r="O65" i="10"/>
  <c r="N65" i="10"/>
  <c r="Q64" i="10"/>
  <c r="P64" i="10"/>
  <c r="O64" i="10"/>
  <c r="N64" i="10"/>
  <c r="Q63" i="10"/>
  <c r="P63" i="10"/>
  <c r="O63" i="10"/>
  <c r="N63" i="10"/>
  <c r="Q62" i="10"/>
  <c r="P62" i="10"/>
  <c r="O62" i="10"/>
  <c r="N62" i="10"/>
  <c r="Q61" i="10"/>
  <c r="P61" i="10"/>
  <c r="O61" i="10"/>
  <c r="N61" i="10"/>
  <c r="Q60" i="10"/>
  <c r="P60" i="10"/>
  <c r="O60" i="10"/>
  <c r="N60" i="10"/>
  <c r="Q59" i="10"/>
  <c r="P59" i="10"/>
  <c r="O59" i="10"/>
  <c r="N59" i="10"/>
  <c r="Q58" i="10"/>
  <c r="P58" i="10"/>
  <c r="O58" i="10"/>
  <c r="N58" i="10"/>
  <c r="Q57" i="10"/>
  <c r="P57" i="10"/>
  <c r="O57" i="10"/>
  <c r="N57" i="10"/>
  <c r="Q56" i="10"/>
  <c r="P56" i="10"/>
  <c r="O56" i="10"/>
  <c r="N56" i="10"/>
  <c r="Q55" i="10"/>
  <c r="P55" i="10"/>
  <c r="O55" i="10"/>
  <c r="N55" i="10"/>
  <c r="Q54" i="10"/>
  <c r="P54" i="10"/>
  <c r="O54" i="10"/>
  <c r="N54" i="10"/>
  <c r="Q53" i="10"/>
  <c r="P53" i="10"/>
  <c r="O53" i="10"/>
  <c r="N53" i="10"/>
  <c r="Q52" i="10"/>
  <c r="P52" i="10"/>
  <c r="O52" i="10"/>
  <c r="N52" i="10"/>
  <c r="Q51" i="10"/>
  <c r="P51" i="10"/>
  <c r="O51" i="10"/>
  <c r="N51" i="10"/>
  <c r="Q50" i="10"/>
  <c r="P50" i="10"/>
  <c r="O50" i="10"/>
  <c r="N50" i="10"/>
  <c r="Q49" i="10"/>
  <c r="P49" i="10"/>
  <c r="O49" i="10"/>
  <c r="N49" i="10"/>
  <c r="Q48" i="10"/>
  <c r="P48" i="10"/>
  <c r="O48" i="10"/>
  <c r="N48" i="10"/>
  <c r="Q47" i="10"/>
  <c r="P47" i="10"/>
  <c r="O47" i="10"/>
  <c r="N47" i="10"/>
  <c r="Q46" i="10"/>
  <c r="P46" i="10"/>
  <c r="O46" i="10"/>
  <c r="N46" i="10"/>
  <c r="Q45" i="10"/>
  <c r="P45" i="10"/>
  <c r="O45" i="10"/>
  <c r="N45" i="10"/>
  <c r="Q44" i="10"/>
  <c r="P44" i="10"/>
  <c r="O44" i="10"/>
  <c r="N44" i="10"/>
  <c r="Q43" i="10"/>
  <c r="P43" i="10"/>
  <c r="O43" i="10"/>
  <c r="N43" i="10"/>
  <c r="Q42" i="10"/>
  <c r="P42" i="10"/>
  <c r="O42" i="10"/>
  <c r="N42" i="10"/>
  <c r="Q41" i="10"/>
  <c r="P41" i="10"/>
  <c r="O41" i="10"/>
  <c r="N41" i="10"/>
  <c r="Q40" i="10"/>
  <c r="P40" i="10"/>
  <c r="O40" i="10"/>
  <c r="N40" i="10"/>
  <c r="Q39" i="10"/>
  <c r="P39" i="10"/>
  <c r="O39" i="10"/>
  <c r="N39" i="10"/>
  <c r="Q38" i="10"/>
  <c r="P38" i="10"/>
  <c r="O38" i="10"/>
  <c r="N38" i="10"/>
  <c r="Q37" i="10"/>
  <c r="P37" i="10"/>
  <c r="O37" i="10"/>
  <c r="N37" i="10"/>
  <c r="Q36" i="10"/>
  <c r="P36" i="10"/>
  <c r="O36" i="10"/>
  <c r="N36" i="10"/>
  <c r="Q35" i="10"/>
  <c r="P35" i="10"/>
  <c r="O35" i="10"/>
  <c r="N35" i="10"/>
  <c r="Q34" i="10"/>
  <c r="P34" i="10"/>
  <c r="O34" i="10"/>
  <c r="N34" i="10"/>
  <c r="Q33" i="10"/>
  <c r="P33" i="10"/>
  <c r="O33" i="10"/>
  <c r="N33" i="10"/>
  <c r="Q32" i="10"/>
  <c r="P32" i="10"/>
  <c r="O32" i="10"/>
  <c r="N32" i="10"/>
  <c r="Q31" i="10"/>
  <c r="P31" i="10"/>
  <c r="O31" i="10"/>
  <c r="N31" i="10"/>
  <c r="Q30" i="10"/>
  <c r="P30" i="10"/>
  <c r="O30" i="10"/>
  <c r="N30" i="10"/>
  <c r="Q29" i="10"/>
  <c r="P29" i="10"/>
  <c r="O29" i="10"/>
  <c r="N29" i="10"/>
  <c r="Q28" i="10"/>
  <c r="P28" i="10"/>
  <c r="O28" i="10"/>
  <c r="N28" i="10"/>
  <c r="Q27" i="10"/>
  <c r="P27" i="10"/>
  <c r="O27" i="10"/>
  <c r="N27" i="10"/>
  <c r="Q26" i="10"/>
  <c r="P26" i="10"/>
  <c r="O26" i="10"/>
  <c r="N26" i="10"/>
  <c r="Q25" i="10"/>
  <c r="P25" i="10"/>
  <c r="O25" i="10"/>
  <c r="N25" i="10"/>
  <c r="Q24" i="10"/>
  <c r="P24" i="10"/>
  <c r="O24" i="10"/>
  <c r="N24" i="10"/>
  <c r="Q23" i="10"/>
  <c r="P23" i="10"/>
  <c r="O23" i="10"/>
  <c r="N23" i="10"/>
  <c r="Q22" i="10"/>
  <c r="P22" i="10"/>
  <c r="O22" i="10"/>
  <c r="N22" i="10"/>
  <c r="Q21" i="10"/>
  <c r="P21" i="10"/>
  <c r="O21" i="10"/>
  <c r="N21" i="10"/>
  <c r="Q20" i="10"/>
  <c r="P20" i="10"/>
  <c r="O20" i="10"/>
  <c r="N20" i="10"/>
  <c r="Q19" i="10"/>
  <c r="P19" i="10"/>
  <c r="O19" i="10"/>
  <c r="N19" i="10"/>
  <c r="Q18" i="10"/>
  <c r="P18" i="10"/>
  <c r="O18" i="10"/>
  <c r="N18" i="10"/>
  <c r="Q17" i="10"/>
  <c r="P17" i="10"/>
  <c r="O17" i="10"/>
  <c r="N17" i="10"/>
  <c r="Q16" i="10"/>
  <c r="P16" i="10"/>
  <c r="O16" i="10"/>
  <c r="N16" i="10"/>
  <c r="Q15" i="10"/>
  <c r="P15" i="10"/>
  <c r="O15" i="10"/>
  <c r="N15" i="10"/>
  <c r="Q14" i="10"/>
  <c r="P14" i="10"/>
  <c r="O14" i="10"/>
  <c r="N14" i="10"/>
  <c r="Q13" i="10"/>
  <c r="P13" i="10"/>
  <c r="O13" i="10"/>
  <c r="N13" i="10"/>
  <c r="Q12" i="10"/>
  <c r="P12" i="10"/>
  <c r="O12" i="10"/>
  <c r="N12" i="10"/>
  <c r="Q11" i="10"/>
  <c r="P11" i="10"/>
  <c r="O11" i="10"/>
  <c r="N11" i="10"/>
  <c r="Q10" i="10"/>
  <c r="P10" i="10"/>
  <c r="O10" i="10"/>
  <c r="N10" i="10"/>
  <c r="Q9" i="10"/>
  <c r="P9" i="10"/>
  <c r="O9" i="10"/>
  <c r="N9" i="10"/>
  <c r="Q8" i="10"/>
  <c r="P8" i="10"/>
  <c r="O8" i="10"/>
  <c r="N8" i="10"/>
  <c r="Q7" i="10"/>
  <c r="P7" i="10"/>
  <c r="O7" i="10"/>
  <c r="N7" i="10"/>
  <c r="Q6" i="10"/>
  <c r="P6" i="10"/>
  <c r="O6" i="10"/>
  <c r="N6" i="10"/>
  <c r="Q5" i="10"/>
  <c r="P5" i="10"/>
  <c r="O5" i="10"/>
  <c r="N5" i="10"/>
  <c r="Q4" i="10"/>
  <c r="P4" i="10"/>
  <c r="O4" i="10"/>
  <c r="N4" i="10"/>
  <c r="AC64" i="9"/>
  <c r="AC52" i="9"/>
  <c r="AK224" i="2"/>
  <c r="AK223" i="2"/>
  <c r="AK197" i="2"/>
  <c r="AK196" i="2"/>
  <c r="AK195" i="2"/>
  <c r="AK221" i="2" l="1"/>
  <c r="AJ221" i="2"/>
  <c r="AK220" i="2"/>
  <c r="AJ220" i="2"/>
  <c r="AK219" i="2"/>
  <c r="AJ219" i="2"/>
  <c r="AK218" i="2"/>
  <c r="AJ218" i="2"/>
  <c r="AK217" i="2"/>
  <c r="AJ217" i="2"/>
  <c r="AK216" i="2"/>
  <c r="AJ216" i="2"/>
  <c r="AK215" i="2"/>
  <c r="AJ215" i="2"/>
  <c r="AK214" i="2"/>
  <c r="AJ214" i="2"/>
  <c r="AK213" i="2"/>
  <c r="AJ213" i="2"/>
  <c r="AK212" i="2"/>
  <c r="AJ212" i="2"/>
  <c r="AK208" i="2"/>
  <c r="AJ208" i="2"/>
  <c r="AK207" i="2"/>
  <c r="AJ207" i="2"/>
  <c r="AK202" i="2"/>
  <c r="AN3" i="10" l="1"/>
  <c r="AM3" i="10"/>
  <c r="AL3" i="10"/>
  <c r="AC24" i="9" l="1"/>
  <c r="AK184" i="2"/>
  <c r="AK183" i="2"/>
  <c r="AK182" i="2"/>
  <c r="AK181" i="2"/>
  <c r="AC29" i="9" l="1"/>
  <c r="AC22" i="9"/>
  <c r="AK180" i="2"/>
  <c r="AK179" i="2"/>
  <c r="AK178" i="2"/>
  <c r="AK177" i="2"/>
  <c r="AK151" i="2"/>
  <c r="AK150" i="2"/>
  <c r="AB3" i="4" l="1"/>
  <c r="AA3" i="4"/>
  <c r="Z3" i="4"/>
  <c r="Y3" i="4"/>
  <c r="AK176" i="2" l="1"/>
  <c r="AK175" i="2"/>
  <c r="AK174" i="2"/>
  <c r="AK173" i="2"/>
  <c r="AK172" i="2"/>
  <c r="AK171" i="2"/>
  <c r="AK170" i="2"/>
  <c r="AK169" i="2"/>
  <c r="AK168" i="2"/>
  <c r="AK167" i="2"/>
  <c r="AK166" i="2"/>
  <c r="AK165" i="2"/>
  <c r="AK164" i="2"/>
  <c r="AK163" i="2"/>
  <c r="AK147" i="2" l="1"/>
  <c r="AK146" i="2"/>
  <c r="AK145" i="2"/>
  <c r="AK144" i="2"/>
  <c r="AK24" i="2"/>
  <c r="AK5" i="2"/>
  <c r="AK3" i="10" l="1"/>
  <c r="AG3" i="10"/>
  <c r="AF3" i="10"/>
  <c r="AE3" i="10"/>
  <c r="K183" i="10"/>
  <c r="K182" i="10"/>
  <c r="K181" i="10"/>
  <c r="K180" i="10"/>
  <c r="K179" i="10"/>
  <c r="K178" i="10"/>
  <c r="K177" i="10"/>
  <c r="K176" i="10"/>
  <c r="AO176" i="10" s="1"/>
  <c r="K175" i="10"/>
  <c r="AO175" i="10" s="1"/>
  <c r="K174" i="10"/>
  <c r="AO174" i="10" s="1"/>
  <c r="K173" i="10"/>
  <c r="AO173" i="10" s="1"/>
  <c r="K172" i="10"/>
  <c r="AO172" i="10" s="1"/>
  <c r="K171" i="10"/>
  <c r="AO171" i="10" s="1"/>
  <c r="K170" i="10"/>
  <c r="AO170" i="10" s="1"/>
  <c r="K169" i="10"/>
  <c r="AO169" i="10" s="1"/>
  <c r="K168" i="10"/>
  <c r="AO168" i="10" s="1"/>
  <c r="AO184" i="10" l="1"/>
  <c r="AO3" i="10"/>
  <c r="T180" i="10"/>
  <c r="AH180" i="10"/>
  <c r="T171" i="10"/>
  <c r="AI171" i="10"/>
  <c r="AJ171" i="10"/>
  <c r="AH171" i="10"/>
  <c r="T169" i="10"/>
  <c r="AJ169" i="10"/>
  <c r="AI169" i="10"/>
  <c r="AH169" i="10"/>
  <c r="T182" i="10"/>
  <c r="AH182" i="10"/>
  <c r="T172" i="10"/>
  <c r="AJ172" i="10"/>
  <c r="AI172" i="10"/>
  <c r="AH172" i="10"/>
  <c r="T175" i="10"/>
  <c r="AI175" i="10"/>
  <c r="AJ175" i="10"/>
  <c r="AH175" i="10"/>
  <c r="T168" i="10"/>
  <c r="AJ168" i="10"/>
  <c r="AJ3" i="10" s="1"/>
  <c r="AI168" i="10"/>
  <c r="AH168" i="10"/>
  <c r="T170" i="10"/>
  <c r="AJ170" i="10"/>
  <c r="AI170" i="10"/>
  <c r="AH170" i="10"/>
  <c r="T183" i="10"/>
  <c r="AH183" i="10"/>
  <c r="T173" i="10"/>
  <c r="AJ173" i="10"/>
  <c r="AI173" i="10"/>
  <c r="AH173" i="10"/>
  <c r="T174" i="10"/>
  <c r="AJ174" i="10"/>
  <c r="AI174" i="10"/>
  <c r="AD174" i="10"/>
  <c r="AD3" i="10" s="1"/>
  <c r="T181" i="10"/>
  <c r="AH181" i="10"/>
  <c r="T176" i="10"/>
  <c r="AJ176" i="10"/>
  <c r="AI176" i="10"/>
  <c r="AH176" i="10"/>
  <c r="T177" i="10"/>
  <c r="AH177" i="10"/>
  <c r="T178" i="10"/>
  <c r="AH178" i="10"/>
  <c r="T179" i="10"/>
  <c r="AH179" i="10"/>
  <c r="AC60" i="9"/>
  <c r="AH3" i="10" l="1"/>
  <c r="AI3" i="10"/>
  <c r="AK130" i="2"/>
  <c r="AJ130" i="2"/>
  <c r="AK129" i="2"/>
  <c r="AJ129" i="2"/>
  <c r="AK128" i="2"/>
  <c r="AJ128" i="2"/>
  <c r="AK127" i="2"/>
  <c r="AJ127" i="2"/>
  <c r="AK126" i="2"/>
  <c r="AJ126" i="2"/>
  <c r="AK125" i="2"/>
  <c r="AJ125" i="2"/>
  <c r="AK124" i="2"/>
  <c r="AJ124" i="2"/>
  <c r="AK123" i="2"/>
  <c r="AJ123" i="2"/>
  <c r="AK120" i="2"/>
  <c r="AK119" i="2"/>
  <c r="AC51" i="9" l="1"/>
  <c r="AK118" i="2" l="1"/>
  <c r="AJ118" i="2"/>
  <c r="AK117" i="2"/>
  <c r="AJ117" i="2"/>
  <c r="AK116" i="2"/>
  <c r="AJ116" i="2"/>
  <c r="AK115" i="2"/>
  <c r="AJ115" i="2"/>
  <c r="AK114" i="2"/>
  <c r="AJ114" i="2"/>
  <c r="AK113" i="2"/>
  <c r="AJ113" i="2"/>
  <c r="AK112" i="2"/>
  <c r="AJ112" i="2"/>
  <c r="AK111" i="2"/>
  <c r="AJ111" i="2"/>
  <c r="AK110" i="2"/>
  <c r="AJ110" i="2"/>
  <c r="AK109" i="2"/>
  <c r="AJ109" i="2"/>
  <c r="AK108" i="2"/>
  <c r="AJ108" i="2"/>
  <c r="AK107" i="2"/>
  <c r="AJ107" i="2"/>
  <c r="AK106" i="2"/>
  <c r="AJ106" i="2"/>
  <c r="AK105" i="2"/>
  <c r="AJ105" i="2"/>
  <c r="AK104" i="2"/>
  <c r="AJ104" i="2"/>
  <c r="AK103" i="2"/>
  <c r="AJ103" i="2"/>
  <c r="AK102" i="2"/>
  <c r="AJ102" i="2"/>
  <c r="AK101" i="2"/>
  <c r="AJ101" i="2"/>
  <c r="AK100" i="2"/>
  <c r="AJ100" i="2"/>
  <c r="AK99" i="2"/>
  <c r="AJ99" i="2"/>
  <c r="AK98" i="2"/>
  <c r="AJ98" i="2"/>
  <c r="AK97" i="2"/>
  <c r="AJ97" i="2"/>
  <c r="AK96" i="2"/>
  <c r="AJ96" i="2"/>
  <c r="AK95" i="2"/>
  <c r="AJ95" i="2"/>
  <c r="AK94" i="2"/>
  <c r="AJ94" i="2"/>
  <c r="AK93" i="2"/>
  <c r="AJ93" i="2"/>
  <c r="AK92" i="2"/>
  <c r="AJ92" i="2"/>
  <c r="AK91" i="2"/>
  <c r="AJ91" i="2"/>
  <c r="AK90" i="2"/>
  <c r="AJ90" i="2"/>
  <c r="AK89" i="2"/>
  <c r="AJ89" i="2"/>
  <c r="AK80" i="2"/>
  <c r="AJ80" i="2"/>
  <c r="AK79" i="2"/>
  <c r="AJ79" i="2"/>
  <c r="AK78" i="2"/>
  <c r="AJ78" i="2"/>
  <c r="AK77" i="2"/>
  <c r="AJ77" i="2"/>
  <c r="AK76" i="2"/>
  <c r="AJ76" i="2"/>
  <c r="AK75" i="2"/>
  <c r="AJ75" i="2"/>
  <c r="AK74" i="2"/>
  <c r="AJ74" i="2"/>
  <c r="AK73" i="2"/>
  <c r="AJ73" i="2"/>
  <c r="AK72" i="2"/>
  <c r="AJ72" i="2"/>
  <c r="AK71" i="2"/>
  <c r="AJ71" i="2"/>
  <c r="AK70" i="2"/>
  <c r="AJ70" i="2"/>
  <c r="AK69" i="2"/>
  <c r="AJ69" i="2"/>
  <c r="AK68" i="2"/>
  <c r="AJ68" i="2"/>
  <c r="AK67" i="2"/>
  <c r="AJ67" i="2"/>
  <c r="AK66" i="2"/>
  <c r="AJ66" i="2"/>
  <c r="AK65" i="2"/>
  <c r="AJ65" i="2"/>
  <c r="AK64" i="2"/>
  <c r="AJ64" i="2"/>
  <c r="AK63" i="2"/>
  <c r="AJ63" i="2"/>
  <c r="AK62" i="2"/>
  <c r="AJ62" i="2"/>
  <c r="AK61" i="2"/>
  <c r="AJ61" i="2"/>
  <c r="AK60" i="2"/>
  <c r="AJ60" i="2"/>
  <c r="AK59" i="2"/>
  <c r="AJ59" i="2"/>
  <c r="AK58" i="2"/>
  <c r="AJ58" i="2"/>
  <c r="AK57" i="2"/>
  <c r="AJ57" i="2"/>
  <c r="AK56" i="2"/>
  <c r="AJ56" i="2"/>
  <c r="AK55" i="2"/>
  <c r="AJ55" i="2"/>
  <c r="AK54" i="2"/>
  <c r="AJ54" i="2"/>
  <c r="AK53" i="2"/>
  <c r="AJ53" i="2"/>
  <c r="AC18" i="9" l="1"/>
  <c r="AC17" i="9"/>
  <c r="AK29" i="2"/>
  <c r="AK11" i="2"/>
  <c r="AK10" i="2"/>
  <c r="AC19" i="9" l="1"/>
  <c r="AK45" i="2"/>
  <c r="AK44" i="2"/>
  <c r="AK43" i="2"/>
  <c r="AK14" i="2"/>
  <c r="AK13" i="2"/>
  <c r="AK12" i="2"/>
  <c r="AC23" i="9" l="1"/>
  <c r="AK39" i="2"/>
  <c r="AK38" i="2"/>
  <c r="AK37" i="2"/>
  <c r="AK17" i="2"/>
  <c r="AK16" i="2"/>
  <c r="AK15" i="2"/>
  <c r="AK6" i="2" l="1"/>
  <c r="AC32" i="9"/>
  <c r="AK4" i="2"/>
  <c r="AC28" i="9"/>
  <c r="AK20" i="2"/>
  <c r="AP3" i="2" l="1"/>
  <c r="AO3" i="2"/>
  <c r="AN3" i="2"/>
  <c r="AM3" i="2"/>
  <c r="Q64" i="9"/>
  <c r="P64" i="9"/>
  <c r="O64" i="9"/>
  <c r="N64" i="9"/>
  <c r="Q63" i="9"/>
  <c r="P63" i="9"/>
  <c r="O63" i="9"/>
  <c r="N63" i="9"/>
  <c r="Q62" i="9"/>
  <c r="P62" i="9"/>
  <c r="O62" i="9"/>
  <c r="N62" i="9"/>
  <c r="Q61" i="9"/>
  <c r="P61" i="9"/>
  <c r="O61" i="9"/>
  <c r="N61" i="9"/>
  <c r="Q60" i="9"/>
  <c r="P60" i="9"/>
  <c r="O60" i="9"/>
  <c r="N60" i="9"/>
  <c r="Q59" i="9"/>
  <c r="P59" i="9"/>
  <c r="O59" i="9"/>
  <c r="N59" i="9"/>
  <c r="Q58" i="9"/>
  <c r="P58" i="9"/>
  <c r="O58" i="9"/>
  <c r="N58" i="9"/>
  <c r="Q57" i="9"/>
  <c r="P57" i="9"/>
  <c r="O57" i="9"/>
  <c r="N57" i="9"/>
  <c r="Q56" i="9"/>
  <c r="P56" i="9"/>
  <c r="O56" i="9"/>
  <c r="N56" i="9"/>
  <c r="Q55" i="9"/>
  <c r="P55" i="9"/>
  <c r="O55" i="9"/>
  <c r="N55" i="9"/>
  <c r="Q54" i="9"/>
  <c r="P54" i="9"/>
  <c r="O54" i="9"/>
  <c r="N54" i="9"/>
  <c r="Q53" i="9"/>
  <c r="P53" i="9"/>
  <c r="O53" i="9"/>
  <c r="N53" i="9"/>
  <c r="Q52" i="9"/>
  <c r="P52" i="9"/>
  <c r="O52" i="9"/>
  <c r="N52" i="9"/>
  <c r="Q51" i="9"/>
  <c r="P51" i="9"/>
  <c r="O51" i="9"/>
  <c r="N51" i="9"/>
  <c r="Q50" i="9"/>
  <c r="P50" i="9"/>
  <c r="O50" i="9"/>
  <c r="N50" i="9"/>
  <c r="Q49" i="9"/>
  <c r="P49" i="9"/>
  <c r="O49" i="9"/>
  <c r="N49" i="9"/>
  <c r="Q48" i="9"/>
  <c r="P48" i="9"/>
  <c r="O48" i="9"/>
  <c r="N48" i="9"/>
  <c r="Q47" i="9"/>
  <c r="P47" i="9"/>
  <c r="O47" i="9"/>
  <c r="N47" i="9"/>
  <c r="Q46" i="9"/>
  <c r="P46" i="9"/>
  <c r="O46" i="9"/>
  <c r="N46" i="9"/>
  <c r="Q45" i="9"/>
  <c r="P45" i="9"/>
  <c r="O45" i="9"/>
  <c r="N45" i="9"/>
  <c r="Q44" i="9"/>
  <c r="P44" i="9"/>
  <c r="O44" i="9"/>
  <c r="N44" i="9"/>
  <c r="Q43" i="9"/>
  <c r="P43" i="9"/>
  <c r="O43" i="9"/>
  <c r="N43" i="9"/>
  <c r="Q42" i="9"/>
  <c r="P42" i="9"/>
  <c r="O42" i="9"/>
  <c r="N42" i="9"/>
  <c r="Q41" i="9"/>
  <c r="P41" i="9"/>
  <c r="O41" i="9"/>
  <c r="N41" i="9"/>
  <c r="Q40" i="9"/>
  <c r="P40" i="9"/>
  <c r="O40" i="9"/>
  <c r="N40" i="9"/>
  <c r="Q39" i="9"/>
  <c r="P39" i="9"/>
  <c r="O39" i="9"/>
  <c r="N39" i="9"/>
  <c r="P38" i="9"/>
  <c r="O38" i="9"/>
  <c r="N38" i="9"/>
  <c r="Q37" i="9"/>
  <c r="P37" i="9"/>
  <c r="O37" i="9"/>
  <c r="N37" i="9"/>
  <c r="Q36" i="9"/>
  <c r="P36" i="9"/>
  <c r="O36" i="9"/>
  <c r="N36" i="9"/>
  <c r="Q35" i="9"/>
  <c r="P35" i="9"/>
  <c r="O35" i="9"/>
  <c r="N35" i="9"/>
  <c r="Q34" i="9"/>
  <c r="P34" i="9"/>
  <c r="O34" i="9"/>
  <c r="N34" i="9"/>
  <c r="Q33" i="9"/>
  <c r="P33" i="9"/>
  <c r="O33" i="9"/>
  <c r="N33" i="9"/>
  <c r="Q32" i="9"/>
  <c r="P32" i="9"/>
  <c r="O32" i="9"/>
  <c r="N32" i="9"/>
  <c r="Q31" i="9"/>
  <c r="P31" i="9"/>
  <c r="O31" i="9"/>
  <c r="N31" i="9"/>
  <c r="Q30" i="9"/>
  <c r="P30" i="9"/>
  <c r="O30" i="9"/>
  <c r="N30" i="9"/>
  <c r="Q29" i="9"/>
  <c r="P29" i="9"/>
  <c r="O29" i="9"/>
  <c r="N29" i="9"/>
  <c r="Q28" i="9"/>
  <c r="P28" i="9"/>
  <c r="O28" i="9"/>
  <c r="N28" i="9"/>
  <c r="Q27" i="9"/>
  <c r="P27" i="9"/>
  <c r="O27" i="9"/>
  <c r="N27" i="9"/>
  <c r="Q26" i="9"/>
  <c r="P26" i="9"/>
  <c r="O26" i="9"/>
  <c r="N26" i="9"/>
  <c r="Q25" i="9"/>
  <c r="P25" i="9"/>
  <c r="O25" i="9"/>
  <c r="N25" i="9"/>
  <c r="Q24" i="9"/>
  <c r="P24" i="9"/>
  <c r="O24" i="9"/>
  <c r="N24" i="9"/>
  <c r="Q23" i="9"/>
  <c r="P23" i="9"/>
  <c r="O23" i="9"/>
  <c r="N23" i="9"/>
  <c r="Q22" i="9"/>
  <c r="P22" i="9"/>
  <c r="O22" i="9"/>
  <c r="N22" i="9"/>
  <c r="Q21" i="9"/>
  <c r="P21" i="9"/>
  <c r="O21" i="9"/>
  <c r="N21" i="9"/>
  <c r="Q20" i="9"/>
  <c r="P20" i="9"/>
  <c r="O20" i="9"/>
  <c r="N20" i="9"/>
  <c r="Q19" i="9"/>
  <c r="P19" i="9"/>
  <c r="O19" i="9"/>
  <c r="N19" i="9"/>
  <c r="Q18" i="9"/>
  <c r="P18" i="9"/>
  <c r="O18" i="9"/>
  <c r="N18" i="9"/>
  <c r="Q17" i="9"/>
  <c r="P17" i="9"/>
  <c r="O17" i="9"/>
  <c r="N17" i="9"/>
  <c r="Q16" i="9"/>
  <c r="P16" i="9"/>
  <c r="O16" i="9"/>
  <c r="N16" i="9"/>
  <c r="Q15" i="9"/>
  <c r="P15" i="9"/>
  <c r="O15" i="9"/>
  <c r="N15" i="9"/>
  <c r="Q14" i="9"/>
  <c r="P14" i="9"/>
  <c r="O14" i="9"/>
  <c r="N14" i="9"/>
  <c r="Q13" i="9"/>
  <c r="P13" i="9"/>
  <c r="O13" i="9"/>
  <c r="N13" i="9"/>
  <c r="Q12" i="9"/>
  <c r="P12" i="9"/>
  <c r="O12" i="9"/>
  <c r="N12" i="9"/>
  <c r="Q11" i="9"/>
  <c r="P11" i="9"/>
  <c r="O11" i="9"/>
  <c r="N11" i="9"/>
  <c r="Q10" i="9"/>
  <c r="P10" i="9"/>
  <c r="O10" i="9"/>
  <c r="N10" i="9"/>
  <c r="Q9" i="9"/>
  <c r="P9" i="9"/>
  <c r="O9" i="9"/>
  <c r="N9" i="9"/>
  <c r="Q8" i="9"/>
  <c r="P8" i="9"/>
  <c r="O8" i="9"/>
  <c r="N8" i="9"/>
  <c r="Q7" i="9"/>
  <c r="P7" i="9"/>
  <c r="O7" i="9"/>
  <c r="N7" i="9"/>
  <c r="Q6" i="9"/>
  <c r="P6" i="9"/>
  <c r="O6" i="9"/>
  <c r="N6" i="9"/>
  <c r="Q5" i="9"/>
  <c r="P5" i="9"/>
  <c r="O5" i="9"/>
  <c r="N5" i="9"/>
  <c r="AK21" i="2" l="1"/>
  <c r="AJ21" i="2"/>
  <c r="AC27" i="9"/>
  <c r="AK19" i="2" l="1"/>
  <c r="AJ19" i="2"/>
  <c r="AK18" i="2" l="1"/>
  <c r="AJ18" i="2"/>
  <c r="AL143" i="2" l="1"/>
  <c r="AK143" i="2"/>
  <c r="AJ143" i="2"/>
  <c r="AL142" i="2"/>
  <c r="AK142" i="2"/>
  <c r="AJ142" i="2"/>
  <c r="AL7" i="2"/>
  <c r="AK7" i="2"/>
  <c r="AJ7" i="2"/>
  <c r="AL225" i="2" l="1"/>
  <c r="AK225" i="2"/>
  <c r="AJ225" i="2"/>
  <c r="AL226" i="2"/>
  <c r="AK226" i="2"/>
  <c r="AJ226" i="2"/>
  <c r="AI226" i="2"/>
  <c r="AJ6" i="2" l="1"/>
  <c r="AJ224" i="2"/>
  <c r="AI224" i="2"/>
  <c r="AJ223" i="2"/>
  <c r="AI223" i="2"/>
  <c r="AJ176" i="2"/>
  <c r="X3" i="4" l="1"/>
  <c r="W3" i="4"/>
  <c r="V3" i="4"/>
  <c r="AF20" i="2" l="1"/>
  <c r="AE20" i="2"/>
  <c r="AG149" i="2" l="1"/>
  <c r="AG148" i="2"/>
  <c r="AG88" i="2"/>
  <c r="AG122" i="2" l="1"/>
  <c r="AG121" i="2"/>
  <c r="AG87" i="2"/>
  <c r="AG86" i="2"/>
  <c r="AG138" i="2"/>
  <c r="K2" i="9" l="1"/>
  <c r="R2" i="9"/>
  <c r="AJ3" i="9" l="1"/>
  <c r="AI3" i="9"/>
  <c r="AH3" i="9"/>
  <c r="AG3" i="9"/>
  <c r="AF3" i="9"/>
  <c r="AE3" i="9"/>
  <c r="AD3" i="9"/>
  <c r="AC3" i="9"/>
  <c r="AF5" i="2" l="1"/>
  <c r="AJ4" i="2" l="1"/>
  <c r="AG161" i="2"/>
  <c r="R4" i="4" l="1"/>
  <c r="AG160" i="2" l="1"/>
  <c r="AG81" i="2" l="1"/>
  <c r="AG52" i="2"/>
  <c r="AG51" i="2"/>
  <c r="AG50" i="2"/>
  <c r="AG49" i="2"/>
  <c r="AG139" i="2"/>
  <c r="AG48" i="2" l="1"/>
  <c r="AG47" i="2"/>
  <c r="AG46" i="2"/>
  <c r="AG42" i="2"/>
  <c r="AG41" i="2"/>
  <c r="AG40" i="2"/>
  <c r="S20" i="4" l="1"/>
  <c r="Q16" i="4" l="1"/>
  <c r="Q15" i="4"/>
  <c r="C56" i="4" l="1"/>
  <c r="Q56" i="4" s="1"/>
  <c r="C55" i="4"/>
  <c r="Q55" i="4" s="1"/>
  <c r="C54" i="4"/>
  <c r="Q54" i="4" s="1"/>
  <c r="C53" i="4"/>
  <c r="Q53" i="4" s="1"/>
  <c r="C52" i="4"/>
  <c r="Q52" i="4" s="1"/>
  <c r="C51" i="4"/>
  <c r="Q51" i="4" s="1"/>
  <c r="C50" i="4"/>
  <c r="Q50" i="4" s="1"/>
  <c r="C49" i="4"/>
  <c r="Q49" i="4" s="1"/>
  <c r="C48" i="4"/>
  <c r="Q48" i="4" s="1"/>
  <c r="C47" i="4"/>
  <c r="Q47" i="4" s="1"/>
  <c r="C46" i="4"/>
  <c r="Q46" i="4" s="1"/>
  <c r="C45" i="4"/>
  <c r="Q45" i="4" s="1"/>
  <c r="C44" i="4"/>
  <c r="Q44" i="4" s="1"/>
  <c r="C43" i="4"/>
  <c r="Q43" i="4" s="1"/>
  <c r="C42" i="4"/>
  <c r="Q42" i="4" s="1"/>
  <c r="C41" i="4"/>
  <c r="Q41" i="4" s="1"/>
  <c r="C40" i="4"/>
  <c r="Q40" i="4" s="1"/>
  <c r="C39" i="4"/>
  <c r="Q39" i="4" s="1"/>
  <c r="S22" i="4" l="1"/>
  <c r="AG35" i="2"/>
  <c r="Q19" i="4"/>
  <c r="R5" i="4"/>
  <c r="Q5" i="4"/>
  <c r="Q4" i="4"/>
  <c r="AG137" i="2"/>
  <c r="AK3" i="2" l="1"/>
  <c r="AJ3" i="2"/>
  <c r="AI3" i="2"/>
  <c r="AL3" i="2"/>
  <c r="R22" i="4" l="1"/>
  <c r="Q22" i="4"/>
  <c r="R21" i="4"/>
  <c r="Q21" i="4"/>
  <c r="AG36" i="2" l="1"/>
  <c r="AG140" i="2"/>
  <c r="R23" i="4" l="1"/>
  <c r="Q37" i="4"/>
  <c r="Q36" i="4"/>
  <c r="Q35" i="4"/>
  <c r="Q34" i="4"/>
  <c r="Q33" i="4"/>
  <c r="Q32" i="4"/>
  <c r="Q31" i="4"/>
  <c r="Q30" i="4"/>
  <c r="Q29" i="4"/>
  <c r="Q28" i="4"/>
  <c r="Q27" i="4"/>
  <c r="Q26" i="4"/>
  <c r="Q25" i="4"/>
  <c r="Q24" i="4"/>
  <c r="Q23" i="4"/>
  <c r="Q18" i="4"/>
  <c r="Q17" i="4"/>
  <c r="R20" i="4"/>
  <c r="Q20" i="4"/>
  <c r="U3" i="4"/>
  <c r="T3" i="4"/>
  <c r="S3" i="4"/>
  <c r="R3" i="4" l="1"/>
  <c r="AF202" i="2" l="1"/>
  <c r="AF52" i="2" l="1"/>
  <c r="AF51" i="2"/>
  <c r="AA151" i="2" l="1"/>
  <c r="AF193" i="2" l="1"/>
  <c r="AF192" i="2"/>
  <c r="AF191" i="2"/>
  <c r="AF190" i="2"/>
  <c r="AF189" i="2"/>
  <c r="AF188" i="2"/>
  <c r="AG194" i="2"/>
  <c r="AG193" i="2"/>
  <c r="AG192" i="2"/>
  <c r="AG191" i="2"/>
  <c r="AG190" i="2"/>
  <c r="AG189" i="2"/>
  <c r="AG188" i="2"/>
  <c r="AF183" i="2"/>
  <c r="AF182" i="2"/>
  <c r="AF181" i="2"/>
  <c r="AF175" i="2"/>
  <c r="AF174" i="2"/>
  <c r="AF173" i="2"/>
  <c r="AF172" i="2"/>
  <c r="AF171" i="2"/>
  <c r="AF170" i="2"/>
  <c r="AF169" i="2"/>
  <c r="AF166" i="2"/>
  <c r="AF165" i="2"/>
  <c r="AF161" i="2"/>
  <c r="AF160" i="2"/>
  <c r="AE225" i="2"/>
  <c r="AF151" i="2"/>
  <c r="AF150" i="2"/>
  <c r="AF147" i="2"/>
  <c r="AF146" i="2"/>
  <c r="AF145" i="2"/>
  <c r="AF144" i="2"/>
  <c r="AF140" i="2"/>
  <c r="AF139" i="2"/>
  <c r="AF138" i="2"/>
  <c r="AF137" i="2"/>
  <c r="AF45" i="2"/>
  <c r="AF44" i="2"/>
  <c r="AF43" i="2"/>
  <c r="AF39" i="2"/>
  <c r="AF38" i="2"/>
  <c r="AF37" i="2"/>
  <c r="AF36" i="2"/>
  <c r="AF35" i="2"/>
  <c r="AF29" i="2"/>
  <c r="AF24" i="2"/>
  <c r="AE29" i="2"/>
  <c r="AE24" i="2"/>
  <c r="AE21" i="2"/>
  <c r="AE19" i="2"/>
  <c r="AE18" i="2"/>
  <c r="AF17" i="2"/>
  <c r="AF16" i="2"/>
  <c r="AF15" i="2"/>
  <c r="AF14" i="2"/>
  <c r="AF13" i="2"/>
  <c r="AF12" i="2"/>
  <c r="AF11" i="2"/>
  <c r="AF10" i="2"/>
  <c r="AE11" i="2"/>
  <c r="AE10" i="2"/>
  <c r="AE7" i="2"/>
  <c r="AE6" i="2"/>
  <c r="AE5" i="2"/>
  <c r="AE4" i="2"/>
  <c r="AC141" i="2" l="1"/>
  <c r="AC187" i="2"/>
  <c r="AC186" i="2"/>
  <c r="AC185" i="2"/>
  <c r="AB197" i="2"/>
  <c r="AB180" i="2"/>
  <c r="AB196" i="2"/>
  <c r="AB195" i="2"/>
  <c r="AB194" i="2"/>
  <c r="AB179" i="2"/>
  <c r="AB178" i="2"/>
  <c r="AB177" i="2"/>
  <c r="AB168" i="2"/>
  <c r="AB167" i="2"/>
  <c r="AB122" i="2"/>
  <c r="AB121" i="2"/>
  <c r="AB164" i="2"/>
  <c r="AB163" i="2"/>
  <c r="AB149" i="2"/>
  <c r="AB148" i="2"/>
  <c r="AB120" i="2"/>
  <c r="AB119" i="2"/>
  <c r="AB88" i="2"/>
  <c r="AB87" i="2"/>
  <c r="AA39" i="2" l="1"/>
  <c r="AA38" i="2"/>
  <c r="AA37" i="2"/>
  <c r="AA150" i="2"/>
  <c r="AA203" i="2"/>
  <c r="AA202" i="2"/>
  <c r="AA222" i="2"/>
  <c r="AA221" i="2"/>
  <c r="AA220" i="2"/>
  <c r="AA219" i="2"/>
  <c r="AA218" i="2"/>
  <c r="AA217" i="2"/>
  <c r="AA216" i="2"/>
  <c r="AA215" i="2"/>
  <c r="AA214" i="2"/>
  <c r="AA213" i="2"/>
  <c r="AA212" i="2"/>
  <c r="AA211" i="2"/>
  <c r="AA210" i="2"/>
  <c r="AA209" i="2"/>
  <c r="AA208" i="2"/>
  <c r="AA207" i="2"/>
  <c r="AA206" i="2"/>
  <c r="AA205" i="2"/>
  <c r="AA204" i="2"/>
  <c r="AA143" i="2" l="1"/>
  <c r="AA142" i="2"/>
  <c r="AA130" i="2"/>
  <c r="AA129" i="2"/>
  <c r="AA128" i="2"/>
  <c r="AA127" i="2"/>
  <c r="AA126" i="2"/>
  <c r="AA125" i="2"/>
  <c r="AA124" i="2"/>
  <c r="AA123" i="2"/>
  <c r="AA122" i="2"/>
  <c r="AA121" i="2"/>
  <c r="AA197" i="2" l="1"/>
  <c r="AA196" i="2"/>
  <c r="AA195" i="2"/>
  <c r="AA194" i="2"/>
  <c r="AA193" i="2"/>
  <c r="AA192" i="2"/>
  <c r="AA191" i="2"/>
  <c r="AA190" i="2"/>
  <c r="AA189" i="2"/>
  <c r="AA188" i="2"/>
  <c r="AA184" i="2"/>
  <c r="AA183" i="2"/>
  <c r="AA182" i="2"/>
  <c r="AA181" i="2"/>
  <c r="AB187" i="2"/>
  <c r="AB141" i="2"/>
  <c r="P227" i="2" l="1"/>
  <c r="AB227" i="2"/>
  <c r="AG3" i="2" l="1"/>
  <c r="AD3" i="2"/>
  <c r="AH3" i="2"/>
  <c r="AF3" i="2"/>
  <c r="AE3" i="2"/>
  <c r="V228" i="2"/>
  <c r="H227" i="2"/>
  <c r="AA227" i="2" s="1"/>
  <c r="V227" i="2"/>
  <c r="AA149" i="2" l="1"/>
  <c r="AA148" i="2"/>
  <c r="AA17" i="2"/>
  <c r="AA16" i="2"/>
  <c r="AA15" i="2"/>
  <c r="AB86" i="2" l="1"/>
  <c r="AB42" i="2"/>
  <c r="AB41" i="2"/>
  <c r="AB40" i="2"/>
  <c r="AA180" i="2" l="1"/>
  <c r="AA179" i="2"/>
  <c r="AA178" i="2"/>
  <c r="AA177" i="2"/>
  <c r="AA176" i="2"/>
  <c r="AA175" i="2"/>
  <c r="AA174" i="2"/>
  <c r="AA173" i="2"/>
  <c r="AA172" i="2"/>
  <c r="AA171" i="2"/>
  <c r="AA170" i="2"/>
  <c r="AA169" i="2"/>
  <c r="AA168" i="2"/>
  <c r="AA167" i="2"/>
  <c r="AB81" i="2"/>
  <c r="AB48" i="2"/>
  <c r="AA147" i="2" l="1"/>
  <c r="AA146" i="2"/>
  <c r="AA145" i="2"/>
  <c r="AA144" i="2"/>
  <c r="AB50" i="2" l="1"/>
  <c r="AB49" i="2"/>
  <c r="AB47" i="2"/>
  <c r="AB46" i="2"/>
  <c r="AA14" i="2" l="1"/>
  <c r="AA13" i="2"/>
  <c r="AA12" i="2"/>
  <c r="AA45" i="2"/>
  <c r="AA44" i="2"/>
  <c r="AA43" i="2"/>
  <c r="AB186" i="2" l="1"/>
  <c r="AB185" i="2"/>
  <c r="AA166" i="2" l="1"/>
  <c r="AA165" i="2"/>
  <c r="AA164" i="2"/>
  <c r="AA163" i="2"/>
  <c r="L19" i="4" l="1"/>
  <c r="L18" i="4"/>
  <c r="L17" i="4"/>
  <c r="L16" i="4"/>
  <c r="L15" i="4"/>
  <c r="C14" i="4"/>
  <c r="C13" i="4"/>
  <c r="C12" i="4"/>
  <c r="C11" i="4"/>
  <c r="C10" i="4"/>
  <c r="C9" i="4"/>
  <c r="C8" i="4"/>
  <c r="C7" i="4"/>
  <c r="C6" i="4"/>
  <c r="L5" i="4"/>
  <c r="L4" i="4"/>
  <c r="L14" i="4" l="1"/>
  <c r="Q14" i="4"/>
  <c r="L9" i="4"/>
  <c r="Q9" i="4"/>
  <c r="L13" i="4"/>
  <c r="Q13" i="4"/>
  <c r="L10" i="4"/>
  <c r="Q10" i="4"/>
  <c r="L12" i="4"/>
  <c r="Q12" i="4"/>
  <c r="L6" i="4"/>
  <c r="Q6" i="4"/>
  <c r="Q3" i="4" s="1"/>
  <c r="L8" i="4"/>
  <c r="Q8" i="4"/>
  <c r="L11" i="4"/>
  <c r="Q11" i="4"/>
  <c r="L7" i="4"/>
  <c r="Q7" i="4"/>
  <c r="AC33" i="2"/>
  <c r="AC32" i="2"/>
  <c r="AC31" i="2"/>
  <c r="AC30" i="2"/>
  <c r="AC136" i="2"/>
  <c r="AC135" i="2"/>
  <c r="AC134" i="2"/>
  <c r="AC133" i="2"/>
  <c r="AA81" i="2"/>
  <c r="AA80" i="2"/>
  <c r="AA79" i="2"/>
  <c r="AA78" i="2"/>
  <c r="AA77" i="2"/>
  <c r="AA76" i="2"/>
  <c r="AA75" i="2"/>
  <c r="AA74" i="2"/>
  <c r="AA73" i="2"/>
  <c r="AA72" i="2"/>
  <c r="AA71" i="2"/>
  <c r="AA70" i="2"/>
  <c r="AA69" i="2"/>
  <c r="AA68" i="2"/>
  <c r="AA67" i="2"/>
  <c r="AA66" i="2"/>
  <c r="AA65" i="2"/>
  <c r="AA64" i="2"/>
  <c r="AA63" i="2"/>
  <c r="AA62" i="2"/>
  <c r="AA61" i="2"/>
  <c r="AA60" i="2"/>
  <c r="AA59" i="2"/>
  <c r="AA58" i="2"/>
  <c r="AA57" i="2"/>
  <c r="AA56" i="2"/>
  <c r="AA55" i="2"/>
  <c r="AA54" i="2"/>
  <c r="AA53" i="2"/>
  <c r="AA52" i="2"/>
  <c r="AA51" i="2"/>
  <c r="AB33" i="2"/>
  <c r="AB136" i="2"/>
  <c r="AB3" i="2" l="1"/>
  <c r="AC3" i="2"/>
  <c r="AA40" i="2"/>
  <c r="AA41" i="2"/>
  <c r="AA42" i="2"/>
  <c r="AA46" i="2"/>
  <c r="AA47" i="2"/>
  <c r="AA48" i="2"/>
  <c r="AA140" i="2" l="1"/>
  <c r="AA139" i="2"/>
  <c r="AA120" i="2"/>
  <c r="AA119" i="2"/>
  <c r="AA118" i="2"/>
  <c r="AA117" i="2"/>
  <c r="AA116" i="2"/>
  <c r="AA115" i="2"/>
  <c r="AA114" i="2"/>
  <c r="AA113" i="2"/>
  <c r="AA112" i="2"/>
  <c r="AA111" i="2"/>
  <c r="AA110" i="2"/>
  <c r="AA109" i="2"/>
  <c r="AA108" i="2"/>
  <c r="AA107" i="2"/>
  <c r="AA106" i="2"/>
  <c r="AA105" i="2"/>
  <c r="AA104" i="2"/>
  <c r="AA103" i="2"/>
  <c r="AA102" i="2"/>
  <c r="AA101" i="2"/>
  <c r="AA100" i="2"/>
  <c r="AA99" i="2"/>
  <c r="AA98" i="2"/>
  <c r="AA97" i="2"/>
  <c r="AA96" i="2"/>
  <c r="AA95" i="2"/>
  <c r="AA94" i="2"/>
  <c r="AA93" i="2"/>
  <c r="AA92" i="2"/>
  <c r="AA91" i="2"/>
  <c r="AA90" i="2"/>
  <c r="AA89" i="2"/>
  <c r="AA88" i="2"/>
  <c r="AA87" i="2"/>
  <c r="AA86" i="2"/>
  <c r="AA50" i="2"/>
  <c r="AA49" i="2"/>
  <c r="AA3" i="2" l="1"/>
  <c r="X135" i="2"/>
  <c r="X134" i="2"/>
  <c r="X32" i="2"/>
  <c r="X31" i="2"/>
  <c r="W162" i="2" l="1"/>
  <c r="W161" i="2"/>
  <c r="W160" i="2"/>
  <c r="X133" i="2" l="1"/>
  <c r="X30" i="2"/>
  <c r="Y85" i="2" l="1"/>
  <c r="Y84" i="2"/>
  <c r="Y83" i="2"/>
  <c r="Y82" i="2"/>
  <c r="W138" i="2" l="1"/>
  <c r="W137" i="2"/>
  <c r="W34" i="2" l="1"/>
  <c r="W33" i="2"/>
  <c r="W32" i="2"/>
  <c r="W36" i="2" l="1"/>
  <c r="W35" i="2"/>
  <c r="W31" i="2" l="1"/>
  <c r="W30" i="2"/>
  <c r="W136" i="2" l="1"/>
  <c r="W135" i="2"/>
  <c r="W134" i="2" l="1"/>
  <c r="W133" i="2"/>
  <c r="X85" i="2" l="1"/>
  <c r="X84" i="2"/>
  <c r="X83" i="2"/>
  <c r="X82" i="2"/>
  <c r="W141" i="2" l="1"/>
  <c r="W187" i="2"/>
  <c r="Y3" i="2" l="1"/>
  <c r="Z3" i="2"/>
  <c r="X3" i="2"/>
  <c r="W186" i="2"/>
  <c r="W185" i="2"/>
  <c r="W85" i="2"/>
  <c r="W84" i="2"/>
  <c r="W83" i="2"/>
  <c r="W82" i="2"/>
  <c r="W3" i="2" l="1"/>
  <c r="V226" i="2" l="1"/>
  <c r="V225" i="2"/>
  <c r="V224" i="2"/>
  <c r="V223" i="2"/>
  <c r="V222" i="2"/>
  <c r="V221" i="2"/>
  <c r="V220" i="2"/>
  <c r="V219" i="2"/>
  <c r="V218" i="2"/>
  <c r="V217" i="2"/>
  <c r="V216" i="2"/>
  <c r="V215" i="2"/>
  <c r="V214" i="2"/>
  <c r="V213" i="2"/>
  <c r="V212" i="2"/>
  <c r="V211" i="2"/>
  <c r="V210" i="2"/>
  <c r="V209" i="2"/>
  <c r="V208" i="2"/>
  <c r="V207" i="2"/>
  <c r="V206" i="2"/>
  <c r="V205" i="2"/>
  <c r="V204" i="2"/>
  <c r="V203" i="2"/>
  <c r="V202" i="2"/>
  <c r="V201" i="2"/>
  <c r="V200" i="2"/>
  <c r="V199" i="2"/>
  <c r="V198" i="2"/>
  <c r="V197" i="2"/>
  <c r="V196" i="2"/>
  <c r="V195" i="2"/>
  <c r="V194" i="2"/>
  <c r="V193" i="2"/>
  <c r="V192" i="2"/>
  <c r="V191" i="2"/>
  <c r="V190" i="2"/>
  <c r="V189" i="2"/>
  <c r="V188" i="2"/>
  <c r="V187" i="2"/>
  <c r="V186" i="2"/>
  <c r="V185" i="2"/>
  <c r="V184" i="2"/>
  <c r="V183" i="2"/>
  <c r="V182" i="2"/>
  <c r="V181" i="2"/>
  <c r="V180" i="2"/>
  <c r="V179" i="2"/>
  <c r="V178" i="2"/>
  <c r="V177" i="2"/>
  <c r="V176" i="2"/>
  <c r="V175" i="2"/>
  <c r="V174" i="2"/>
  <c r="V173" i="2"/>
  <c r="V172" i="2"/>
  <c r="V171" i="2"/>
  <c r="V170" i="2"/>
  <c r="V169" i="2"/>
  <c r="V168" i="2"/>
  <c r="V167" i="2"/>
  <c r="V166" i="2"/>
  <c r="V165" i="2"/>
  <c r="V164" i="2"/>
  <c r="V163" i="2"/>
  <c r="V162" i="2"/>
  <c r="V161" i="2"/>
  <c r="V160" i="2"/>
  <c r="V159" i="2"/>
  <c r="V158" i="2"/>
  <c r="V157" i="2"/>
  <c r="V156" i="2"/>
  <c r="V155" i="2"/>
  <c r="V154" i="2"/>
  <c r="V153" i="2"/>
  <c r="V152" i="2"/>
  <c r="V151" i="2"/>
  <c r="V150" i="2"/>
  <c r="V149" i="2"/>
  <c r="V148" i="2"/>
  <c r="V147" i="2"/>
  <c r="V146" i="2"/>
  <c r="V145" i="2"/>
  <c r="V144" i="2"/>
  <c r="V143" i="2"/>
  <c r="V142" i="2"/>
  <c r="V141" i="2"/>
  <c r="V140" i="2"/>
  <c r="V139" i="2"/>
  <c r="V138" i="2"/>
  <c r="V137" i="2"/>
  <c r="V136" i="2"/>
  <c r="V135" i="2"/>
  <c r="V134" i="2"/>
  <c r="V133" i="2"/>
  <c r="V132" i="2"/>
  <c r="V131" i="2"/>
  <c r="V130" i="2"/>
  <c r="V129" i="2"/>
  <c r="V128" i="2"/>
  <c r="V127" i="2"/>
  <c r="V126" i="2"/>
  <c r="V125" i="2"/>
  <c r="V124" i="2"/>
  <c r="V123" i="2"/>
  <c r="V122" i="2"/>
  <c r="V121" i="2"/>
  <c r="V120" i="2"/>
  <c r="V119" i="2"/>
  <c r="V118" i="2"/>
  <c r="V117" i="2"/>
  <c r="V116" i="2"/>
  <c r="V115" i="2"/>
  <c r="V114" i="2"/>
  <c r="V113" i="2"/>
  <c r="V112" i="2"/>
  <c r="V111" i="2"/>
  <c r="V110" i="2"/>
  <c r="V109" i="2"/>
  <c r="V108" i="2"/>
  <c r="V107" i="2"/>
  <c r="V106" i="2"/>
  <c r="V105" i="2"/>
  <c r="V104" i="2"/>
  <c r="V103" i="2"/>
  <c r="V102" i="2"/>
  <c r="V101" i="2"/>
  <c r="V100" i="2"/>
  <c r="V99" i="2"/>
  <c r="V98" i="2"/>
  <c r="V97" i="2"/>
  <c r="V96" i="2"/>
  <c r="V95" i="2"/>
  <c r="V94" i="2"/>
  <c r="V93" i="2"/>
  <c r="V92" i="2"/>
  <c r="V91" i="2"/>
  <c r="V90" i="2"/>
  <c r="V89" i="2"/>
  <c r="V88" i="2"/>
  <c r="V87" i="2"/>
  <c r="V86" i="2"/>
  <c r="V85" i="2"/>
  <c r="V84" i="2"/>
  <c r="V83" i="2"/>
  <c r="V82" i="2"/>
  <c r="V81" i="2"/>
  <c r="V80" i="2"/>
  <c r="V79" i="2"/>
  <c r="V78" i="2"/>
  <c r="V77" i="2"/>
  <c r="V76" i="2"/>
  <c r="V75" i="2"/>
  <c r="V74" i="2"/>
  <c r="V73" i="2"/>
  <c r="V72" i="2"/>
  <c r="V71" i="2"/>
  <c r="V70" i="2"/>
  <c r="V69" i="2"/>
  <c r="V68" i="2"/>
  <c r="V67" i="2"/>
  <c r="V66" i="2"/>
  <c r="V65" i="2"/>
  <c r="V64" i="2"/>
  <c r="V63" i="2"/>
  <c r="V62" i="2"/>
  <c r="V61" i="2"/>
  <c r="V60" i="2"/>
  <c r="V59" i="2"/>
  <c r="V58" i="2"/>
  <c r="V57" i="2"/>
  <c r="V56" i="2"/>
  <c r="V55" i="2"/>
  <c r="V54" i="2"/>
  <c r="V53" i="2"/>
  <c r="V52" i="2"/>
  <c r="V51" i="2"/>
  <c r="V50" i="2"/>
  <c r="V49" i="2"/>
  <c r="V48" i="2"/>
  <c r="V47" i="2"/>
  <c r="V46" i="2"/>
  <c r="V45" i="2"/>
  <c r="V44" i="2"/>
  <c r="V43" i="2"/>
  <c r="V42" i="2"/>
  <c r="V41" i="2"/>
  <c r="V40" i="2"/>
  <c r="V39" i="2"/>
  <c r="V38" i="2"/>
  <c r="V37" i="2"/>
  <c r="V36" i="2"/>
  <c r="V35" i="2"/>
  <c r="V34" i="2"/>
  <c r="V33" i="2"/>
  <c r="V32" i="2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V9" i="2"/>
  <c r="V8" i="2"/>
  <c r="V7" i="2"/>
  <c r="V6" i="2"/>
  <c r="V5" i="2"/>
  <c r="V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Александр Бортников</author>
  </authors>
  <commentList>
    <comment ref="O4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Александр Бортников:</t>
        </r>
        <r>
          <rPr>
            <sz val="9"/>
            <color indexed="81"/>
            <rFont val="Tahoma"/>
            <family val="2"/>
            <charset val="204"/>
          </rPr>
          <t xml:space="preserve">
За все 10 элементов</t>
        </r>
      </text>
    </comment>
  </commentList>
</comments>
</file>

<file path=xl/sharedStrings.xml><?xml version="1.0" encoding="utf-8"?>
<sst xmlns="http://schemas.openxmlformats.org/spreadsheetml/2006/main" count="18990" uniqueCount="1555">
  <si>
    <t>№</t>
  </si>
  <si>
    <t>Участок работ (технологическая линия)</t>
  </si>
  <si>
    <t>Тип оборудования</t>
  </si>
  <si>
    <t>Наименование оборудования</t>
  </si>
  <si>
    <t>Код оборудования НЕ ЗАПОЛНЯТЬ</t>
  </si>
  <si>
    <t xml:space="preserve">Элементы оборудования  </t>
  </si>
  <si>
    <t>Элементы оборудования  2 уровня</t>
  </si>
  <si>
    <t xml:space="preserve">БЛОК </t>
  </si>
  <si>
    <t>Комментарий НЕ УДАЛЯТЬ</t>
  </si>
  <si>
    <t>Вес одной единицы, тн</t>
  </si>
  <si>
    <t>Вес общий, тн</t>
  </si>
  <si>
    <t>Кол-во</t>
  </si>
  <si>
    <t>Ед.изм</t>
  </si>
  <si>
    <t xml:space="preserve">Итого ч/ч без пнр </t>
  </si>
  <si>
    <t>Сметная стоимость за ед. физического объема, без НДС</t>
  </si>
  <si>
    <t>Сметная стоимость за ед. физического объема ИТОГО, без НДС</t>
  </si>
  <si>
    <t>НЕ УДАЛЯТЬ</t>
  </si>
  <si>
    <t>Договор            НЕ ЗАПОЛНЯТЬ</t>
  </si>
  <si>
    <t>Код
детали</t>
  </si>
  <si>
    <t>упаковочный лист /ГР.М</t>
  </si>
  <si>
    <t>Код заказчика</t>
  </si>
  <si>
    <t xml:space="preserve">Номенклатура Оприходывания Заказчика </t>
  </si>
  <si>
    <t>№ поз. По упак</t>
  </si>
  <si>
    <t xml:space="preserve">чч ПНР </t>
  </si>
  <si>
    <t>ФОТ</t>
  </si>
  <si>
    <t xml:space="preserve">4.1.37.2Отделение флотации </t>
  </si>
  <si>
    <t xml:space="preserve">Гидроциклон Cavex </t>
  </si>
  <si>
    <t>Кластер из 16 гидроциклонов Cavex 400CVX</t>
  </si>
  <si>
    <t>HC11</t>
  </si>
  <si>
    <t>Транспортное оборудование</t>
  </si>
  <si>
    <t>Walking Beam Cooling Bed // Холодильник на шагающих балках</t>
  </si>
  <si>
    <t>Оборудование</t>
  </si>
  <si>
    <t>Подвижная гребенка</t>
  </si>
  <si>
    <t>шт</t>
  </si>
  <si>
    <t>7.480842.V</t>
  </si>
  <si>
    <t>6.30</t>
  </si>
  <si>
    <t>Стационарная планка с гребнем</t>
  </si>
  <si>
    <t>7.480841.R</t>
  </si>
  <si>
    <t>Гидравлический цилиндр</t>
  </si>
  <si>
    <t>7.577468.C/001</t>
  </si>
  <si>
    <t>Опора</t>
  </si>
  <si>
    <t>7.577474.T</t>
  </si>
  <si>
    <t>Незакрепленный продольный</t>
  </si>
  <si>
    <t>7.480840.F</t>
  </si>
  <si>
    <t>Правая закрепленная балка</t>
  </si>
  <si>
    <t>7.480835.P</t>
  </si>
  <si>
    <t>Левая закрепленная балка</t>
  </si>
  <si>
    <t>7.480836.Q</t>
  </si>
  <si>
    <t>7.480833.M</t>
  </si>
  <si>
    <t>7.480834.N</t>
  </si>
  <si>
    <t>Прецизионная труба EN 10216-5-TC1 16x2 x5crni18-10-холодн.отделка; светлый отжиг стд.DAN 2.112.001</t>
  </si>
  <si>
    <t>м</t>
  </si>
  <si>
    <t>0.525901.X</t>
  </si>
  <si>
    <t>7.480837.H</t>
  </si>
  <si>
    <t>7.480838.S</t>
  </si>
  <si>
    <t>Закрепленный продольный</t>
  </si>
  <si>
    <t>Закрепленный продольный элемент</t>
  </si>
  <si>
    <t>7.480844.X</t>
  </si>
  <si>
    <t>Предохранительная пластина</t>
  </si>
  <si>
    <t>5.274374.K/008</t>
  </si>
  <si>
    <t>Основание</t>
  </si>
  <si>
    <t>7.480843.W</t>
  </si>
  <si>
    <t>5.274375.L/008</t>
  </si>
  <si>
    <t>Ограждающий щит</t>
  </si>
  <si>
    <t>5.274356.Q/003</t>
  </si>
  <si>
    <t>7.481037.F/008</t>
  </si>
  <si>
    <t>5.274369.V</t>
  </si>
  <si>
    <t>Правая незакрепленная балка</t>
  </si>
  <si>
    <t>Левая незакрепленная балка</t>
  </si>
  <si>
    <t>5.018429.R</t>
  </si>
  <si>
    <t>Механическое соединение холодильника</t>
  </si>
  <si>
    <t>8.106881.T</t>
  </si>
  <si>
    <t>7.480845.Z</t>
  </si>
  <si>
    <t>Гидроцилиндр</t>
  </si>
  <si>
    <t>7.577470.B/001</t>
  </si>
  <si>
    <t>7.577469.D</t>
  </si>
  <si>
    <t>7.480839.T</t>
  </si>
  <si>
    <t>ПЛОСКАЯ ШАЙБА ISO 7089−10−200 HV−СТАЛЬ	16341255
− ГАЛЬВАНИЧЕСКИ
ОЦИНКОВ. FE/ZN5D2D ISO 4042</t>
  </si>
  <si>
    <t>0.538004.C</t>
  </si>
  <si>
    <t>ГЛАДК. ПРЕДОХРАНИТ. ШАЙБА
SCHNORR MILLER ТИПА "VS" 10−ИЗ НЕРЖ.СТАЛИ, ОТ 250° ДО
450° ТВЕРДОСТИ ПО ВИКЕРСУ</t>
  </si>
  <si>
    <t>0.538278.S</t>
  </si>
  <si>
    <t>ГАЙКА ШЕСТИГРАННАЯ ISO 4032 
M10−8−ОЦИНКОВ. СОГЛ. СТД DAN
3.220.001</t>
  </si>
  <si>
    <t>0.546105.E</t>
  </si>
  <si>
    <t>ВИНТ С ШЕСТИГРАННОЙ ГОЛОВКОЙ 
ISO 4017 M10X65−8,8, ЦИНКОВОЕ
ПОКРЫТИЕ</t>
  </si>
  <si>
    <t>0.588345.P</t>
  </si>
  <si>
    <t>Вал с рычагом</t>
  </si>
  <si>
    <t>7.480847.T</t>
  </si>
  <si>
    <t>Линейный преобразователь в сборе</t>
  </si>
  <si>
    <t>8.808109.R/A04</t>
  </si>
  <si>
    <t>7.347054.G/001</t>
  </si>
  <si>
    <t>Оптический датчик</t>
  </si>
  <si>
    <t>8.391309.S/A11</t>
  </si>
  <si>
    <t>5.043806.Z</t>
  </si>
  <si>
    <t>5.043813.N</t>
  </si>
  <si>
    <t>Кулачок</t>
  </si>
  <si>
    <t>5.043805.X/013</t>
  </si>
  <si>
    <t>5.043805.X/014</t>
  </si>
  <si>
    <t>5.043805.X/015</t>
  </si>
  <si>
    <t>5.967528.V/024</t>
  </si>
  <si>
    <t>5.967528.V/025</t>
  </si>
  <si>
    <t>5.298416.V/003</t>
  </si>
  <si>
    <t>Ограждение</t>
  </si>
  <si>
    <t>4.887567.L</t>
  </si>
  <si>
    <t>5.155709.L/002</t>
  </si>
  <si>
    <t>Декабрь</t>
  </si>
  <si>
    <t>Январь</t>
  </si>
  <si>
    <t>Вал с блоком рычагов</t>
  </si>
  <si>
    <t>8.834126.P</t>
  </si>
  <si>
    <t>6.29</t>
  </si>
  <si>
    <t>Балка</t>
  </si>
  <si>
    <t>7.481173.L</t>
  </si>
  <si>
    <t>Прокладка</t>
  </si>
  <si>
    <t>7.183968.W</t>
  </si>
  <si>
    <t>8.391309.S/A01</t>
  </si>
  <si>
    <t>7.189203.D</t>
  </si>
  <si>
    <t>Расширительный болт HSL-TZ M 10/40 HILTI оцин. Сталь-CL.8</t>
  </si>
  <si>
    <t>0.054170.Q</t>
  </si>
  <si>
    <t>Рельс</t>
  </si>
  <si>
    <t>7.184206.R</t>
  </si>
  <si>
    <t>7.189200.N</t>
  </si>
  <si>
    <t>Индуктивный бесконтактный датчик</t>
  </si>
  <si>
    <t>0.305503.L</t>
  </si>
  <si>
    <t>Полоса GB/T 702 50x8 Q235B-GB/700 Сертифиц. GB/T 2101</t>
  </si>
  <si>
    <t>0.543065.D</t>
  </si>
  <si>
    <t>Расширительный болт HSL TZ M24 X30 HILTI гальв. Сталь-CL.8.8</t>
  </si>
  <si>
    <t>0.082357.C</t>
  </si>
  <si>
    <t>Рама</t>
  </si>
  <si>
    <t>7.175975.W</t>
  </si>
  <si>
    <t>7.481174.M</t>
  </si>
  <si>
    <t>7.481175.N</t>
  </si>
  <si>
    <t>Седло</t>
  </si>
  <si>
    <t>7.184205.T</t>
  </si>
  <si>
    <t>5.043990.V/011</t>
  </si>
  <si>
    <t>7.481085.F</t>
  </si>
  <si>
    <t>6.28</t>
  </si>
  <si>
    <t>7.481121.F</t>
  </si>
  <si>
    <t>7.481083.D</t>
  </si>
  <si>
    <t>7.481084.E</t>
  </si>
  <si>
    <t>Укрытие двигателя</t>
  </si>
  <si>
    <t>000-000-127-492</t>
  </si>
  <si>
    <t>8.391309.S/A07</t>
  </si>
  <si>
    <t>8.391309.S/A04</t>
  </si>
  <si>
    <t>7.184204.S/002</t>
  </si>
  <si>
    <t>Упор</t>
  </si>
  <si>
    <t>4.795452.T/003</t>
  </si>
  <si>
    <t>Пластина</t>
  </si>
  <si>
    <t>4.775502.A/050</t>
  </si>
  <si>
    <t>000-000-112-927</t>
  </si>
  <si>
    <t>000-000-111-438</t>
  </si>
  <si>
    <t>000-000-111-469</t>
  </si>
  <si>
    <t>Защита</t>
  </si>
  <si>
    <t>7.142945.V</t>
  </si>
  <si>
    <t>Расширительный болт HSL-TZ M 10/40 HILTI ОЦИН. СТАЛЬ-CL.8</t>
  </si>
  <si>
    <t>Неподвижный упор</t>
  </si>
  <si>
    <t>8.834127.Q</t>
  </si>
  <si>
    <t>7.170298.M</t>
  </si>
  <si>
    <t>Февраль</t>
  </si>
  <si>
    <t>Март</t>
  </si>
  <si>
    <t>подкладки</t>
  </si>
  <si>
    <t>анкера</t>
  </si>
  <si>
    <t>Апрель</t>
  </si>
  <si>
    <t>Лестница</t>
  </si>
  <si>
    <t>Колонна</t>
  </si>
  <si>
    <t>0.001079.P</t>
  </si>
  <si>
    <t>Направляющая рама</t>
  </si>
  <si>
    <t>7.560443.D</t>
  </si>
  <si>
    <t>Стеллажи</t>
  </si>
  <si>
    <t>7.574137.N</t>
  </si>
  <si>
    <t>Вал</t>
  </si>
  <si>
    <t>7.574142.S/001</t>
  </si>
  <si>
    <t>7.574135.L/001</t>
  </si>
  <si>
    <t>7.574135.L/002</t>
  </si>
  <si>
    <t>Крышка</t>
  </si>
  <si>
    <t>7.560458.L/001</t>
  </si>
  <si>
    <t>7.574133.H</t>
  </si>
  <si>
    <t>Квадратный пруток GR/T 702 20 Q235B-GB/T 700 СЕРТ. GB/T 210</t>
  </si>
  <si>
    <t>0.543047.B</t>
  </si>
  <si>
    <t>Подкладная пластина</t>
  </si>
  <si>
    <t>7.574150.Е</t>
  </si>
  <si>
    <t>7.574154.W</t>
  </si>
  <si>
    <t>7.560449.K</t>
  </si>
  <si>
    <t>7.574132.Q</t>
  </si>
  <si>
    <t>7.574142.S/002</t>
  </si>
  <si>
    <t>7.560458.L/002</t>
  </si>
  <si>
    <t>8.860711.N/A03</t>
  </si>
  <si>
    <t>7.560429.F</t>
  </si>
  <si>
    <t>7.347407.G/038</t>
  </si>
  <si>
    <t>7.347407.G/029</t>
  </si>
  <si>
    <t>7.347407.G/039</t>
  </si>
  <si>
    <t>Винт с шестигранной головкой ISO4017 M24X120-8.8-Покрытие в соотв. Со стандартом Dan 3.210.001</t>
  </si>
  <si>
    <t>0.000316.M</t>
  </si>
  <si>
    <t>Гидравлический цилиндр МР5 80/56/425</t>
  </si>
  <si>
    <t>7.560542.G</t>
  </si>
  <si>
    <t>8.860711.N/A01</t>
  </si>
  <si>
    <t>Вал с рычагами</t>
  </si>
  <si>
    <t>7.560442.C</t>
  </si>
  <si>
    <t>7.347407.G/035</t>
  </si>
  <si>
    <t>7.347407.G/034</t>
  </si>
  <si>
    <t>Винт с шестигранной головкой ISO 4017 M4X10-8.8-Покрыт. В соотв. Со станд. Dan 3.210.00</t>
  </si>
  <si>
    <t>0.000241.Z</t>
  </si>
  <si>
    <t>Зажим одинар. Для трубы с 1 отв. D.8 111251 "Dropsa" or Equivalent</t>
  </si>
  <si>
    <t>0.008186.F</t>
  </si>
  <si>
    <t>Преционная труба EN 10216-5-TC1 8x1.5 X5CRNI18-10-Холодная отделка светл. Отжиг с глад. Концами</t>
  </si>
  <si>
    <t>0.525896.K</t>
  </si>
  <si>
    <t>Уголок равнополочн. -60х60х6 GB/T 706-Q235B GB/T 700 прок. Серт GB/T 2101 согл. Станд. Dan 6.300.002</t>
  </si>
  <si>
    <t>0.550363.X</t>
  </si>
  <si>
    <t>7.574151.T</t>
  </si>
  <si>
    <t>7.574162.W</t>
  </si>
  <si>
    <t>7.347407.G/031</t>
  </si>
  <si>
    <t>7.347407.G/036</t>
  </si>
  <si>
    <t>7.574152.R</t>
  </si>
  <si>
    <t>7.560563.E/001</t>
  </si>
  <si>
    <t>Гидравлический цилиндр MT4 63/36/340</t>
  </si>
  <si>
    <t>7.560541.F</t>
  </si>
  <si>
    <t>Защелка</t>
  </si>
  <si>
    <t>Вентилятор</t>
  </si>
  <si>
    <t>6.13</t>
  </si>
  <si>
    <t>Гибкое соединение на входе</t>
  </si>
  <si>
    <t>Гибкое соединение на выходе</t>
  </si>
  <si>
    <t>Впускной контрфланец</t>
  </si>
  <si>
    <t>Выходной контрфланец</t>
  </si>
  <si>
    <t>Виброизолятор</t>
  </si>
  <si>
    <t>Герметичная лента</t>
  </si>
  <si>
    <t>Крепежный элемент</t>
  </si>
  <si>
    <t>Расширительный болт</t>
  </si>
  <si>
    <t>Поручни</t>
  </si>
  <si>
    <t>Шайба</t>
  </si>
  <si>
    <t>Опорная пластина</t>
  </si>
  <si>
    <t>GE31</t>
  </si>
  <si>
    <t>Камера вакууматора</t>
  </si>
  <si>
    <t>Movable vacuum tank // Передвижная вакуумная камера</t>
  </si>
  <si>
    <t>Шелл</t>
  </si>
  <si>
    <t>7.561211.Z</t>
  </si>
  <si>
    <t>4.4</t>
  </si>
  <si>
    <t>Тележка вакууматора</t>
  </si>
  <si>
    <t>Тележка в сборе</t>
  </si>
  <si>
    <t>8.917132.Q/A01</t>
  </si>
  <si>
    <t>Метизы</t>
  </si>
  <si>
    <t>Винт с шестигранной головкой ISO 4017 M24X100-8.8-обработ. Соотв. Со станд DAN 3.210.001</t>
  </si>
  <si>
    <t>0.000315.L</t>
  </si>
  <si>
    <t>Шайба плоская ISO 7089-24-200 HV-Сталь-фосфат. MNPH ISO 9717</t>
  </si>
  <si>
    <t>0.529831.R</t>
  </si>
  <si>
    <t>Гайка шестигранная ISO 4032 M24-8-покрытие в соотв. Со станд. DAN 3.220.001</t>
  </si>
  <si>
    <t>Шайба прожинная UNI 1751-B30-44 HRC до 49 HRC-сталь.-Фосфат. MNPH 9717</t>
  </si>
  <si>
    <t>0.001300.W</t>
  </si>
  <si>
    <t>Винт с шестигранной головкой ISO 4017 M30X80-8.8-покрытие в Соотв. Со станд DAN 3.210.001</t>
  </si>
  <si>
    <t>0.000321.H</t>
  </si>
  <si>
    <t>8.917132.Q/A02</t>
  </si>
  <si>
    <t>Площадка обслуживания</t>
  </si>
  <si>
    <t>7.561215.V</t>
  </si>
  <si>
    <t>7.561214.R</t>
  </si>
  <si>
    <t>7.561267.A</t>
  </si>
  <si>
    <t>7.561367.A</t>
  </si>
  <si>
    <t>7.561267.А</t>
  </si>
  <si>
    <t>Поперечная балка</t>
  </si>
  <si>
    <t>7.561266.G</t>
  </si>
  <si>
    <t>Шпилька резьбовая</t>
  </si>
  <si>
    <t>7.408083.R/002</t>
  </si>
  <si>
    <t>Май</t>
  </si>
  <si>
    <t>ч/ч</t>
  </si>
  <si>
    <t>Оборудование ППС</t>
  </si>
  <si>
    <t>Liftable Ladle Turret Assembly // Подъемно-поворотный стенд стальковша в сборе</t>
  </si>
  <si>
    <t>Пешеходные мостики</t>
  </si>
  <si>
    <t>7.600302.Z</t>
  </si>
  <si>
    <t>6.2</t>
  </si>
  <si>
    <t>7.600306.V</t>
  </si>
  <si>
    <t>7.600307.W</t>
  </si>
  <si>
    <t>7.600305.R</t>
  </si>
  <si>
    <t>7.561787.R</t>
  </si>
  <si>
    <t>7.600583.B</t>
  </si>
  <si>
    <t>7.600590.N</t>
  </si>
  <si>
    <t>7.600303.S</t>
  </si>
  <si>
    <t>Защитное ограждение</t>
  </si>
  <si>
    <t>4.443815.M</t>
  </si>
  <si>
    <t>7.600304.T</t>
  </si>
  <si>
    <t>7.219218.P/008</t>
  </si>
  <si>
    <t>7.248619.W/003</t>
  </si>
  <si>
    <t xml:space="preserve">7.248619.W/004
</t>
  </si>
  <si>
    <t>7.248619.W/004</t>
  </si>
  <si>
    <t>7.600310.R</t>
  </si>
  <si>
    <t>7.585743.X</t>
  </si>
  <si>
    <t>7.585744.Z</t>
  </si>
  <si>
    <t xml:space="preserve">7.585744.Z
</t>
  </si>
  <si>
    <t>7.585745.S</t>
  </si>
  <si>
    <t>7.585443.K</t>
  </si>
  <si>
    <t>4.958752.H</t>
  </si>
  <si>
    <t>Штанга</t>
  </si>
  <si>
    <t>7.545139.S</t>
  </si>
  <si>
    <t>7.585742.W</t>
  </si>
  <si>
    <t>7.585988.N</t>
  </si>
  <si>
    <t>Фирменная табличка DANIELI "CE</t>
  </si>
  <si>
    <t>8.766972.K/A03</t>
  </si>
  <si>
    <t>7.585757.W/029</t>
  </si>
  <si>
    <t>Обслуживание ППС</t>
  </si>
  <si>
    <t>8.878622.K</t>
  </si>
  <si>
    <t>7.585411.B</t>
  </si>
  <si>
    <t>7.585989.P</t>
  </si>
  <si>
    <t>7.585757.W/026</t>
  </si>
  <si>
    <t>7.585757.W/028</t>
  </si>
  <si>
    <t>7.585763.R/016</t>
  </si>
  <si>
    <t>7.600818.M</t>
  </si>
  <si>
    <t>Защита подшипника и шестерни</t>
  </si>
  <si>
    <t>8.860619.S</t>
  </si>
  <si>
    <t>Основание в сборе</t>
  </si>
  <si>
    <t>8.860618.Z</t>
  </si>
  <si>
    <t>Верхняя часть ППС система гидравлики</t>
  </si>
  <si>
    <t>8.786595.W</t>
  </si>
  <si>
    <t>Основание ППС система гидравлики</t>
  </si>
  <si>
    <t>8.786620.H</t>
  </si>
  <si>
    <t>Верхняя часть ППС система консист.смазки</t>
  </si>
  <si>
    <t>8.786618.K</t>
  </si>
  <si>
    <t>Основание ППС система консист.</t>
  </si>
  <si>
    <t>8.786622.F</t>
  </si>
  <si>
    <t>Верхняя часть ППС система пнемватики и подача аргона</t>
  </si>
  <si>
    <t>8.786617.B</t>
  </si>
  <si>
    <t>8.786621.E</t>
  </si>
  <si>
    <t>Опоры датчиков ППС</t>
  </si>
  <si>
    <t>8.860617.Q</t>
  </si>
  <si>
    <t>Группа механизмов вращения</t>
  </si>
  <si>
    <t>8.860630.S</t>
  </si>
  <si>
    <t>Контрштифт в сборе</t>
  </si>
  <si>
    <t>8.860631.N</t>
  </si>
  <si>
    <t xml:space="preserve">Электросистема ППС </t>
  </si>
  <si>
    <t>8.860629.R</t>
  </si>
  <si>
    <t>Электросистема ППС для стационарной части</t>
  </si>
  <si>
    <t>Электросистема ППС для манипулятора крышки ковша</t>
  </si>
  <si>
    <t>8.860652.T</t>
  </si>
  <si>
    <t>7.545202.G</t>
  </si>
  <si>
    <t>Узел вращения жидкости 20−ходо</t>
  </si>
  <si>
    <t>7.582532.A/002</t>
  </si>
  <si>
    <t xml:space="preserve">Измерение износа подшипников </t>
  </si>
  <si>
    <t>8.144589.B</t>
  </si>
  <si>
    <t>Соединитель прямой с наружной /2" ISO228/1 − DI=15</t>
  </si>
  <si>
    <t>0.052648.X</t>
  </si>
  <si>
    <t>Контргайка для соединителей 3/4" − ISO 228/1</t>
  </si>
  <si>
    <t>0.052693.E</t>
  </si>
  <si>
    <t>Соединитель с наружной резьбой 3/4" ISO228/1 − DI=20</t>
  </si>
  <si>
    <t>0.111756.D</t>
  </si>
  <si>
    <t xml:space="preserve">Пластина медная </t>
  </si>
  <si>
    <t>0.112419.R</t>
  </si>
  <si>
    <t>Соединитель прямой с наружной /2" ISO228/1 − DI=27</t>
  </si>
  <si>
    <t>0.052650.W</t>
  </si>
  <si>
    <t>Соединитель прямой с наружной /2" ISO228/1 − DI=50</t>
  </si>
  <si>
    <t>0.052652.L</t>
  </si>
  <si>
    <t>Соединитель с наружной резьбой /2" ISO228/1 − DI=50</t>
  </si>
  <si>
    <t>0.111760.M</t>
  </si>
  <si>
    <t>Контргайка для соединителей 
1/2" − ISO 228/1</t>
  </si>
  <si>
    <t>0.052692.D</t>
  </si>
  <si>
    <t>Контргайка для соединителей 
1− ISO 228/2</t>
  </si>
  <si>
    <t>0.052694.F</t>
  </si>
  <si>
    <t>Сварная пластина хомута для тр D=1/2"−DIN3015−2 FOR.A−ГР.2</t>
  </si>
  <si>
    <t xml:space="preserve">0.112423.Q
</t>
  </si>
  <si>
    <t xml:space="preserve">Соединитель прямой с наружной 1/2" ISO228/1 − DI=15 </t>
  </si>
  <si>
    <t>0.077003.G</t>
  </si>
  <si>
    <t>Соединитель прямой с наружной 1/2" ISO228/1 − DI=15</t>
  </si>
  <si>
    <t>Соединитель прямой с наружной 1" ISO228/1 − DI=27</t>
  </si>
  <si>
    <t>Соединитель прямой с наружной 1.1/2" ISO228/1 − DI=40</t>
  </si>
  <si>
    <t>0.052651.K</t>
  </si>
  <si>
    <t>Муфта для защитных труб 1/2" − ISO 228/1</t>
  </si>
  <si>
    <t>0.052685.E</t>
  </si>
  <si>
    <t>Муфта для защитных труб 1" − ISO 228/1</t>
  </si>
  <si>
    <t>0.052687.G</t>
  </si>
  <si>
    <t>Муфта для защитных труб 1.1/2" − ISO 228/1</t>
  </si>
  <si>
    <t>0.052688.Q</t>
  </si>
  <si>
    <t>Контргайка для соединителей 3/8" − ISO 228/1</t>
  </si>
  <si>
    <t>0.052691.C</t>
  </si>
  <si>
    <t>Контргайка для соединителей 1/2" − ISO 228/1</t>
  </si>
  <si>
    <t>Контргайка для соединителей 1" − ISO 228/1 17</t>
  </si>
  <si>
    <t>Контргайка для соединителей 1.1/2" − ISO 228/1</t>
  </si>
  <si>
    <t>0.052695.G</t>
  </si>
  <si>
    <t>Сварная пластина хомута для тр D=1.1/2"−DIN3015−2 FOR.A−ГР.4</t>
  </si>
  <si>
    <t>0.074971.C</t>
  </si>
  <si>
    <t>Сварная пластина хомута для тр D=3/8"−DIN3015−2 For.A−ГР.1</t>
  </si>
  <si>
    <t>0.077001.E</t>
  </si>
  <si>
    <t>Отвод 90° с боковым лючком рев " GAS F/F − ISO 228/1</t>
  </si>
  <si>
    <t>0.082874.T</t>
  </si>
  <si>
    <t>Соединитель прямой с наружной 3/8" ISO228/1 − DI=12</t>
  </si>
  <si>
    <t>0.111733.W</t>
  </si>
  <si>
    <t>Соединитель с наружной резьбой 3/8" ISO228/1 − DI=12</t>
  </si>
  <si>
    <t>0.111754.B</t>
  </si>
  <si>
    <t>Соединитель с наружной резьбой 1" ISO228/1 − DI=27</t>
  </si>
  <si>
    <t>0.111757.E</t>
  </si>
  <si>
    <t>Прокладки медные плоские 3/8" − 25 X17 X1,5</t>
  </si>
  <si>
    <t>0.112417.K</t>
  </si>
  <si>
    <t>Прокладки медные плоские 1" − 41 X33,4X1,5 RAME</t>
  </si>
  <si>
    <t>0.112420.S</t>
  </si>
  <si>
    <t>Прокладки медные плоские 1.1/2" − 56 X48 X1,5 17002145 1</t>
  </si>
  <si>
    <t>0.112422.P</t>
  </si>
  <si>
    <t>Металл.гермоввод IMB.3/8" PAS.CAVI 9/10MM</t>
  </si>
  <si>
    <t>0.112632.S</t>
  </si>
  <si>
    <t>Гибкая защита промышленного ИО D=32MM 1" 29 PG</t>
  </si>
  <si>
    <t>0.053114.T</t>
  </si>
  <si>
    <t>Гибкая защита промышленного ИО D=50MM 1.1/2" 42 PG</t>
  </si>
  <si>
    <t>0.053115.R</t>
  </si>
  <si>
    <t>Гибкая защита промышленного ИО D=20MM 1/2" 16 PG</t>
  </si>
  <si>
    <t>0.053112.Z</t>
  </si>
  <si>
    <t>Гибкая защита промышленного ИО D=16MM 3/8" 11−13,5 PG</t>
  </si>
  <si>
    <t>0.111722.T</t>
  </si>
  <si>
    <t>Экранированный кабель</t>
  </si>
  <si>
    <t>0.262689.Z</t>
  </si>
  <si>
    <t>Кабель 2X0,75SQMM+экран OLFLEX HEAT 125 C MC 1024480 17002154</t>
  </si>
  <si>
    <t>0.265648.A</t>
  </si>
  <si>
    <t>Переключатель с кодом безопасн PSEN CS1.1N/PSEN CS1.1</t>
  </si>
  <si>
    <t>0.635468.H</t>
  </si>
  <si>
    <t>Электронная сирена 220V 50HZ SEAT 241 M</t>
  </si>
  <si>
    <t>0.153978.N</t>
  </si>
  <si>
    <t xml:space="preserve">Поворотник </t>
  </si>
  <si>
    <t>0.155828.A</t>
  </si>
  <si>
    <t>Винт с шестигранным углублением</t>
  </si>
  <si>
    <t>0.000382.P</t>
  </si>
  <si>
    <t>0.000380.S</t>
  </si>
  <si>
    <t>Шайба предохр.SCHNORR MILLER</t>
  </si>
  <si>
    <t>0.050632.K</t>
  </si>
  <si>
    <t>Шайба обычная</t>
  </si>
  <si>
    <t>0.529840.Q</t>
  </si>
  <si>
    <t>Швелер DIN 1026−1/EN 10279 U 80</t>
  </si>
  <si>
    <t>0.311222.D</t>
  </si>
  <si>
    <t xml:space="preserve">Опора </t>
  </si>
  <si>
    <t>7.574055.W</t>
  </si>
  <si>
    <t>Эксцентрик</t>
  </si>
  <si>
    <t>7.574119.T</t>
  </si>
  <si>
    <t>7.560519.A/001</t>
  </si>
  <si>
    <t>Поперечный мост ГР. 4 −ГР. 4 − 2 POLI</t>
  </si>
  <si>
    <t>7.298488.F/012</t>
  </si>
  <si>
    <t>Поперечный мост ГР. 4 −ГР. 4 − 3 POLI</t>
  </si>
  <si>
    <t>0.107013.V</t>
  </si>
  <si>
    <t>Поперечный мост ГР. 4 −ГР. 4 − 4 POLI</t>
  </si>
  <si>
    <t>0.107014.W</t>
  </si>
  <si>
    <t>Клемма медный болт диам.6мм</t>
  </si>
  <si>
    <t>0.107015.X</t>
  </si>
  <si>
    <t>0.112586.M</t>
  </si>
  <si>
    <t xml:space="preserve">Калитка </t>
  </si>
  <si>
    <t>7.166239.A</t>
  </si>
  <si>
    <t>Датчик-преобразователь</t>
  </si>
  <si>
    <t>0.052696.A</t>
  </si>
  <si>
    <t>5.031552.M</t>
  </si>
  <si>
    <t>7.066189.X</t>
  </si>
  <si>
    <t>7.560518.G/001</t>
  </si>
  <si>
    <t>Распредкоробка</t>
  </si>
  <si>
    <t xml:space="preserve">7.560518.G/002
</t>
  </si>
  <si>
    <t>8.168606.R</t>
  </si>
  <si>
    <t xml:space="preserve">Шланг 2SN DN6 прямой с внутр.−1 X 90° с внутр.резьбой ISO8 </t>
  </si>
  <si>
    <t>7.585551.P/001</t>
  </si>
  <si>
    <t>Подкладка</t>
  </si>
  <si>
    <t>7.505689.A/B11</t>
  </si>
  <si>
    <t>Фитинг D 8X1/4" ISO1179 NBR</t>
  </si>
  <si>
    <t>7.159460.L/001</t>
  </si>
  <si>
    <t>Муфта для опресовки ISO 8434/1 ? OD08S</t>
  </si>
  <si>
    <t>0.308371.G</t>
  </si>
  <si>
    <t>Сервоклапан D662−4972−D01HABW6NEX2−G REV.TPC13YD97223</t>
  </si>
  <si>
    <t>0.608498.V</t>
  </si>
  <si>
    <t>Предохнанительный блок SAF20M12T−330A−S13 A6 REV. TPC13YDA7275</t>
  </si>
  <si>
    <t>0.564913.S</t>
  </si>
  <si>
    <t>Траверса</t>
  </si>
  <si>
    <t>7.545157.R/002</t>
  </si>
  <si>
    <t>Траверса для подвески цилиндра</t>
  </si>
  <si>
    <t>8.860634.H</t>
  </si>
  <si>
    <t>Опорная седловина</t>
  </si>
  <si>
    <t>7.545154.Z</t>
  </si>
  <si>
    <t>7.545153.X</t>
  </si>
  <si>
    <t xml:space="preserve">Решетчатый настил </t>
  </si>
  <si>
    <t>4.443570.C</t>
  </si>
  <si>
    <t>4.443571.Z</t>
  </si>
  <si>
    <t>Шланг 4SH DN31 90° фланец SAE X прямой фланец SAE 6000</t>
  </si>
  <si>
    <t>7.632422.L/B13</t>
  </si>
  <si>
    <t>Комплект изометрических чертежей в части гидравлики</t>
  </si>
  <si>
    <t>7.505857.T</t>
  </si>
  <si>
    <t>Контргайка для соединителей 2" − ISO 228/1</t>
  </si>
  <si>
    <t>7.545138.Z</t>
  </si>
  <si>
    <t>7.574043.S</t>
  </si>
  <si>
    <t>Подьемно-поворотный стенд ПП</t>
  </si>
  <si>
    <t>8.860616.P</t>
  </si>
  <si>
    <t xml:space="preserve"> </t>
  </si>
  <si>
    <t>Оборудование ППС (подъемно-поворотное)</t>
  </si>
  <si>
    <t>4.200137.F</t>
  </si>
  <si>
    <t>Гайка</t>
  </si>
  <si>
    <t>4.200138.P</t>
  </si>
  <si>
    <t>Гайка М80</t>
  </si>
  <si>
    <t>4.200331.Q</t>
  </si>
  <si>
    <t>Шайбка М80</t>
  </si>
  <si>
    <t>4.200449.W</t>
  </si>
  <si>
    <t>Клин</t>
  </si>
  <si>
    <t>000-000-081-509</t>
  </si>
  <si>
    <t>000-000-081-511</t>
  </si>
  <si>
    <t>Анкерный болт М80х6х2320</t>
  </si>
  <si>
    <t>4.200136.E</t>
  </si>
  <si>
    <t>4.272956.F</t>
  </si>
  <si>
    <t>4.272957.G</t>
  </si>
  <si>
    <t>Болт с проушиной DIN 580-M16-C15E+N EN 10084-Оцинкованный</t>
  </si>
  <si>
    <t>0.001203.Q</t>
  </si>
  <si>
    <t>Шайба 82 UNI 6592 WASHER</t>
  </si>
  <si>
    <t>0.050581.G</t>
  </si>
  <si>
    <t>7.517739.X</t>
  </si>
  <si>
    <t>Анкерный болт М24х160</t>
  </si>
  <si>
    <t>0.082357.С</t>
  </si>
  <si>
    <t>Шпилька М20х240</t>
  </si>
  <si>
    <t>0.007929.F</t>
  </si>
  <si>
    <t>Гайка М20</t>
  </si>
  <si>
    <t>-</t>
  </si>
  <si>
    <t>Шайба М20</t>
  </si>
  <si>
    <t>Балка (телега)</t>
  </si>
  <si>
    <t>Балка(камера)</t>
  </si>
  <si>
    <t>ППС</t>
  </si>
  <si>
    <t>30% ч/ч</t>
  </si>
  <si>
    <t>35% ч/ч</t>
  </si>
  <si>
    <t>20% ч/ч</t>
  </si>
  <si>
    <t>15% ч/ч</t>
  </si>
  <si>
    <t>Оборудование инспекционных столов</t>
  </si>
  <si>
    <t>Inspection rolling table for skelp // Инспекционный рольганг для трубной заготовки</t>
  </si>
  <si>
    <t>Inspection rolling table for wheel blank // Инспекционный рольганг для колесной заготовки</t>
  </si>
  <si>
    <t>Неподвижный рольганг для транспортировки №2</t>
  </si>
  <si>
    <t>8.844193.R</t>
  </si>
  <si>
    <t>8.860711.N/A02</t>
  </si>
  <si>
    <t>8.120072.C</t>
  </si>
  <si>
    <t xml:space="preserve">Предохранительная пластина </t>
  </si>
  <si>
    <t>7.560543.A</t>
  </si>
  <si>
    <t>Привод</t>
  </si>
  <si>
    <t>8.860707.R/A02</t>
  </si>
  <si>
    <t>7.424393.P/002</t>
  </si>
  <si>
    <t>5.219316.G</t>
  </si>
  <si>
    <t>Пластина монтажная</t>
  </si>
  <si>
    <t>000-000-105-897</t>
  </si>
  <si>
    <t>000-000-105-965</t>
  </si>
  <si>
    <t>Подъемный передаточный рольганг №2</t>
  </si>
  <si>
    <t>8.844194.V</t>
  </si>
  <si>
    <t>Механические соединения рольганга</t>
  </si>
  <si>
    <t>8.844191.S</t>
  </si>
  <si>
    <t>7.560461.F</t>
  </si>
  <si>
    <t>Подъемный рольганг</t>
  </si>
  <si>
    <t>8.844195.W</t>
  </si>
  <si>
    <t>8.860700.G</t>
  </si>
  <si>
    <t>7.560444.E</t>
  </si>
  <si>
    <t>7.560445.F</t>
  </si>
  <si>
    <t>7.560435.W</t>
  </si>
  <si>
    <t>7.560437.Z</t>
  </si>
  <si>
    <t>7.560463.A</t>
  </si>
  <si>
    <t>7.560468.N</t>
  </si>
  <si>
    <t>7.560467.E</t>
  </si>
  <si>
    <t>8.860654.V/A02</t>
  </si>
  <si>
    <t>7.560473.C</t>
  </si>
  <si>
    <t>7.560472.B</t>
  </si>
  <si>
    <t>Оборудования накопительного стола трубной заготовки</t>
  </si>
  <si>
    <t>Pawl Collecting Table // Накопительный стол трубной заготовки</t>
  </si>
  <si>
    <t>7.481039.Q</t>
  </si>
  <si>
    <t>7.481040.V</t>
  </si>
  <si>
    <t>7.481238.R/001</t>
  </si>
  <si>
    <t>7.481238.R/002</t>
  </si>
  <si>
    <t>7.481041.H</t>
  </si>
  <si>
    <t>7.170604.Q</t>
  </si>
  <si>
    <t>7.170605.H</t>
  </si>
  <si>
    <t>Блок тележки</t>
  </si>
  <si>
    <t>8.304613.K/A09</t>
  </si>
  <si>
    <t>7.481042.K</t>
  </si>
  <si>
    <t>7.481146.Q</t>
  </si>
  <si>
    <t>7.481043.L</t>
  </si>
  <si>
    <t>7.481044.M</t>
  </si>
  <si>
    <t>7.605587.Z</t>
  </si>
  <si>
    <t>7.577471.X</t>
  </si>
  <si>
    <t>11м</t>
  </si>
  <si>
    <t>4.3м</t>
  </si>
  <si>
    <t>5м</t>
  </si>
  <si>
    <t>Оборудование центральной опорной конструкции</t>
  </si>
  <si>
    <t>Central Supporting Structure // Центральная опорная конструкция</t>
  </si>
  <si>
    <t>7.585047.H</t>
  </si>
  <si>
    <t>3.1.2.1</t>
  </si>
  <si>
    <t>7.585081.C</t>
  </si>
  <si>
    <t>7.585045.P</t>
  </si>
  <si>
    <t>7.585046.Q</t>
  </si>
  <si>
    <t>7.585230.S</t>
  </si>
  <si>
    <t xml:space="preserve">7.585045.P
</t>
  </si>
  <si>
    <t>7.585033.C</t>
  </si>
  <si>
    <t>7.560594.W</t>
  </si>
  <si>
    <t>7.585035.E</t>
  </si>
  <si>
    <t>7.585036.F</t>
  </si>
  <si>
    <t>7.585039.H</t>
  </si>
  <si>
    <t>Подвижная рама</t>
  </si>
  <si>
    <t>7.585043.M</t>
  </si>
  <si>
    <t>7.585044.N</t>
  </si>
  <si>
    <t>7.585040.W</t>
  </si>
  <si>
    <t>7.585041.K</t>
  </si>
  <si>
    <t>7.585034.D</t>
  </si>
  <si>
    <t>Шайба плоская ISO 7089 −30−200 HV- сталь фосфат.MNPH ISO 971</t>
  </si>
  <si>
    <t>0.000313.H</t>
  </si>
  <si>
    <t>Гайка шестигранная ISO 4032 M20−8−покрытие в соотв.со стандарт. 
DAN 3.220.001</t>
  </si>
  <si>
    <t>0.000303.Z</t>
  </si>
  <si>
    <t>Винт с шестигранной головкой ISO 4017 M12X30−8.8−оцинков.согл.стандарт. 
DAN 3.210.001</t>
  </si>
  <si>
    <t>0.000305.T</t>
  </si>
  <si>
    <t>Винт с шестигранной головкой ISO 4017 M30X110−8.8−покрытие в соответст.со станд.DAN 3.210.001</t>
  </si>
  <si>
    <t>0.588171.A</t>
  </si>
  <si>
    <t>План контроля качества ISO 4017</t>
  </si>
  <si>
    <t>0.000304.S</t>
  </si>
  <si>
    <t>Винт с шестигранной головкой ISO 4017 M20X60−8.8-покрытие в соответс.со стандарт.рама DAN 3.210.001</t>
  </si>
  <si>
    <t>0.000302.X</t>
  </si>
  <si>
    <t>Винт с шестигранной головкой ISO 4017 M20X100−8.8−обраб в соответст.со стандарт.рама DAN 3.210.001</t>
  </si>
  <si>
    <t>0.000306.R</t>
  </si>
  <si>
    <t>Винт с шестигранной головкой ISO 4017 M30X150−8.8−покрытие в соответств.со стандарт.DAN 3.210.001</t>
  </si>
  <si>
    <t>0.588173.C</t>
  </si>
  <si>
    <t>Штифт цилиндрический с внутр.резьбой ISO 8735−25x60 сталь типа A−550−650 HV30 согл.станд.
DAN 5.200.002</t>
  </si>
  <si>
    <t>0.066760.R</t>
  </si>
  <si>
    <t>Уголок равнополочн.125x125x12 GB/T 706−Q235B GB/T 700 покрытие,сертифиц.GB/T 2101 в соответс.со стандарт.</t>
  </si>
  <si>
    <t>0.936507.S</t>
  </si>
  <si>
    <t>П-образный профиль-120X53 GB/T 706−Q235B GB/T 700 прокат,сертиф.GB/T 2101 по станд.DAN 6.300.002</t>
  </si>
  <si>
    <t>0.936566.R</t>
  </si>
  <si>
    <t>Квадратный пруток GB/T 702 30 Q235B−GB/T 700 сертифиц.−
GB/T 210</t>
  </si>
  <si>
    <t>0.543049.L</t>
  </si>
  <si>
    <t xml:space="preserve">Электросварная сеть д.5 ячейка 150X150 = 
</t>
  </si>
  <si>
    <t>0.108510.Q</t>
  </si>
  <si>
    <t xml:space="preserve">Электросварная сеть д.5 ячейка 150X150 = </t>
  </si>
  <si>
    <t>Круглый прокат GB/T 702 10 Q235B−GB/T 700 сертифиц.GB/T 2101</t>
  </si>
  <si>
    <t>0.597597.Q</t>
  </si>
  <si>
    <t>7.560596.Z</t>
  </si>
  <si>
    <t>7.545073.T</t>
  </si>
  <si>
    <t>5.637830.V/002</t>
  </si>
  <si>
    <t>7.545142.R/002</t>
  </si>
  <si>
    <t>Пакет прокладок</t>
  </si>
  <si>
    <t>7.545142.R/003</t>
  </si>
  <si>
    <t>5.939738.B/042</t>
  </si>
  <si>
    <t>5.939738.B/043</t>
  </si>
  <si>
    <t>5.939738.B/044</t>
  </si>
  <si>
    <t>5.939738.B/045</t>
  </si>
  <si>
    <t>5.939738.B/046</t>
  </si>
  <si>
    <t>Лист рифленый (A55/P 600 TH.1.2)</t>
  </si>
  <si>
    <t>5.345786.F/184</t>
  </si>
  <si>
    <t>5.345786.F/183</t>
  </si>
  <si>
    <t>5.345786.F/185</t>
  </si>
  <si>
    <t>5.939738.B/047</t>
  </si>
  <si>
    <t>7.515206.X/004</t>
  </si>
  <si>
    <t>7.560597.S</t>
  </si>
  <si>
    <t>7.585032.B</t>
  </si>
  <si>
    <t>№ чертежа по проекту</t>
  </si>
  <si>
    <t>Sample Collecting Car // Тележка сбора образцов</t>
  </si>
  <si>
    <t>Стальной трос из 216 проволок S10 Д.12</t>
  </si>
  <si>
    <t>0.104773.Q</t>
  </si>
  <si>
    <t>6.23</t>
  </si>
  <si>
    <t>7.517703.R</t>
  </si>
  <si>
    <t>7.517702.T</t>
  </si>
  <si>
    <t>Рама (для низкой температуры)</t>
  </si>
  <si>
    <t>7.517701.S</t>
  </si>
  <si>
    <t>Винтовая тяга трансм.колеса</t>
  </si>
  <si>
    <t>8.904862.F</t>
  </si>
  <si>
    <t>Опорная плита</t>
  </si>
  <si>
    <t>4.476631.W/018</t>
  </si>
  <si>
    <t>5.321012.H</t>
  </si>
  <si>
    <t>5.190239.C</t>
  </si>
  <si>
    <t>Корпус (для низкой температуры)</t>
  </si>
  <si>
    <t>7.517700.D</t>
  </si>
  <si>
    <t>Июнь</t>
  </si>
  <si>
    <t>Оборудование агрегата печь-ковш</t>
  </si>
  <si>
    <t>Electrode Lifting And Turning System // Устройство подъема и поворота электродов</t>
  </si>
  <si>
    <t>на ПНР</t>
  </si>
  <si>
    <t>8.901100.M</t>
  </si>
  <si>
    <t>2.5</t>
  </si>
  <si>
    <t>Клапанный блок</t>
  </si>
  <si>
    <t xml:space="preserve">8.901103.C
</t>
  </si>
  <si>
    <t>Сборочный чертеж клапанного блока REF.7224</t>
  </si>
  <si>
    <t>8.901104.D</t>
  </si>
  <si>
    <t>0.922676.B</t>
  </si>
  <si>
    <t>Главный подшипник установки печь</t>
  </si>
  <si>
    <t>ВЕС</t>
  </si>
  <si>
    <t>Ч.Ч</t>
  </si>
  <si>
    <t>меньш</t>
  </si>
  <si>
    <t>7.481286.M</t>
  </si>
  <si>
    <t>8.786606.Q</t>
  </si>
  <si>
    <t>Уст. Печь-ковш подъем и вращен электродов бортовая труб.обвяз</t>
  </si>
  <si>
    <t>8.834168.G</t>
  </si>
  <si>
    <t>Электроустановка</t>
  </si>
  <si>
    <t xml:space="preserve">8.834159.F/A03
</t>
  </si>
  <si>
    <t>Направляющие колеса</t>
  </si>
  <si>
    <t xml:space="preserve">8.834159.F/A04
</t>
  </si>
  <si>
    <t>св</t>
  </si>
  <si>
    <t>8.834162.T</t>
  </si>
  <si>
    <t>Система консист.смазки</t>
  </si>
  <si>
    <t>8.299417.A</t>
  </si>
  <si>
    <t>Дверцы</t>
  </si>
  <si>
    <t>8.834161.S</t>
  </si>
  <si>
    <t>Ограничитель для колонн</t>
  </si>
  <si>
    <t>8.930804.C</t>
  </si>
  <si>
    <t>Предохранительное реле для эл.подъемно-поворотного устройства</t>
  </si>
  <si>
    <t>7.481287.N</t>
  </si>
  <si>
    <t>Плита основания</t>
  </si>
  <si>
    <t>8.834158.E</t>
  </si>
  <si>
    <t>Предохр.останов вращения</t>
  </si>
  <si>
    <t>0.529832.V</t>
  </si>
  <si>
    <t>Шайба обычная ISO 7089-30−200 HV−STEEL−PHOSPHATED MNPH ISO 9717</t>
  </si>
  <si>
    <t xml:space="preserve">4.925489.K
</t>
  </si>
  <si>
    <t>2.003720.B</t>
  </si>
  <si>
    <t>Динамометрический ключ TIPO DKS 2.0 COD. 52.10004</t>
  </si>
  <si>
    <t>0.174196.V</t>
  </si>
  <si>
    <t xml:space="preserve">Ручной насос TIPO DA 16 CODE 50.01016 ( EX 6 COD.50.01006 ) "ITH"
</t>
  </si>
  <si>
    <t>0.525617.S</t>
  </si>
  <si>
    <t xml:space="preserve">Гибкий шланг COD.34.10033−0040 L=4MT MAX. PRESSURE 1500 BAR_"ITH"
</t>
  </si>
  <si>
    <t xml:space="preserve">0.540192.B
</t>
  </si>
  <si>
    <t>Хомут разъемного фланца +винт ISO 6162−1 DN 15−350 бар CARBON STEEL−ZINC COATED ACCORDING TO STD DAN 2.131.302</t>
  </si>
  <si>
    <t>0.224149.M/A13</t>
  </si>
  <si>
    <t>Гибкий шланг</t>
  </si>
  <si>
    <t>0.908519.P/A13</t>
  </si>
  <si>
    <t>7.505847.Z/C12</t>
  </si>
  <si>
    <t>8.834167.Z</t>
  </si>
  <si>
    <t>Концевой выключатель</t>
  </si>
  <si>
    <t>Электроустановка D=32MM 1" 29 PG</t>
  </si>
  <si>
    <t>8.168607.V</t>
  </si>
  <si>
    <t>Распредкоробка 200x300x120 IEC STD</t>
  </si>
  <si>
    <t>8.834157.W</t>
  </si>
  <si>
    <t xml:space="preserve">Подъем и поворот электродов </t>
  </si>
  <si>
    <t>8.834166.X</t>
  </si>
  <si>
    <t>Стоп</t>
  </si>
  <si>
    <t>8.834160.D</t>
  </si>
  <si>
    <t>Цилиндр подъема электродов</t>
  </si>
  <si>
    <t>Гибкая защита промышл.исполне D=32MM 1" 29 PG EXTERNAL STEEL COATING</t>
  </si>
  <si>
    <t>0.077006.C</t>
  </si>
  <si>
    <t xml:space="preserve">Сварная пластина хомута для D=1"−DIN3015−2 FOR.A−GR.3 ALLUMINIUM WITH SCREWS AND COVER PLATES TOP/BOTT.
</t>
  </si>
  <si>
    <t>Контргайка для соединителей 1" − ISO 228/1 LIGHT SERIES − STEEL</t>
  </si>
  <si>
    <t>Прокладки медные плоские 1" − 41 X33,4X1,5 МЕДЬ</t>
  </si>
  <si>
    <t>Соединитель прямой с наружной 1" ISO228/1 − DI=27 HEAVY SERIES FLEX SHEATH</t>
  </si>
  <si>
    <t>Гибкая защита промышл.исполне D=20MM 1/2" 16 PG EXTERNAL STEEL COATING</t>
  </si>
  <si>
    <t xml:space="preserve">Сварная пластина хомута для D=1/2"−DIN3015−2 FOR.A−GR.2 ALLUMINIUM WITH SCREWS AND COVER PLATES TOP/BOTT.
</t>
  </si>
  <si>
    <t>Контргайка для соединителей 1/2" − ISO 228/1 LIGHT SERIES − STEEL</t>
  </si>
  <si>
    <t>0.112418.T</t>
  </si>
  <si>
    <t>Прокладки медные плоские 1/2" − 28,5X21 X1,5</t>
  </si>
  <si>
    <t>Соединитель прямой с наружной 1/2" ISO228/1 − DI=15 HEAVY SERIES FLEX SHEATH</t>
  </si>
  <si>
    <t>0.064628.Q</t>
  </si>
  <si>
    <t xml:space="preserve">Кабель экранированный H05VC4V−F+S 6 X 0,5 − BLACK SHEATH
</t>
  </si>
  <si>
    <t>0.249362.B</t>
  </si>
  <si>
    <t xml:space="preserve">ВТ-кабель гибкий однополярный CTSE3000 1X1,5MM2 D.E3,2 MM FIBRA VETRO+250°C 300
/500V 000.194"SEVIKABEL"
</t>
  </si>
  <si>
    <t>0.249368.Q</t>
  </si>
  <si>
    <t>Контргайка для соединителей 1" − ISO 228/1 LIGHT SERIES − STEEL MM FIBRA VETRO +250°C 300 /500V 000.194 "SEVIKABEL"</t>
  </si>
  <si>
    <t>0.053464.A</t>
  </si>
  <si>
    <t>Прокладки медные плоские 1" − 41 X33,4X1,5 медь SECT.1X2,5 MM2 DARK GREY COLOUR</t>
  </si>
  <si>
    <t xml:space="preserve">ВТ-кабель гибкий однополярный CTSE3000 1X1,5MM2D.E.3,2 SECT.1X2,5 MM2 DARK GREY COLOUR
</t>
  </si>
  <si>
    <t xml:space="preserve">8.168607.V
</t>
  </si>
  <si>
    <t xml:space="preserve">Сборка по ведомости материала распредкоробка 200x300x120 IEC STD
</t>
  </si>
  <si>
    <t>0.000281.H</t>
  </si>
  <si>
    <t>ВИНТ С ШЕСТИГРАННОЙ ГОЛОВКОЙ</t>
  </si>
  <si>
    <t>0.001315.G</t>
  </si>
  <si>
    <t>ШАЙБА ПРЕДОХР. SCHNORR MILLER</t>
  </si>
  <si>
    <t>4.362092.T</t>
  </si>
  <si>
    <t xml:space="preserve">СОЕДИНИТЕЛЬНЫЙ БЛОК </t>
  </si>
  <si>
    <t>0.220388.V</t>
  </si>
  <si>
    <t>ГИБКАЯ МЕДНАЯ ПЛАСТИНА</t>
  </si>
  <si>
    <t>4.593206.T/001</t>
  </si>
  <si>
    <t xml:space="preserve">ЭКСЦЕНТРИК </t>
  </si>
  <si>
    <t>4.529446.S</t>
  </si>
  <si>
    <t>4.554810.R</t>
  </si>
  <si>
    <t>ЗАЩИТНОЕ ОГРАЖДЕНИЕ</t>
  </si>
  <si>
    <t>7.481288.W</t>
  </si>
  <si>
    <t xml:space="preserve">КОЛОННА </t>
  </si>
  <si>
    <t>8.019296.B</t>
  </si>
  <si>
    <t>ЗАГЛУШКА</t>
  </si>
  <si>
    <t>КОЛОННА</t>
  </si>
  <si>
    <t>7.481289.X</t>
  </si>
  <si>
    <t>Код детали</t>
  </si>
  <si>
    <t>По упаковочным листам</t>
  </si>
  <si>
    <t>по графику заказчика</t>
  </si>
  <si>
    <t>Транпортное оборудование</t>
  </si>
  <si>
    <t>Intermediate Roller Table // Промежуточный рольганг</t>
  </si>
  <si>
    <t>6.17</t>
  </si>
  <si>
    <t>КВАДРАТНЫЙ ПРУТОК GB/T 702 30 Q235B-GB/T 700 СЕРТИФИЦ. GB/T 210</t>
  </si>
  <si>
    <t>3271</t>
  </si>
  <si>
    <t>По ВОР</t>
  </si>
  <si>
    <t>По заказчику</t>
  </si>
  <si>
    <t>ПНР разница</t>
  </si>
  <si>
    <t>ВИНТ С ШЕСТИГР ГОЛОВКОЙ ISO 4017 M24X45-8.8-БЕЗ ПОКРЫТИЯ</t>
  </si>
  <si>
    <t>48.00</t>
  </si>
  <si>
    <t>0.000309.E</t>
  </si>
  <si>
    <t>ШАЙБА ПРУЖИННАЯ UNI 1751 -B24-44 HRC до 49 HRC-СТАЛЬ. - ФОСФАТ. MNPH ISO 9717</t>
  </si>
  <si>
    <t>0.001299.Q</t>
  </si>
  <si>
    <t>КВАДРАТНЫЙ ПРУТОК GB/T 702 20 Q235B-GB/T 700 СЕРТ. GB/T 210</t>
  </si>
  <si>
    <t>24.00</t>
  </si>
  <si>
    <t>6.00</t>
  </si>
  <si>
    <t>5.451458.F/034</t>
  </si>
  <si>
    <t>ПЛАСТИНА</t>
  </si>
  <si>
    <t>7.170316.F/001</t>
  </si>
  <si>
    <t>ПЛИТА</t>
  </si>
  <si>
    <t>7.170315.E</t>
  </si>
  <si>
    <t>ДЮБЕЛЬ M12X100 - ОЦИНК. СТАЛЬНОЙ ШЕСТИГРАННЫЙ ВИНТ - CL.8.8</t>
  </si>
  <si>
    <t>16.00</t>
  </si>
  <si>
    <t>0.108968.X</t>
  </si>
  <si>
    <t>ВИНТ С ШЕСТИГРАННОЙ ГОЛОВКОЙ ISO 4017 M20X90-8.8-ОБРАБОТ. В СООТВ. СО СТАНД.DAN 3.210.001</t>
  </si>
  <si>
    <t>32.00</t>
  </si>
  <si>
    <t>ШАЙБА ОБЫЧНАЯ СО СКОШЕННОЙ КРОМКОЙ ПОД ШТИФТ UNI 1750 -20x33 x3-=135 HV10- СТАЛЬ-ОБЫЧН.</t>
  </si>
  <si>
    <t>0.001216.D</t>
  </si>
  <si>
    <t>ШАЙБА ПРУЖИННАЯ UNI 1751 -B20-44 HRC ДО 49 HRC-СТАЛЬ. ФОСФАТ. MNPH ISO 9717</t>
  </si>
  <si>
    <t>0.001298.P</t>
  </si>
  <si>
    <t>ГАЙКА ШЕСТИГРАННАЯ ISO 4032 M20-8- ПОКРЫТИЕ В СООТВ. СО СТАНД. DAN 3.220.001</t>
  </si>
  <si>
    <t>0.001078.N</t>
  </si>
  <si>
    <t>ШАЙБА D.66 L=8</t>
  </si>
  <si>
    <t>8.00</t>
  </si>
  <si>
    <t>0.005130.G</t>
  </si>
  <si>
    <t>ГИБКИЙ РУКАВ</t>
  </si>
  <si>
    <t>3.00</t>
  </si>
  <si>
    <t>7.501246.G/002</t>
  </si>
  <si>
    <t>7.501246.G/001</t>
  </si>
  <si>
    <t>4.00</t>
  </si>
  <si>
    <t>60.00</t>
  </si>
  <si>
    <t>ВИНТ С ШЕСТИГРАННОЙ ГОЛОВКОЙ ISO 4017 M20X60-8.8-ПОКРЫТИЕ В СООТВ. СО СТАНД. РАМА DAN 3.210.001</t>
  </si>
  <si>
    <t>7.00</t>
  </si>
  <si>
    <t>40.00</t>
  </si>
  <si>
    <t>ВИНТ С ШЕСТИГРАННОЙ ГОЛОВКОЙ ISO 4017 M20X160-8.8-ПОКРЫТИЕ В СООТВ. СО СТАНДАРТОМ DAN 3.210.001</t>
  </si>
  <si>
    <t>0.050691.N</t>
  </si>
  <si>
    <t>80.00</t>
  </si>
  <si>
    <t>ВИНТ С ШЕСТИГРАННОЙ ГОЛОВКОЙ ISO 4017 M20X90-8.8-ОБРАБОТ. В СООТВ. СО СТАНД. DAN 3.210.001</t>
  </si>
  <si>
    <t>12.00</t>
  </si>
  <si>
    <t>7.006097.L</t>
  </si>
  <si>
    <t>ВИНТ С ШЕСТИГРАННОЙ ГОЛОВКОЙ ISO 4017 M12X55-8.8-ПОКРЫТИЕ В СООТВ. СО СТАНДАРТОМ DAN 3.210.001</t>
  </si>
  <si>
    <t>0.588154.G</t>
  </si>
  <si>
    <t>000-000-165-239</t>
  </si>
  <si>
    <t>64.00</t>
  </si>
  <si>
    <t>ШАЙБА ПРУЖИННАЯ UNI 1751 -B24-44 HRC до 49 HRC-СТАЛЬ.- ФОСФАТ. MNPH ISO 9717</t>
  </si>
  <si>
    <t>ДЕРЖАТЕЛЬ ДЛЯ РЕШЕТЧАТОГО НАСТИЛА ТИП AGLAIA ВЕРХНИЙ КРЕПЕЖ ДЛЯ ЯЧЕЕК РАЗМЕРОМ 30 И 34 - ЧЕРТЕЖ 3288 "ORSOGRIL»</t>
  </si>
  <si>
    <t>156.00</t>
  </si>
  <si>
    <t>0.244077.M</t>
  </si>
  <si>
    <t>КРАН ШАРОВЫЙ DB1872 1.1/2"- 2"-ISO7/1-CL.800-F.B. A105/AIS I304/PTFE"V"GRAPH EN10204/2.2 BS5351</t>
  </si>
  <si>
    <t>1.00</t>
  </si>
  <si>
    <t>0.305396.Q</t>
  </si>
  <si>
    <t>ПРОКЛАДКА</t>
  </si>
  <si>
    <t>5.031399.R/065</t>
  </si>
  <si>
    <t>30.00</t>
  </si>
  <si>
    <t>22.00</t>
  </si>
  <si>
    <t>20.00</t>
  </si>
  <si>
    <t>15.00</t>
  </si>
  <si>
    <t>000-000-104-281</t>
  </si>
  <si>
    <t>ШАЙБА ПЛОСКАЯ ISO 7089 -20-200 HV-СТАЛЬ - ФОСФАТ. MNPH ISO 9717</t>
  </si>
  <si>
    <t>0.529830.F</t>
  </si>
  <si>
    <t>7.170421.Z/002</t>
  </si>
  <si>
    <t>4.775502.A/036</t>
  </si>
  <si>
    <t>000-000-113-018</t>
  </si>
  <si>
    <t>000-000-104-487</t>
  </si>
  <si>
    <t>КРЫШКА ДВИГАТЕЛЯ</t>
  </si>
  <si>
    <t>000-000-163-812</t>
  </si>
  <si>
    <t>000-000-163-819</t>
  </si>
  <si>
    <t>000-000-125-050</t>
  </si>
  <si>
    <t>000-000-106-582/004</t>
  </si>
  <si>
    <t>000-000-124-877</t>
  </si>
  <si>
    <t>000-000-106-582/002</t>
  </si>
  <si>
    <t>УСТРОЙСТВО РАСЦЕПЛЕНИЯ ЗАТРАВКИ</t>
  </si>
  <si>
    <t>8.880740.R</t>
  </si>
  <si>
    <t>3246</t>
  </si>
  <si>
    <t>ВИНТ С ШЕСТИГРАННОЙ ГОЛОВКОЙ ISO 4017 M20X130-8.8-ПОКРЫТИЕ В СООТВ. СО СТАНДАРТОМ DAN 3.210.001</t>
  </si>
  <si>
    <t>42.00</t>
  </si>
  <si>
    <t>0.588163.A</t>
  </si>
  <si>
    <t>7.550339.K</t>
  </si>
  <si>
    <t>УСТАНОВКА ФОТОДАТЧИКА монтаж</t>
  </si>
  <si>
    <t>8.889072.B</t>
  </si>
  <si>
    <t xml:space="preserve">ОСНОВАНИЕ </t>
  </si>
  <si>
    <t>7.159190.E/002</t>
  </si>
  <si>
    <t>РОЛЬГАНГ ЛЕВЫЙ</t>
  </si>
  <si>
    <t>8.907217.C</t>
  </si>
  <si>
    <t>РОЛЬГАНГ ИЗМЕРИТЕЛЬНЫЙ</t>
  </si>
  <si>
    <t>8.869179.W</t>
  </si>
  <si>
    <t>3273</t>
  </si>
  <si>
    <t>РЕШЕТЧАТЫЙ НАСТИЛ</t>
  </si>
  <si>
    <t>7.543351.B</t>
  </si>
  <si>
    <t>7.543352.C</t>
  </si>
  <si>
    <t>7.543353.D</t>
  </si>
  <si>
    <t>7.543354.E</t>
  </si>
  <si>
    <t>7.550449.Q</t>
  </si>
  <si>
    <t>7.550450.N</t>
  </si>
  <si>
    <t xml:space="preserve">Ролик </t>
  </si>
  <si>
    <t>2.00</t>
  </si>
  <si>
    <t>8.935246.C/A02</t>
  </si>
  <si>
    <t>3239</t>
  </si>
  <si>
    <t>ПРОКАТ КВАДРАТНОГО СЕЧЕНИЯ GB/T 702 14 Q235B-GB/T 700 СЕРТ. GB/T 2101</t>
  </si>
  <si>
    <t>0.543046.A</t>
  </si>
  <si>
    <t>ВИНТ С ШЕСТИГРАННОЙ ГОЛОВКОЙ ISO4017 М24Х120-8.8-ПОКРЫТИЕ В СООТВ. СО СТАНДАРТОМ DAN 3.210.001</t>
  </si>
  <si>
    <t xml:space="preserve">ПРОКЛАДКА </t>
  </si>
  <si>
    <t xml:space="preserve">Пластина </t>
  </si>
  <si>
    <t>МОТОР-РЕДУКТОР ПЕРЕМ. ТОКА (ГОРИЗОНТАЛЕН.) ПРОМЕЖУТОЧНОГО РОЛЬГАНГА</t>
  </si>
  <si>
    <t>7.577483.L</t>
  </si>
  <si>
    <t>РОЛЬГАНГ ПРАВЫЙ</t>
  </si>
  <si>
    <t>8.889071.A</t>
  </si>
  <si>
    <t>Deburring Unit // Установка удаления грата</t>
  </si>
  <si>
    <t>8.907224.B</t>
  </si>
  <si>
    <t>6.19</t>
  </si>
  <si>
    <t>Нож D455 в сборе</t>
  </si>
  <si>
    <t>тонн</t>
  </si>
  <si>
    <t>9 тонн</t>
  </si>
  <si>
    <t>часов без ПНР</t>
  </si>
  <si>
    <t>441 час</t>
  </si>
  <si>
    <t>ПНР</t>
  </si>
  <si>
    <t>49 ч.ч/т</t>
  </si>
  <si>
    <t>8.907225.C</t>
  </si>
  <si>
    <t>Блок для удаления заусенцев</t>
  </si>
  <si>
    <t>8.907231.A/002</t>
  </si>
  <si>
    <t xml:space="preserve">8.907225.C
</t>
  </si>
  <si>
    <t>8.907231.A/001</t>
  </si>
  <si>
    <t>7.565556.Z</t>
  </si>
  <si>
    <t>Пневматический цилиндр</t>
  </si>
  <si>
    <t>Квадратный пруток GB/T 702 20 Q235B−GB/T 700 СЕРТ. GB/T 210</t>
  </si>
  <si>
    <t xml:space="preserve">7.565570.B/001
</t>
  </si>
  <si>
    <t>7.565570.B/002</t>
  </si>
  <si>
    <t>7.296885.M/034</t>
  </si>
  <si>
    <t>Регулировочная прокладка</t>
  </si>
  <si>
    <t>0.280212.Q</t>
  </si>
  <si>
    <t>Фитинг угловой 90° TAD−D8 1/4 газ A4 КОД 519414 нержавеющая сталь</t>
  </si>
  <si>
    <t>0.525883.M</t>
  </si>
  <si>
    <t>Прецизионная труба EN 10216−5−TC1 8x1 X5CRNI18−10−ХО Е торцы отожжен.</t>
  </si>
  <si>
    <t>0.009105.P</t>
  </si>
  <si>
    <t xml:space="preserve">Соединение 90° РЕЗЬБ. 1/4" ISO 1179 S275JR EN10025 40X50X50 16982866
без покрытия </t>
  </si>
  <si>
    <t>0.002792.G</t>
  </si>
  <si>
    <t>Смазочный ниппель UNI 7662−B ISO 228/1 − G 1/4" BUTTON HEA оцинков.</t>
  </si>
  <si>
    <t>Дюбель 
M12X100 −оцинк.стальной шестигранный винт -CL.8.8</t>
  </si>
  <si>
    <t>Дюбель 
M12X100 −оцинк.стальной шестигранный винт -CL.8.9</t>
  </si>
  <si>
    <t>0.113090.R</t>
  </si>
  <si>
    <t>Дюбель 
M10X80 −оцинк.стальной шестигранный винт -CL.8.10</t>
  </si>
  <si>
    <t>7.565569.D</t>
  </si>
  <si>
    <t>7.565290.A</t>
  </si>
  <si>
    <t>Направляющая</t>
  </si>
  <si>
    <t>8.907223.A</t>
  </si>
  <si>
    <t>Нож в сборе D290</t>
  </si>
  <si>
    <t>8.907222.G</t>
  </si>
  <si>
    <t>Нож в сборе D250</t>
  </si>
  <si>
    <t>8.907221.F</t>
  </si>
  <si>
    <t>Нож в сборе D170</t>
  </si>
  <si>
    <t>№ чертежа</t>
  </si>
  <si>
    <t>Cutting area Roller Table (Strands 1-4) //Рольганг участка резки (ручьи 1-4)</t>
  </si>
  <si>
    <t xml:space="preserve">Форсунка воздушно−водяная LECHLER 1PM.150.K3.33 термостойкая прокладка 
полный конус 45°
</t>
  </si>
  <si>
    <t>000−000−070−977</t>
  </si>
  <si>
    <t>6.20</t>
  </si>
  <si>
    <t xml:space="preserve">Форсунка воздушно−водяная LECHLER 1PM.137.30.09, полый  
конус, 60°, латунь
</t>
  </si>
  <si>
    <t xml:space="preserve">000−000−074−685
</t>
  </si>
  <si>
    <t>Форсунка воздушно−водяная LECHLER 1PM.150.30.93, полный конус, 90°, латунь</t>
  </si>
  <si>
    <t>000−000−074−755</t>
  </si>
  <si>
    <t>Форсунка воздушно−водяная LECHLER 1PM.137.30.09, полый конус, 60°, латунь</t>
  </si>
  <si>
    <t>000−000−074−685</t>
  </si>
  <si>
    <t xml:space="preserve">Форсунка воздушно−водяная LECHLER 1PM.150.30.93, полный  
конус, 90°, латунь
</t>
  </si>
  <si>
    <t>7.572324.W</t>
  </si>
  <si>
    <t>Блок подвижного ролика</t>
  </si>
  <si>
    <t>8.907536.V</t>
  </si>
  <si>
    <t xml:space="preserve">8.907536.V
</t>
  </si>
  <si>
    <t>7.605841.D</t>
  </si>
  <si>
    <t>7.605790.P</t>
  </si>
  <si>
    <t>7.605842.E</t>
  </si>
  <si>
    <t>7.605791.C</t>
  </si>
  <si>
    <t xml:space="preserve">7.605791.C
</t>
  </si>
  <si>
    <t>7.572325.X</t>
  </si>
  <si>
    <t>7.605843.F</t>
  </si>
  <si>
    <t xml:space="preserve">7.605843.F
</t>
  </si>
  <si>
    <t>Форсунка LECHLER овальная полный конус, 400.291.30.02 R 3/8’</t>
  </si>
  <si>
    <t xml:space="preserve">000−000−070−713
</t>
  </si>
  <si>
    <t>000−000−070−713</t>
  </si>
  <si>
    <t xml:space="preserve">Форсунка LECHLER, полный конус 90° 3/8" 400.291.30.01.00.1 16800850
</t>
  </si>
  <si>
    <t>0.584399.B</t>
  </si>
  <si>
    <t xml:space="preserve">Форсунка водяная LECHLER 400.291.30.04, R3/8", латунь 16800853
</t>
  </si>
  <si>
    <t>0.666324.Q</t>
  </si>
  <si>
    <t xml:space="preserve">Форсунка LECHLER, полный конус 90° 3/8" 400.291.30.01.00.1
</t>
  </si>
  <si>
    <t>Форсунка водяная LECHLER 400.291.30.04, R3/8", латунь</t>
  </si>
  <si>
    <t>Cutting area Roller Table (Strands 5-7) //Рольганг участка резки (ручьи 5-7)</t>
  </si>
  <si>
    <t>Подвижной роликовый блок</t>
  </si>
  <si>
    <t>6.21</t>
  </si>
  <si>
    <t>Рамк</t>
  </si>
  <si>
    <t>Подвал</t>
  </si>
  <si>
    <t xml:space="preserve">7.159190.E/002
</t>
  </si>
  <si>
    <t xml:space="preserve">7.605842.E
</t>
  </si>
  <si>
    <t>7.587899.P</t>
  </si>
  <si>
    <t xml:space="preserve">7.587899.P
</t>
  </si>
  <si>
    <t>Решетка</t>
  </si>
  <si>
    <t>7.572851.W</t>
  </si>
  <si>
    <t>7.572852.X</t>
  </si>
  <si>
    <t>7.572853.Z</t>
  </si>
  <si>
    <t>Настил решетчатый</t>
  </si>
  <si>
    <t>7.572854.S</t>
  </si>
  <si>
    <t>7.572855.T</t>
  </si>
  <si>
    <t>7.572862.S</t>
  </si>
  <si>
    <t xml:space="preserve">Держатель для решетчатого настила тип AGLAIA верхний крепеж для ячеек размером 30 и 34-чертеж   
3288 "ORSOGRIL»
</t>
  </si>
  <si>
    <t>Метизы для оборудования</t>
  </si>
  <si>
    <t>Анкерный болт изогнутый М30 L=750 S275JR EN10025 c гайками и шайбами</t>
  </si>
  <si>
    <t>0.344116.D/000</t>
  </si>
  <si>
    <t>L-образный анкерный болт М24 L=510 S275JR EN10025 гайки, шайбы</t>
  </si>
  <si>
    <t>0.344115.C/000</t>
  </si>
  <si>
    <t>Квадратная плита для анкерных болтов М30 L=550 DIN 976-1 Кл. АСС 5.6 Гайки, шайбы вкл. Извес. Тк.</t>
  </si>
  <si>
    <t>0.344099.P/000</t>
  </si>
  <si>
    <t>Расширительный болт HSL-TZ M 10/40 HILTI Оцин. Сталь-CL.8</t>
  </si>
  <si>
    <t>M30 гайка</t>
  </si>
  <si>
    <t>Излишки</t>
  </si>
  <si>
    <t>М30 шайба</t>
  </si>
  <si>
    <t>М24 гайка</t>
  </si>
  <si>
    <t>М30х550 шпилька</t>
  </si>
  <si>
    <t>Приварная гайка анкерного болта М42 L=1000 S275JR EN 10025-2 C гайками и шайбами</t>
  </si>
  <si>
    <t>0.344109.W/001</t>
  </si>
  <si>
    <t>Июль</t>
  </si>
  <si>
    <t>Оборудование транспортное</t>
  </si>
  <si>
    <t>FW: Мотор-редукторы к.6.18</t>
  </si>
  <si>
    <t>Мотор-редуктор перем. Тока (горизонтальный) лист тех. Данных</t>
  </si>
  <si>
    <t>7.577484.M</t>
  </si>
  <si>
    <t>Разгрузочный рольганг</t>
  </si>
  <si>
    <t xml:space="preserve">Разгрузочный рольганг </t>
  </si>
  <si>
    <t>Мотор-редуктор перем. Тока (вертикального исп.) промежуточного рольганга</t>
  </si>
  <si>
    <t>7.517680.Z</t>
  </si>
  <si>
    <t>Тянуще-правильный механизм</t>
  </si>
  <si>
    <t>Мотор-редуктор перем. Тока (горизонтальн.) промежуточного рольганга</t>
  </si>
  <si>
    <t>Резка, транспортировка, выгрузка, горячая разгрузка</t>
  </si>
  <si>
    <t>7.517285.Q</t>
  </si>
  <si>
    <t>Мотор-редуктор переменного тока - стенд обслуживания кристаллизаторов</t>
  </si>
  <si>
    <t>5.274274.N</t>
  </si>
  <si>
    <t>Кристаллизаторы - д. 455 мм</t>
  </si>
  <si>
    <t>7.517289.R</t>
  </si>
  <si>
    <t xml:space="preserve">Мотор-редуктор переменного тока - рольганг технического контроля </t>
  </si>
  <si>
    <t>Инспекционный рольганг для колесной заготовки</t>
  </si>
  <si>
    <t>Мотор-редуктор перем. Тока рольганга техниеского контроля №1</t>
  </si>
  <si>
    <t>7.517288.T</t>
  </si>
  <si>
    <t>Инспекционный рольганг для трубной заготовки</t>
  </si>
  <si>
    <t>Мотор-редуктор перем. Тока (горизонтальный) лист тех. данных</t>
  </si>
  <si>
    <t>Мотор-редуктор переменного тока тележки транспортировки кристаллизаторов</t>
  </si>
  <si>
    <t>7.517287.K</t>
  </si>
  <si>
    <t>Мотор-редуктор переменного тока</t>
  </si>
  <si>
    <t>5.062435.P</t>
  </si>
  <si>
    <t>Подъемно-поворотный стенд стальковша</t>
  </si>
  <si>
    <t xml:space="preserve">Привод вращения роликов comando rotazione lunette </t>
  </si>
  <si>
    <t>7.517290.S</t>
  </si>
  <si>
    <t>Оборудование системы гидравлики, охлаждения, смазки(клапанные стенды)</t>
  </si>
  <si>
    <t>Upper Shell // Верхний кожух</t>
  </si>
  <si>
    <t>Оборудование системы охлаждения (клапанные стенды)</t>
  </si>
  <si>
    <t>Сборка насосов установки охлаждения ЭМП для МНЛЗ</t>
  </si>
  <si>
    <t>HYDRAULIC UNIT FOR LIQUID STEEL AREA // Система водяного охлаждения ЭМП</t>
  </si>
  <si>
    <t>000-000-132-907</t>
  </si>
  <si>
    <t>CCM MOULD EMS COOLING CIRCUIT FILTER ASSEMBLY</t>
  </si>
  <si>
    <t>000-000-132-908</t>
  </si>
  <si>
    <t>Система охлаждения для системы ЭМП</t>
  </si>
  <si>
    <t>000-000-132-909</t>
  </si>
  <si>
    <t>Система охлаждения для систем финального ЭМП</t>
  </si>
  <si>
    <t>000-000-132-910</t>
  </si>
  <si>
    <t>Оборудование системы гидравлики (клапанные стенды)</t>
  </si>
  <si>
    <t>Стенд клапанов сборочный чертеж</t>
  </si>
  <si>
    <t>Valve Stand for W&amp;S Units // Клапанные стенды для тяшуще-правильного устройства</t>
  </si>
  <si>
    <t>8.890216.D</t>
  </si>
  <si>
    <t>Стенд клапанов - для холодильника</t>
  </si>
  <si>
    <t>Valve Stand for Run out // Клапанные стенды - отводящий рольганг</t>
  </si>
  <si>
    <t>8.927922.K</t>
  </si>
  <si>
    <t>МНЛЗ Гидравлическая система</t>
  </si>
  <si>
    <t>Hydraulic Unit CH3 // Гидравлический узел</t>
  </si>
  <si>
    <t>8.912831.P</t>
  </si>
  <si>
    <t>8.912837.N</t>
  </si>
  <si>
    <t>Блок предохранительных клапан (GN40)</t>
  </si>
  <si>
    <t>Shut off valves block // Клапанные блоки безопасности</t>
  </si>
  <si>
    <t>8.924708.Q</t>
  </si>
  <si>
    <t>Предохранительный блок (GN10) + комплект коннектора 1шт EVC005</t>
  </si>
  <si>
    <t>Hydraulic Unit for LF // Комплект клапанных стендов</t>
  </si>
  <si>
    <t>8.901117.S</t>
  </si>
  <si>
    <t>Сборка фильтра для МНЛЗ для системы ЭМП</t>
  </si>
  <si>
    <t>Гидравлический блок для сталеплавильного участка</t>
  </si>
  <si>
    <t>HYDRAULIC UNIT FOR LIQUID STEEL AREA // Гидравлический узел</t>
  </si>
  <si>
    <t>8.882534.Q</t>
  </si>
  <si>
    <t>OMK-CCM-HYDRAULIC SYSTEM CH4</t>
  </si>
  <si>
    <t>Hydraulic Unit for Run Out - CH4 // Гидравлический узел для отводящего рольганга</t>
  </si>
  <si>
    <t>8.912842.S</t>
  </si>
  <si>
    <t>8.912845.V</t>
  </si>
  <si>
    <t>Стенд клапанов для бокового подъемного шлеппера</t>
  </si>
  <si>
    <t>8.908458.V</t>
  </si>
  <si>
    <t>Клапан Bosch</t>
  </si>
  <si>
    <t>Блок предохранительных клапан (GN10)+комплект коннектора</t>
  </si>
  <si>
    <t>Блок предохранительных клапан (GN63)+комплект коннектора EVC530</t>
  </si>
  <si>
    <t>8.723523.V</t>
  </si>
  <si>
    <t>Блок предохранительных клапан (GN25)</t>
  </si>
  <si>
    <t>Valve Stand for Tilting Stand // Клапанный стенд для стенда наклона</t>
  </si>
  <si>
    <t>8.901115.X</t>
  </si>
  <si>
    <t>Блок предохранительных клапан (GN16)</t>
  </si>
  <si>
    <t>8.890114.X</t>
  </si>
  <si>
    <t>Блок клапанов накопительного рольганга с кулачками</t>
  </si>
  <si>
    <t>8.908461.Q</t>
  </si>
  <si>
    <t>МНЛЗ-Гидравлическая система CH2</t>
  </si>
  <si>
    <t>Hydraulic Unit for Slag Rake // Гидравлический блок скребка для скачивания шлака и стенда наклона</t>
  </si>
  <si>
    <t>8.890214.B</t>
  </si>
  <si>
    <t>Стенд клапанов для подъемной системы рольганга</t>
  </si>
  <si>
    <t>8.890222.B</t>
  </si>
  <si>
    <t>Блок клапанов подвижный упор</t>
  </si>
  <si>
    <t>8.908456.L</t>
  </si>
  <si>
    <t>Блок предохранительных клапан (GN10)+ в комплекте коннектор EVC005 1шт.</t>
  </si>
  <si>
    <t>Set of Valve Stands, On-Off + Proport. // Комплект клапанных стендов</t>
  </si>
  <si>
    <t>Блок предохранительных клапан (GN25)+ в комплекте коннектор EVC005 3шт.</t>
  </si>
  <si>
    <t>8.9011115.X</t>
  </si>
  <si>
    <t>Стенд аккумуляторов 4+4 низкое SYSTEM CH4 CH6</t>
  </si>
  <si>
    <t>Accumulator stand for Run Out // Аккумуляторные стенды для отводящего рольганга</t>
  </si>
  <si>
    <t>8.927868.C</t>
  </si>
  <si>
    <t>Блок предохранительных клапан (GN25)+ в комплекте коннектор EVC005 1шт.</t>
  </si>
  <si>
    <t>Стенд клапанов - сборочный чертеж</t>
  </si>
  <si>
    <t>8.890220.M</t>
  </si>
  <si>
    <t>8.912840.C</t>
  </si>
  <si>
    <t>Стенд акуумуляторов</t>
  </si>
  <si>
    <t>ACCUMULATOR STAND // Аккумуляторные стенды для МНЛЗ</t>
  </si>
  <si>
    <t>8.908459.W</t>
  </si>
  <si>
    <t>Accumulator stand for W&amp;S Units // Аккумуляторные стенды для тяшуще-правильного устройства</t>
  </si>
  <si>
    <t>8.927867.R</t>
  </si>
  <si>
    <t>Стенд клапанов - загрузочное устройство холодильника</t>
  </si>
  <si>
    <t>8.890223.C</t>
  </si>
  <si>
    <t>8.890218.N</t>
  </si>
  <si>
    <t>8.890217.E</t>
  </si>
  <si>
    <t>8.890219.P</t>
  </si>
  <si>
    <t>Блок клапанов для акуумулятор - сборочный чертеж</t>
  </si>
  <si>
    <t>8.919850.M</t>
  </si>
  <si>
    <t>№ п/п</t>
  </si>
  <si>
    <t>ФИО</t>
  </si>
  <si>
    <t xml:space="preserve">Спирин Дмитрий Владимирович </t>
  </si>
  <si>
    <t>Опоры</t>
  </si>
  <si>
    <t>Созонов Игорь Юрьевич</t>
  </si>
  <si>
    <t>Нуманов Ислам Инамович</t>
  </si>
  <si>
    <t>Елохин Михаил Николаеви</t>
  </si>
  <si>
    <t>Позинич Дмитрий Иванович</t>
  </si>
  <si>
    <t>Кулаков Михаил Викторович</t>
  </si>
  <si>
    <t>Гончаренко Владимир Николаевич</t>
  </si>
  <si>
    <t>Саидахмедов Набигула Сабигулаевич</t>
  </si>
  <si>
    <t>Шатохин Максим Михайлович</t>
  </si>
  <si>
    <t>Цыбров Михаил Валерьевич</t>
  </si>
  <si>
    <t>Минохин Алексей Алексеевич</t>
  </si>
  <si>
    <t>Басиситый Кристиан Петрович</t>
  </si>
  <si>
    <t>Труба</t>
  </si>
  <si>
    <t>Коковкин Денис Викторович</t>
  </si>
  <si>
    <t>Абрамов Андрей Викторович</t>
  </si>
  <si>
    <t>Клоков Дмитрий Александрович</t>
  </si>
  <si>
    <t>Медведев Сергей Иванович</t>
  </si>
  <si>
    <t>Халилов Ажуб Юсупович</t>
  </si>
  <si>
    <t>Городилов Виктор Валерьевич</t>
  </si>
  <si>
    <t>Елисеев Виктор Иванович</t>
  </si>
  <si>
    <t>Серебров Валерий Николаевич</t>
  </si>
  <si>
    <t>Мех.монтаж</t>
  </si>
  <si>
    <t>Кистинюк Сергей Николаевич</t>
  </si>
  <si>
    <t>Захаров Сергей Валерьевич</t>
  </si>
  <si>
    <t>Федоренко Виталий Валерьевич</t>
  </si>
  <si>
    <t>Князев Максим Павлович</t>
  </si>
  <si>
    <t>Винокуров Игорь Геннадьевич</t>
  </si>
  <si>
    <t>Максимов Дмитрий Владимирович</t>
  </si>
  <si>
    <t>Королёв Николай Васильевич</t>
  </si>
  <si>
    <t xml:space="preserve">Апаницин Александр Анатольевич </t>
  </si>
  <si>
    <t>Шайхутдинов Владимир Шайхинурович</t>
  </si>
  <si>
    <t>Шулепов Александр Витальевич</t>
  </si>
  <si>
    <t>Сорокин Дмитрий Евгеньевич</t>
  </si>
  <si>
    <t>Синицин Алексей Андреевич</t>
  </si>
  <si>
    <t>Лазарев Александр Фёдорович</t>
  </si>
  <si>
    <t>Султанов Руслан Рафаилович</t>
  </si>
  <si>
    <t>Норицын Сергей Николаевич</t>
  </si>
  <si>
    <t>Трубичкин Александр Алексеевич</t>
  </si>
  <si>
    <t>Часовских Николай Владимирович</t>
  </si>
  <si>
    <t>Бойко Владимир Юрьевич</t>
  </si>
  <si>
    <t>Помыткин Игорь Валерьевич</t>
  </si>
  <si>
    <t>Гудыменко Олег Владимирович</t>
  </si>
  <si>
    <t>Селицкий Сергей Валентинович</t>
  </si>
  <si>
    <t>Шандренков Владимир Михайлович</t>
  </si>
  <si>
    <t>Ахмедов Гийсадин Кафарович</t>
  </si>
  <si>
    <t>Герасимов Максим Вячеславович</t>
  </si>
  <si>
    <t>Мареев Максим Сергеевич</t>
  </si>
  <si>
    <t>Цехоня Сергей Александрович</t>
  </si>
  <si>
    <t>Прохоров Владимир Николаевич</t>
  </si>
  <si>
    <t>Хатмулин Алик Радикович</t>
  </si>
  <si>
    <t xml:space="preserve">Ильязов Илья Николаевич </t>
  </si>
  <si>
    <t>Попов Павел Николаевич</t>
  </si>
  <si>
    <t>Маслов Сергей Михайлович</t>
  </si>
  <si>
    <t>Август</t>
  </si>
  <si>
    <t>GE11</t>
  </si>
  <si>
    <t>Оборудование свода печь-ковша</t>
  </si>
  <si>
    <t>Ladle Furnace Roof // Свод печи-ковша</t>
  </si>
  <si>
    <t>Водоохлаждаемая панель (нижняя)</t>
  </si>
  <si>
    <t>7.585196.D</t>
  </si>
  <si>
    <t>2.2</t>
  </si>
  <si>
    <t>Водоохлаждаемая панель (верхняя)</t>
  </si>
  <si>
    <t>7.585374.W</t>
  </si>
  <si>
    <t>Панель водоохлаждаемая</t>
  </si>
  <si>
    <t>7.585549.V</t>
  </si>
  <si>
    <t>Газоход 2 (нижний)</t>
  </si>
  <si>
    <t>7.585372.R</t>
  </si>
  <si>
    <t>Воронка бункера в сборе</t>
  </si>
  <si>
    <t>8.888275.H</t>
  </si>
  <si>
    <t>Пневматическая система свода агрегата ковш-печь</t>
  </si>
  <si>
    <t>8.878540.V</t>
  </si>
  <si>
    <t>7.585195.C</t>
  </si>
  <si>
    <t>Водоохлаждаемая панель (вертикальн.)</t>
  </si>
  <si>
    <t>7.585375.X</t>
  </si>
  <si>
    <t>Водоохлаждаемая панель</t>
  </si>
  <si>
    <t>7.585550.T</t>
  </si>
  <si>
    <t>Газоход 1 (нижний)</t>
  </si>
  <si>
    <t>7.585373.V</t>
  </si>
  <si>
    <t>Трубопроводы свода агрегата ковш-печь</t>
  </si>
  <si>
    <t>8.878542.K</t>
  </si>
  <si>
    <t>7.585198.N</t>
  </si>
  <si>
    <t>7.585548.R</t>
  </si>
  <si>
    <t>Нижняя часть газохода</t>
  </si>
  <si>
    <t>7.585376.Z</t>
  </si>
  <si>
    <t>7.585197.E</t>
  </si>
  <si>
    <t>7.585547.L</t>
  </si>
  <si>
    <t>7.585377.S</t>
  </si>
  <si>
    <t>8.888248.V</t>
  </si>
  <si>
    <t>Оборудование крышки вакууматора</t>
  </si>
  <si>
    <t>Vacuum Tank Cover // Крышка вакуумной камеры</t>
  </si>
  <si>
    <t>ПРЕДОХРАНИТЕЛЬНАЯ ПЛАСТИНА</t>
  </si>
  <si>
    <t>NR</t>
  </si>
  <si>
    <t>7.561130.V</t>
  </si>
  <si>
    <t>4.2</t>
  </si>
  <si>
    <t>ОПОРА</t>
  </si>
  <si>
    <t>7.561480.R</t>
  </si>
  <si>
    <t>ВИНТ С ШЕСТИГРАННОЙ ГОЛОВКОЙ ISO 4017 М8Х50-8.8-ПОКРЫТ. В СООТВ. СО СТАНД. DAN 3.210.00</t>
  </si>
  <si>
    <t>0.000270.B</t>
  </si>
  <si>
    <t>ВИНТ С ШЕСТИГРАННОЙ ГОЛОВКОЙ ISO 4017 М12Х30-8.8-ПОКРЫТИЕ В СООТВ. СО СТАНД. РАМА DAN 3.210.001</t>
  </si>
  <si>
    <t>0.000282.K</t>
  </si>
  <si>
    <t>ВИНТ С ШЕСТИГРАННОЙ ГОЛОВКОЙ ISO 4017 М12Х35-8.8-ПОКРЫТИЕ В СООТВ. СО СТАНД. РАМА DAN 3.210.001</t>
  </si>
  <si>
    <t>0.000283.L</t>
  </si>
  <si>
    <t>ВИНТ С ШЕСТИГРАННОЙ ГОЛОВКОЙ ISO 4017 М12Х40-8.8-ПОКРЫТИЕ В СООТВ. СО СТАНД. РАМА DAN 3.210.001</t>
  </si>
  <si>
    <t>0.000284.M</t>
  </si>
  <si>
    <t>ВИНТ С ЦИЛИНДР. ГОЛОВКОЙ И ВНУТРЕННИМ ШЕСТИГРАННИМ ПОД КЛЮЧ ISO 4762 M24X100-8.8 ПОКРЫТИЕ В СООТ.СО СТД. DAN</t>
  </si>
  <si>
    <t>0.000476.N</t>
  </si>
  <si>
    <t>ГАЙКА ШЕСТИГРАННАЯ ISO 4032 М8-8-ПОКРЫТИЕ В СООТВ. СО СТАНД. DAN 3.220.001</t>
  </si>
  <si>
    <t>0.001074.B</t>
  </si>
  <si>
    <t>ШАЙБА ПРУЖИННАЯ UNI 1751 -B12-44 HRC до 49 HRC-СТАЛЬ-ФОСФАТ. MNPH ISO 9717</t>
  </si>
  <si>
    <t>0.001296.E</t>
  </si>
  <si>
    <t>ПРЕДОХР. ШАЙБА SCHNORR РИФЛЕН. ТИП "S" -6-ПРУЖИН.СТАЛЬ- 370HV A 580HV-0OC0A™P.</t>
  </si>
  <si>
    <t>0.001312.D</t>
  </si>
  <si>
    <t>ПРЕДОХРАНИТЕЛЬНАЯ ШАЙБА SCHNO MILLER ТИП "S" -24-ПРУЖ. СТАЛЬ- 370HV до 580HV-ФОСФАТ.</t>
  </si>
  <si>
    <t>0.001318.K</t>
  </si>
  <si>
    <t>ШАЙБА ПЛОСКАЯ ISO 7089 -8-200 HV-ФОСФАТИРОВАННАЯ СТАЛЬ mnph ISO 9717</t>
  </si>
  <si>
    <t>0.529826.X</t>
  </si>
  <si>
    <t>ШАЙБА ПЛОСКАЯ ISO 7089 -12-300 HV-СТАЛЬ - ФОСФАТИРОВ. MNP ISO 9717</t>
  </si>
  <si>
    <t>0.537989.R</t>
  </si>
  <si>
    <t>ВИНТ С ВНУТР. ШЕСТИГР. С КОНИЧЕСКИМ КОНЦОМ ISO 4027 М10Х35-45Н-ПОКРЫТИЕ В СООТВ. СО СТАНД. DAN 3.210.001</t>
  </si>
  <si>
    <t>0.000924.F</t>
  </si>
  <si>
    <t>СМАЗОЧНЫЙ НИППЕЛЬ UNI 7663-A ISO 7/1 R 1/4" ГИДРАВЛ. -ОЦИНК.</t>
  </si>
  <si>
    <t>0.002796.D</t>
  </si>
  <si>
    <t>ПЛАСТИНА ПОД ШТИФТ ТИП 3 100 X 30 X 10 S 275 JR EN 10025</t>
  </si>
  <si>
    <t>0.005083.Z</t>
  </si>
  <si>
    <t>ПЛАСТИНА ДЛЯ КОНЦЕВОГО ВЫКЛЮЧАТЕЛЯ 100 X 120 X 10 S275 JR EN 10025</t>
  </si>
  <si>
    <t>0.014629.F</t>
  </si>
  <si>
    <t>ВИНТ С ЦИЛИНДР. ГОЛОВКОЙ И ВНУТР. ШЕСТИГР. ПОД КЛЮЧ ISO 4762 М6Х12-8.8-ПОКРЫТИЕ В СООТВ. СО СТАНД. DAN DAN</t>
  </si>
  <si>
    <t>0.050311.Q</t>
  </si>
  <si>
    <t>ГАЙКА ШЕСТИГРАННАЯ ТОНКАЯ ISO 8675 М64Х4-05-ПОКРЫТИЕ В СООТВ. СО СТАНД. DAN 3.220.001</t>
  </si>
  <si>
    <t>0.001115.Z</t>
  </si>
  <si>
    <t>КОНЦЕВОЙ ВЫКЛЮЧАТЕЛЬ FTSB-1 CLASS 9007 ПОДКЛЮЧЕНИЕ КАБЕЛЯ 1/2 NPT</t>
  </si>
  <si>
    <t>0.153802.E</t>
  </si>
  <si>
    <t>ТАРЕЛЬЧАТАЯ ПРУЖИНА B 140 X 72 X 5 DIN 2093</t>
  </si>
  <si>
    <t>0.196705.A</t>
  </si>
  <si>
    <t>ЛАМПА МИГАЮЩЕГО СВЕТА 40ВТ P B1-L.R.E 27 220В 50ГЦ</t>
  </si>
  <si>
    <t>0.153977.E</t>
  </si>
  <si>
    <t>ЭЛЕКТРОННАЯ СИРЕНА 220V 50 ГЦ SEAT 241 M</t>
  </si>
  <si>
    <t>СОЕДИНИТЕЛЬНОЕ ЗВЕНО ТИП G-32-8 КОД 77.231.032 "GUNNEBO"</t>
  </si>
  <si>
    <t>0.718499.L</t>
  </si>
  <si>
    <t>ВИЛОЧНЫЙ КРОНШТЕЙН</t>
  </si>
  <si>
    <t>7.561129.X</t>
  </si>
  <si>
    <t>ПОДЪЕМНОЕ ЗВЕНО М-32-8 ГРУЗОПОДЪЕМНОСТЬ 33Т - КОЭФ. ЗАПАСА 4.1 - КОД 77.222.533 "GUNNEBOLINE"</t>
  </si>
  <si>
    <t>0.658241.B</t>
  </si>
  <si>
    <t>ЦЕПЬ</t>
  </si>
  <si>
    <t>0.919961.D/A10</t>
  </si>
  <si>
    <t>U−ОБРАЗН. СКОБЫ ГРУЗОПОДЪЕМНОСТЬЮ 35000КГ</t>
  </si>
  <si>
    <t>0.919962.E</t>
  </si>
  <si>
    <t>РЫМБОЛТ</t>
  </si>
  <si>
    <t>5.359529.K</t>
  </si>
  <si>
    <t>ОПОРА ПАМА</t>
  </si>
  <si>
    <t>7.561128.W</t>
  </si>
  <si>
    <t>ОПОРАРАМА FOR DISB СБОРЕ</t>
  </si>
  <si>
    <t>7.585264.X</t>
  </si>
  <si>
    <t>7.561131.H</t>
  </si>
  <si>
    <t>КУЛАЧОК</t>
  </si>
  <si>
    <t>4.730389.N/003</t>
  </si>
  <si>
    <t>5.638761.K/098</t>
  </si>
  <si>
    <t>7.314097.L/028</t>
  </si>
  <si>
    <t>ТЕПЛОИЗОЛИРУЮЩИЙ ЩИТ</t>
  </si>
  <si>
    <t>7.560754.M</t>
  </si>
  <si>
    <t>ЭКРАН ДЛЯ ЗАЩИТЫ ОТ БРЫЗГ</t>
  </si>
  <si>
    <t>8.844229.N</t>
  </si>
  <si>
    <t>УГОЛОК РАВНОПОЛОЧНЫЙ L 40X40X4 EN 10056-1-S275JR+AR EN 10025-2-СТАНД. DAN 6.300.001</t>
  </si>
  <si>
    <t>Электрика, м</t>
  </si>
  <si>
    <t>0.311244.K</t>
  </si>
  <si>
    <t>1253.L УГОЛОК РАВНОПОЛОЧНЫЙ L 60X60X8 EN 10056-1-S275JR+AR EN 10025-2-СТАНД. DAN 6.300.001</t>
  </si>
  <si>
    <t>0.311253.L</t>
  </si>
  <si>
    <t>ТРУБА СВАРНАЯ 34,0X2,9 L=6000 ISO 65 UNI 8863 FE 330 ISO 7-1R + ОЦИНКОВ. МУФТА EN 10240</t>
  </si>
  <si>
    <t>0.908813.E</t>
  </si>
  <si>
    <t>ТРУБА СВАРНАЯ 21,7X2,3 L=6000 ISO65 UNI8863 FE330 ISO 7-1R ОЦИНКОВ. МУФТА EN 10240-A.1</t>
  </si>
  <si>
    <t>0.908811.C</t>
  </si>
  <si>
    <t>ТРУБА СВАРНАЯ 48,6X2,9 L=6000 ISO 65 UNI 8863 FE 330 ISO 7-1R + ОЦИНКОВ. МУФТА EN 10240</t>
  </si>
  <si>
    <t>Электрика, м, в оригинале 75м</t>
  </si>
  <si>
    <t>0.908814.F</t>
  </si>
  <si>
    <t>ТРУБА СВАРНАЯ 60,7X3,2 L=6000 ISO 65 UNI 8863 FE 330 ISO 7-1R + ОЦИНКОВ. МУФТА EN 10240</t>
  </si>
  <si>
    <t>0.908815.G</t>
  </si>
  <si>
    <t>ПРОФИЛЬ DIN 1026-1/EN 10279 U 120 S275JR+AR EN 10025-2 СТАНД. DAN 6.300.004</t>
  </si>
  <si>
    <t>0.311224.F</t>
  </si>
  <si>
    <t>ГОРЯЧЕКАТАННАЯ ШИРОКАЯ ПОЛОСА DIN 59200 200x15A-S275JR+AR E 10025/2 В СООТВ. СО СТАНД. DA 6.200.004</t>
  </si>
  <si>
    <t>0.542216.F</t>
  </si>
  <si>
    <t>ТРУБА БЕСШОВНАЯ EN 10216-2-TC1 48,3X3,6 P235GH-ПРОКАТ- СКОШЕННЫЕ ТОРЦЫ, КОД EP1S10B3</t>
  </si>
  <si>
    <t>м, отсутствует в ящике</t>
  </si>
  <si>
    <t>0.646046.Q</t>
  </si>
  <si>
    <t>ГИДРАВЛИЧЕСКИЙ ЦИЛИНДР</t>
  </si>
  <si>
    <t>7.561089.T/A02</t>
  </si>
  <si>
    <t>вакуумная крышка сборка #1 &amp; #2</t>
  </si>
  <si>
    <t>8.785925.X</t>
  </si>
  <si>
    <t>ГИБКИЙ ШЛАНГ DN15 (1/2")</t>
  </si>
  <si>
    <t>0.224563.D/A13</t>
  </si>
  <si>
    <t>ШЛАНГ ND40 (1-1/2")</t>
  </si>
  <si>
    <t>0.224524.W/A16</t>
  </si>
  <si>
    <t>ШЛАНГ 2 1/2"</t>
  </si>
  <si>
    <t>0.908524.D/A17</t>
  </si>
  <si>
    <t>ШЛАНГ ND100 (4")</t>
  </si>
  <si>
    <t>0.912306.E/A15</t>
  </si>
  <si>
    <t>ШЛАНГ ND25 (1")</t>
  </si>
  <si>
    <t>0.909171.L/A16</t>
  </si>
  <si>
    <t>ФИТИНГ УГЛОВОЙ 90°</t>
  </si>
  <si>
    <t>8.785923.V</t>
  </si>
  <si>
    <t>РЕШЕТКА</t>
  </si>
  <si>
    <t>По оригиналу 3 шт</t>
  </si>
  <si>
    <t>7.561383.W</t>
  </si>
  <si>
    <t>7.561384.X</t>
  </si>
  <si>
    <t>7.561385.Z</t>
  </si>
  <si>
    <t>7.561386.S</t>
  </si>
  <si>
    <t>7.561387.T</t>
  </si>
  <si>
    <t>7.561388.B</t>
  </si>
  <si>
    <t>7.561389.C</t>
  </si>
  <si>
    <t>7.561390.A</t>
  </si>
  <si>
    <t>7.561091.M</t>
  </si>
  <si>
    <t>7.561391.W/001</t>
  </si>
  <si>
    <t>7.561391.W/002</t>
  </si>
  <si>
    <t>7.561391.W/003</t>
  </si>
  <si>
    <t>7.561391.W/004</t>
  </si>
  <si>
    <t>7.561391.W/005</t>
  </si>
  <si>
    <t>7.561391.W/006</t>
  </si>
  <si>
    <t>7.561391.W/007</t>
  </si>
  <si>
    <t>7.561391.W/010</t>
  </si>
  <si>
    <t>ЛЕСТНИЦА</t>
  </si>
  <si>
    <t>Отстутсвует, в оригинале 3 шт</t>
  </si>
  <si>
    <t>7.600976.M</t>
  </si>
  <si>
    <t>вакуумная крышка сборка #3</t>
  </si>
  <si>
    <t>8.785926.Z</t>
  </si>
  <si>
    <t>7.561082.L</t>
  </si>
  <si>
    <t>7.561083.M</t>
  </si>
  <si>
    <t>7.561084.N</t>
  </si>
  <si>
    <t>7.561391.W/008</t>
  </si>
  <si>
    <t>7.561391.W/009</t>
  </si>
  <si>
    <t>Оборудование вакуумной камеры</t>
  </si>
  <si>
    <t>ВИНТ С ЦИЛИНДР. ГОЛОВКОЙ И ВНУТР. ШЕСТИГР. ISO 4762 M10X20-8.8-AS ОБРАБ. В СООТВ. СО СТАНД DAN 3.210.001</t>
  </si>
  <si>
    <t>0.000420.H</t>
  </si>
  <si>
    <t>ВИНТ С ЦИЛИНДР. ГОЛОВКОЙ И ВНУТР. ШЕСТИГР. ISO 4762 M4X20-8.8-AS ОБРАБ. В СООТВ. СО СТАНД DAN 3.210.001</t>
  </si>
  <si>
    <t>0.050301.X</t>
  </si>
  <si>
    <t>ВИНТ С ЦИЛИНДР. ГОЛОВКОЙ И ВНУТР. ШЕСТИГР. ISO 4762 M4X16-8.8-AS ОБРАБ. В СООТВ. СО СТАНД DAN 3.210.001</t>
  </si>
  <si>
    <t>0.050300.B</t>
  </si>
  <si>
    <t>ПРУЖИННАЯ СТОПОРНАЯ ШАЙБА UNI 1751 -B4-44 HRC до 49 HRC-ФОСФАТИРОВАННАЯ сталь MNPH ISO 9717</t>
  </si>
  <si>
    <t>0.001291.G</t>
  </si>
  <si>
    <t>ШАЙБА ПЛОСКАЯ СО СКОШ. КРОМК. ISO 7090 -10-200 HV-СТАЛЬ- ФОСФАТ. MNPH ISO 9717</t>
  </si>
  <si>
    <t>0.538036.R</t>
  </si>
  <si>
    <t>ШАЙБА ЛЕГК. СЕРИИ ВН.ДИАМ.4,5 ВНЕШ.ДИАМ. = 15 ТОЛЩ.=1,5 S 275 JR EN 10025</t>
  </si>
  <si>
    <t>0.013920.X</t>
  </si>
  <si>
    <t>ГАЙКА ШЕСТИГРАННАЯ ISO 4032 MA-8-ПОКРЫТИЕ СОГЛ. СТАНД. DAN 3.220.001</t>
  </si>
  <si>
    <t>0.001071.F</t>
  </si>
  <si>
    <t>БЕСКОНТАКТНЫЙ СБЛОКИРОВАННЫЙ ВЫКЛЮЧАТЕЛЬ SENSAЗАЩИТА КОД 440N-Z21U26H "ALLEN-BRADLEY"</t>
  </si>
  <si>
    <t>0.657780.V</t>
  </si>
  <si>
    <t>КОМПЛЕКТ ПРОВОДОВ С СОЕДИНИТЕЛЕМ И 10 MT КАБЕЛЬНЫМИ ВЫВОДАМИ КОД 889D-F8AB-10 "ALLEN-BRADLEY»</t>
  </si>
  <si>
    <t>0.657781.H</t>
  </si>
  <si>
    <t>РАСПОРНЫЙ БОЛТ HSL-TZ M 8/20 - HILTI ГАЛЬВ. СТАЛЬ-^8.8</t>
  </si>
  <si>
    <t>0.054169.K</t>
  </si>
  <si>
    <t>КЛЕММНАЯ КОРОБКА "‘ВЕДОМОСТЬ СБОРКИ** РАСПРЕД. КОРОБКА- BILL ASSEMBLY -</t>
  </si>
  <si>
    <t>8.168605.T</t>
  </si>
  <si>
    <t>7.467278.N</t>
  </si>
  <si>
    <t>7.561300.P</t>
  </si>
  <si>
    <t>7.545532.L/004</t>
  </si>
  <si>
    <t>7.545569.G</t>
  </si>
  <si>
    <t>ШЕСТИГР. ТОНКАЯ ГАЙКА M18X1</t>
  </si>
  <si>
    <t>7.545602.A</t>
  </si>
  <si>
    <t>МНОГОЖИЛЬНЫЙ КАБЕЛЬ 3G2.5SQMM LAPPTHERM 145 КОД 0026 839</t>
  </si>
  <si>
    <t>0.279940.A</t>
  </si>
  <si>
    <t>КАБЕЛЬ 2X0.75SQMM + SH OLFLEX HEAT 125 C MC 1024480 (EX 0026908 LAPPTHERM 145+C) "LAPP"</t>
  </si>
  <si>
    <t>КАБЕЛЬ 2X1.5 0026825 LAPPTHERM 145</t>
  </si>
  <si>
    <t>0.265647.S</t>
  </si>
  <si>
    <t>СВАРНАЯ ПЛАНКА ТРУБ. ХОМУТА d = 1"-DIN3015-2 ДЛЯ.A-GR.3 АЛЮМИН. С ВИНТАМИ И НАКЛАДКАМ СВЕРХУ/СНИЗУ</t>
  </si>
  <si>
    <t>МУФТА ДЛЯ КАБЕЛЬН. КАНАЛОВ 1" - ISO 228/1 ЛЕГК. СЕРИЯ - СТАЛЬ</t>
  </si>
  <si>
    <t>ПРОФИЛЬ DIN 1026-1/EN 10279 U 100 S275JR+AR EN 10025-2 СТАНД. DAN 6.300.004</t>
  </si>
  <si>
    <t>0.311223.E</t>
  </si>
  <si>
    <t>ПРЯМОЙ КОННЕКТОР 1" ISO228/1 - DI=27 ГИБК. БОЛОЧ. ТЯЖ. СЕРИИ</t>
  </si>
  <si>
    <t>ТРУБА СВАРНАЯ 48.6X2.9 L=6000 ISO 65 UNI 8863 FE 330 ISO 7-1R + ОЦИНКОВ. МУФТА EN 10240</t>
  </si>
  <si>
    <t>ПЛОСК. МЕДНЫЕ ПРОКЛАД. S 1" 41 X33,4X1,5</t>
  </si>
  <si>
    <t>СВАРНАЯ ПЛАНКА ТРУБ. ХОМУТА d=1.1/2"-DIN3015-2 ДЛЯ.A-GR.4 АЛЮМИН. С ВИНТАМИ И НАКЛАДКАМ СВЕРХУ/СНИЗУ</t>
  </si>
  <si>
    <t>ПРЯМОЙ КОННЕКТОР 3/4" ISO228/1 - DI=20 ГИБК. БОЛОЧ. ТЯЖ. СЕРИИ</t>
  </si>
  <si>
    <t>0.052649.Z</t>
  </si>
  <si>
    <t>МЕДНАЯ ГАЗОВАЯ ПРОКЛАДКА 3/4" - 30,5X27 X1,5</t>
  </si>
  <si>
    <t>КОНТРГАЙКА ДЛЯ КОННЕКТОРОВ 3/4" - ISO 228/1 ЛЕГК. СЕРИЯ - СТАЛЬ</t>
  </si>
  <si>
    <t>ПРЯМОЙ КОННЕКТОР M20X1.5 IEC60643 - DI=20 ГИБК. БОЛОЧ. ТЯЖ. СЕРИИ</t>
  </si>
  <si>
    <t>0.353223.Q</t>
  </si>
  <si>
    <t>СОЕДИНИТЕЛЬ 90° ТИПА "ПАПА" ISO2 28/1 - I.D.=15 I.D.=20 ГИБКАЯ ОПЛЕТКА. ТЯЖ. СЕРИЯ</t>
  </si>
  <si>
    <t>ПЛАСТИНА ПРИВАРНАЯ ДЛЯ СОЕДИНИТЕЛЬНЫХ КОРОБОК 110X60X4 - D. 1" УГЛЕРОД. СТАЛЬ</t>
  </si>
  <si>
    <t>0.050258.B</t>
  </si>
  <si>
    <t>ВЫКЛЮЧАТЕЛЬ С ОДНИМ ГРИБКОМ АВАР. ОСТАНОВКИ И ЗАЩИТНЫМ КОЗЫРЬКОМ - МЕТАЛЛ 3SU1851-0AA00-0AG2 "SIEMENS"</t>
  </si>
  <si>
    <t>0.655146.K</t>
  </si>
  <si>
    <t>ОПОРА МЕТАЛЛИЧЕСКАЯ ДЛЯ ТРЕХ МОДУЛЕЙ 3SU1550-0AA10-0AA0 SIEMENS</t>
  </si>
  <si>
    <t>0.644739.S</t>
  </si>
  <si>
    <t>КНОПКА АВАРИЙНОЙ ОСТАНОВКИ КРАСНАЯ ГРИБОВИДНАЯ Ш40 MM. "METAL" 3SU1051-1HB20-0AA0 "SIEMENS"</t>
  </si>
  <si>
    <t>E012660</t>
  </si>
  <si>
    <t>БЛОК ВСПОМОГАТЕЛЬНЫХ КОНТАКТОВ4.4 С 1 КОНТАКТОМ 1НЗ ВИНТTERMINAL 3SU1400-2AA10-1CA0 "SIEMENS"</t>
  </si>
  <si>
    <t>0.655147.L</t>
  </si>
  <si>
    <t>ВИНТ С ЦИЛИНДР. ГОЛОВКОЙ И ПРЯМЫМ ШЛИЦЕМ ISO 1207 M6X10-4.8- ОЦИНКОВ. В СООТВ. СО СТАНД. DA N 3.210.001</t>
  </si>
  <si>
    <t>0.318298.Z</t>
  </si>
  <si>
    <t>ШАЙБА ПРУЖИННАЯ UNI 1751 -B6-4 HRC ДО 49 HRC-СТАЛЬ. - ФОСФАТ. MNPH ISO 9717</t>
  </si>
  <si>
    <t>0.001293.B</t>
  </si>
  <si>
    <t>U-ОБРАЗНЫЙ БОЛТ DN40 SP600-A M10-E ISO 898-1 CL.4.8 В КОМПЛ. С 2 ГАЙКАМИ/ШАЙБАМИ ОЦИНКОВ. ISO 4042-Fe/Zn8</t>
  </si>
  <si>
    <t>0.007094.W</t>
  </si>
  <si>
    <t>УГОЛОК РАВНОПОЛОЧНЫЙ L 50X50X5 EN 10056-1-S275JR+AR EN 10025-2-СТАНД. DAN 6.300.001</t>
  </si>
  <si>
    <t>0.311248.W</t>
  </si>
  <si>
    <t>СВАРНАЯ ПЛАНКА ТРУБ. ХОМУТА d=3/4"- DIN3015-2 ,qnfl.A-GR.2 АЛЮМИН. ВИНТАМИ И НАКЛАДКАМИ СВЕРХУ/СНИЗУ</t>
  </si>
  <si>
    <t>0.077004.A</t>
  </si>
  <si>
    <t>ВИНТ С ШЕСТИГРАННОЙ ГОЛОВКОЙ I SO 4017 M4X20-8.8-ПОКРЫТИЕ В СООТВ. СО СТАНД. DAN 3.210.001</t>
  </si>
  <si>
    <t>0.000243.T</t>
  </si>
  <si>
    <t>ГАЙКА ШЕСТИГРАННАЯ ISO 4032 M4-8-ПОКРЫТИЕ СОГЛ. СТАНД. DAN 3.220.001</t>
  </si>
  <si>
    <t>ГИБКАЯ ОБОЛОЧКА ДЛЯ КАБЕЛЯ D=25MM 3/4 " 21 PG С ВНЕШ. МЕТАЛЛИЧ. ПОКРЫТИЕМ</t>
  </si>
  <si>
    <t>0.053113.S</t>
  </si>
  <si>
    <t>ПЛАСТИНА ПРИВАРНАЯ ДЛЯ СОЕДИНИТЕЛЬНЫХ КОРОБОК 120X70X4 - D. 1.1/2" УГЛЕРОД. СТАЛЬ</t>
  </si>
  <si>
    <t>0.050397.Q</t>
  </si>
  <si>
    <t>ПЛОСКАЯ МЕДНАЯ ПРОКЛАДКА 1.1/2 5 6 X 48 X 1,5</t>
  </si>
  <si>
    <t>ПРЯМОЙ КОННЕКТОР 1.1/2" ISO228/1 - DI=40 ГИБК. БОЛОЧ. ТЯЖ. СЕРИИ</t>
  </si>
  <si>
    <t>ГИБКАЯ ОБОЛОЧКА ДЛЯ КАБЕЛЯ D=20M М 1/2" 16 PG ВНЕШ. МЕТАЛЛИЧ. ПОКРЫТИЕ</t>
  </si>
  <si>
    <t>ОДНОПОЛЮСНАЯ ЗАГЛУШКА - 450 V SEZ. 0,5-2,5 MMQ ПОЛИКАРБОНАТ-САМОЗАТУХАЮЩ</t>
  </si>
  <si>
    <t>0.500721.M</t>
  </si>
  <si>
    <t>КОНТРГАЙКА ДЛЯ КОННЕКТОРОВ 1/2" - ISO 228/1 ЛЕГК. СЕРИЯ - СТАЛЬ</t>
  </si>
  <si>
    <t>ПЛОСК. МЕДНЫЕ ПРОКЛАД. 1/2" 28,5X21 X1,5</t>
  </si>
  <si>
    <t>КАБЕЛЬ ОДНОЖИЛЬНЫЙ СИЛИК. H05 S-F 1,5 MM2 СИНИЙ ЦВЕТ #0 MT</t>
  </si>
  <si>
    <t>0.340258.H</t>
  </si>
  <si>
    <t>7.560839.B</t>
  </si>
  <si>
    <t>ПРЯМОЙ ФИТИНГ ШТЫРЕВОЙ 1/2" IS I=15 ЭЛАСТИЧНАЯ ОБОЛОЧКА ТЯЖЕЛ</t>
  </si>
  <si>
    <t>ХОМУТ ДЛЯ ШЛАНГА PN16 D. 13-20 НЕРЖ. СТАЛЬ</t>
  </si>
  <si>
    <t>0.006809.N</t>
  </si>
  <si>
    <t>ФИТИНГ R.1/4" ГАЗ MAT.AISI 316 ДЛЯ ТРУБКИ ДИАМ. 6</t>
  </si>
  <si>
    <t>0.169047.L</t>
  </si>
  <si>
    <t>Термопара</t>
  </si>
  <si>
    <t>0.919926.T/A01</t>
  </si>
  <si>
    <t>ШЕСТИГРАН. ПЕРЕХОДНИК 1.1/2"M.X 1"F.ISO228/1 УГЛЕРОД. СТАЛЬ</t>
  </si>
  <si>
    <t>0.098629.L</t>
  </si>
  <si>
    <t>ШЕСТИГРАН. ПЕРЕХОДНИК 1"M.X 1/2"F.ISO228/1 УГЛЕРОД. СТАЛЬ</t>
  </si>
  <si>
    <t>0.052660.Z</t>
  </si>
  <si>
    <t>ТРУБА</t>
  </si>
  <si>
    <t>4.560991.Z</t>
  </si>
  <si>
    <t>ЗАЖИМ</t>
  </si>
  <si>
    <t>4.880307.C/003</t>
  </si>
  <si>
    <t>4.575440.E</t>
  </si>
  <si>
    <t>ПЕРЕМЫЧКА ПОПЕРЕЧНАЯ GR. 4 -2 ПОЛЮСА</t>
  </si>
  <si>
    <t>ПЕРЕМЫЧКА ПОПЕРЕЧНАЯ GR. 4 - 3 ПОЛЮСА</t>
  </si>
  <si>
    <t>ПЕРЕМЫЧКА ПОПЕРЕЧНАЯ GR. 4 - 4 ПОЛЮСА</t>
  </si>
  <si>
    <t>КОРОБКА</t>
  </si>
  <si>
    <t>0.913917.L</t>
  </si>
  <si>
    <t>ОТВОД 90° С БОКОВОЙ РЕВИЗИЕЙ 1" ГАЗ F/F - ISO 228/ АЛЮМ.</t>
  </si>
  <si>
    <t>РАСПРЕД. КОРОБКА НА 3 ПОДКЛ. - ИСП. T D. 1.1/2" ISO 228/1 НИЗКОЛЕГИР. СТАЛЬ</t>
  </si>
  <si>
    <t>0.112508.E</t>
  </si>
  <si>
    <t>СОЕД. КОРОБКА С ОДНИМ. СОЕД. D. 1" ISO 228/1 ИСП. B - НИЗКОЛЕГИР. СТАЛЬ</t>
  </si>
  <si>
    <t>0.052629.M</t>
  </si>
  <si>
    <t>РАСПРЕД. КОРОБКА С ОДНИМ СОЕДИНЕНИЕМ D. 1.1/2" ISO 228/1 ИСП. B - НИЗК</t>
  </si>
  <si>
    <t>0.052630.K</t>
  </si>
  <si>
    <t>ФИТИНГ УГЛОВОЙ 90° С БОКОВЫМ СМОТРОВЫМ ЛЮКОМ 1.1/2"ГАЗ F/F - ISO 228/1 АЛЮМИНИЙ</t>
  </si>
  <si>
    <t>0.098638.M</t>
  </si>
  <si>
    <t>ПРОФИЛЬ DIN 1026-1/EN 10279 U 160 S275JR+AR EN 10025-2 СТАНД. DAN 6.300.004</t>
  </si>
  <si>
    <t>0.311226.A</t>
  </si>
  <si>
    <t>ПЛАСТИНА S275JR+AR - EN 10025-2 Толщ. 5 мм В СООТВ. СО СТАНД. DAN 2.8.032-B СЕРТИФИКА</t>
  </si>
  <si>
    <t>мп</t>
  </si>
  <si>
    <t>0.311320.L</t>
  </si>
  <si>
    <t>ПРОФИЛЬ DIN 1025-5/EN 10034 IPE 140 S275JR+AR EN 10025-2 STD DAN 6.300.004</t>
  </si>
  <si>
    <t>0.311199.F</t>
  </si>
  <si>
    <t>ГОРЯЧЕКАТАННАЯ СТАЛЬНАЯ ПОЛОСА4.4 EN 10058 50x8-S275JR+AR EN 10025/2 В СООТВ. СО СТАНД. DA 6.200.001</t>
  </si>
  <si>
    <t>0.542389.M</t>
  </si>
  <si>
    <t>ТРУБА БЕСШОВН. EN 10216-2-TC1 26,9X2,3 P265GH-БЕЗ ПОКРЫТИЯ КРОМКИ С РАЗДЕЛКОЙ ПОД СВАРКУ КОД ИЗД. EP1S11B3</t>
  </si>
  <si>
    <t>0.648167.Z</t>
  </si>
  <si>
    <t>ТРУБА БЕСШОВН. EN 10216-2-TC1 48,3X2,6 P265GH-БЕЗ ПОКРЫТИЯ КРОМКИ С РАЗДЕЛКОЙ ПОД СВАРКУ КОД ИЗД. EP1S11B3</t>
  </si>
  <si>
    <t>0.648184.H</t>
  </si>
  <si>
    <t>ТРУБА БЕСШОВНАЯ EN 10216-2-TC1 21,3X2,6 P235GH-ПРОКАТ-СКОШЕННЫЕ ТОРЦЫ, КОД EP1S10B3</t>
  </si>
  <si>
    <t>0.646025.C</t>
  </si>
  <si>
    <t>5.140006.C</t>
  </si>
  <si>
    <t>ФЛАНЕЦ</t>
  </si>
  <si>
    <t>5.153982.L</t>
  </si>
  <si>
    <t>СВАРНАЯ ПЛАНКА ТРУБ. ХОМУТА d=3/4"- DIN3015-2 ДЛЯ.A-GR.2 АЛЮМИН. ВИНТАМИ И НАКЛАДКАМИ СВЕРХУ/СНИЗУ</t>
  </si>
  <si>
    <t>ПОЛОВИННАЯ МУФТА SCR.ASMEB16.11 1,1 / 2 "ISO 7/1-RC 3000LB ASTM A 105 БЕЗ ПОКРЫТИЯ</t>
  </si>
  <si>
    <t>0.321052.G</t>
  </si>
  <si>
    <t>90° 3D БЕСШ. ФИТИНГ УГЛОВОЙ EN 10253-2 48,3X2,6 P265GH БЕЗ ПОКРЫТИЯ - КРОМКИ С РАЗДЕЛКОЙ ПОД СВАРКУ КОД ИЗД. EE2S11R3</t>
  </si>
  <si>
    <t>0.671528.H</t>
  </si>
  <si>
    <t>90° 3D БЕСШ. ФИТИНГ УГЛОВОЙ EN 10253-2 26,9X3,2 P235GH БЕЗ ПОКРЫТИЯ - КРОМКИ С РАЗДЕЛКОЙ ПОД СВАРКУ КОД ИЗД. EE2S10R3</t>
  </si>
  <si>
    <t>0.670322.W</t>
  </si>
  <si>
    <t>СЕДЛО КОНУСНОЕ U12 EN10242 3/4 "ISO7-1RP MF W400-05 БЕЗ ПОКРЫТИЯ</t>
  </si>
  <si>
    <t>0.003745.H</t>
  </si>
  <si>
    <t>ПЕРЕХОДНАЯ МУФТА M2 EN10242 3/4"X1/2" ISO 7/1 RP W400-05 КОВАН.</t>
  </si>
  <si>
    <t>0.050903.L</t>
  </si>
  <si>
    <t>ПОЛОВИННАЯ МУФТА РЕЗЬБОВАЯ .ASMEB16.11 1/2 "ISO 7/1-RC 3000LB ASTM A 105 БЕЗ ПОКРЫТИЯ</t>
  </si>
  <si>
    <t>0.321048.L</t>
  </si>
  <si>
    <t>КРАН ШАРОВЫЙ С РЕЗЬБОЙ DB1870 -ISO7/1-CL.800-R.B. Л105/304/ПТФЭ КЛАСС EN 10204/2.2 - BS 53 51</t>
  </si>
  <si>
    <t>0.304670.D</t>
  </si>
  <si>
    <t>БЕСШОВНОЙ ТРОЙНИК EN 10253-2 ТИП A 26.9X3.2 P235GH-AS СО СКОШЕННЫМИ КОНЦАМИ ID. КОД ET1S10R3</t>
  </si>
  <si>
    <t>0.655774.Z</t>
  </si>
  <si>
    <t>КОЛЕНО 45 ° 3D SMLS EN 10253-2 26,9X3,2 P235GH - КОНЕЦ СО СКОССОМ ID. КОД EE1S10R3</t>
  </si>
  <si>
    <t>0.670247.B</t>
  </si>
  <si>
    <t>МУФТА С КОНУСНЫМ СЕДЛОМ U12 EN10242 1/2"ISO7-1RP MF W400-05 КОВАН.</t>
  </si>
  <si>
    <t>0.003744.Q</t>
  </si>
  <si>
    <t>НИППЕЛЬ N8 EN 10242 1/2" ISO 7/1 W400-05 КОВАН.</t>
  </si>
  <si>
    <t>0.003604.M</t>
  </si>
  <si>
    <t>СОЕДИНИТЕЛЬ ISO7241-1 A 1/2" ISO 7/1 RC С БЛОКИР. КЛАПАНОМ (ОЦИНК. СТАЛЬ) EN10204/2.2</t>
  </si>
  <si>
    <t>0.339049.X</t>
  </si>
  <si>
    <t>ГИБКИЙ ШЛАНГ ND15 (1/2")</t>
  </si>
  <si>
    <t>0.224523.V/A25</t>
  </si>
  <si>
    <t>0.224523.V/A04</t>
  </si>
  <si>
    <t>ШЛАНГ ND15 (1/2")</t>
  </si>
  <si>
    <t>0.916342.D/A33</t>
  </si>
  <si>
    <t>СВАРНАЯ ПЛАНКА ТРУБ. ХОМУТА d=1/2"-DIN3015-2 ДЛЯ.A-GR.2 АЛЮМИН. С ВИНТАМИ И НАКЛАДКАМ СВЕРХУ/СНИЗУ</t>
  </si>
  <si>
    <t>ТРОЙНИК B1 EN 10242 1/2" ISO 7/1 RP W400-05 ОЦИНК.</t>
  </si>
  <si>
    <t>0.079080.K</t>
  </si>
  <si>
    <t>FF СОЕДИНИТЕЛЬНОЕ СЕДЛО U11 EN 10242 1/2 "ISO U11 EN 10242 1/2 "ISO 7/1 RP W400-05 ОЦИНК.</t>
  </si>
  <si>
    <t>0.060754.X</t>
  </si>
  <si>
    <t>ОТВОД M-F A4 EN 10242 1/2" ISO 7/1 RP W400-05 ОЦИНКОВ.</t>
  </si>
  <si>
    <t>0.057150.P</t>
  </si>
  <si>
    <t>КОЛЕНО A1 EN 10242 1/2" ISO 7 КОЛЕНО A1 EN 10242 1/2" ISO 7/1 RP W400-05 ОЦИНКОВАННОЕ</t>
  </si>
  <si>
    <t>0.062679.S</t>
  </si>
  <si>
    <t>СЕДЛО СОЕДИНИТ КОЛЕНА UA11 EN 10242 1/2 "ISO 7/1 RP W400-05 ЦИНКОВОЕ ПОКРЫТИЕ</t>
  </si>
  <si>
    <t>0.092104.S</t>
  </si>
  <si>
    <t>Ladle Furnace Roof // Свод печи-ковша 1</t>
  </si>
  <si>
    <t>Ladle Furnace Roof // Свод печи-ковша 2</t>
  </si>
  <si>
    <t xml:space="preserve">Ladle Furnace Roof // Свод печи-ковша </t>
  </si>
  <si>
    <t>Код Сектора</t>
  </si>
  <si>
    <t>Наим</t>
  </si>
  <si>
    <t>Код</t>
  </si>
  <si>
    <t>Номер</t>
  </si>
  <si>
    <t>Тип сварного соединения</t>
  </si>
  <si>
    <t>Длина шва (мм)</t>
  </si>
  <si>
    <t>Трудоемкость ЧЧ/метр</t>
  </si>
  <si>
    <t>Тип сварочного шва</t>
  </si>
  <si>
    <t>Толщины</t>
  </si>
  <si>
    <t>Сектора</t>
  </si>
  <si>
    <t>номенкл 1</t>
  </si>
  <si>
    <t>номенкл 2</t>
  </si>
  <si>
    <t>номенклатуры 2</t>
  </si>
  <si>
    <t>шва</t>
  </si>
  <si>
    <t>Шов №1</t>
  </si>
  <si>
    <t>С25</t>
  </si>
  <si>
    <t>Горизонт/Вертикал</t>
  </si>
  <si>
    <t>25,0+25,0</t>
  </si>
  <si>
    <t>Шов №2</t>
  </si>
  <si>
    <t>С17</t>
  </si>
  <si>
    <t>Горизонт/Вертикал/Потолок</t>
  </si>
  <si>
    <t>30,0+30,0</t>
  </si>
  <si>
    <t>Шов №3</t>
  </si>
  <si>
    <t>Забрано +/Подана заявка -</t>
  </si>
  <si>
    <t xml:space="preserve">Discharge Roller Table // Разгрузочный рольганг </t>
  </si>
  <si>
    <t>7.481016.A</t>
  </si>
  <si>
    <t>6.26</t>
  </si>
  <si>
    <t>7.481017.B</t>
  </si>
  <si>
    <t>5.044073.V/002</t>
  </si>
  <si>
    <t>5.155315.Z/002</t>
  </si>
  <si>
    <t>5.044073.V/007</t>
  </si>
  <si>
    <t>Прокат квадратного сечения GB/T 702 16 Q235B-GB/T 700 CEP</t>
  </si>
  <si>
    <t>0.597547.V</t>
  </si>
  <si>
    <t>Крышка двигателя</t>
  </si>
  <si>
    <t>000-000-127-560</t>
  </si>
  <si>
    <t>000-000-154-771</t>
  </si>
  <si>
    <t>7.481182.D</t>
  </si>
  <si>
    <t>7.481183.E</t>
  </si>
  <si>
    <t>7.481185.G</t>
  </si>
  <si>
    <t>5.293472.Z/002</t>
  </si>
  <si>
    <t>7.517673.V</t>
  </si>
  <si>
    <t>Сельченков Роман Викторович</t>
  </si>
  <si>
    <t>Юдаков Иван Иванович</t>
  </si>
  <si>
    <t>Агафонов Андрей Юрьевич</t>
  </si>
  <si>
    <t>Воронов Богдан Сергеевич</t>
  </si>
  <si>
    <t>Кизимов Денис Сергеевич</t>
  </si>
  <si>
    <t>Ларионов Игорь Андреевич</t>
  </si>
  <si>
    <t>Рыбалко Владимир Александрович</t>
  </si>
  <si>
    <t>Яковлев Вадим Владимирович</t>
  </si>
  <si>
    <t>Чернов Алексей Валерьевич</t>
  </si>
  <si>
    <t>Захаров Денис Алексевич</t>
  </si>
  <si>
    <t>Жеребецкий Николай Романович</t>
  </si>
  <si>
    <t>Корнев Николай Николаевич</t>
  </si>
  <si>
    <t>Магарян Акоп Ардашович</t>
  </si>
  <si>
    <t>Шевела Максим Валерьевич</t>
  </si>
  <si>
    <t>Юлдашев Рустам Рашидович</t>
  </si>
  <si>
    <t>Алиев Виталий Козыбоевич</t>
  </si>
  <si>
    <t>Вид работы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</si>
</sst>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₽&quot;_-;\-* #,##0.00\ &quot;₽&quot;_-;_-* &quot;-&quot;??\ &quot;₽&quot;_-;_-@_-"/>
    <numFmt numFmtId="164" formatCode="0.0"/>
    <numFmt numFmtId="165" formatCode="0.000"/>
    <numFmt numFmtId="166" formatCode="0.00000"/>
    <numFmt numFmtId="167" formatCode="#,##0.00\ &quot;₽&quot;"/>
    <numFmt numFmtId="168" formatCode="0.0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Arial"/>
      <family val="2"/>
    </font>
    <font>
      <b/>
      <sz val="1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14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12"/>
      <color theme="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theme="5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1">
    <xf numFmtId="0" fontId="0" fillId="0" borderId="0"/>
    <xf numFmtId="44" fontId="4" fillId="0" borderId="0" applyFont="0" applyFill="0" applyBorder="0" applyAlignment="0" applyProtection="0"/>
    <xf numFmtId="0" fontId="2" fillId="0" borderId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</cellStyleXfs>
  <cellXfs count="475">
    <xf numFmtId="0" fontId="0" fillId="0" borderId="0" xfId="0"/>
    <xf numFmtId="0" fontId="3" fillId="2" borderId="1" xfId="2" applyFont="1" applyFill="1" applyBorder="1" applyAlignment="1">
      <alignment horizontal="center" vertical="center" wrapText="1"/>
    </xf>
    <xf numFmtId="0" fontId="3" fillId="3" borderId="1" xfId="2" applyFont="1" applyFill="1" applyBorder="1" applyAlignment="1">
      <alignment horizontal="center" vertical="center" wrapText="1"/>
    </xf>
    <xf numFmtId="44" fontId="3" fillId="2" borderId="1" xfId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44" fontId="3" fillId="2" borderId="1" xfId="1" applyFont="1" applyFill="1" applyBorder="1" applyAlignment="1">
      <alignment horizontal="center" vertical="top" wrapText="1"/>
    </xf>
    <xf numFmtId="0" fontId="0" fillId="4" borderId="2" xfId="0" applyFill="1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0" xfId="0" applyAlignment="1">
      <alignment horizontal="center" vertical="center" wrapText="1"/>
    </xf>
    <xf numFmtId="0" fontId="0" fillId="6" borderId="1" xfId="0" applyFill="1" applyBorder="1"/>
    <xf numFmtId="0" fontId="0" fillId="6" borderId="1" xfId="0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49" fontId="0" fillId="6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44" fontId="0" fillId="0" borderId="1" xfId="1" applyFont="1" applyFill="1" applyBorder="1" applyAlignment="1">
      <alignment horizontal="center" vertical="center"/>
    </xf>
    <xf numFmtId="2" fontId="0" fillId="0" borderId="0" xfId="0" applyNumberFormat="1"/>
    <xf numFmtId="2" fontId="3" fillId="2" borderId="1" xfId="2" applyNumberFormat="1" applyFont="1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9" fontId="0" fillId="7" borderId="1" xfId="3" applyFont="1" applyFill="1" applyBorder="1"/>
    <xf numFmtId="0" fontId="0" fillId="4" borderId="1" xfId="0" applyFill="1" applyBorder="1"/>
    <xf numFmtId="0" fontId="0" fillId="4" borderId="1" xfId="0" applyFill="1" applyBorder="1" applyAlignment="1">
      <alignment horizontal="center" vertical="center"/>
    </xf>
    <xf numFmtId="2" fontId="0" fillId="6" borderId="1" xfId="0" applyNumberFormat="1" applyFill="1" applyBorder="1" applyAlignment="1">
      <alignment horizontal="center" vertical="center"/>
    </xf>
    <xf numFmtId="165" fontId="0" fillId="0" borderId="1" xfId="1" applyNumberFormat="1" applyFont="1" applyBorder="1" applyAlignment="1">
      <alignment horizontal="center" vertical="center"/>
    </xf>
    <xf numFmtId="165" fontId="0" fillId="7" borderId="1" xfId="1" applyNumberFormat="1" applyFont="1" applyFill="1" applyBorder="1" applyAlignment="1">
      <alignment horizontal="center" vertical="center"/>
    </xf>
    <xf numFmtId="165" fontId="0" fillId="0" borderId="1" xfId="1" applyNumberFormat="1" applyFont="1" applyFill="1" applyBorder="1" applyAlignment="1">
      <alignment horizontal="center" vertical="center"/>
    </xf>
    <xf numFmtId="44" fontId="0" fillId="0" borderId="2" xfId="1" applyFont="1" applyBorder="1" applyAlignment="1">
      <alignment horizontal="center" vertical="center"/>
    </xf>
    <xf numFmtId="44" fontId="0" fillId="6" borderId="2" xfId="1" applyFont="1" applyFill="1" applyBorder="1" applyAlignment="1">
      <alignment horizontal="center" vertical="center"/>
    </xf>
    <xf numFmtId="165" fontId="0" fillId="0" borderId="3" xfId="1" applyNumberFormat="1" applyFont="1" applyBorder="1" applyAlignment="1">
      <alignment horizontal="center" vertical="center"/>
    </xf>
    <xf numFmtId="165" fontId="0" fillId="7" borderId="6" xfId="1" applyNumberFormat="1" applyFont="1" applyFill="1" applyBorder="1" applyAlignment="1">
      <alignment horizontal="center" vertical="center"/>
    </xf>
    <xf numFmtId="165" fontId="0" fillId="7" borderId="3" xfId="1" applyNumberFormat="1" applyFont="1" applyFill="1" applyBorder="1" applyAlignment="1">
      <alignment horizontal="center" vertical="center"/>
    </xf>
    <xf numFmtId="165" fontId="0" fillId="9" borderId="1" xfId="1" applyNumberFormat="1" applyFont="1" applyFill="1" applyBorder="1" applyAlignment="1">
      <alignment horizontal="center" vertical="center"/>
    </xf>
    <xf numFmtId="165" fontId="0" fillId="9" borderId="7" xfId="1" applyNumberFormat="1" applyFont="1" applyFill="1" applyBorder="1" applyAlignment="1">
      <alignment horizontal="center" vertical="center"/>
    </xf>
    <xf numFmtId="165" fontId="0" fillId="9" borderId="3" xfId="1" applyNumberFormat="1" applyFont="1" applyFill="1" applyBorder="1" applyAlignment="1">
      <alignment horizontal="center" vertical="center"/>
    </xf>
    <xf numFmtId="165" fontId="0" fillId="9" borderId="6" xfId="1" applyNumberFormat="1" applyFont="1" applyFill="1" applyBorder="1" applyAlignment="1">
      <alignment horizontal="center" vertical="center"/>
    </xf>
    <xf numFmtId="165" fontId="0" fillId="9" borderId="8" xfId="1" applyNumberFormat="1" applyFont="1" applyFill="1" applyBorder="1" applyAlignment="1">
      <alignment horizontal="center" vertical="center"/>
    </xf>
    <xf numFmtId="165" fontId="0" fillId="9" borderId="12" xfId="1" applyNumberFormat="1" applyFont="1" applyFill="1" applyBorder="1" applyAlignment="1">
      <alignment horizontal="center" vertical="center"/>
    </xf>
    <xf numFmtId="165" fontId="0" fillId="9" borderId="9" xfId="1" applyNumberFormat="1" applyFont="1" applyFill="1" applyBorder="1" applyAlignment="1">
      <alignment horizontal="center" vertical="center"/>
    </xf>
    <xf numFmtId="165" fontId="0" fillId="9" borderId="4" xfId="1" applyNumberFormat="1" applyFont="1" applyFill="1" applyBorder="1" applyAlignment="1">
      <alignment horizontal="center" vertical="center"/>
    </xf>
    <xf numFmtId="165" fontId="0" fillId="9" borderId="11" xfId="1" applyNumberFormat="1" applyFont="1" applyFill="1" applyBorder="1" applyAlignment="1">
      <alignment horizontal="center" vertical="center"/>
    </xf>
    <xf numFmtId="165" fontId="0" fillId="9" borderId="5" xfId="1" applyNumberFormat="1" applyFont="1" applyFill="1" applyBorder="1" applyAlignment="1">
      <alignment horizontal="center" vertical="center"/>
    </xf>
    <xf numFmtId="165" fontId="0" fillId="0" borderId="6" xfId="1" applyNumberFormat="1" applyFont="1" applyFill="1" applyBorder="1" applyAlignment="1">
      <alignment horizontal="center" vertical="center"/>
    </xf>
    <xf numFmtId="165" fontId="0" fillId="0" borderId="7" xfId="1" applyNumberFormat="1" applyFont="1" applyFill="1" applyBorder="1" applyAlignment="1">
      <alignment horizontal="center" vertical="center"/>
    </xf>
    <xf numFmtId="165" fontId="0" fillId="0" borderId="8" xfId="1" applyNumberFormat="1" applyFont="1" applyFill="1" applyBorder="1" applyAlignment="1">
      <alignment horizontal="center" vertical="center"/>
    </xf>
    <xf numFmtId="165" fontId="0" fillId="0" borderId="12" xfId="1" applyNumberFormat="1" applyFont="1" applyFill="1" applyBorder="1" applyAlignment="1">
      <alignment horizontal="center" vertical="center"/>
    </xf>
    <xf numFmtId="2" fontId="0" fillId="9" borderId="0" xfId="0" applyNumberFormat="1" applyFill="1" applyAlignment="1">
      <alignment horizontal="center" vertical="center"/>
    </xf>
    <xf numFmtId="165" fontId="8" fillId="7" borderId="3" xfId="1" applyNumberFormat="1" applyFont="1" applyFill="1" applyBorder="1" applyAlignment="1">
      <alignment horizontal="center" vertical="center"/>
    </xf>
    <xf numFmtId="2" fontId="0" fillId="7" borderId="1" xfId="0" applyNumberFormat="1" applyFill="1" applyBorder="1" applyAlignment="1">
      <alignment horizontal="center" vertical="center"/>
    </xf>
    <xf numFmtId="165" fontId="0" fillId="7" borderId="11" xfId="1" applyNumberFormat="1" applyFont="1" applyFill="1" applyBorder="1" applyAlignment="1">
      <alignment horizontal="center" vertical="center"/>
    </xf>
    <xf numFmtId="0" fontId="0" fillId="6" borderId="1" xfId="1" applyNumberFormat="1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top"/>
    </xf>
    <xf numFmtId="165" fontId="0" fillId="7" borderId="4" xfId="1" applyNumberFormat="1" applyFont="1" applyFill="1" applyBorder="1" applyAlignment="1">
      <alignment horizontal="center" vertical="center"/>
    </xf>
    <xf numFmtId="0" fontId="0" fillId="6" borderId="0" xfId="0" applyFill="1" applyAlignment="1">
      <alignment horizontal="center" vertical="top"/>
    </xf>
    <xf numFmtId="0" fontId="0" fillId="2" borderId="1" xfId="0" applyFill="1" applyBorder="1" applyAlignment="1">
      <alignment horizontal="center" vertical="center"/>
    </xf>
    <xf numFmtId="0" fontId="0" fillId="4" borderId="0" xfId="0" applyFill="1"/>
    <xf numFmtId="2" fontId="0" fillId="0" borderId="1" xfId="0" applyNumberFormat="1" applyBorder="1"/>
    <xf numFmtId="165" fontId="9" fillId="9" borderId="6" xfId="1" applyNumberFormat="1" applyFont="1" applyFill="1" applyBorder="1" applyAlignment="1">
      <alignment horizontal="center" vertical="center"/>
    </xf>
    <xf numFmtId="165" fontId="9" fillId="0" borderId="1" xfId="1" applyNumberFormat="1" applyFont="1" applyFill="1" applyBorder="1" applyAlignment="1">
      <alignment horizontal="center" vertical="center"/>
    </xf>
    <xf numFmtId="165" fontId="9" fillId="0" borderId="7" xfId="1" applyNumberFormat="1" applyFont="1" applyFill="1" applyBorder="1" applyAlignment="1">
      <alignment horizontal="center" vertical="center"/>
    </xf>
    <xf numFmtId="165" fontId="9" fillId="0" borderId="6" xfId="1" applyNumberFormat="1" applyFont="1" applyFill="1" applyBorder="1" applyAlignment="1">
      <alignment horizontal="center" vertical="center"/>
    </xf>
    <xf numFmtId="165" fontId="9" fillId="9" borderId="1" xfId="1" applyNumberFormat="1" applyFont="1" applyFill="1" applyBorder="1" applyAlignment="1">
      <alignment horizontal="center" vertical="center"/>
    </xf>
    <xf numFmtId="165" fontId="9" fillId="0" borderId="12" xfId="1" applyNumberFormat="1" applyFont="1" applyFill="1" applyBorder="1" applyAlignment="1">
      <alignment horizontal="center" vertical="center"/>
    </xf>
    <xf numFmtId="165" fontId="9" fillId="0" borderId="9" xfId="1" applyNumberFormat="1" applyFont="1" applyFill="1" applyBorder="1" applyAlignment="1">
      <alignment horizontal="center" vertical="center"/>
    </xf>
    <xf numFmtId="165" fontId="9" fillId="0" borderId="8" xfId="1" applyNumberFormat="1" applyFont="1" applyFill="1" applyBorder="1" applyAlignment="1">
      <alignment horizontal="center" vertical="center"/>
    </xf>
    <xf numFmtId="165" fontId="0" fillId="0" borderId="14" xfId="1" applyNumberFormat="1" applyFont="1" applyFill="1" applyBorder="1" applyAlignment="1">
      <alignment horizontal="center" vertical="center"/>
    </xf>
    <xf numFmtId="9" fontId="0" fillId="7" borderId="15" xfId="3" applyFont="1" applyFill="1" applyBorder="1"/>
    <xf numFmtId="2" fontId="0" fillId="0" borderId="4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165" fontId="0" fillId="9" borderId="2" xfId="1" applyNumberFormat="1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166" fontId="0" fillId="6" borderId="1" xfId="0" applyNumberFormat="1" applyFill="1" applyBorder="1" applyAlignment="1">
      <alignment horizontal="center" vertical="center"/>
    </xf>
    <xf numFmtId="2" fontId="0" fillId="9" borderId="1" xfId="0" applyNumberFormat="1" applyFill="1" applyBorder="1" applyAlignment="1">
      <alignment horizontal="center" vertical="center"/>
    </xf>
    <xf numFmtId="165" fontId="0" fillId="0" borderId="15" xfId="3" applyNumberFormat="1" applyFont="1" applyFill="1" applyBorder="1"/>
    <xf numFmtId="9" fontId="0" fillId="9" borderId="4" xfId="3" applyFont="1" applyFill="1" applyBorder="1"/>
    <xf numFmtId="9" fontId="0" fillId="0" borderId="5" xfId="3" applyFont="1" applyFill="1" applyBorder="1"/>
    <xf numFmtId="2" fontId="0" fillId="9" borderId="6" xfId="0" applyNumberFormat="1" applyFill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0" fontId="0" fillId="0" borderId="12" xfId="0" applyBorder="1"/>
    <xf numFmtId="0" fontId="0" fillId="6" borderId="2" xfId="0" applyFill="1" applyBorder="1" applyAlignment="1">
      <alignment horizontal="center" vertical="center" wrapText="1"/>
    </xf>
    <xf numFmtId="165" fontId="4" fillId="7" borderId="4" xfId="1" applyNumberFormat="1" applyFont="1" applyFill="1" applyBorder="1" applyAlignment="1">
      <alignment horizontal="center" vertical="center"/>
    </xf>
    <xf numFmtId="165" fontId="4" fillId="7" borderId="6" xfId="1" applyNumberFormat="1" applyFont="1" applyFill="1" applyBorder="1" applyAlignment="1">
      <alignment horizontal="center" vertical="center"/>
    </xf>
    <xf numFmtId="9" fontId="0" fillId="9" borderId="11" xfId="3" applyFont="1" applyFill="1" applyBorder="1"/>
    <xf numFmtId="2" fontId="9" fillId="0" borderId="11" xfId="3" applyNumberFormat="1" applyFont="1" applyFill="1" applyBorder="1"/>
    <xf numFmtId="0" fontId="9" fillId="0" borderId="1" xfId="0" applyFont="1" applyBorder="1"/>
    <xf numFmtId="0" fontId="9" fillId="9" borderId="6" xfId="0" applyFont="1" applyFill="1" applyBorder="1"/>
    <xf numFmtId="0" fontId="0" fillId="8" borderId="1" xfId="0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4" applyNumberFormat="1" applyFont="1" applyFill="1" applyBorder="1" applyAlignment="1">
      <alignment horizontal="center" vertical="center"/>
    </xf>
    <xf numFmtId="0" fontId="3" fillId="0" borderId="1" xfId="2" applyFont="1" applyBorder="1" applyAlignment="1">
      <alignment horizontal="center" vertical="center" wrapText="1"/>
    </xf>
    <xf numFmtId="2" fontId="3" fillId="0" borderId="1" xfId="2" applyNumberFormat="1" applyFont="1" applyBorder="1" applyAlignment="1">
      <alignment horizontal="center" vertical="center" wrapText="1"/>
    </xf>
    <xf numFmtId="0" fontId="0" fillId="9" borderId="1" xfId="0" applyFill="1" applyBorder="1"/>
    <xf numFmtId="0" fontId="0" fillId="9" borderId="7" xfId="0" applyFill="1" applyBorder="1"/>
    <xf numFmtId="9" fontId="0" fillId="9" borderId="5" xfId="3" applyFont="1" applyFill="1" applyBorder="1"/>
    <xf numFmtId="2" fontId="0" fillId="9" borderId="7" xfId="0" applyNumberFormat="1" applyFill="1" applyBorder="1" applyAlignment="1">
      <alignment horizontal="center" vertical="center"/>
    </xf>
    <xf numFmtId="0" fontId="0" fillId="9" borderId="6" xfId="0" applyFill="1" applyBorder="1"/>
    <xf numFmtId="0" fontId="0" fillId="9" borderId="8" xfId="0" applyFill="1" applyBorder="1"/>
    <xf numFmtId="0" fontId="0" fillId="9" borderId="12" xfId="0" applyFill="1" applyBorder="1"/>
    <xf numFmtId="0" fontId="0" fillId="9" borderId="9" xfId="0" applyFill="1" applyBorder="1"/>
    <xf numFmtId="2" fontId="0" fillId="9" borderId="0" xfId="0" applyNumberFormat="1" applyFill="1"/>
    <xf numFmtId="165" fontId="8" fillId="7" borderId="1" xfId="1" applyNumberFormat="1" applyFont="1" applyFill="1" applyBorder="1" applyAlignment="1">
      <alignment horizontal="center" vertical="center"/>
    </xf>
    <xf numFmtId="165" fontId="0" fillId="9" borderId="14" xfId="1" applyNumberFormat="1" applyFont="1" applyFill="1" applyBorder="1" applyAlignment="1">
      <alignment horizontal="center" vertical="center"/>
    </xf>
    <xf numFmtId="165" fontId="0" fillId="9" borderId="13" xfId="1" applyNumberFormat="1" applyFont="1" applyFill="1" applyBorder="1" applyAlignment="1">
      <alignment horizontal="center" vertical="center"/>
    </xf>
    <xf numFmtId="165" fontId="8" fillId="9" borderId="1" xfId="1" applyNumberFormat="1" applyFont="1" applyFill="1" applyBorder="1" applyAlignment="1">
      <alignment horizontal="center" vertical="center"/>
    </xf>
    <xf numFmtId="9" fontId="0" fillId="0" borderId="4" xfId="3" applyFont="1" applyFill="1" applyBorder="1"/>
    <xf numFmtId="9" fontId="0" fillId="0" borderId="11" xfId="3" applyFont="1" applyFill="1" applyBorder="1"/>
    <xf numFmtId="2" fontId="0" fillId="0" borderId="6" xfId="0" applyNumberFormat="1" applyBorder="1" applyAlignment="1">
      <alignment horizontal="center" vertical="center"/>
    </xf>
    <xf numFmtId="165" fontId="4" fillId="0" borderId="6" xfId="1" applyNumberFormat="1" applyFont="1" applyFill="1" applyBorder="1" applyAlignment="1">
      <alignment horizontal="center" vertical="center"/>
    </xf>
    <xf numFmtId="2" fontId="0" fillId="0" borderId="6" xfId="0" applyNumberFormat="1" applyBorder="1"/>
    <xf numFmtId="2" fontId="0" fillId="0" borderId="7" xfId="0" applyNumberFormat="1" applyBorder="1"/>
    <xf numFmtId="2" fontId="0" fillId="0" borderId="12" xfId="0" applyNumberFormat="1" applyBorder="1"/>
    <xf numFmtId="2" fontId="0" fillId="0" borderId="9" xfId="0" applyNumberFormat="1" applyBorder="1"/>
    <xf numFmtId="165" fontId="9" fillId="7" borderId="1" xfId="1" applyNumberFormat="1" applyFont="1" applyFill="1" applyBorder="1" applyAlignment="1">
      <alignment horizontal="center" vertical="center"/>
    </xf>
    <xf numFmtId="165" fontId="9" fillId="7" borderId="6" xfId="1" applyNumberFormat="1" applyFont="1" applyFill="1" applyBorder="1" applyAlignment="1">
      <alignment horizontal="center" vertical="center"/>
    </xf>
    <xf numFmtId="165" fontId="0" fillId="7" borderId="7" xfId="1" applyNumberFormat="1" applyFont="1" applyFill="1" applyBorder="1" applyAlignment="1">
      <alignment horizontal="center" vertical="center"/>
    </xf>
    <xf numFmtId="9" fontId="3" fillId="2" borderId="1" xfId="2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165" fontId="0" fillId="0" borderId="4" xfId="3" applyNumberFormat="1" applyFont="1" applyFill="1" applyBorder="1"/>
    <xf numFmtId="9" fontId="0" fillId="0" borderId="7" xfId="3" applyFont="1" applyFill="1" applyBorder="1"/>
    <xf numFmtId="2" fontId="0" fillId="4" borderId="1" xfId="0" applyNumberForma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6" borderId="1" xfId="4" applyNumberFormat="1" applyFont="1" applyFill="1" applyBorder="1" applyAlignment="1">
      <alignment horizontal="center" vertical="center"/>
    </xf>
    <xf numFmtId="2" fontId="0" fillId="9" borderId="6" xfId="0" applyNumberFormat="1" applyFill="1" applyBorder="1"/>
    <xf numFmtId="0" fontId="0" fillId="2" borderId="2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2" fontId="9" fillId="0" borderId="1" xfId="3" applyNumberFormat="1" applyFont="1" applyFill="1" applyBorder="1"/>
    <xf numFmtId="2" fontId="9" fillId="9" borderId="1" xfId="3" applyNumberFormat="1" applyFont="1" applyFill="1" applyBorder="1"/>
    <xf numFmtId="0" fontId="9" fillId="9" borderId="1" xfId="0" applyFont="1" applyFill="1" applyBorder="1"/>
    <xf numFmtId="0" fontId="0" fillId="6" borderId="1" xfId="0" applyFill="1" applyBorder="1" applyAlignment="1">
      <alignment wrapText="1"/>
    </xf>
    <xf numFmtId="0" fontId="8" fillId="6" borderId="1" xfId="0" applyFont="1" applyFill="1" applyBorder="1" applyAlignment="1">
      <alignment horizontal="center" vertical="center" wrapText="1"/>
    </xf>
    <xf numFmtId="165" fontId="0" fillId="6" borderId="1" xfId="0" applyNumberFormat="1" applyFill="1" applyBorder="1" applyAlignment="1">
      <alignment horizontal="center" vertical="center" wrapText="1"/>
    </xf>
    <xf numFmtId="0" fontId="8" fillId="6" borderId="1" xfId="5" applyNumberFormat="1" applyFont="1" applyFill="1" applyBorder="1" applyAlignment="1">
      <alignment horizontal="center" vertical="center" wrapText="1"/>
    </xf>
    <xf numFmtId="165" fontId="8" fillId="6" borderId="1" xfId="5" applyNumberFormat="1" applyFont="1" applyFill="1" applyBorder="1" applyAlignment="1">
      <alignment horizontal="center" vertical="center" wrapText="1"/>
    </xf>
    <xf numFmtId="2" fontId="9" fillId="7" borderId="6" xfId="0" applyNumberFormat="1" applyFont="1" applyFill="1" applyBorder="1"/>
    <xf numFmtId="2" fontId="0" fillId="6" borderId="1" xfId="0" applyNumberFormat="1" applyFill="1" applyBorder="1" applyAlignment="1">
      <alignment horizontal="center" vertical="center" wrapText="1"/>
    </xf>
    <xf numFmtId="165" fontId="0" fillId="4" borderId="1" xfId="0" applyNumberFormat="1" applyFill="1" applyBorder="1" applyAlignment="1">
      <alignment horizontal="center" vertical="center" wrapText="1"/>
    </xf>
    <xf numFmtId="2" fontId="0" fillId="6" borderId="1" xfId="1" applyNumberFormat="1" applyFont="1" applyFill="1" applyBorder="1" applyAlignment="1">
      <alignment horizontal="right" vertical="center"/>
    </xf>
    <xf numFmtId="2" fontId="0" fillId="4" borderId="0" xfId="0" applyNumberFormat="1" applyFill="1" applyAlignment="1">
      <alignment horizontal="center" vertical="center"/>
    </xf>
    <xf numFmtId="0" fontId="8" fillId="6" borderId="1" xfId="1" applyNumberFormat="1" applyFont="1" applyFill="1" applyBorder="1" applyAlignment="1">
      <alignment horizontal="center" vertical="center"/>
    </xf>
    <xf numFmtId="2" fontId="0" fillId="9" borderId="8" xfId="0" applyNumberFormat="1" applyFill="1" applyBorder="1"/>
    <xf numFmtId="165" fontId="9" fillId="9" borderId="7" xfId="1" applyNumberFormat="1" applyFont="1" applyFill="1" applyBorder="1" applyAlignment="1">
      <alignment horizontal="center" vertical="center"/>
    </xf>
    <xf numFmtId="9" fontId="0" fillId="9" borderId="6" xfId="3" applyFont="1" applyFill="1" applyBorder="1"/>
    <xf numFmtId="9" fontId="0" fillId="9" borderId="1" xfId="3" applyFont="1" applyFill="1" applyBorder="1"/>
    <xf numFmtId="9" fontId="0" fillId="9" borderId="7" xfId="3" applyFont="1" applyFill="1" applyBorder="1"/>
    <xf numFmtId="2" fontId="0" fillId="9" borderId="1" xfId="0" applyNumberFormat="1" applyFill="1" applyBorder="1"/>
    <xf numFmtId="2" fontId="0" fillId="9" borderId="7" xfId="0" applyNumberFormat="1" applyFill="1" applyBorder="1"/>
    <xf numFmtId="2" fontId="9" fillId="9" borderId="6" xfId="0" applyNumberFormat="1" applyFont="1" applyFill="1" applyBorder="1"/>
    <xf numFmtId="2" fontId="9" fillId="9" borderId="8" xfId="0" applyNumberFormat="1" applyFont="1" applyFill="1" applyBorder="1"/>
    <xf numFmtId="2" fontId="0" fillId="9" borderId="12" xfId="0" applyNumberFormat="1" applyFill="1" applyBorder="1"/>
    <xf numFmtId="2" fontId="0" fillId="9" borderId="9" xfId="0" applyNumberFormat="1" applyFill="1" applyBorder="1"/>
    <xf numFmtId="2" fontId="0" fillId="7" borderId="6" xfId="0" applyNumberFormat="1" applyFill="1" applyBorder="1"/>
    <xf numFmtId="0" fontId="8" fillId="0" borderId="1" xfId="5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7" borderId="1" xfId="0" applyFill="1" applyBorder="1"/>
    <xf numFmtId="2" fontId="4" fillId="7" borderId="11" xfId="3" applyNumberFormat="1" applyFont="1" applyFill="1" applyBorder="1"/>
    <xf numFmtId="2" fontId="9" fillId="9" borderId="11" xfId="3" applyNumberFormat="1" applyFont="1" applyFill="1" applyBorder="1"/>
    <xf numFmtId="0" fontId="0" fillId="8" borderId="1" xfId="0" applyFill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166" fontId="0" fillId="6" borderId="1" xfId="0" applyNumberForma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2" fontId="0" fillId="7" borderId="1" xfId="0" applyNumberFormat="1" applyFill="1" applyBorder="1"/>
    <xf numFmtId="0" fontId="0" fillId="4" borderId="2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1" xfId="0" applyFill="1" applyBorder="1" applyAlignment="1">
      <alignment horizontal="center"/>
    </xf>
    <xf numFmtId="0" fontId="3" fillId="8" borderId="1" xfId="2" applyFont="1" applyFill="1" applyBorder="1" applyAlignment="1">
      <alignment horizontal="center" vertical="center" wrapText="1"/>
    </xf>
    <xf numFmtId="0" fontId="0" fillId="8" borderId="0" xfId="0" applyFill="1" applyAlignment="1">
      <alignment horizontal="center" vertical="center"/>
    </xf>
    <xf numFmtId="0" fontId="0" fillId="0" borderId="8" xfId="0" applyBorder="1"/>
    <xf numFmtId="44" fontId="3" fillId="2" borderId="2" xfId="1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44" fontId="0" fillId="0" borderId="1" xfId="1" applyFont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2" fontId="0" fillId="7" borderId="12" xfId="0" applyNumberFormat="1" applyFill="1" applyBorder="1"/>
    <xf numFmtId="2" fontId="0" fillId="7" borderId="6" xfId="0" applyNumberFormat="1" applyFill="1" applyBorder="1" applyAlignment="1">
      <alignment horizontal="center" vertical="center"/>
    </xf>
    <xf numFmtId="0" fontId="0" fillId="7" borderId="6" xfId="0" applyFill="1" applyBorder="1"/>
    <xf numFmtId="2" fontId="0" fillId="9" borderId="11" xfId="0" applyNumberFormat="1" applyFill="1" applyBorder="1" applyAlignment="1">
      <alignment horizontal="center" vertical="center"/>
    </xf>
    <xf numFmtId="2" fontId="0" fillId="9" borderId="5" xfId="0" applyNumberFormat="1" applyFill="1" applyBorder="1" applyAlignment="1">
      <alignment horizontal="center" vertical="center"/>
    </xf>
    <xf numFmtId="2" fontId="0" fillId="9" borderId="4" xfId="0" applyNumberForma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3" fillId="2" borderId="1" xfId="2" applyFont="1" applyFill="1" applyBorder="1" applyAlignment="1">
      <alignment horizontal="center" vertical="top" wrapText="1"/>
    </xf>
    <xf numFmtId="0" fontId="3" fillId="3" borderId="1" xfId="2" applyFont="1" applyFill="1" applyBorder="1" applyAlignment="1">
      <alignment horizontal="center" vertical="top" wrapText="1"/>
    </xf>
    <xf numFmtId="0" fontId="3" fillId="4" borderId="1" xfId="2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0" fontId="0" fillId="4" borderId="2" xfId="0" applyFill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0" fillId="0" borderId="3" xfId="0" applyFont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center" vertical="top" wrapText="1"/>
    </xf>
    <xf numFmtId="0" fontId="10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164" fontId="0" fillId="4" borderId="1" xfId="0" applyNumberForma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wrapText="1"/>
    </xf>
    <xf numFmtId="164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wrapText="1"/>
    </xf>
    <xf numFmtId="0" fontId="0" fillId="0" borderId="0" xfId="0" applyAlignment="1">
      <alignment wrapText="1"/>
    </xf>
    <xf numFmtId="4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1" fillId="0" borderId="16" xfId="0" applyFont="1" applyBorder="1"/>
    <xf numFmtId="0" fontId="1" fillId="0" borderId="17" xfId="0" applyFont="1" applyBorder="1"/>
    <xf numFmtId="0" fontId="1" fillId="0" borderId="18" xfId="0" applyFont="1" applyBorder="1" applyAlignment="1">
      <alignment horizontal="center" vertical="center"/>
    </xf>
    <xf numFmtId="0" fontId="0" fillId="0" borderId="4" xfId="0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9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0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1" xfId="0" applyBorder="1" applyAlignment="1">
      <alignment horizontal="center" vertical="center"/>
    </xf>
    <xf numFmtId="0" fontId="10" fillId="0" borderId="0" xfId="0" applyFont="1" applyAlignment="1">
      <alignment horizontal="center" vertical="top" wrapText="1"/>
    </xf>
    <xf numFmtId="0" fontId="0" fillId="4" borderId="2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165" fontId="0" fillId="0" borderId="22" xfId="3" applyNumberFormat="1" applyFont="1" applyFill="1" applyBorder="1"/>
    <xf numFmtId="9" fontId="0" fillId="0" borderId="23" xfId="3" applyFont="1" applyFill="1" applyBorder="1"/>
    <xf numFmtId="2" fontId="0" fillId="0" borderId="10" xfId="0" applyNumberFormat="1" applyBorder="1" applyAlignment="1">
      <alignment horizontal="center" vertical="center"/>
    </xf>
    <xf numFmtId="165" fontId="0" fillId="0" borderId="10" xfId="1" applyNumberFormat="1" applyFont="1" applyFill="1" applyBorder="1" applyAlignment="1">
      <alignment horizontal="center" vertical="center"/>
    </xf>
    <xf numFmtId="2" fontId="0" fillId="0" borderId="10" xfId="0" applyNumberFormat="1" applyBorder="1"/>
    <xf numFmtId="0" fontId="0" fillId="0" borderId="10" xfId="0" applyBorder="1"/>
    <xf numFmtId="0" fontId="0" fillId="0" borderId="24" xfId="0" applyBorder="1"/>
    <xf numFmtId="9" fontId="0" fillId="0" borderId="2" xfId="3" applyFont="1" applyFill="1" applyBorder="1"/>
    <xf numFmtId="0" fontId="3" fillId="4" borderId="1" xfId="2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44" fontId="0" fillId="4" borderId="1" xfId="0" applyNumberFormat="1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44" fontId="8" fillId="0" borderId="1" xfId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2" fontId="0" fillId="0" borderId="8" xfId="0" applyNumberFormat="1" applyBorder="1"/>
    <xf numFmtId="0" fontId="0" fillId="4" borderId="3" xfId="0" applyFill="1" applyBorder="1" applyAlignment="1">
      <alignment horizontal="center" vertical="center"/>
    </xf>
    <xf numFmtId="2" fontId="0" fillId="5" borderId="6" xfId="0" applyNumberFormat="1" applyFill="1" applyBorder="1"/>
    <xf numFmtId="165" fontId="0" fillId="5" borderId="6" xfId="1" applyNumberFormat="1" applyFont="1" applyFill="1" applyBorder="1" applyAlignment="1">
      <alignment horizontal="center" vertical="center"/>
    </xf>
    <xf numFmtId="165" fontId="0" fillId="5" borderId="7" xfId="1" applyNumberFormat="1" applyFont="1" applyFill="1" applyBorder="1" applyAlignment="1">
      <alignment horizontal="center" vertical="center"/>
    </xf>
    <xf numFmtId="165" fontId="0" fillId="5" borderId="1" xfId="1" applyNumberFormat="1" applyFont="1" applyFill="1" applyBorder="1" applyAlignment="1">
      <alignment horizontal="center" vertical="center"/>
    </xf>
    <xf numFmtId="2" fontId="0" fillId="7" borderId="7" xfId="0" applyNumberFormat="1" applyFill="1" applyBorder="1"/>
    <xf numFmtId="2" fontId="0" fillId="5" borderId="1" xfId="0" applyNumberFormat="1" applyFill="1" applyBorder="1"/>
    <xf numFmtId="2" fontId="0" fillId="5" borderId="1" xfId="0" applyNumberFormat="1" applyFill="1" applyBorder="1" applyAlignment="1">
      <alignment horizontal="center" vertical="center"/>
    </xf>
    <xf numFmtId="2" fontId="0" fillId="5" borderId="7" xfId="0" applyNumberFormat="1" applyFill="1" applyBorder="1"/>
    <xf numFmtId="0" fontId="0" fillId="0" borderId="15" xfId="0" applyBorder="1" applyAlignment="1">
      <alignment horizontal="center" vertical="center"/>
    </xf>
    <xf numFmtId="0" fontId="5" fillId="0" borderId="15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5" xfId="1" applyNumberFormat="1" applyFont="1" applyBorder="1" applyAlignment="1">
      <alignment horizontal="center" vertical="center"/>
    </xf>
    <xf numFmtId="49" fontId="0" fillId="0" borderId="15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44" fontId="0" fillId="4" borderId="15" xfId="1" applyFont="1" applyFill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 wrapText="1"/>
    </xf>
    <xf numFmtId="0" fontId="5" fillId="4" borderId="15" xfId="0" applyFont="1" applyFill="1" applyBorder="1" applyAlignment="1">
      <alignment horizontal="center" vertical="center" wrapText="1"/>
    </xf>
    <xf numFmtId="164" fontId="0" fillId="4" borderId="1" xfId="0" applyNumberFormat="1" applyFill="1" applyBorder="1" applyAlignment="1">
      <alignment horizontal="center" vertical="center"/>
    </xf>
    <xf numFmtId="167" fontId="0" fillId="4" borderId="1" xfId="0" applyNumberFormat="1" applyFill="1" applyBorder="1" applyAlignment="1">
      <alignment horizontal="center" vertical="center"/>
    </xf>
    <xf numFmtId="164" fontId="0" fillId="4" borderId="0" xfId="0" applyNumberFormat="1" applyFill="1" applyAlignment="1">
      <alignment horizontal="center" vertical="center"/>
    </xf>
    <xf numFmtId="167" fontId="0" fillId="0" borderId="15" xfId="1" applyNumberFormat="1" applyFont="1" applyBorder="1" applyAlignment="1">
      <alignment horizontal="center" vertical="center"/>
    </xf>
    <xf numFmtId="167" fontId="0" fillId="0" borderId="15" xfId="1" applyNumberFormat="1" applyFont="1" applyFill="1" applyBorder="1" applyAlignment="1">
      <alignment horizontal="center" vertical="center"/>
    </xf>
    <xf numFmtId="49" fontId="0" fillId="0" borderId="15" xfId="0" applyNumberFormat="1" applyBorder="1" applyAlignment="1">
      <alignment horizontal="center" vertical="center" wrapText="1"/>
    </xf>
    <xf numFmtId="167" fontId="0" fillId="0" borderId="1" xfId="1" applyNumberFormat="1" applyFont="1" applyBorder="1" applyAlignment="1">
      <alignment horizontal="center" vertical="center"/>
    </xf>
    <xf numFmtId="167" fontId="0" fillId="0" borderId="1" xfId="1" applyNumberFormat="1" applyFont="1" applyFill="1" applyBorder="1" applyAlignment="1">
      <alignment horizontal="center" vertical="center"/>
    </xf>
    <xf numFmtId="0" fontId="3" fillId="2" borderId="15" xfId="2" applyFont="1" applyFill="1" applyBorder="1" applyAlignment="1">
      <alignment horizontal="center" vertical="center" wrapText="1"/>
    </xf>
    <xf numFmtId="0" fontId="3" fillId="2" borderId="2" xfId="2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9" borderId="15" xfId="0" applyFill="1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164" fontId="0" fillId="4" borderId="1" xfId="1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164" fontId="0" fillId="6" borderId="1" xfId="1" applyNumberFormat="1" applyFont="1" applyFill="1" applyBorder="1" applyAlignment="1">
      <alignment horizontal="right" vertical="center"/>
    </xf>
    <xf numFmtId="44" fontId="0" fillId="6" borderId="1" xfId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0" fillId="5" borderId="1" xfId="0" applyFill="1" applyBorder="1"/>
    <xf numFmtId="0" fontId="0" fillId="5" borderId="7" xfId="0" applyFill="1" applyBorder="1"/>
    <xf numFmtId="0" fontId="0" fillId="6" borderId="15" xfId="0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 wrapText="1"/>
    </xf>
    <xf numFmtId="2" fontId="0" fillId="6" borderId="15" xfId="0" applyNumberFormat="1" applyFill="1" applyBorder="1" applyAlignment="1">
      <alignment horizontal="center" vertical="center"/>
    </xf>
    <xf numFmtId="2" fontId="0" fillId="7" borderId="11" xfId="0" applyNumberFormat="1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 wrapText="1"/>
    </xf>
    <xf numFmtId="0" fontId="0" fillId="0" borderId="3" xfId="0" applyBorder="1"/>
    <xf numFmtId="0" fontId="3" fillId="3" borderId="15" xfId="2" applyFont="1" applyFill="1" applyBorder="1" applyAlignment="1">
      <alignment horizontal="center" vertical="center" wrapText="1"/>
    </xf>
    <xf numFmtId="0" fontId="3" fillId="4" borderId="15" xfId="2" applyFont="1" applyFill="1" applyBorder="1" applyAlignment="1">
      <alignment horizontal="center" vertical="center" wrapText="1"/>
    </xf>
    <xf numFmtId="167" fontId="3" fillId="2" borderId="15" xfId="2" applyNumberFormat="1" applyFont="1" applyFill="1" applyBorder="1" applyAlignment="1">
      <alignment horizontal="center" vertical="center" wrapText="1"/>
    </xf>
    <xf numFmtId="167" fontId="3" fillId="4" borderId="15" xfId="2" applyNumberFormat="1" applyFont="1" applyFill="1" applyBorder="1" applyAlignment="1">
      <alignment horizontal="center" vertical="center" wrapText="1"/>
    </xf>
    <xf numFmtId="44" fontId="3" fillId="2" borderId="15" xfId="1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44" fontId="3" fillId="2" borderId="15" xfId="1" applyFont="1" applyFill="1" applyBorder="1" applyAlignment="1">
      <alignment horizontal="center" vertical="top" wrapText="1"/>
    </xf>
    <xf numFmtId="0" fontId="0" fillId="4" borderId="22" xfId="0" applyFill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center" vertical="center" wrapText="1"/>
    </xf>
    <xf numFmtId="2" fontId="0" fillId="0" borderId="27" xfId="0" applyNumberFormat="1" applyBorder="1"/>
    <xf numFmtId="2" fontId="0" fillId="0" borderId="15" xfId="0" applyNumberFormat="1" applyBorder="1"/>
    <xf numFmtId="2" fontId="0" fillId="0" borderId="28" xfId="0" applyNumberFormat="1" applyBorder="1"/>
    <xf numFmtId="0" fontId="0" fillId="0" borderId="2" xfId="0" applyBorder="1"/>
    <xf numFmtId="2" fontId="0" fillId="7" borderId="1" xfId="3" applyNumberFormat="1" applyFont="1" applyFill="1" applyBorder="1"/>
    <xf numFmtId="0" fontId="0" fillId="10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44" fontId="8" fillId="7" borderId="1" xfId="1" applyFont="1" applyFill="1" applyBorder="1" applyAlignment="1">
      <alignment horizontal="center" vertical="center"/>
    </xf>
    <xf numFmtId="44" fontId="0" fillId="7" borderId="1" xfId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44" fontId="8" fillId="5" borderId="1" xfId="1" applyFont="1" applyFill="1" applyBorder="1" applyAlignment="1">
      <alignment horizontal="center" vertical="center"/>
    </xf>
    <xf numFmtId="44" fontId="0" fillId="5" borderId="1" xfId="1" applyFont="1" applyFill="1" applyBorder="1" applyAlignment="1">
      <alignment horizontal="center" vertical="center"/>
    </xf>
    <xf numFmtId="2" fontId="0" fillId="9" borderId="1" xfId="3" applyNumberFormat="1" applyFont="1" applyFill="1" applyBorder="1"/>
    <xf numFmtId="0" fontId="0" fillId="7" borderId="1" xfId="0" applyFill="1" applyBorder="1" applyAlignment="1">
      <alignment horizontal="center" vertical="center" wrapText="1"/>
    </xf>
    <xf numFmtId="0" fontId="0" fillId="6" borderId="15" xfId="0" applyFill="1" applyBorder="1" applyAlignment="1">
      <alignment horizontal="center"/>
    </xf>
    <xf numFmtId="0" fontId="3" fillId="6" borderId="1" xfId="2" applyFont="1" applyFill="1" applyBorder="1" applyAlignment="1">
      <alignment horizontal="center" vertical="center" wrapText="1"/>
    </xf>
    <xf numFmtId="44" fontId="3" fillId="6" borderId="1" xfId="1" applyFont="1" applyFill="1" applyBorder="1" applyAlignment="1">
      <alignment horizontal="center" vertical="center" wrapText="1"/>
    </xf>
    <xf numFmtId="0" fontId="0" fillId="4" borderId="2" xfId="0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3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4" borderId="0" xfId="0" applyFill="1" applyAlignment="1">
      <alignment vertical="center"/>
    </xf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0" xfId="0" applyAlignment="1">
      <alignment vertical="center" wrapText="1"/>
    </xf>
    <xf numFmtId="0" fontId="3" fillId="2" borderId="0" xfId="2" applyFont="1" applyFill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9" fontId="0" fillId="0" borderId="6" xfId="3" applyFont="1" applyFill="1" applyBorder="1"/>
    <xf numFmtId="9" fontId="0" fillId="0" borderId="1" xfId="3" applyFont="1" applyFill="1" applyBorder="1"/>
    <xf numFmtId="2" fontId="0" fillId="0" borderId="1" xfId="3" applyNumberFormat="1" applyFont="1" applyFill="1" applyBorder="1"/>
    <xf numFmtId="2" fontId="0" fillId="7" borderId="15" xfId="3" applyNumberFormat="1" applyFont="1" applyFill="1" applyBorder="1"/>
    <xf numFmtId="2" fontId="0" fillId="0" borderId="4" xfId="3" applyNumberFormat="1" applyFont="1" applyFill="1" applyBorder="1"/>
    <xf numFmtId="2" fontId="0" fillId="7" borderId="7" xfId="3" applyNumberFormat="1" applyFont="1" applyFill="1" applyBorder="1"/>
    <xf numFmtId="2" fontId="0" fillId="5" borderId="1" xfId="3" applyNumberFormat="1" applyFont="1" applyFill="1" applyBorder="1"/>
    <xf numFmtId="2" fontId="0" fillId="7" borderId="5" xfId="0" applyNumberFormat="1" applyFill="1" applyBorder="1" applyAlignment="1">
      <alignment horizontal="center" vertical="center"/>
    </xf>
    <xf numFmtId="2" fontId="0" fillId="7" borderId="7" xfId="0" applyNumberFormat="1" applyFill="1" applyBorder="1" applyAlignment="1">
      <alignment horizontal="center" vertical="center"/>
    </xf>
    <xf numFmtId="0" fontId="11" fillId="0" borderId="0" xfId="0" applyFont="1"/>
    <xf numFmtId="0" fontId="13" fillId="0" borderId="1" xfId="0" applyFont="1" applyBorder="1" applyAlignment="1">
      <alignment horizontal="left" vertical="center"/>
    </xf>
    <xf numFmtId="0" fontId="11" fillId="0" borderId="1" xfId="0" applyFont="1" applyBorder="1"/>
    <xf numFmtId="0" fontId="14" fillId="0" borderId="1" xfId="8" applyFont="1" applyBorder="1" applyAlignment="1">
      <alignment horizontal="left" vertical="top" wrapText="1"/>
    </xf>
    <xf numFmtId="0" fontId="13" fillId="0" borderId="3" xfId="0" applyFont="1" applyBorder="1" applyAlignment="1">
      <alignment horizontal="left" shrinkToFit="1"/>
    </xf>
    <xf numFmtId="0" fontId="13" fillId="0" borderId="30" xfId="0" applyFont="1" applyBorder="1" applyAlignment="1">
      <alignment horizontal="left" vertical="center"/>
    </xf>
    <xf numFmtId="0" fontId="13" fillId="0" borderId="31" xfId="0" applyFont="1" applyBorder="1" applyAlignment="1">
      <alignment horizontal="left" vertical="center"/>
    </xf>
    <xf numFmtId="0" fontId="15" fillId="8" borderId="1" xfId="0" applyFont="1" applyFill="1" applyBorder="1" applyAlignment="1">
      <alignment horizontal="center"/>
    </xf>
    <xf numFmtId="0" fontId="0" fillId="6" borderId="1" xfId="0" applyFill="1" applyBorder="1" applyAlignment="1">
      <alignment vertical="center"/>
    </xf>
    <xf numFmtId="44" fontId="0" fillId="6" borderId="1" xfId="0" applyNumberFormat="1" applyFill="1" applyBorder="1" applyAlignment="1">
      <alignment horizontal="center" vertical="center" wrapText="1"/>
    </xf>
    <xf numFmtId="0" fontId="14" fillId="5" borderId="1" xfId="8" applyFont="1" applyFill="1" applyBorder="1" applyAlignment="1">
      <alignment horizontal="left" vertical="top" wrapText="1"/>
    </xf>
    <xf numFmtId="2" fontId="0" fillId="5" borderId="7" xfId="0" applyNumberForma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4" borderId="7" xfId="0" applyFill="1" applyBorder="1"/>
    <xf numFmtId="49" fontId="0" fillId="6" borderId="1" xfId="0" applyNumberFormat="1" applyFill="1" applyBorder="1" applyAlignment="1">
      <alignment horizontal="center" vertical="center" wrapText="1"/>
    </xf>
    <xf numFmtId="2" fontId="0" fillId="9" borderId="27" xfId="0" applyNumberFormat="1" applyFill="1" applyBorder="1"/>
    <xf numFmtId="2" fontId="0" fillId="9" borderId="15" xfId="0" applyNumberFormat="1" applyFill="1" applyBorder="1"/>
    <xf numFmtId="2" fontId="0" fillId="9" borderId="28" xfId="0" applyNumberFormat="1" applyFill="1" applyBorder="1"/>
    <xf numFmtId="0" fontId="16" fillId="0" borderId="1" xfId="2" applyFont="1" applyBorder="1" applyAlignment="1">
      <alignment horizontal="center" vertical="center" wrapText="1"/>
    </xf>
    <xf numFmtId="0" fontId="16" fillId="4" borderId="1" xfId="2" applyFont="1" applyFill="1" applyBorder="1" applyAlignment="1">
      <alignment horizontal="center" vertical="center" wrapText="1"/>
    </xf>
    <xf numFmtId="2" fontId="3" fillId="4" borderId="1" xfId="2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wrapText="1"/>
    </xf>
    <xf numFmtId="0" fontId="0" fillId="9" borderId="1" xfId="0" applyFill="1" applyBorder="1" applyAlignment="1">
      <alignment horizontal="center" vertical="center" wrapText="1"/>
    </xf>
    <xf numFmtId="0" fontId="16" fillId="6" borderId="1" xfId="2" applyFont="1" applyFill="1" applyBorder="1" applyAlignment="1">
      <alignment horizontal="center" vertical="center" wrapText="1"/>
    </xf>
    <xf numFmtId="2" fontId="0" fillId="5" borderId="8" xfId="0" applyNumberFormat="1" applyFill="1" applyBorder="1"/>
    <xf numFmtId="2" fontId="0" fillId="5" borderId="12" xfId="0" applyNumberFormat="1" applyFill="1" applyBorder="1"/>
    <xf numFmtId="2" fontId="0" fillId="9" borderId="32" xfId="0" applyNumberFormat="1" applyFill="1" applyBorder="1"/>
    <xf numFmtId="2" fontId="0" fillId="9" borderId="33" xfId="0" applyNumberFormat="1" applyFill="1" applyBorder="1"/>
    <xf numFmtId="0" fontId="17" fillId="0" borderId="17" xfId="0" applyFont="1" applyBorder="1" applyAlignment="1">
      <alignment horizontal="center" vertical="center"/>
    </xf>
    <xf numFmtId="0" fontId="17" fillId="0" borderId="34" xfId="0" applyFont="1" applyBorder="1" applyAlignment="1">
      <alignment horizontal="center" vertical="center"/>
    </xf>
    <xf numFmtId="0" fontId="17" fillId="0" borderId="39" xfId="0" applyFont="1" applyBorder="1" applyAlignment="1">
      <alignment horizontal="center" vertical="center"/>
    </xf>
    <xf numFmtId="0" fontId="17" fillId="0" borderId="38" xfId="0" applyFont="1" applyBorder="1" applyAlignment="1">
      <alignment horizontal="center" vertical="center"/>
    </xf>
    <xf numFmtId="0" fontId="19" fillId="11" borderId="38" xfId="0" applyFont="1" applyFill="1" applyBorder="1" applyAlignment="1">
      <alignment horizontal="center" vertical="center"/>
    </xf>
    <xf numFmtId="0" fontId="19" fillId="11" borderId="39" xfId="0" applyFont="1" applyFill="1" applyBorder="1" applyAlignment="1">
      <alignment horizontal="center" vertical="center"/>
    </xf>
    <xf numFmtId="44" fontId="0" fillId="4" borderId="1" xfId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165" fontId="0" fillId="0" borderId="1" xfId="0" applyNumberFormat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164" fontId="0" fillId="4" borderId="1" xfId="1" applyNumberFormat="1" applyFont="1" applyFill="1" applyBorder="1" applyAlignment="1">
      <alignment horizontal="right" vertical="center"/>
    </xf>
    <xf numFmtId="0" fontId="0" fillId="0" borderId="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2" fontId="0" fillId="9" borderId="29" xfId="0" applyNumberForma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left" vertical="center"/>
    </xf>
    <xf numFmtId="14" fontId="12" fillId="7" borderId="1" xfId="0" applyNumberFormat="1" applyFont="1" applyFill="1" applyBorder="1" applyAlignment="1">
      <alignment horizontal="center" vertical="center"/>
    </xf>
    <xf numFmtId="0" fontId="11" fillId="7" borderId="1" xfId="0" applyFont="1" applyFill="1" applyBorder="1"/>
    <xf numFmtId="0" fontId="13" fillId="7" borderId="20" xfId="0" applyFont="1" applyFill="1" applyBorder="1" applyAlignment="1">
      <alignment horizontal="left" shrinkToFit="1"/>
    </xf>
    <xf numFmtId="0" fontId="14" fillId="7" borderId="1" xfId="8" applyFont="1" applyFill="1" applyBorder="1" applyAlignment="1">
      <alignment horizontal="left" vertical="top" wrapText="1"/>
    </xf>
    <xf numFmtId="0" fontId="13" fillId="7" borderId="10" xfId="0" applyFont="1" applyFill="1" applyBorder="1" applyAlignment="1">
      <alignment horizontal="left" shrinkToFit="1"/>
    </xf>
    <xf numFmtId="0" fontId="13" fillId="12" borderId="3" xfId="0" applyFont="1" applyFill="1" applyBorder="1" applyAlignment="1">
      <alignment horizontal="left" shrinkToFit="1"/>
    </xf>
    <xf numFmtId="14" fontId="12" fillId="12" borderId="1" xfId="0" applyNumberFormat="1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left" vertical="center"/>
    </xf>
    <xf numFmtId="0" fontId="13" fillId="12" borderId="30" xfId="0" applyFont="1" applyFill="1" applyBorder="1" applyAlignment="1">
      <alignment horizontal="left" vertical="center"/>
    </xf>
    <xf numFmtId="0" fontId="14" fillId="12" borderId="1" xfId="8" applyFont="1" applyFill="1" applyBorder="1" applyAlignment="1">
      <alignment horizontal="left" vertical="top" wrapText="1"/>
    </xf>
    <xf numFmtId="14" fontId="12" fillId="12" borderId="3" xfId="0" applyNumberFormat="1" applyFont="1" applyFill="1" applyBorder="1" applyAlignment="1">
      <alignment horizontal="center" vertical="center"/>
    </xf>
    <xf numFmtId="0" fontId="13" fillId="7" borderId="30" xfId="0" applyFont="1" applyFill="1" applyBorder="1" applyAlignment="1">
      <alignment horizontal="left" vertical="center"/>
    </xf>
    <xf numFmtId="14" fontId="12" fillId="7" borderId="30" xfId="0" applyNumberFormat="1" applyFont="1" applyFill="1" applyBorder="1" applyAlignment="1">
      <alignment horizontal="center" vertical="center"/>
    </xf>
    <xf numFmtId="0" fontId="12" fillId="0" borderId="48" xfId="0" applyFont="1" applyBorder="1" applyAlignment="1">
      <alignment horizontal="center" vertical="center"/>
    </xf>
    <xf numFmtId="0" fontId="13" fillId="7" borderId="43" xfId="0" applyFont="1" applyFill="1" applyBorder="1" applyAlignment="1">
      <alignment horizontal="left" shrinkToFit="1"/>
    </xf>
    <xf numFmtId="0" fontId="14" fillId="7" borderId="44" xfId="9" applyFont="1" applyFill="1" applyBorder="1" applyAlignment="1">
      <alignment horizontal="left" vertical="top" wrapText="1"/>
    </xf>
    <xf numFmtId="0" fontId="13" fillId="12" borderId="45" xfId="0" applyFont="1" applyFill="1" applyBorder="1" applyAlignment="1">
      <alignment horizontal="left" shrinkToFit="1"/>
    </xf>
    <xf numFmtId="0" fontId="13" fillId="12" borderId="43" xfId="0" applyFont="1" applyFill="1" applyBorder="1" applyAlignment="1">
      <alignment horizontal="left" shrinkToFit="1"/>
    </xf>
    <xf numFmtId="0" fontId="14" fillId="12" borderId="44" xfId="10" applyFont="1" applyFill="1" applyBorder="1" applyAlignment="1">
      <alignment horizontal="left" vertical="top" wrapText="1"/>
    </xf>
    <xf numFmtId="0" fontId="13" fillId="12" borderId="1" xfId="0" applyFont="1" applyFill="1" applyBorder="1" applyAlignment="1">
      <alignment horizontal="left" shrinkToFit="1"/>
    </xf>
    <xf numFmtId="0" fontId="13" fillId="8" borderId="1" xfId="0" applyFont="1" applyFill="1" applyBorder="1" applyAlignment="1">
      <alignment horizontal="left" shrinkToFit="1"/>
    </xf>
    <xf numFmtId="14" fontId="12" fillId="0" borderId="49" xfId="0" applyNumberFormat="1" applyFont="1" applyBorder="1" applyAlignment="1">
      <alignment horizontal="center" vertical="center"/>
    </xf>
    <xf numFmtId="0" fontId="12" fillId="0" borderId="50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4" fillId="7" borderId="46" xfId="10" applyFont="1" applyFill="1" applyBorder="1" applyAlignment="1">
      <alignment horizontal="left" vertical="center" wrapText="1"/>
    </xf>
    <xf numFmtId="14" fontId="12" fillId="7" borderId="12" xfId="0" applyNumberFormat="1" applyFont="1" applyFill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3" fillId="12" borderId="11" xfId="0" applyFont="1" applyFill="1" applyBorder="1" applyAlignment="1">
      <alignment horizontal="left" vertical="center"/>
    </xf>
    <xf numFmtId="14" fontId="12" fillId="12" borderId="11" xfId="0" applyNumberFormat="1" applyFont="1" applyFill="1" applyBorder="1" applyAlignment="1">
      <alignment horizontal="center" vertical="center"/>
    </xf>
    <xf numFmtId="0" fontId="13" fillId="12" borderId="38" xfId="0" applyFont="1" applyFill="1" applyBorder="1" applyAlignment="1">
      <alignment horizontal="left" shrinkToFit="1"/>
    </xf>
    <xf numFmtId="14" fontId="12" fillId="12" borderId="12" xfId="0" applyNumberFormat="1" applyFont="1" applyFill="1" applyBorder="1" applyAlignment="1">
      <alignment horizontal="center" vertical="center"/>
    </xf>
    <xf numFmtId="0" fontId="13" fillId="0" borderId="51" xfId="0" applyFont="1" applyBorder="1" applyAlignment="1">
      <alignment horizontal="left" shrinkToFit="1"/>
    </xf>
    <xf numFmtId="0" fontId="15" fillId="8" borderId="11" xfId="0" applyFont="1" applyFill="1" applyBorder="1" applyAlignment="1">
      <alignment horizontal="center"/>
    </xf>
    <xf numFmtId="0" fontId="14" fillId="0" borderId="12" xfId="9" applyFont="1" applyBorder="1" applyAlignment="1">
      <alignment horizontal="left" vertical="top" wrapText="1"/>
    </xf>
    <xf numFmtId="0" fontId="15" fillId="8" borderId="12" xfId="0" applyFont="1" applyFill="1" applyBorder="1" applyAlignment="1">
      <alignment horizontal="center"/>
    </xf>
    <xf numFmtId="14" fontId="12" fillId="0" borderId="25" xfId="0" applyNumberFormat="1" applyFont="1" applyBorder="1" applyAlignment="1">
      <alignment horizontal="center" vertical="center"/>
    </xf>
    <xf numFmtId="14" fontId="12" fillId="0" borderId="18" xfId="0" applyNumberFormat="1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0" fontId="17" fillId="0" borderId="34" xfId="0" applyFont="1" applyBorder="1" applyAlignment="1">
      <alignment horizontal="center" vertical="center"/>
    </xf>
    <xf numFmtId="0" fontId="17" fillId="0" borderId="38" xfId="0" applyFont="1" applyBorder="1" applyAlignment="1">
      <alignment horizontal="center" vertical="center"/>
    </xf>
    <xf numFmtId="0" fontId="18" fillId="0" borderId="35" xfId="0" applyFont="1" applyBorder="1" applyAlignment="1">
      <alignment horizontal="center" vertical="center"/>
    </xf>
    <xf numFmtId="0" fontId="18" fillId="0" borderId="40" xfId="0" applyFont="1" applyBorder="1" applyAlignment="1">
      <alignment horizontal="center" vertical="center"/>
    </xf>
    <xf numFmtId="0" fontId="18" fillId="0" borderId="36" xfId="0" applyFont="1" applyBorder="1" applyAlignment="1">
      <alignment horizontal="center" vertical="center"/>
    </xf>
    <xf numFmtId="0" fontId="18" fillId="0" borderId="41" xfId="0" applyFont="1" applyBorder="1" applyAlignment="1">
      <alignment horizontal="center" vertical="center"/>
    </xf>
    <xf numFmtId="0" fontId="12" fillId="9" borderId="25" xfId="0" applyFont="1" applyFill="1" applyBorder="1" applyAlignment="1">
      <alignment horizontal="center" vertical="center"/>
    </xf>
    <xf numFmtId="0" fontId="12" fillId="9" borderId="47" xfId="0" applyFont="1" applyFill="1" applyBorder="1" applyAlignment="1">
      <alignment horizontal="center" vertical="center"/>
    </xf>
    <xf numFmtId="0" fontId="12" fillId="9" borderId="26" xfId="0" applyFont="1" applyFill="1" applyBorder="1" applyAlignment="1">
      <alignment horizontal="center" vertical="center"/>
    </xf>
    <xf numFmtId="0" fontId="12" fillId="4" borderId="25" xfId="0" applyFont="1" applyFill="1" applyBorder="1" applyAlignment="1">
      <alignment horizontal="center" vertical="center"/>
    </xf>
    <xf numFmtId="0" fontId="12" fillId="4" borderId="47" xfId="0" applyFont="1" applyFill="1" applyBorder="1" applyAlignment="1">
      <alignment horizontal="center" vertical="center"/>
    </xf>
    <xf numFmtId="0" fontId="12" fillId="4" borderId="26" xfId="0" applyFont="1" applyFill="1" applyBorder="1" applyAlignment="1">
      <alignment horizontal="center" vertical="center"/>
    </xf>
  </cellXfs>
  <cellStyles count="11">
    <cellStyle name="Денежный" xfId="1" builtinId="4"/>
    <cellStyle name="Денежный 2" xfId="4" xr:uid="{00000000-0005-0000-0000-000001000000}"/>
    <cellStyle name="Денежный 2 2" xfId="7" xr:uid="{00000000-0005-0000-0000-000002000000}"/>
    <cellStyle name="Денежный 2 3" xfId="5" xr:uid="{00000000-0005-0000-0000-000003000000}"/>
    <cellStyle name="Денежный 3" xfId="6" xr:uid="{00000000-0005-0000-0000-000004000000}"/>
    <cellStyle name="Обычный" xfId="0" builtinId="0"/>
    <cellStyle name="Обычный_Апрель 6144" xfId="8" xr:uid="{00000000-0005-0000-0000-000006000000}"/>
    <cellStyle name="Обычный_Июль" xfId="9" xr:uid="{3CD7D314-EF07-4D94-A006-676506638062}"/>
    <cellStyle name="Обычный_Июнь" xfId="10" xr:uid="{CDE2A9D1-2F67-4BD4-A8DC-08605527BCA6}"/>
    <cellStyle name="Обычный_Мех. монтаж 2 этап" xfId="2" xr:uid="{00000000-0005-0000-0000-000007000000}"/>
    <cellStyle name="Процентный" xfId="3" builtinId="5"/>
  </cellStyles>
  <dxfs count="51">
    <dxf>
      <fill>
        <patternFill patternType="solid">
          <fgColor rgb="FF92D050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X228"/>
  <sheetViews>
    <sheetView workbookViewId="0">
      <pane ySplit="3" topLeftCell="A194" activePane="bottomLeft" state="frozen"/>
      <selection activeCell="U3" sqref="U3:V3"/>
      <selection pane="bottomLeft" activeCell="Q4" sqref="Q4:Q227"/>
    </sheetView>
  </sheetViews>
  <sheetFormatPr defaultRowHeight="15" x14ac:dyDescent="0.25"/>
  <cols>
    <col min="1" max="1" width="7" customWidth="1"/>
    <col min="2" max="2" width="28.28515625" hidden="1" customWidth="1"/>
    <col min="3" max="3" width="39.7109375" hidden="1" customWidth="1"/>
    <col min="4" max="4" width="46.7109375" hidden="1" customWidth="1"/>
    <col min="5" max="5" width="25.85546875" hidden="1" customWidth="1"/>
    <col min="6" max="6" width="36.5703125" style="17" customWidth="1"/>
    <col min="7" max="8" width="10.140625" style="17" customWidth="1"/>
    <col min="9" max="9" width="7" style="17" customWidth="1"/>
    <col min="10" max="14" width="5.7109375" style="17" customWidth="1"/>
    <col min="15" max="15" width="7.28515625" style="17" customWidth="1"/>
    <col min="16" max="16" width="15.85546875" style="17" customWidth="1"/>
    <col min="17" max="17" width="13.85546875" style="17" customWidth="1"/>
    <col min="18" max="18" width="13.85546875" style="17" hidden="1" customWidth="1"/>
    <col min="19" max="19" width="31.7109375" style="23" hidden="1" customWidth="1"/>
    <col min="20" max="20" width="11.7109375" hidden="1" customWidth="1"/>
    <col min="21" max="21" width="8.85546875" hidden="1" customWidth="1"/>
    <col min="22" max="22" width="13.28515625" hidden="1" customWidth="1"/>
    <col min="23" max="23" width="6.42578125" style="32" hidden="1" customWidth="1"/>
    <col min="24" max="24" width="6.7109375" style="32" hidden="1" customWidth="1"/>
    <col min="25" max="25" width="6.42578125" style="32" hidden="1" customWidth="1"/>
    <col min="26" max="26" width="5.5703125" style="32" hidden="1" customWidth="1"/>
    <col min="27" max="27" width="7" style="32" hidden="1" customWidth="1"/>
    <col min="28" max="28" width="6.7109375" style="32" hidden="1" customWidth="1"/>
    <col min="29" max="29" width="6.42578125" style="32" hidden="1" customWidth="1"/>
    <col min="30" max="30" width="5.5703125" style="32" hidden="1" customWidth="1"/>
    <col min="31" max="31" width="6.42578125" style="32" hidden="1" customWidth="1"/>
    <col min="32" max="32" width="6.7109375" style="32" hidden="1" customWidth="1"/>
    <col min="33" max="33" width="6.42578125" style="32" hidden="1" customWidth="1"/>
    <col min="34" max="34" width="5.5703125" style="32" hidden="1" customWidth="1"/>
    <col min="35" max="35" width="6.42578125" style="32" hidden="1" customWidth="1"/>
    <col min="36" max="36" width="6.7109375" style="32" hidden="1" customWidth="1"/>
    <col min="37" max="37" width="6.42578125" style="32" hidden="1" customWidth="1"/>
    <col min="38" max="38" width="5.5703125" style="32" hidden="1" customWidth="1"/>
    <col min="39" max="39" width="6.42578125" style="32" hidden="1" customWidth="1"/>
    <col min="40" max="40" width="7.7109375" style="32" hidden="1" customWidth="1"/>
    <col min="41" max="41" width="6.42578125" style="32" hidden="1" customWidth="1"/>
    <col min="42" max="42" width="5.5703125" style="32" hidden="1" customWidth="1"/>
    <col min="43" max="43" width="6.42578125" style="32" hidden="1" customWidth="1"/>
    <col min="44" max="44" width="6.7109375" style="32" hidden="1" customWidth="1"/>
    <col min="45" max="45" width="6.42578125" style="32" hidden="1" customWidth="1"/>
    <col min="46" max="46" width="5.5703125" style="32" hidden="1" customWidth="1"/>
    <col min="47" max="47" width="6.42578125" style="32" customWidth="1"/>
    <col min="48" max="48" width="6.7109375" style="32" customWidth="1"/>
    <col min="49" max="49" width="6.42578125" style="32" customWidth="1"/>
    <col min="50" max="50" width="5.5703125" style="32" customWidth="1"/>
  </cols>
  <sheetData>
    <row r="1" spans="1:50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9</v>
      </c>
      <c r="H1" s="1" t="s">
        <v>10</v>
      </c>
      <c r="I1" s="1" t="s">
        <v>11</v>
      </c>
      <c r="J1" s="1" t="s">
        <v>12</v>
      </c>
      <c r="K1" s="133" t="s">
        <v>503</v>
      </c>
      <c r="L1" s="133" t="s">
        <v>504</v>
      </c>
      <c r="M1" s="133" t="s">
        <v>505</v>
      </c>
      <c r="N1" s="133" t="s">
        <v>506</v>
      </c>
      <c r="O1" s="1" t="s">
        <v>13</v>
      </c>
      <c r="P1" s="3" t="s">
        <v>18</v>
      </c>
      <c r="Q1" s="1" t="s">
        <v>19</v>
      </c>
      <c r="R1" s="1" t="s">
        <v>20</v>
      </c>
      <c r="S1" s="4" t="s">
        <v>21</v>
      </c>
      <c r="T1" s="5" t="s">
        <v>22</v>
      </c>
      <c r="U1" s="6" t="s">
        <v>23</v>
      </c>
      <c r="V1" s="7" t="s">
        <v>24</v>
      </c>
      <c r="W1" s="452" t="s">
        <v>104</v>
      </c>
      <c r="X1" s="453"/>
      <c r="Y1" s="453"/>
      <c r="Z1" s="454"/>
      <c r="AA1" s="452" t="s">
        <v>105</v>
      </c>
      <c r="AB1" s="453"/>
      <c r="AC1" s="453"/>
      <c r="AD1" s="454"/>
      <c r="AE1" s="452" t="s">
        <v>156</v>
      </c>
      <c r="AF1" s="453"/>
      <c r="AG1" s="453"/>
      <c r="AH1" s="454"/>
      <c r="AI1" s="452" t="s">
        <v>157</v>
      </c>
      <c r="AJ1" s="453"/>
      <c r="AK1" s="453"/>
      <c r="AL1" s="454"/>
      <c r="AM1" s="452" t="s">
        <v>160</v>
      </c>
      <c r="AN1" s="453"/>
      <c r="AO1" s="453"/>
      <c r="AP1" s="454"/>
      <c r="AQ1" s="452" t="s">
        <v>258</v>
      </c>
      <c r="AR1" s="453"/>
      <c r="AS1" s="453"/>
      <c r="AT1" s="454"/>
      <c r="AU1" s="452" t="s">
        <v>646</v>
      </c>
      <c r="AV1" s="453"/>
      <c r="AW1" s="453"/>
      <c r="AX1" s="454"/>
    </row>
    <row r="2" spans="1:50" ht="15.75" thickBot="1" x14ac:dyDescent="0.3">
      <c r="A2" s="10">
        <v>12804</v>
      </c>
      <c r="B2" s="11" t="s">
        <v>25</v>
      </c>
      <c r="C2" s="11" t="s">
        <v>26</v>
      </c>
      <c r="D2" s="11" t="s">
        <v>27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25"/>
      <c r="R2" s="11"/>
      <c r="S2" s="12"/>
      <c r="T2" s="11"/>
      <c r="U2" s="6">
        <v>44</v>
      </c>
      <c r="V2" s="10"/>
      <c r="W2" s="36">
        <v>0.3</v>
      </c>
      <c r="X2" s="36">
        <v>0.35</v>
      </c>
      <c r="Y2" s="36">
        <v>0.2</v>
      </c>
      <c r="Z2" s="36">
        <v>0.15</v>
      </c>
      <c r="AA2" s="36">
        <v>0.3</v>
      </c>
      <c r="AB2" s="36">
        <v>0.35</v>
      </c>
      <c r="AC2" s="36">
        <v>0.2</v>
      </c>
      <c r="AD2" s="36">
        <v>0.15</v>
      </c>
      <c r="AE2" s="36">
        <v>0.3</v>
      </c>
      <c r="AF2" s="36">
        <v>0.35</v>
      </c>
      <c r="AG2" s="36">
        <v>0.2</v>
      </c>
      <c r="AH2" s="36">
        <v>0.15</v>
      </c>
      <c r="AI2" s="82">
        <v>0.3</v>
      </c>
      <c r="AJ2" s="82">
        <v>0.35</v>
      </c>
      <c r="AK2" s="82">
        <v>0.2</v>
      </c>
      <c r="AL2" s="82">
        <v>0.15</v>
      </c>
      <c r="AM2" s="82">
        <v>0.3</v>
      </c>
      <c r="AN2" s="82">
        <v>0.35</v>
      </c>
      <c r="AO2" s="82">
        <v>0.2</v>
      </c>
      <c r="AP2" s="82">
        <v>0.15</v>
      </c>
      <c r="AQ2" s="82">
        <v>0.3</v>
      </c>
      <c r="AR2" s="82">
        <v>0.35</v>
      </c>
      <c r="AS2" s="82">
        <v>0.2</v>
      </c>
      <c r="AT2" s="82">
        <v>0.15</v>
      </c>
      <c r="AU2" s="82">
        <v>0.3</v>
      </c>
      <c r="AV2" s="82">
        <v>0.35</v>
      </c>
      <c r="AW2" s="82">
        <v>0.2</v>
      </c>
      <c r="AX2" s="82">
        <v>0.15</v>
      </c>
    </row>
    <row r="3" spans="1:50" ht="20.45" hidden="1" customHeight="1" thickBot="1" x14ac:dyDescent="0.3">
      <c r="A3" s="9">
        <v>1</v>
      </c>
      <c r="B3" s="9" t="s">
        <v>28</v>
      </c>
      <c r="C3" s="13" t="s">
        <v>29</v>
      </c>
      <c r="D3" s="14" t="s">
        <v>30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15"/>
      <c r="T3" s="9"/>
      <c r="U3" s="16"/>
      <c r="V3" s="9"/>
      <c r="W3" s="62">
        <f t="shared" ref="W3:Z3" si="0">SUM(W4:W226)</f>
        <v>21.220499999999998</v>
      </c>
      <c r="X3" s="62">
        <f t="shared" si="0"/>
        <v>9.8898333333333319</v>
      </c>
      <c r="Y3" s="62">
        <f t="shared" si="0"/>
        <v>0.46700000000000003</v>
      </c>
      <c r="Z3" s="62">
        <f t="shared" si="0"/>
        <v>0</v>
      </c>
      <c r="AA3" s="62">
        <f>SUM(AA4:AA228)</f>
        <v>36.027002999999922</v>
      </c>
      <c r="AB3" s="62">
        <f>SUM(AB4:AB228)</f>
        <v>17.587617833333319</v>
      </c>
      <c r="AC3" s="62">
        <f t="shared" ref="AC3:AH3" si="1">SUM(AC4:AC228)</f>
        <v>7.586666666666666</v>
      </c>
      <c r="AD3" s="62">
        <f>SUM(AD4:AD228)</f>
        <v>0</v>
      </c>
      <c r="AE3" s="35">
        <f t="shared" si="1"/>
        <v>17.5305</v>
      </c>
      <c r="AF3" s="35">
        <f t="shared" si="1"/>
        <v>40.363335666666686</v>
      </c>
      <c r="AG3" s="35">
        <f>SUM(AG4:AG228)</f>
        <v>14.590335333333336</v>
      </c>
      <c r="AH3" s="35">
        <f t="shared" si="1"/>
        <v>0</v>
      </c>
      <c r="AI3" s="83">
        <f t="shared" ref="AI3:AJ3" si="2">SUM(AI4:AI228)</f>
        <v>4.05</v>
      </c>
      <c r="AJ3" s="84">
        <f t="shared" si="2"/>
        <v>20.688750000000002</v>
      </c>
      <c r="AK3" s="84">
        <f>SUM(AK4:AK228)</f>
        <v>28.915904761904773</v>
      </c>
      <c r="AL3" s="85">
        <f t="shared" ref="AL3:AN3" si="3">SUM(AL4:AL228)</f>
        <v>4.7662499999999994</v>
      </c>
      <c r="AM3" s="83">
        <f t="shared" si="3"/>
        <v>3.2879999999999994</v>
      </c>
      <c r="AN3" s="84">
        <f t="shared" si="3"/>
        <v>1.9179999999999997</v>
      </c>
      <c r="AO3" s="84">
        <f>SUM(AO4:AO228)</f>
        <v>0</v>
      </c>
      <c r="AP3" s="85">
        <f t="shared" ref="AP3:AR3" si="4">SUM(AP4:AP228)</f>
        <v>31.558126500000036</v>
      </c>
      <c r="AQ3" s="83">
        <f t="shared" si="4"/>
        <v>0</v>
      </c>
      <c r="AR3" s="84">
        <f t="shared" si="4"/>
        <v>0</v>
      </c>
      <c r="AS3" s="84">
        <f>SUM(AS4:AS228)</f>
        <v>6.0370000000000008</v>
      </c>
      <c r="AT3" s="85">
        <f t="shared" ref="AT3:AV3" si="5">SUM(AT4:AT228)</f>
        <v>5.6073749999999993</v>
      </c>
      <c r="AU3" s="83">
        <f t="shared" si="5"/>
        <v>0</v>
      </c>
      <c r="AV3" s="84">
        <f t="shared" si="5"/>
        <v>0</v>
      </c>
      <c r="AW3" s="84">
        <f>SUM(AW4:AW228)</f>
        <v>0</v>
      </c>
      <c r="AX3" s="85">
        <f t="shared" ref="AX3" si="6">SUM(AX4:AX228)</f>
        <v>0</v>
      </c>
    </row>
    <row r="4" spans="1:50" ht="15.75" thickBot="1" x14ac:dyDescent="0.3">
      <c r="A4" s="25"/>
      <c r="B4" s="25"/>
      <c r="C4" s="25"/>
      <c r="D4" s="25"/>
      <c r="E4" s="25"/>
      <c r="F4" s="25" t="s">
        <v>32</v>
      </c>
      <c r="G4" s="25">
        <v>0.41199999999999998</v>
      </c>
      <c r="H4" s="25">
        <v>4.12</v>
      </c>
      <c r="I4" s="25">
        <v>10</v>
      </c>
      <c r="J4" s="25" t="s">
        <v>33</v>
      </c>
      <c r="K4" s="25">
        <f>O4*0.3</f>
        <v>69.215999999999994</v>
      </c>
      <c r="L4" s="25">
        <f>O4*0.35</f>
        <v>80.751999999999995</v>
      </c>
      <c r="M4" s="25">
        <f>O4*0.2</f>
        <v>46.144000000000005</v>
      </c>
      <c r="N4" s="25">
        <f>O4*0.15</f>
        <v>34.607999999999997</v>
      </c>
      <c r="O4" s="26">
        <v>230.72</v>
      </c>
      <c r="P4" s="25" t="s">
        <v>34</v>
      </c>
      <c r="Q4" s="25">
        <v>71032</v>
      </c>
      <c r="R4" s="19" t="s">
        <v>35</v>
      </c>
      <c r="S4" s="15" t="s">
        <v>32</v>
      </c>
      <c r="T4" s="9">
        <v>1</v>
      </c>
      <c r="U4" s="16">
        <v>6.9456949776843206</v>
      </c>
      <c r="V4" s="43">
        <f>421.65*O4</f>
        <v>97283.087999999989</v>
      </c>
      <c r="W4" s="55"/>
      <c r="X4" s="56"/>
      <c r="Y4" s="56"/>
      <c r="Z4" s="57"/>
      <c r="AA4" s="50"/>
      <c r="AB4" s="48"/>
      <c r="AC4" s="48"/>
      <c r="AD4" s="48"/>
      <c r="AE4" s="68">
        <f>H4*0.3</f>
        <v>1.236</v>
      </c>
      <c r="AF4" s="56"/>
      <c r="AG4" s="56"/>
      <c r="AH4" s="120"/>
      <c r="AI4" s="51"/>
      <c r="AJ4" s="130">
        <f t="shared" ref="AJ4" si="7">H4*0.35</f>
        <v>1.4419999999999999</v>
      </c>
      <c r="AK4" s="130">
        <f>H4*0.2</f>
        <v>0.82400000000000007</v>
      </c>
      <c r="AL4" s="132">
        <f t="shared" ref="AL4:AL5" si="8">H4*0.15</f>
        <v>0.61799999999999999</v>
      </c>
      <c r="AM4" s="51"/>
      <c r="AN4" s="77"/>
      <c r="AO4" s="77"/>
      <c r="AP4" s="49"/>
      <c r="AQ4" s="51"/>
      <c r="AR4" s="77"/>
      <c r="AS4" s="77"/>
      <c r="AT4" s="49"/>
      <c r="AU4" s="51"/>
      <c r="AV4" s="77"/>
      <c r="AW4" s="77"/>
      <c r="AX4" s="49"/>
    </row>
    <row r="5" spans="1:50" ht="15.75" thickBot="1" x14ac:dyDescent="0.3">
      <c r="A5" s="25"/>
      <c r="B5" s="9"/>
      <c r="C5" s="9"/>
      <c r="D5" s="9"/>
      <c r="E5" s="9"/>
      <c r="F5" s="25" t="s">
        <v>36</v>
      </c>
      <c r="G5" s="25">
        <v>0.45</v>
      </c>
      <c r="H5" s="25">
        <v>4.5</v>
      </c>
      <c r="I5" s="25">
        <v>10</v>
      </c>
      <c r="J5" s="25" t="s">
        <v>33</v>
      </c>
      <c r="K5" s="25">
        <f t="shared" ref="K5:K68" si="9">O5*0.3</f>
        <v>75.599999999999994</v>
      </c>
      <c r="L5" s="25">
        <f t="shared" ref="L5:L68" si="10">O5*0.35</f>
        <v>88.199999999999989</v>
      </c>
      <c r="M5" s="25">
        <f t="shared" ref="M5:M68" si="11">O5*0.2</f>
        <v>50.400000000000006</v>
      </c>
      <c r="N5" s="25">
        <f t="shared" ref="N5:N68" si="12">O5*0.15</f>
        <v>37.799999999999997</v>
      </c>
      <c r="O5" s="26">
        <v>252</v>
      </c>
      <c r="P5" s="25" t="s">
        <v>37</v>
      </c>
      <c r="Q5" s="25">
        <v>71033</v>
      </c>
      <c r="R5" s="19" t="s">
        <v>35</v>
      </c>
      <c r="S5" s="15" t="s">
        <v>36</v>
      </c>
      <c r="T5" s="9">
        <v>1</v>
      </c>
      <c r="U5" s="16">
        <v>7.5863173299950102</v>
      </c>
      <c r="V5" s="43">
        <f>421.65*O5</f>
        <v>106255.79999999999</v>
      </c>
      <c r="W5" s="51"/>
      <c r="X5" s="48"/>
      <c r="Y5" s="48"/>
      <c r="Z5" s="49"/>
      <c r="AA5" s="50"/>
      <c r="AB5" s="48"/>
      <c r="AC5" s="48"/>
      <c r="AD5" s="48"/>
      <c r="AE5" s="68">
        <f t="shared" ref="AE5:AE11" si="13">H5*0.3</f>
        <v>1.3499999999999999</v>
      </c>
      <c r="AF5" s="65">
        <f>H5*0.35</f>
        <v>1.575</v>
      </c>
      <c r="AG5" s="48"/>
      <c r="AH5" s="86"/>
      <c r="AI5" s="51"/>
      <c r="AJ5" s="77"/>
      <c r="AK5" s="130">
        <f>H5*0.2</f>
        <v>0.9</v>
      </c>
      <c r="AL5" s="132">
        <f t="shared" si="8"/>
        <v>0.67499999999999993</v>
      </c>
      <c r="AM5" s="51"/>
      <c r="AN5" s="77"/>
      <c r="AO5" s="77"/>
      <c r="AP5" s="49"/>
      <c r="AQ5" s="51"/>
      <c r="AR5" s="77"/>
      <c r="AS5" s="77"/>
      <c r="AT5" s="49"/>
      <c r="AU5" s="51"/>
      <c r="AV5" s="77"/>
      <c r="AW5" s="77"/>
      <c r="AX5" s="49"/>
    </row>
    <row r="6" spans="1:50" ht="15.75" thickBot="1" x14ac:dyDescent="0.3">
      <c r="A6" s="24"/>
      <c r="B6" s="24"/>
      <c r="C6" s="24"/>
      <c r="D6" s="24"/>
      <c r="E6" s="24"/>
      <c r="F6" s="25" t="s">
        <v>32</v>
      </c>
      <c r="G6" s="25">
        <v>0.41500000000000004</v>
      </c>
      <c r="H6" s="25">
        <v>4.1500000000000004</v>
      </c>
      <c r="I6" s="25">
        <v>10</v>
      </c>
      <c r="J6" s="25" t="s">
        <v>33</v>
      </c>
      <c r="K6" s="25">
        <f t="shared" si="9"/>
        <v>69.720000000000013</v>
      </c>
      <c r="L6" s="25">
        <f t="shared" si="10"/>
        <v>81.34</v>
      </c>
      <c r="M6" s="25">
        <f t="shared" si="11"/>
        <v>46.480000000000011</v>
      </c>
      <c r="N6" s="25">
        <f t="shared" si="12"/>
        <v>34.860000000000007</v>
      </c>
      <c r="O6" s="26">
        <v>232.40000000000003</v>
      </c>
      <c r="P6" s="25" t="s">
        <v>34</v>
      </c>
      <c r="Q6" s="25">
        <v>71034</v>
      </c>
      <c r="R6" s="19" t="s">
        <v>35</v>
      </c>
      <c r="S6" s="15" t="s">
        <v>32</v>
      </c>
      <c r="T6" s="9">
        <v>1</v>
      </c>
      <c r="U6" s="16">
        <v>6.9962704265509545</v>
      </c>
      <c r="V6" s="43">
        <f t="shared" ref="V6:V69" si="14">421.65*O6</f>
        <v>97991.46</v>
      </c>
      <c r="W6" s="51"/>
      <c r="X6" s="48"/>
      <c r="Y6" s="48"/>
      <c r="Z6" s="49"/>
      <c r="AA6" s="50"/>
      <c r="AB6" s="48"/>
      <c r="AC6" s="48"/>
      <c r="AD6" s="48"/>
      <c r="AE6" s="68">
        <f t="shared" si="13"/>
        <v>1.2450000000000001</v>
      </c>
      <c r="AF6" s="56"/>
      <c r="AG6" s="48"/>
      <c r="AH6" s="86"/>
      <c r="AI6" s="51"/>
      <c r="AJ6" s="130">
        <f>H6*0.35</f>
        <v>1.4525000000000001</v>
      </c>
      <c r="AK6" s="130">
        <f>H6*0.2</f>
        <v>0.83000000000000007</v>
      </c>
      <c r="AL6" s="49"/>
      <c r="AM6" s="51"/>
      <c r="AN6" s="77"/>
      <c r="AO6" s="77"/>
      <c r="AP6" s="132">
        <f>H6*0.15</f>
        <v>0.62250000000000005</v>
      </c>
      <c r="AQ6" s="51"/>
      <c r="AR6" s="77"/>
      <c r="AS6" s="77"/>
      <c r="AT6" s="49"/>
      <c r="AU6" s="51"/>
      <c r="AV6" s="77"/>
      <c r="AW6" s="77"/>
      <c r="AX6" s="49"/>
    </row>
    <row r="7" spans="1:50" ht="15.75" thickBot="1" x14ac:dyDescent="0.3">
      <c r="A7" s="24"/>
      <c r="B7" s="24"/>
      <c r="C7" s="24"/>
      <c r="D7" s="24"/>
      <c r="E7" s="24"/>
      <c r="F7" s="25" t="s">
        <v>32</v>
      </c>
      <c r="G7" s="25">
        <v>0.41500000000000004</v>
      </c>
      <c r="H7" s="25">
        <v>4.1500000000000004</v>
      </c>
      <c r="I7" s="25">
        <v>10</v>
      </c>
      <c r="J7" s="25" t="s">
        <v>33</v>
      </c>
      <c r="K7" s="25">
        <f t="shared" si="9"/>
        <v>69.720000000000013</v>
      </c>
      <c r="L7" s="25">
        <f t="shared" si="10"/>
        <v>81.34</v>
      </c>
      <c r="M7" s="25">
        <f t="shared" si="11"/>
        <v>46.480000000000011</v>
      </c>
      <c r="N7" s="25">
        <f t="shared" si="12"/>
        <v>34.860000000000007</v>
      </c>
      <c r="O7" s="26">
        <v>232.40000000000003</v>
      </c>
      <c r="P7" s="25" t="s">
        <v>34</v>
      </c>
      <c r="Q7" s="25">
        <v>71035</v>
      </c>
      <c r="R7" s="19" t="s">
        <v>35</v>
      </c>
      <c r="S7" s="15" t="s">
        <v>32</v>
      </c>
      <c r="T7" s="9">
        <v>1</v>
      </c>
      <c r="U7" s="16">
        <v>6.9962704265509545</v>
      </c>
      <c r="V7" s="43">
        <f t="shared" si="14"/>
        <v>97991.46</v>
      </c>
      <c r="W7" s="51"/>
      <c r="X7" s="48"/>
      <c r="Y7" s="48"/>
      <c r="Z7" s="49"/>
      <c r="AA7" s="50"/>
      <c r="AB7" s="48"/>
      <c r="AC7" s="48"/>
      <c r="AD7" s="48"/>
      <c r="AE7" s="68">
        <f t="shared" si="13"/>
        <v>1.2450000000000001</v>
      </c>
      <c r="AF7" s="56"/>
      <c r="AG7" s="48"/>
      <c r="AH7" s="86"/>
      <c r="AI7" s="51"/>
      <c r="AJ7" s="130">
        <f>H7*0.35</f>
        <v>1.4525000000000001</v>
      </c>
      <c r="AK7" s="130">
        <f>H7*0.2</f>
        <v>0.83000000000000007</v>
      </c>
      <c r="AL7" s="132">
        <f>H7*0.15</f>
        <v>0.62250000000000005</v>
      </c>
      <c r="AM7" s="51"/>
      <c r="AN7" s="77"/>
      <c r="AO7" s="77"/>
      <c r="AP7" s="49"/>
      <c r="AQ7" s="51"/>
      <c r="AR7" s="77"/>
      <c r="AS7" s="77"/>
      <c r="AT7" s="49"/>
      <c r="AU7" s="51"/>
      <c r="AV7" s="77"/>
      <c r="AW7" s="77"/>
      <c r="AX7" s="49"/>
    </row>
    <row r="8" spans="1:50" ht="15.75" thickBot="1" x14ac:dyDescent="0.3">
      <c r="A8" s="24"/>
      <c r="B8" s="24"/>
      <c r="C8" s="24"/>
      <c r="D8" s="24"/>
      <c r="E8" s="24"/>
      <c r="F8" s="25" t="s">
        <v>38</v>
      </c>
      <c r="G8" s="25">
        <v>0.68500000000000005</v>
      </c>
      <c r="H8" s="25">
        <v>0.68500000000000005</v>
      </c>
      <c r="I8" s="25">
        <v>1</v>
      </c>
      <c r="J8" s="25" t="s">
        <v>33</v>
      </c>
      <c r="K8" s="25">
        <f t="shared" si="9"/>
        <v>8.2200000000000006</v>
      </c>
      <c r="L8" s="25">
        <f t="shared" si="10"/>
        <v>9.59</v>
      </c>
      <c r="M8" s="25">
        <f t="shared" si="11"/>
        <v>5.48</v>
      </c>
      <c r="N8" s="25">
        <f t="shared" si="12"/>
        <v>4.1100000000000003</v>
      </c>
      <c r="O8" s="26">
        <v>27.400000000000002</v>
      </c>
      <c r="P8" s="25" t="s">
        <v>39</v>
      </c>
      <c r="Q8" s="25">
        <v>71049</v>
      </c>
      <c r="R8" s="19" t="s">
        <v>35</v>
      </c>
      <c r="S8" s="15" t="s">
        <v>38</v>
      </c>
      <c r="T8" s="9">
        <v>1</v>
      </c>
      <c r="U8" s="16">
        <v>1.1548060824547961</v>
      </c>
      <c r="V8" s="43">
        <f t="shared" si="14"/>
        <v>11553.210000000001</v>
      </c>
      <c r="W8" s="51"/>
      <c r="X8" s="48"/>
      <c r="Y8" s="48"/>
      <c r="Z8" s="49"/>
      <c r="AA8" s="50"/>
      <c r="AB8" s="48"/>
      <c r="AC8" s="48"/>
      <c r="AD8" s="48"/>
      <c r="AE8" s="55"/>
      <c r="AF8" s="48"/>
      <c r="AG8" s="48"/>
      <c r="AH8" s="86"/>
      <c r="AI8" s="73"/>
      <c r="AJ8" s="77"/>
      <c r="AK8" s="77"/>
      <c r="AL8" s="49"/>
      <c r="AM8" s="131">
        <f>H8*0.3</f>
        <v>0.20550000000000002</v>
      </c>
      <c r="AN8" s="130">
        <f>H8*0.35</f>
        <v>0.23974999999999999</v>
      </c>
      <c r="AO8" s="77"/>
      <c r="AP8" s="49"/>
      <c r="AQ8" s="73"/>
      <c r="AR8" s="77"/>
      <c r="AS8" s="41">
        <f>(H8+H9)*0.2</f>
        <v>0.27400000000000002</v>
      </c>
      <c r="AT8" s="132">
        <f>(H8+H9)*0.15</f>
        <v>0.20550000000000002</v>
      </c>
      <c r="AU8" s="73"/>
      <c r="AV8" s="77"/>
      <c r="AW8" s="77"/>
      <c r="AX8" s="49"/>
    </row>
    <row r="9" spans="1:50" ht="15.75" thickBot="1" x14ac:dyDescent="0.3">
      <c r="A9" s="24"/>
      <c r="B9" s="24"/>
      <c r="C9" s="24"/>
      <c r="D9" s="24"/>
      <c r="E9" s="24"/>
      <c r="F9" s="25" t="s">
        <v>40</v>
      </c>
      <c r="G9" s="25">
        <v>0.68500000000000005</v>
      </c>
      <c r="H9" s="25">
        <v>0.68500000000000005</v>
      </c>
      <c r="I9" s="25">
        <v>1</v>
      </c>
      <c r="J9" s="25" t="s">
        <v>33</v>
      </c>
      <c r="K9" s="25">
        <f t="shared" si="9"/>
        <v>8.2200000000000006</v>
      </c>
      <c r="L9" s="25">
        <f t="shared" si="10"/>
        <v>9.59</v>
      </c>
      <c r="M9" s="25">
        <f t="shared" si="11"/>
        <v>5.48</v>
      </c>
      <c r="N9" s="25">
        <f t="shared" si="12"/>
        <v>4.1100000000000003</v>
      </c>
      <c r="O9" s="26">
        <v>27.400000000000002</v>
      </c>
      <c r="P9" s="25" t="s">
        <v>41</v>
      </c>
      <c r="Q9" s="25">
        <v>71049</v>
      </c>
      <c r="R9" s="19" t="s">
        <v>35</v>
      </c>
      <c r="S9" s="15" t="s">
        <v>40</v>
      </c>
      <c r="T9" s="9">
        <v>2</v>
      </c>
      <c r="U9" s="16">
        <v>1.1548060824547961</v>
      </c>
      <c r="V9" s="43">
        <f t="shared" si="14"/>
        <v>11553.210000000001</v>
      </c>
      <c r="W9" s="51"/>
      <c r="X9" s="48"/>
      <c r="Y9" s="48"/>
      <c r="Z9" s="49"/>
      <c r="AA9" s="50"/>
      <c r="AB9" s="48"/>
      <c r="AC9" s="48"/>
      <c r="AD9" s="48"/>
      <c r="AE9" s="55"/>
      <c r="AF9" s="48"/>
      <c r="AG9" s="48"/>
      <c r="AH9" s="86"/>
      <c r="AI9" s="73"/>
      <c r="AJ9" s="77"/>
      <c r="AK9" s="77"/>
      <c r="AL9" s="49"/>
      <c r="AM9" s="131">
        <f>H9*0.3</f>
        <v>0.20550000000000002</v>
      </c>
      <c r="AN9" s="77"/>
      <c r="AO9" s="77"/>
      <c r="AP9" s="49"/>
      <c r="AQ9" s="73"/>
      <c r="AR9" s="77"/>
      <c r="AS9" s="41">
        <f>(H9+H10)*0.2</f>
        <v>1.0370000000000001</v>
      </c>
      <c r="AT9" s="132">
        <f>(H9+H10)*0.15</f>
        <v>0.77775000000000005</v>
      </c>
      <c r="AU9" s="73"/>
      <c r="AV9" s="77"/>
      <c r="AW9" s="77"/>
      <c r="AX9" s="49"/>
    </row>
    <row r="10" spans="1:50" ht="15.75" thickBot="1" x14ac:dyDescent="0.3">
      <c r="A10" s="24"/>
      <c r="B10" s="24"/>
      <c r="C10" s="24"/>
      <c r="D10" s="24"/>
      <c r="E10" s="24"/>
      <c r="F10" s="25" t="s">
        <v>36</v>
      </c>
      <c r="G10" s="25">
        <v>0.45</v>
      </c>
      <c r="H10" s="25">
        <v>4.5</v>
      </c>
      <c r="I10" s="25">
        <v>10</v>
      </c>
      <c r="J10" s="25" t="s">
        <v>33</v>
      </c>
      <c r="K10" s="25">
        <f t="shared" si="9"/>
        <v>75.599999999999994</v>
      </c>
      <c r="L10" s="25">
        <f t="shared" si="10"/>
        <v>88.199999999999989</v>
      </c>
      <c r="M10" s="25">
        <f t="shared" si="11"/>
        <v>50.400000000000006</v>
      </c>
      <c r="N10" s="25">
        <f t="shared" si="12"/>
        <v>37.799999999999997</v>
      </c>
      <c r="O10" s="26">
        <v>252</v>
      </c>
      <c r="P10" s="25" t="s">
        <v>37</v>
      </c>
      <c r="Q10" s="25">
        <v>71041</v>
      </c>
      <c r="R10" s="19" t="s">
        <v>35</v>
      </c>
      <c r="S10" s="15" t="s">
        <v>36</v>
      </c>
      <c r="T10" s="9">
        <v>1</v>
      </c>
      <c r="U10" s="16">
        <v>7.5863173299950102</v>
      </c>
      <c r="V10" s="43">
        <f t="shared" si="14"/>
        <v>106255.79999999999</v>
      </c>
      <c r="W10" s="51"/>
      <c r="X10" s="48"/>
      <c r="Y10" s="48"/>
      <c r="Z10" s="49"/>
      <c r="AA10" s="50"/>
      <c r="AB10" s="48"/>
      <c r="AC10" s="48"/>
      <c r="AD10" s="48"/>
      <c r="AE10" s="68">
        <f t="shared" si="13"/>
        <v>1.3499999999999999</v>
      </c>
      <c r="AF10" s="65">
        <f t="shared" ref="AF10:AF17" si="15">H10*0.35</f>
        <v>1.575</v>
      </c>
      <c r="AG10" s="48"/>
      <c r="AH10" s="86"/>
      <c r="AI10" s="51"/>
      <c r="AJ10" s="48"/>
      <c r="AK10" s="41">
        <f t="shared" ref="AK10:AK14" si="16">H10*0.2</f>
        <v>0.9</v>
      </c>
      <c r="AL10" s="49"/>
      <c r="AM10" s="51"/>
      <c r="AN10" s="48"/>
      <c r="AO10" s="77"/>
      <c r="AP10" s="132">
        <f>H10*0.15</f>
        <v>0.67499999999999993</v>
      </c>
      <c r="AQ10" s="51"/>
      <c r="AR10" s="48"/>
      <c r="AS10" s="77"/>
      <c r="AT10" s="49"/>
      <c r="AU10" s="51"/>
      <c r="AV10" s="48"/>
      <c r="AW10" s="77"/>
      <c r="AX10" s="49"/>
    </row>
    <row r="11" spans="1:50" ht="15.75" thickBot="1" x14ac:dyDescent="0.3">
      <c r="A11" s="24"/>
      <c r="B11" s="24"/>
      <c r="C11" s="24"/>
      <c r="D11" s="24"/>
      <c r="E11" s="24"/>
      <c r="F11" s="25" t="s">
        <v>36</v>
      </c>
      <c r="G11" s="25">
        <v>0.45</v>
      </c>
      <c r="H11" s="25">
        <v>4.5</v>
      </c>
      <c r="I11" s="25">
        <v>10</v>
      </c>
      <c r="J11" s="25" t="s">
        <v>33</v>
      </c>
      <c r="K11" s="25">
        <f t="shared" si="9"/>
        <v>75.599999999999994</v>
      </c>
      <c r="L11" s="25">
        <f t="shared" si="10"/>
        <v>88.199999999999989</v>
      </c>
      <c r="M11" s="25">
        <f t="shared" si="11"/>
        <v>50.400000000000006</v>
      </c>
      <c r="N11" s="25">
        <f t="shared" si="12"/>
        <v>37.799999999999997</v>
      </c>
      <c r="O11" s="26">
        <v>252</v>
      </c>
      <c r="P11" s="25" t="s">
        <v>37</v>
      </c>
      <c r="Q11" s="25">
        <v>71042</v>
      </c>
      <c r="R11" s="19" t="s">
        <v>35</v>
      </c>
      <c r="S11" s="15" t="s">
        <v>36</v>
      </c>
      <c r="T11" s="9">
        <v>1</v>
      </c>
      <c r="U11" s="16">
        <v>7.5863173299950102</v>
      </c>
      <c r="V11" s="43">
        <f t="shared" si="14"/>
        <v>106255.79999999999</v>
      </c>
      <c r="W11" s="51"/>
      <c r="X11" s="48"/>
      <c r="Y11" s="48"/>
      <c r="Z11" s="49"/>
      <c r="AA11" s="50"/>
      <c r="AB11" s="48"/>
      <c r="AC11" s="48"/>
      <c r="AD11" s="48"/>
      <c r="AE11" s="68">
        <f t="shared" si="13"/>
        <v>1.3499999999999999</v>
      </c>
      <c r="AF11" s="65">
        <f t="shared" si="15"/>
        <v>1.575</v>
      </c>
      <c r="AG11" s="48"/>
      <c r="AH11" s="86"/>
      <c r="AI11" s="51"/>
      <c r="AJ11" s="48"/>
      <c r="AK11" s="41">
        <f t="shared" si="16"/>
        <v>0.9</v>
      </c>
      <c r="AL11" s="49"/>
      <c r="AM11" s="51"/>
      <c r="AN11" s="48"/>
      <c r="AO11" s="77"/>
      <c r="AP11" s="132">
        <f>H11*0.15</f>
        <v>0.67499999999999993</v>
      </c>
      <c r="AQ11" s="51"/>
      <c r="AR11" s="48"/>
      <c r="AS11" s="77"/>
      <c r="AT11" s="49"/>
      <c r="AU11" s="51"/>
      <c r="AV11" s="48"/>
      <c r="AW11" s="77"/>
      <c r="AX11" s="49"/>
    </row>
    <row r="12" spans="1:50" ht="15.75" thickBot="1" x14ac:dyDescent="0.3">
      <c r="A12" s="24"/>
      <c r="B12" s="24"/>
      <c r="C12" s="24"/>
      <c r="D12" s="24"/>
      <c r="E12" s="24"/>
      <c r="F12" s="25" t="s">
        <v>42</v>
      </c>
      <c r="G12" s="25">
        <v>0.79999999999999993</v>
      </c>
      <c r="H12" s="25">
        <v>0.79999999999999993</v>
      </c>
      <c r="I12" s="25">
        <v>1</v>
      </c>
      <c r="J12" s="25" t="s">
        <v>33</v>
      </c>
      <c r="K12" s="25">
        <f t="shared" si="9"/>
        <v>9.5999999999999979</v>
      </c>
      <c r="L12" s="25">
        <f t="shared" si="10"/>
        <v>11.199999999999998</v>
      </c>
      <c r="M12" s="25">
        <f t="shared" si="11"/>
        <v>6.3999999999999995</v>
      </c>
      <c r="N12" s="25">
        <f t="shared" si="12"/>
        <v>4.7999999999999989</v>
      </c>
      <c r="O12" s="26">
        <v>31.999999999999996</v>
      </c>
      <c r="P12" s="25" t="s">
        <v>43</v>
      </c>
      <c r="Q12" s="25">
        <v>71058</v>
      </c>
      <c r="R12" s="19" t="s">
        <v>35</v>
      </c>
      <c r="S12" s="15" t="s">
        <v>42</v>
      </c>
      <c r="T12" s="9">
        <v>1</v>
      </c>
      <c r="U12" s="16">
        <v>1.3486786364435572</v>
      </c>
      <c r="V12" s="43">
        <f t="shared" si="14"/>
        <v>13492.799999999997</v>
      </c>
      <c r="W12" s="51"/>
      <c r="X12" s="48"/>
      <c r="Y12" s="48"/>
      <c r="Z12" s="49"/>
      <c r="AA12" s="47">
        <f>H12*0.3</f>
        <v>0.23999999999999996</v>
      </c>
      <c r="AB12" s="48"/>
      <c r="AC12" s="48"/>
      <c r="AD12" s="48"/>
      <c r="AE12" s="51"/>
      <c r="AF12" s="65">
        <f t="shared" si="15"/>
        <v>0.27999999999999997</v>
      </c>
      <c r="AG12" s="48"/>
      <c r="AH12" s="86"/>
      <c r="AI12" s="51"/>
      <c r="AJ12" s="48"/>
      <c r="AK12" s="41">
        <f t="shared" si="16"/>
        <v>0.16</v>
      </c>
      <c r="AL12" s="49"/>
      <c r="AM12" s="51"/>
      <c r="AN12" s="48"/>
      <c r="AO12" s="48"/>
      <c r="AP12" s="132">
        <f t="shared" ref="AP12:AP17" si="17">H12*0.15</f>
        <v>0.11999999999999998</v>
      </c>
      <c r="AQ12" s="51"/>
      <c r="AR12" s="48"/>
      <c r="AS12" s="48"/>
      <c r="AT12" s="49"/>
      <c r="AU12" s="51"/>
      <c r="AV12" s="48"/>
      <c r="AW12" s="48"/>
      <c r="AX12" s="49"/>
    </row>
    <row r="13" spans="1:50" ht="15.75" thickBot="1" x14ac:dyDescent="0.3">
      <c r="A13" s="24"/>
      <c r="B13" s="24"/>
      <c r="C13" s="24"/>
      <c r="D13" s="24"/>
      <c r="E13" s="24"/>
      <c r="F13" s="25" t="s">
        <v>42</v>
      </c>
      <c r="G13" s="25">
        <v>0.79999999999999993</v>
      </c>
      <c r="H13" s="25">
        <v>0.79999999999999993</v>
      </c>
      <c r="I13" s="25">
        <v>1</v>
      </c>
      <c r="J13" s="25" t="s">
        <v>33</v>
      </c>
      <c r="K13" s="25">
        <f t="shared" si="9"/>
        <v>9.5999999999999979</v>
      </c>
      <c r="L13" s="25">
        <f t="shared" si="10"/>
        <v>11.199999999999998</v>
      </c>
      <c r="M13" s="25">
        <f t="shared" si="11"/>
        <v>6.3999999999999995</v>
      </c>
      <c r="N13" s="25">
        <f t="shared" si="12"/>
        <v>4.7999999999999989</v>
      </c>
      <c r="O13" s="26">
        <v>31.999999999999996</v>
      </c>
      <c r="P13" s="25" t="s">
        <v>43</v>
      </c>
      <c r="Q13" s="25">
        <v>71058</v>
      </c>
      <c r="R13" s="19" t="s">
        <v>35</v>
      </c>
      <c r="S13" s="15" t="s">
        <v>42</v>
      </c>
      <c r="T13" s="9">
        <v>2</v>
      </c>
      <c r="U13" s="16">
        <v>1.3486786364435572</v>
      </c>
      <c r="V13" s="43">
        <f t="shared" si="14"/>
        <v>13492.799999999997</v>
      </c>
      <c r="W13" s="51"/>
      <c r="X13" s="48"/>
      <c r="Y13" s="48"/>
      <c r="Z13" s="49"/>
      <c r="AA13" s="47">
        <f t="shared" ref="AA13:AA17" si="18">H13*0.3</f>
        <v>0.23999999999999996</v>
      </c>
      <c r="AB13" s="48"/>
      <c r="AC13" s="48"/>
      <c r="AD13" s="48"/>
      <c r="AE13" s="51"/>
      <c r="AF13" s="65">
        <f t="shared" si="15"/>
        <v>0.27999999999999997</v>
      </c>
      <c r="AG13" s="48"/>
      <c r="AH13" s="86"/>
      <c r="AI13" s="51"/>
      <c r="AJ13" s="48"/>
      <c r="AK13" s="41">
        <f t="shared" si="16"/>
        <v>0.16</v>
      </c>
      <c r="AL13" s="49"/>
      <c r="AM13" s="51"/>
      <c r="AN13" s="48"/>
      <c r="AO13" s="48"/>
      <c r="AP13" s="132">
        <f t="shared" si="17"/>
        <v>0.11999999999999998</v>
      </c>
      <c r="AQ13" s="51"/>
      <c r="AR13" s="48"/>
      <c r="AS13" s="48"/>
      <c r="AT13" s="49"/>
      <c r="AU13" s="51"/>
      <c r="AV13" s="48"/>
      <c r="AW13" s="48"/>
      <c r="AX13" s="49"/>
    </row>
    <row r="14" spans="1:50" ht="15.75" thickBot="1" x14ac:dyDescent="0.3">
      <c r="A14" s="24"/>
      <c r="B14" s="24"/>
      <c r="C14" s="24"/>
      <c r="D14" s="24"/>
      <c r="E14" s="24"/>
      <c r="F14" s="25" t="s">
        <v>42</v>
      </c>
      <c r="G14" s="25">
        <v>0.79999999999999993</v>
      </c>
      <c r="H14" s="25">
        <v>0.79999999999999993</v>
      </c>
      <c r="I14" s="25">
        <v>1</v>
      </c>
      <c r="J14" s="25" t="s">
        <v>33</v>
      </c>
      <c r="K14" s="25">
        <f t="shared" si="9"/>
        <v>9.5999999999999979</v>
      </c>
      <c r="L14" s="25">
        <f t="shared" si="10"/>
        <v>11.199999999999998</v>
      </c>
      <c r="M14" s="25">
        <f t="shared" si="11"/>
        <v>6.3999999999999995</v>
      </c>
      <c r="N14" s="25">
        <f t="shared" si="12"/>
        <v>4.7999999999999989</v>
      </c>
      <c r="O14" s="26">
        <v>31.999999999999996</v>
      </c>
      <c r="P14" s="25" t="s">
        <v>43</v>
      </c>
      <c r="Q14" s="25">
        <v>71058</v>
      </c>
      <c r="R14" s="19" t="s">
        <v>35</v>
      </c>
      <c r="S14" s="15" t="s">
        <v>42</v>
      </c>
      <c r="T14" s="9">
        <v>3</v>
      </c>
      <c r="U14" s="16">
        <v>1.3486786364435572</v>
      </c>
      <c r="V14" s="43">
        <f t="shared" si="14"/>
        <v>13492.799999999997</v>
      </c>
      <c r="W14" s="51"/>
      <c r="X14" s="48"/>
      <c r="Y14" s="48"/>
      <c r="Z14" s="49"/>
      <c r="AA14" s="47">
        <f t="shared" si="18"/>
        <v>0.23999999999999996</v>
      </c>
      <c r="AB14" s="48"/>
      <c r="AC14" s="48"/>
      <c r="AD14" s="48"/>
      <c r="AE14" s="51"/>
      <c r="AF14" s="65">
        <f t="shared" si="15"/>
        <v>0.27999999999999997</v>
      </c>
      <c r="AG14" s="48"/>
      <c r="AH14" s="86"/>
      <c r="AI14" s="51"/>
      <c r="AJ14" s="48"/>
      <c r="AK14" s="41">
        <f t="shared" si="16"/>
        <v>0.16</v>
      </c>
      <c r="AL14" s="49"/>
      <c r="AM14" s="51"/>
      <c r="AN14" s="48"/>
      <c r="AO14" s="48"/>
      <c r="AP14" s="132">
        <f t="shared" si="17"/>
        <v>0.11999999999999998</v>
      </c>
      <c r="AQ14" s="51"/>
      <c r="AR14" s="48"/>
      <c r="AS14" s="48"/>
      <c r="AT14" s="49"/>
      <c r="AU14" s="51"/>
      <c r="AV14" s="48"/>
      <c r="AW14" s="48"/>
      <c r="AX14" s="49"/>
    </row>
    <row r="15" spans="1:50" ht="15.75" thickBot="1" x14ac:dyDescent="0.3">
      <c r="A15" s="24"/>
      <c r="B15" s="24"/>
      <c r="C15" s="24"/>
      <c r="D15" s="24"/>
      <c r="E15" s="24"/>
      <c r="F15" s="25" t="s">
        <v>42</v>
      </c>
      <c r="G15" s="25">
        <v>0.79999999999999993</v>
      </c>
      <c r="H15" s="25">
        <v>0.79999999999999993</v>
      </c>
      <c r="I15" s="25">
        <v>1</v>
      </c>
      <c r="J15" s="25" t="s">
        <v>33</v>
      </c>
      <c r="K15" s="25">
        <f t="shared" si="9"/>
        <v>9.5999999999999979</v>
      </c>
      <c r="L15" s="25">
        <f t="shared" si="10"/>
        <v>11.199999999999998</v>
      </c>
      <c r="M15" s="25">
        <f t="shared" si="11"/>
        <v>6.3999999999999995</v>
      </c>
      <c r="N15" s="25">
        <f t="shared" si="12"/>
        <v>4.7999999999999989</v>
      </c>
      <c r="O15" s="26">
        <v>31.999999999999996</v>
      </c>
      <c r="P15" s="25" t="s">
        <v>43</v>
      </c>
      <c r="Q15" s="25">
        <v>71061</v>
      </c>
      <c r="R15" s="19" t="s">
        <v>35</v>
      </c>
      <c r="S15" s="15" t="s">
        <v>42</v>
      </c>
      <c r="T15" s="9">
        <v>1</v>
      </c>
      <c r="U15" s="16">
        <v>1.3486786364435572</v>
      </c>
      <c r="V15" s="43">
        <f t="shared" si="14"/>
        <v>13492.799999999997</v>
      </c>
      <c r="W15" s="51"/>
      <c r="X15" s="48"/>
      <c r="Y15" s="48"/>
      <c r="Z15" s="49"/>
      <c r="AA15" s="47">
        <f t="shared" si="18"/>
        <v>0.23999999999999996</v>
      </c>
      <c r="AB15" s="48"/>
      <c r="AC15" s="48"/>
      <c r="AD15" s="48"/>
      <c r="AE15" s="51"/>
      <c r="AF15" s="65">
        <f t="shared" si="15"/>
        <v>0.27999999999999997</v>
      </c>
      <c r="AG15" s="48"/>
      <c r="AH15" s="86"/>
      <c r="AI15" s="51"/>
      <c r="AJ15" s="48"/>
      <c r="AK15" s="41">
        <f>H15*0.2</f>
        <v>0.16</v>
      </c>
      <c r="AL15" s="49"/>
      <c r="AM15" s="51"/>
      <c r="AN15" s="48"/>
      <c r="AO15" s="48"/>
      <c r="AP15" s="132">
        <f t="shared" si="17"/>
        <v>0.11999999999999998</v>
      </c>
      <c r="AQ15" s="51"/>
      <c r="AR15" s="48"/>
      <c r="AS15" s="48"/>
      <c r="AT15" s="49"/>
      <c r="AU15" s="51"/>
      <c r="AV15" s="48"/>
      <c r="AW15" s="48"/>
      <c r="AX15" s="49"/>
    </row>
    <row r="16" spans="1:50" ht="15.75" thickBot="1" x14ac:dyDescent="0.3">
      <c r="A16" s="24"/>
      <c r="B16" s="24"/>
      <c r="C16" s="24"/>
      <c r="D16" s="24"/>
      <c r="E16" s="24"/>
      <c r="F16" s="25" t="s">
        <v>42</v>
      </c>
      <c r="G16" s="25">
        <v>0.79999999999999993</v>
      </c>
      <c r="H16" s="25">
        <v>0.79999999999999993</v>
      </c>
      <c r="I16" s="25">
        <v>1</v>
      </c>
      <c r="J16" s="25" t="s">
        <v>33</v>
      </c>
      <c r="K16" s="25">
        <f t="shared" si="9"/>
        <v>9.5999999999999979</v>
      </c>
      <c r="L16" s="25">
        <f t="shared" si="10"/>
        <v>11.199999999999998</v>
      </c>
      <c r="M16" s="25">
        <f t="shared" si="11"/>
        <v>6.3999999999999995</v>
      </c>
      <c r="N16" s="25">
        <f t="shared" si="12"/>
        <v>4.7999999999999989</v>
      </c>
      <c r="O16" s="26">
        <v>31.999999999999996</v>
      </c>
      <c r="P16" s="25" t="s">
        <v>43</v>
      </c>
      <c r="Q16" s="25">
        <v>71061</v>
      </c>
      <c r="R16" s="19" t="s">
        <v>35</v>
      </c>
      <c r="S16" s="15" t="s">
        <v>42</v>
      </c>
      <c r="T16" s="9">
        <v>2</v>
      </c>
      <c r="U16" s="16">
        <v>1.3486786364435572</v>
      </c>
      <c r="V16" s="43">
        <f t="shared" si="14"/>
        <v>13492.799999999997</v>
      </c>
      <c r="W16" s="51"/>
      <c r="X16" s="48"/>
      <c r="Y16" s="48"/>
      <c r="Z16" s="49"/>
      <c r="AA16" s="47">
        <f t="shared" si="18"/>
        <v>0.23999999999999996</v>
      </c>
      <c r="AB16" s="48"/>
      <c r="AC16" s="48"/>
      <c r="AD16" s="48"/>
      <c r="AE16" s="51"/>
      <c r="AF16" s="65">
        <f t="shared" si="15"/>
        <v>0.27999999999999997</v>
      </c>
      <c r="AG16" s="48"/>
      <c r="AH16" s="86"/>
      <c r="AI16" s="51"/>
      <c r="AJ16" s="48"/>
      <c r="AK16" s="41">
        <f t="shared" ref="AK16:AK17" si="19">H16*0.2</f>
        <v>0.16</v>
      </c>
      <c r="AL16" s="49"/>
      <c r="AM16" s="51"/>
      <c r="AN16" s="48"/>
      <c r="AO16" s="48"/>
      <c r="AP16" s="132">
        <f t="shared" si="17"/>
        <v>0.11999999999999998</v>
      </c>
      <c r="AQ16" s="51"/>
      <c r="AR16" s="48"/>
      <c r="AS16" s="48"/>
      <c r="AT16" s="49"/>
      <c r="AU16" s="51"/>
      <c r="AV16" s="48"/>
      <c r="AW16" s="48"/>
      <c r="AX16" s="49"/>
    </row>
    <row r="17" spans="1:50" ht="15.75" thickBot="1" x14ac:dyDescent="0.3">
      <c r="A17" s="24"/>
      <c r="B17" s="24"/>
      <c r="C17" s="24"/>
      <c r="D17" s="24"/>
      <c r="E17" s="24"/>
      <c r="F17" s="25" t="s">
        <v>42</v>
      </c>
      <c r="G17" s="25">
        <v>0.79999999999999993</v>
      </c>
      <c r="H17" s="25">
        <v>0.79999999999999993</v>
      </c>
      <c r="I17" s="25">
        <v>1</v>
      </c>
      <c r="J17" s="25" t="s">
        <v>33</v>
      </c>
      <c r="K17" s="25">
        <f t="shared" si="9"/>
        <v>9.5999999999999979</v>
      </c>
      <c r="L17" s="25">
        <f t="shared" si="10"/>
        <v>11.199999999999998</v>
      </c>
      <c r="M17" s="25">
        <f t="shared" si="11"/>
        <v>6.3999999999999995</v>
      </c>
      <c r="N17" s="25">
        <f t="shared" si="12"/>
        <v>4.7999999999999989</v>
      </c>
      <c r="O17" s="26">
        <v>31.999999999999996</v>
      </c>
      <c r="P17" s="25" t="s">
        <v>43</v>
      </c>
      <c r="Q17" s="25">
        <v>71061</v>
      </c>
      <c r="R17" s="19" t="s">
        <v>35</v>
      </c>
      <c r="S17" s="15" t="s">
        <v>42</v>
      </c>
      <c r="T17" s="9">
        <v>3</v>
      </c>
      <c r="U17" s="16">
        <v>1.3486786364435572</v>
      </c>
      <c r="V17" s="43">
        <f t="shared" si="14"/>
        <v>13492.799999999997</v>
      </c>
      <c r="W17" s="51"/>
      <c r="X17" s="48"/>
      <c r="Y17" s="48"/>
      <c r="Z17" s="49"/>
      <c r="AA17" s="47">
        <f t="shared" si="18"/>
        <v>0.23999999999999996</v>
      </c>
      <c r="AB17" s="48"/>
      <c r="AC17" s="48"/>
      <c r="AD17" s="48"/>
      <c r="AE17" s="51"/>
      <c r="AF17" s="65">
        <f t="shared" si="15"/>
        <v>0.27999999999999997</v>
      </c>
      <c r="AG17" s="48"/>
      <c r="AH17" s="86"/>
      <c r="AI17" s="51"/>
      <c r="AJ17" s="48"/>
      <c r="AK17" s="41">
        <f t="shared" si="19"/>
        <v>0.16</v>
      </c>
      <c r="AL17" s="49"/>
      <c r="AM17" s="51"/>
      <c r="AN17" s="48"/>
      <c r="AO17" s="48"/>
      <c r="AP17" s="132">
        <f t="shared" si="17"/>
        <v>0.11999999999999998</v>
      </c>
      <c r="AQ17" s="51"/>
      <c r="AR17" s="48"/>
      <c r="AS17" s="48"/>
      <c r="AT17" s="49"/>
      <c r="AU17" s="51"/>
      <c r="AV17" s="48"/>
      <c r="AW17" s="48"/>
      <c r="AX17" s="49"/>
    </row>
    <row r="18" spans="1:50" ht="15.75" thickBot="1" x14ac:dyDescent="0.3">
      <c r="A18" s="24"/>
      <c r="B18" s="24"/>
      <c r="C18" s="24"/>
      <c r="D18" s="24"/>
      <c r="E18" s="24"/>
      <c r="F18" s="25" t="s">
        <v>32</v>
      </c>
      <c r="G18" s="25">
        <v>0.45</v>
      </c>
      <c r="H18" s="25">
        <v>4.5</v>
      </c>
      <c r="I18" s="25">
        <v>10</v>
      </c>
      <c r="J18" s="25" t="s">
        <v>33</v>
      </c>
      <c r="K18" s="25">
        <f t="shared" si="9"/>
        <v>75.599999999999994</v>
      </c>
      <c r="L18" s="25">
        <f t="shared" si="10"/>
        <v>88.199999999999989</v>
      </c>
      <c r="M18" s="25">
        <f t="shared" si="11"/>
        <v>50.400000000000006</v>
      </c>
      <c r="N18" s="25">
        <f t="shared" si="12"/>
        <v>37.799999999999997</v>
      </c>
      <c r="O18" s="26">
        <v>252</v>
      </c>
      <c r="P18" s="25" t="s">
        <v>34</v>
      </c>
      <c r="Q18" s="25">
        <v>71028</v>
      </c>
      <c r="R18" s="19" t="s">
        <v>35</v>
      </c>
      <c r="S18" s="15" t="s">
        <v>32</v>
      </c>
      <c r="T18" s="9">
        <v>1</v>
      </c>
      <c r="U18" s="16">
        <v>7.5863173299950102</v>
      </c>
      <c r="V18" s="43">
        <f t="shared" si="14"/>
        <v>106255.79999999999</v>
      </c>
      <c r="W18" s="51"/>
      <c r="X18" s="48"/>
      <c r="Y18" s="48"/>
      <c r="Z18" s="49"/>
      <c r="AA18" s="50"/>
      <c r="AB18" s="48"/>
      <c r="AC18" s="48"/>
      <c r="AD18" s="48"/>
      <c r="AE18" s="68">
        <f t="shared" ref="AE18:AE21" si="20">H18*0.3</f>
        <v>1.3499999999999999</v>
      </c>
      <c r="AF18" s="56"/>
      <c r="AG18" s="48"/>
      <c r="AH18" s="86"/>
      <c r="AI18" s="51"/>
      <c r="AJ18" s="130">
        <f>H18*0.35</f>
        <v>1.575</v>
      </c>
      <c r="AK18" s="130">
        <f>H18*0.2</f>
        <v>0.9</v>
      </c>
      <c r="AL18" s="49"/>
      <c r="AM18" s="51"/>
      <c r="AN18" s="77"/>
      <c r="AO18" s="77"/>
      <c r="AP18" s="132">
        <f>H18*0.15</f>
        <v>0.67499999999999993</v>
      </c>
      <c r="AQ18" s="51"/>
      <c r="AR18" s="77"/>
      <c r="AS18" s="77"/>
      <c r="AT18" s="49"/>
      <c r="AU18" s="51"/>
      <c r="AV18" s="77"/>
      <c r="AW18" s="77"/>
      <c r="AX18" s="49"/>
    </row>
    <row r="19" spans="1:50" ht="15.75" thickBot="1" x14ac:dyDescent="0.3">
      <c r="A19" s="24"/>
      <c r="B19" s="24"/>
      <c r="C19" s="24"/>
      <c r="D19" s="24"/>
      <c r="E19" s="24"/>
      <c r="F19" s="25" t="s">
        <v>32</v>
      </c>
      <c r="G19" s="25">
        <v>0.41600000000000004</v>
      </c>
      <c r="H19" s="25">
        <v>4.16</v>
      </c>
      <c r="I19" s="25">
        <v>10</v>
      </c>
      <c r="J19" s="25" t="s">
        <v>33</v>
      </c>
      <c r="K19" s="25">
        <f t="shared" si="9"/>
        <v>69.888000000000005</v>
      </c>
      <c r="L19" s="25">
        <f t="shared" si="10"/>
        <v>81.536000000000001</v>
      </c>
      <c r="M19" s="25">
        <f t="shared" si="11"/>
        <v>46.592000000000006</v>
      </c>
      <c r="N19" s="25">
        <f t="shared" si="12"/>
        <v>34.944000000000003</v>
      </c>
      <c r="O19" s="26">
        <v>232.96</v>
      </c>
      <c r="P19" s="25" t="s">
        <v>34</v>
      </c>
      <c r="Q19" s="25">
        <v>71029</v>
      </c>
      <c r="R19" s="19" t="s">
        <v>35</v>
      </c>
      <c r="S19" s="15" t="s">
        <v>32</v>
      </c>
      <c r="T19" s="9">
        <v>1</v>
      </c>
      <c r="U19" s="16">
        <v>7.0131289095064986</v>
      </c>
      <c r="V19" s="43">
        <f t="shared" si="14"/>
        <v>98227.584000000003</v>
      </c>
      <c r="W19" s="51"/>
      <c r="X19" s="48"/>
      <c r="Y19" s="48"/>
      <c r="Z19" s="49"/>
      <c r="AA19" s="50"/>
      <c r="AB19" s="48"/>
      <c r="AC19" s="48"/>
      <c r="AD19" s="48"/>
      <c r="AE19" s="68">
        <f t="shared" si="20"/>
        <v>1.248</v>
      </c>
      <c r="AF19" s="56"/>
      <c r="AG19" s="48"/>
      <c r="AH19" s="86"/>
      <c r="AI19" s="51"/>
      <c r="AJ19" s="130">
        <f>H19*0.35</f>
        <v>1.456</v>
      </c>
      <c r="AK19" s="130">
        <f>H19*0.2</f>
        <v>0.83200000000000007</v>
      </c>
      <c r="AL19" s="49"/>
      <c r="AM19" s="51"/>
      <c r="AN19" s="77"/>
      <c r="AO19" s="77"/>
      <c r="AP19" s="132">
        <f>H19*0.15</f>
        <v>0.624</v>
      </c>
      <c r="AQ19" s="51"/>
      <c r="AR19" s="77"/>
      <c r="AS19" s="77"/>
      <c r="AT19" s="49"/>
      <c r="AU19" s="51"/>
      <c r="AV19" s="77"/>
      <c r="AW19" s="77"/>
      <c r="AX19" s="49"/>
    </row>
    <row r="20" spans="1:50" ht="15.75" thickBot="1" x14ac:dyDescent="0.3">
      <c r="A20" s="24"/>
      <c r="B20" s="8"/>
      <c r="C20" s="8"/>
      <c r="D20" s="8"/>
      <c r="E20" s="8"/>
      <c r="F20" s="25" t="s">
        <v>32</v>
      </c>
      <c r="G20" s="25">
        <v>0.4</v>
      </c>
      <c r="H20" s="25">
        <v>4</v>
      </c>
      <c r="I20" s="25">
        <v>10</v>
      </c>
      <c r="J20" s="25" t="s">
        <v>33</v>
      </c>
      <c r="K20" s="25">
        <f t="shared" si="9"/>
        <v>67.2</v>
      </c>
      <c r="L20" s="25">
        <f t="shared" si="10"/>
        <v>78.399999999999991</v>
      </c>
      <c r="M20" s="25">
        <f t="shared" si="11"/>
        <v>44.800000000000004</v>
      </c>
      <c r="N20" s="25">
        <f t="shared" si="12"/>
        <v>33.6</v>
      </c>
      <c r="O20" s="26">
        <v>224</v>
      </c>
      <c r="P20" s="25" t="s">
        <v>34</v>
      </c>
      <c r="Q20" s="25">
        <v>71030</v>
      </c>
      <c r="R20" s="19" t="s">
        <v>35</v>
      </c>
      <c r="S20" s="15" t="s">
        <v>32</v>
      </c>
      <c r="T20" s="9">
        <v>1</v>
      </c>
      <c r="U20" s="16">
        <v>6.7433931822177868</v>
      </c>
      <c r="V20" s="43">
        <f t="shared" si="14"/>
        <v>94449.599999999991</v>
      </c>
      <c r="W20" s="51"/>
      <c r="X20" s="48"/>
      <c r="Y20" s="48"/>
      <c r="Z20" s="49"/>
      <c r="AA20" s="50"/>
      <c r="AB20" s="48"/>
      <c r="AC20" s="48"/>
      <c r="AD20" s="48"/>
      <c r="AE20" s="68">
        <f>H20*0.3</f>
        <v>1.2</v>
      </c>
      <c r="AF20" s="118">
        <f>H20*0.35</f>
        <v>1.4</v>
      </c>
      <c r="AG20" s="48"/>
      <c r="AH20" s="86"/>
      <c r="AI20" s="73"/>
      <c r="AJ20" s="117"/>
      <c r="AK20" s="130">
        <f>H20*0.2</f>
        <v>0.8</v>
      </c>
      <c r="AL20" s="49"/>
      <c r="AM20" s="73"/>
      <c r="AN20" s="117"/>
      <c r="AO20" s="77"/>
      <c r="AP20" s="132">
        <f>H20*0.15</f>
        <v>0.6</v>
      </c>
      <c r="AQ20" s="73"/>
      <c r="AR20" s="117"/>
      <c r="AS20" s="77"/>
      <c r="AT20" s="49"/>
      <c r="AU20" s="73"/>
      <c r="AV20" s="117"/>
      <c r="AW20" s="77"/>
      <c r="AX20" s="49"/>
    </row>
    <row r="21" spans="1:50" x14ac:dyDescent="0.25">
      <c r="A21" s="24"/>
      <c r="B21" s="24"/>
      <c r="C21" s="24"/>
      <c r="D21" s="24"/>
      <c r="E21" s="24"/>
      <c r="F21" s="25" t="s">
        <v>32</v>
      </c>
      <c r="G21" s="25">
        <v>0.41500000000000004</v>
      </c>
      <c r="H21" s="25">
        <v>4.1500000000000004</v>
      </c>
      <c r="I21" s="25">
        <v>10</v>
      </c>
      <c r="J21" s="25" t="s">
        <v>33</v>
      </c>
      <c r="K21" s="25">
        <f t="shared" si="9"/>
        <v>69.720000000000013</v>
      </c>
      <c r="L21" s="25">
        <f t="shared" si="10"/>
        <v>81.34</v>
      </c>
      <c r="M21" s="25">
        <f t="shared" si="11"/>
        <v>46.480000000000011</v>
      </c>
      <c r="N21" s="25">
        <f t="shared" si="12"/>
        <v>34.860000000000007</v>
      </c>
      <c r="O21" s="26">
        <v>232.40000000000003</v>
      </c>
      <c r="P21" s="25" t="s">
        <v>34</v>
      </c>
      <c r="Q21" s="25">
        <v>71031</v>
      </c>
      <c r="R21" s="19" t="s">
        <v>35</v>
      </c>
      <c r="S21" s="15" t="s">
        <v>32</v>
      </c>
      <c r="T21" s="9">
        <v>1</v>
      </c>
      <c r="U21" s="16">
        <v>6.9962704265509545</v>
      </c>
      <c r="V21" s="43">
        <f t="shared" si="14"/>
        <v>97991.46</v>
      </c>
      <c r="W21" s="51"/>
      <c r="X21" s="48"/>
      <c r="Y21" s="48"/>
      <c r="Z21" s="49"/>
      <c r="AA21" s="50"/>
      <c r="AB21" s="48"/>
      <c r="AC21" s="48"/>
      <c r="AD21" s="48"/>
      <c r="AE21" s="68">
        <f t="shared" si="20"/>
        <v>1.2450000000000001</v>
      </c>
      <c r="AF21" s="56"/>
      <c r="AG21" s="48"/>
      <c r="AH21" s="86"/>
      <c r="AI21" s="51"/>
      <c r="AJ21" s="130">
        <f>H21*0.35</f>
        <v>1.4525000000000001</v>
      </c>
      <c r="AK21" s="130">
        <f>H21*0.2</f>
        <v>0.83000000000000007</v>
      </c>
      <c r="AL21" s="49"/>
      <c r="AM21" s="51"/>
      <c r="AN21" s="77"/>
      <c r="AO21" s="77"/>
      <c r="AP21" s="132">
        <f>H21*0.15</f>
        <v>0.62250000000000005</v>
      </c>
      <c r="AQ21" s="51"/>
      <c r="AR21" s="77"/>
      <c r="AS21" s="77"/>
      <c r="AT21" s="49"/>
      <c r="AU21" s="51"/>
      <c r="AV21" s="77"/>
      <c r="AW21" s="77"/>
      <c r="AX21" s="49"/>
    </row>
    <row r="22" spans="1:50" x14ac:dyDescent="0.25">
      <c r="A22" s="24"/>
      <c r="B22" s="24"/>
      <c r="C22" s="24"/>
      <c r="D22" s="24"/>
      <c r="E22" s="24"/>
      <c r="F22" s="25" t="s">
        <v>38</v>
      </c>
      <c r="G22" s="25">
        <v>0.68500000000000005</v>
      </c>
      <c r="H22" s="25">
        <v>0.68500000000000005</v>
      </c>
      <c r="I22" s="25">
        <v>1</v>
      </c>
      <c r="J22" s="25" t="s">
        <v>33</v>
      </c>
      <c r="K22" s="25">
        <f t="shared" si="9"/>
        <v>8.2200000000000006</v>
      </c>
      <c r="L22" s="25">
        <f t="shared" si="10"/>
        <v>9.59</v>
      </c>
      <c r="M22" s="25">
        <f t="shared" si="11"/>
        <v>5.48</v>
      </c>
      <c r="N22" s="25">
        <f t="shared" si="12"/>
        <v>4.1100000000000003</v>
      </c>
      <c r="O22" s="26">
        <v>27.400000000000002</v>
      </c>
      <c r="P22" s="25" t="s">
        <v>39</v>
      </c>
      <c r="Q22" s="25">
        <v>71048</v>
      </c>
      <c r="R22" s="19" t="s">
        <v>35</v>
      </c>
      <c r="S22" s="15" t="s">
        <v>38</v>
      </c>
      <c r="T22" s="9">
        <v>1</v>
      </c>
      <c r="U22" s="16">
        <v>1.1548060824547961</v>
      </c>
      <c r="V22" s="43">
        <f t="shared" si="14"/>
        <v>11553.210000000001</v>
      </c>
      <c r="W22" s="51"/>
      <c r="X22" s="48"/>
      <c r="Y22" s="48"/>
      <c r="Z22" s="49"/>
      <c r="AA22" s="50"/>
      <c r="AB22" s="48"/>
      <c r="AC22" s="48"/>
      <c r="AD22" s="48"/>
      <c r="AE22" s="51"/>
      <c r="AF22" s="48"/>
      <c r="AG22" s="48"/>
      <c r="AH22" s="86"/>
      <c r="AI22" s="51"/>
      <c r="AJ22" s="48"/>
      <c r="AK22" s="48"/>
      <c r="AL22" s="49"/>
      <c r="AM22" s="131">
        <f>H22*0.3</f>
        <v>0.20550000000000002</v>
      </c>
      <c r="AN22" s="48"/>
      <c r="AO22" s="48"/>
      <c r="AP22" s="49"/>
      <c r="AQ22" s="51"/>
      <c r="AR22" s="48"/>
      <c r="AS22" s="41">
        <f>(H22+H23)*0.2</f>
        <v>0.27400000000000002</v>
      </c>
      <c r="AT22" s="132">
        <f>(H22+H23)*0.15</f>
        <v>0.20550000000000002</v>
      </c>
      <c r="AU22" s="51"/>
      <c r="AV22" s="48"/>
      <c r="AW22" s="48"/>
      <c r="AX22" s="49"/>
    </row>
    <row r="23" spans="1:50" ht="15.75" thickBot="1" x14ac:dyDescent="0.3">
      <c r="A23" s="24"/>
      <c r="B23" s="24"/>
      <c r="C23" s="24"/>
      <c r="D23" s="24"/>
      <c r="E23" s="24"/>
      <c r="F23" s="25" t="s">
        <v>40</v>
      </c>
      <c r="G23" s="25">
        <v>0.68500000000000005</v>
      </c>
      <c r="H23" s="25">
        <v>0.68500000000000005</v>
      </c>
      <c r="I23" s="25">
        <v>1</v>
      </c>
      <c r="J23" s="25" t="s">
        <v>33</v>
      </c>
      <c r="K23" s="25">
        <f t="shared" si="9"/>
        <v>8.2200000000000006</v>
      </c>
      <c r="L23" s="25">
        <f t="shared" si="10"/>
        <v>9.59</v>
      </c>
      <c r="M23" s="25">
        <f t="shared" si="11"/>
        <v>5.48</v>
      </c>
      <c r="N23" s="25">
        <f t="shared" si="12"/>
        <v>4.1100000000000003</v>
      </c>
      <c r="O23" s="26">
        <v>27.400000000000002</v>
      </c>
      <c r="P23" s="25" t="s">
        <v>41</v>
      </c>
      <c r="Q23" s="25">
        <v>71048</v>
      </c>
      <c r="R23" s="19" t="s">
        <v>35</v>
      </c>
      <c r="S23" s="15" t="s">
        <v>40</v>
      </c>
      <c r="T23" s="9">
        <v>2</v>
      </c>
      <c r="U23" s="16">
        <v>1.1548060824547961</v>
      </c>
      <c r="V23" s="43">
        <f t="shared" si="14"/>
        <v>11553.210000000001</v>
      </c>
      <c r="W23" s="51"/>
      <c r="X23" s="48"/>
      <c r="Y23" s="48"/>
      <c r="Z23" s="49"/>
      <c r="AA23" s="50"/>
      <c r="AB23" s="48"/>
      <c r="AC23" s="48"/>
      <c r="AD23" s="48"/>
      <c r="AE23" s="51"/>
      <c r="AF23" s="48"/>
      <c r="AG23" s="48"/>
      <c r="AH23" s="86"/>
      <c r="AI23" s="51"/>
      <c r="AJ23" s="48"/>
      <c r="AK23" s="48"/>
      <c r="AL23" s="49"/>
      <c r="AM23" s="131">
        <f>H23*0.3</f>
        <v>0.20550000000000002</v>
      </c>
      <c r="AN23" s="48"/>
      <c r="AO23" s="48"/>
      <c r="AP23" s="49"/>
      <c r="AQ23" s="51"/>
      <c r="AR23" s="48"/>
      <c r="AS23" s="41">
        <f>(H23+H24)*0.2</f>
        <v>1.1969999999999998</v>
      </c>
      <c r="AT23" s="132">
        <f>(H23+H24)*0.15</f>
        <v>0.89774999999999994</v>
      </c>
      <c r="AU23" s="51"/>
      <c r="AV23" s="48"/>
      <c r="AW23" s="48"/>
      <c r="AX23" s="49"/>
    </row>
    <row r="24" spans="1:50" x14ac:dyDescent="0.25">
      <c r="A24" s="24"/>
      <c r="B24" s="24"/>
      <c r="C24" s="24"/>
      <c r="D24" s="24"/>
      <c r="E24" s="24"/>
      <c r="F24" s="25" t="s">
        <v>36</v>
      </c>
      <c r="G24" s="25">
        <v>0.53</v>
      </c>
      <c r="H24" s="25">
        <v>5.3</v>
      </c>
      <c r="I24" s="25">
        <v>10</v>
      </c>
      <c r="J24" s="25" t="s">
        <v>33</v>
      </c>
      <c r="K24" s="25">
        <f t="shared" si="9"/>
        <v>63.599999999999994</v>
      </c>
      <c r="L24" s="25">
        <f t="shared" si="10"/>
        <v>74.199999999999989</v>
      </c>
      <c r="M24" s="25">
        <f t="shared" si="11"/>
        <v>42.400000000000006</v>
      </c>
      <c r="N24" s="25">
        <f t="shared" si="12"/>
        <v>31.799999999999997</v>
      </c>
      <c r="O24" s="26">
        <v>212</v>
      </c>
      <c r="P24" s="25" t="s">
        <v>37</v>
      </c>
      <c r="Q24" s="25">
        <v>71039</v>
      </c>
      <c r="R24" s="19" t="s">
        <v>35</v>
      </c>
      <c r="S24" s="15" t="s">
        <v>36</v>
      </c>
      <c r="T24" s="9">
        <v>1</v>
      </c>
      <c r="U24" s="16">
        <v>8.9349959664385672</v>
      </c>
      <c r="V24" s="43">
        <f t="shared" si="14"/>
        <v>89389.799999999988</v>
      </c>
      <c r="W24" s="51"/>
      <c r="X24" s="48"/>
      <c r="Y24" s="48"/>
      <c r="Z24" s="49"/>
      <c r="AA24" s="50"/>
      <c r="AB24" s="48"/>
      <c r="AC24" s="48"/>
      <c r="AD24" s="48"/>
      <c r="AE24" s="68">
        <f t="shared" ref="AE24" si="21">H24*0.3</f>
        <v>1.5899999999999999</v>
      </c>
      <c r="AF24" s="65">
        <f t="shared" ref="AF24" si="22">H24*0.35</f>
        <v>1.8549999999999998</v>
      </c>
      <c r="AG24" s="48"/>
      <c r="AH24" s="86"/>
      <c r="AI24" s="51"/>
      <c r="AJ24" s="48"/>
      <c r="AK24" s="130">
        <f>H24*0.2</f>
        <v>1.06</v>
      </c>
      <c r="AL24" s="49"/>
      <c r="AM24" s="51"/>
      <c r="AN24" s="48"/>
      <c r="AO24" s="77"/>
      <c r="AP24" s="132">
        <f>H24*0.15</f>
        <v>0.79499999999999993</v>
      </c>
      <c r="AQ24" s="51"/>
      <c r="AR24" s="48"/>
      <c r="AS24" s="77"/>
      <c r="AT24" s="49"/>
      <c r="AU24" s="51"/>
      <c r="AV24" s="48"/>
      <c r="AW24" s="77"/>
      <c r="AX24" s="49"/>
    </row>
    <row r="25" spans="1:50" x14ac:dyDescent="0.25">
      <c r="A25" s="24"/>
      <c r="B25" s="24"/>
      <c r="C25" s="24"/>
      <c r="D25" s="24"/>
      <c r="E25" s="24"/>
      <c r="F25" s="25" t="s">
        <v>38</v>
      </c>
      <c r="G25" s="25">
        <v>0.68500000000000005</v>
      </c>
      <c r="H25" s="25">
        <v>0.68500000000000005</v>
      </c>
      <c r="I25" s="25">
        <v>1</v>
      </c>
      <c r="J25" s="25" t="s">
        <v>33</v>
      </c>
      <c r="K25" s="25">
        <f t="shared" si="9"/>
        <v>8.2200000000000006</v>
      </c>
      <c r="L25" s="25">
        <f t="shared" si="10"/>
        <v>9.59</v>
      </c>
      <c r="M25" s="25">
        <f t="shared" si="11"/>
        <v>5.48</v>
      </c>
      <c r="N25" s="25">
        <f t="shared" si="12"/>
        <v>4.1100000000000003</v>
      </c>
      <c r="O25" s="26">
        <v>27.400000000000002</v>
      </c>
      <c r="P25" s="25" t="s">
        <v>39</v>
      </c>
      <c r="Q25" s="25">
        <v>71050</v>
      </c>
      <c r="R25" s="19" t="s">
        <v>35</v>
      </c>
      <c r="S25" s="15" t="s">
        <v>38</v>
      </c>
      <c r="T25" s="9">
        <v>1</v>
      </c>
      <c r="U25" s="16">
        <v>1.1548060824547961</v>
      </c>
      <c r="V25" s="43">
        <f t="shared" si="14"/>
        <v>11553.210000000001</v>
      </c>
      <c r="W25" s="51"/>
      <c r="X25" s="48"/>
      <c r="Y25" s="48"/>
      <c r="Z25" s="49"/>
      <c r="AA25" s="50"/>
      <c r="AB25" s="48"/>
      <c r="AC25" s="48"/>
      <c r="AD25" s="48"/>
      <c r="AE25" s="51"/>
      <c r="AF25" s="48"/>
      <c r="AG25" s="48"/>
      <c r="AH25" s="86"/>
      <c r="AI25" s="73"/>
      <c r="AJ25" s="77"/>
      <c r="AK25" s="77"/>
      <c r="AL25" s="49"/>
      <c r="AM25" s="131">
        <f>H26*0.3</f>
        <v>0.20550000000000002</v>
      </c>
      <c r="AN25" s="130">
        <f>H25*0.35</f>
        <v>0.23974999999999999</v>
      </c>
      <c r="AO25" s="77"/>
      <c r="AP25" s="49"/>
      <c r="AQ25" s="73"/>
      <c r="AR25" s="77"/>
      <c r="AS25" s="41">
        <f>(H25+H26)*0.2</f>
        <v>0.27400000000000002</v>
      </c>
      <c r="AT25" s="132">
        <f>(H25+H26)*0.15</f>
        <v>0.20550000000000002</v>
      </c>
      <c r="AU25" s="73"/>
      <c r="AV25" s="77"/>
      <c r="AW25" s="77"/>
      <c r="AX25" s="49"/>
    </row>
    <row r="26" spans="1:50" x14ac:dyDescent="0.25">
      <c r="A26" s="24"/>
      <c r="B26" s="24"/>
      <c r="C26" s="24"/>
      <c r="D26" s="24"/>
      <c r="E26" s="24"/>
      <c r="F26" s="25" t="s">
        <v>40</v>
      </c>
      <c r="G26" s="25">
        <v>0.68500000000000005</v>
      </c>
      <c r="H26" s="25">
        <v>0.68500000000000005</v>
      </c>
      <c r="I26" s="25">
        <v>1</v>
      </c>
      <c r="J26" s="25" t="s">
        <v>33</v>
      </c>
      <c r="K26" s="25">
        <f t="shared" si="9"/>
        <v>8.2200000000000006</v>
      </c>
      <c r="L26" s="25">
        <f t="shared" si="10"/>
        <v>9.59</v>
      </c>
      <c r="M26" s="25">
        <f t="shared" si="11"/>
        <v>5.48</v>
      </c>
      <c r="N26" s="25">
        <f t="shared" si="12"/>
        <v>4.1100000000000003</v>
      </c>
      <c r="O26" s="26">
        <v>27.400000000000002</v>
      </c>
      <c r="P26" s="25" t="s">
        <v>41</v>
      </c>
      <c r="Q26" s="25">
        <v>71050</v>
      </c>
      <c r="R26" s="19" t="s">
        <v>35</v>
      </c>
      <c r="S26" s="15" t="s">
        <v>40</v>
      </c>
      <c r="T26" s="9">
        <v>2</v>
      </c>
      <c r="U26" s="16">
        <v>1.1548060824547961</v>
      </c>
      <c r="V26" s="43">
        <f t="shared" si="14"/>
        <v>11553.210000000001</v>
      </c>
      <c r="W26" s="51"/>
      <c r="X26" s="48"/>
      <c r="Y26" s="48"/>
      <c r="Z26" s="49"/>
      <c r="AA26" s="50"/>
      <c r="AB26" s="48"/>
      <c r="AC26" s="48"/>
      <c r="AD26" s="48"/>
      <c r="AE26" s="51"/>
      <c r="AF26" s="48"/>
      <c r="AG26" s="48"/>
      <c r="AH26" s="86"/>
      <c r="AI26" s="73"/>
      <c r="AJ26" s="77"/>
      <c r="AK26" s="77"/>
      <c r="AL26" s="49"/>
      <c r="AM26" s="131">
        <f>H26*0.3</f>
        <v>0.20550000000000002</v>
      </c>
      <c r="AN26" s="77"/>
      <c r="AO26" s="77"/>
      <c r="AP26" s="49"/>
      <c r="AQ26" s="73"/>
      <c r="AR26" s="77"/>
      <c r="AS26" s="41">
        <f>(H26+H27)*0.2</f>
        <v>0.27400000000000002</v>
      </c>
      <c r="AT26" s="132">
        <f>(H26+H27)*0.15</f>
        <v>0.20550000000000002</v>
      </c>
      <c r="AU26" s="73"/>
      <c r="AV26" s="77"/>
      <c r="AW26" s="77"/>
      <c r="AX26" s="49"/>
    </row>
    <row r="27" spans="1:50" x14ac:dyDescent="0.25">
      <c r="A27" s="24"/>
      <c r="B27" s="24"/>
      <c r="C27" s="24"/>
      <c r="D27" s="24"/>
      <c r="E27" s="24"/>
      <c r="F27" s="25" t="s">
        <v>38</v>
      </c>
      <c r="G27" s="25">
        <v>0.68500000000000005</v>
      </c>
      <c r="H27" s="25">
        <v>0.68500000000000005</v>
      </c>
      <c r="I27" s="25">
        <v>1</v>
      </c>
      <c r="J27" s="25" t="s">
        <v>33</v>
      </c>
      <c r="K27" s="25">
        <f t="shared" si="9"/>
        <v>8.2200000000000006</v>
      </c>
      <c r="L27" s="25">
        <f t="shared" si="10"/>
        <v>9.59</v>
      </c>
      <c r="M27" s="25">
        <f t="shared" si="11"/>
        <v>5.48</v>
      </c>
      <c r="N27" s="25">
        <f t="shared" si="12"/>
        <v>4.1100000000000003</v>
      </c>
      <c r="O27" s="26">
        <v>27.400000000000002</v>
      </c>
      <c r="P27" s="25" t="s">
        <v>39</v>
      </c>
      <c r="Q27" s="25">
        <v>71055</v>
      </c>
      <c r="R27" s="19" t="s">
        <v>35</v>
      </c>
      <c r="S27" s="15" t="s">
        <v>38</v>
      </c>
      <c r="T27" s="9">
        <v>1</v>
      </c>
      <c r="U27" s="16">
        <v>1.1548060824547961</v>
      </c>
      <c r="V27" s="43">
        <f t="shared" si="14"/>
        <v>11553.210000000001</v>
      </c>
      <c r="W27" s="51"/>
      <c r="X27" s="48"/>
      <c r="Y27" s="48"/>
      <c r="Z27" s="49"/>
      <c r="AA27" s="50"/>
      <c r="AB27" s="48"/>
      <c r="AC27" s="48"/>
      <c r="AD27" s="48"/>
      <c r="AE27" s="51"/>
      <c r="AF27" s="48"/>
      <c r="AG27" s="48"/>
      <c r="AH27" s="86"/>
      <c r="AI27" s="73"/>
      <c r="AJ27" s="77"/>
      <c r="AK27" s="77"/>
      <c r="AL27" s="49"/>
      <c r="AM27" s="131">
        <f>H27*0.3</f>
        <v>0.20550000000000002</v>
      </c>
      <c r="AN27" s="130">
        <f>H27*0.35</f>
        <v>0.23974999999999999</v>
      </c>
      <c r="AO27" s="77"/>
      <c r="AP27" s="49"/>
      <c r="AQ27" s="73"/>
      <c r="AR27" s="77"/>
      <c r="AS27" s="41">
        <f>(H27+H28)*0.2</f>
        <v>0.27400000000000002</v>
      </c>
      <c r="AT27" s="132">
        <f>(H27+H28)*0.15</f>
        <v>0.20550000000000002</v>
      </c>
      <c r="AU27" s="73"/>
      <c r="AV27" s="77"/>
      <c r="AW27" s="77"/>
      <c r="AX27" s="49"/>
    </row>
    <row r="28" spans="1:50" ht="15.75" thickBot="1" x14ac:dyDescent="0.3">
      <c r="A28" s="24"/>
      <c r="B28" s="24"/>
      <c r="C28" s="24"/>
      <c r="D28" s="24"/>
      <c r="E28" s="24"/>
      <c r="F28" s="25" t="s">
        <v>40</v>
      </c>
      <c r="G28" s="25">
        <v>0.68500000000000005</v>
      </c>
      <c r="H28" s="25">
        <v>0.68500000000000005</v>
      </c>
      <c r="I28" s="25">
        <v>1</v>
      </c>
      <c r="J28" s="25" t="s">
        <v>33</v>
      </c>
      <c r="K28" s="25">
        <f t="shared" si="9"/>
        <v>8.2200000000000006</v>
      </c>
      <c r="L28" s="25">
        <f t="shared" si="10"/>
        <v>9.59</v>
      </c>
      <c r="M28" s="25">
        <f t="shared" si="11"/>
        <v>5.48</v>
      </c>
      <c r="N28" s="25">
        <f t="shared" si="12"/>
        <v>4.1100000000000003</v>
      </c>
      <c r="O28" s="26">
        <v>27.400000000000002</v>
      </c>
      <c r="P28" s="25" t="s">
        <v>41</v>
      </c>
      <c r="Q28" s="25">
        <v>71055</v>
      </c>
      <c r="R28" s="19" t="s">
        <v>35</v>
      </c>
      <c r="S28" s="15" t="s">
        <v>40</v>
      </c>
      <c r="T28" s="9">
        <v>2</v>
      </c>
      <c r="U28" s="16">
        <v>1.1548060824547961</v>
      </c>
      <c r="V28" s="43">
        <f t="shared" si="14"/>
        <v>11553.210000000001</v>
      </c>
      <c r="W28" s="51"/>
      <c r="X28" s="48"/>
      <c r="Y28" s="48"/>
      <c r="Z28" s="49"/>
      <c r="AA28" s="50"/>
      <c r="AB28" s="48"/>
      <c r="AC28" s="48"/>
      <c r="AD28" s="48"/>
      <c r="AE28" s="51"/>
      <c r="AF28" s="48"/>
      <c r="AG28" s="48"/>
      <c r="AH28" s="86"/>
      <c r="AI28" s="73"/>
      <c r="AJ28" s="77"/>
      <c r="AK28" s="77"/>
      <c r="AL28" s="49"/>
      <c r="AM28" s="131">
        <f>H28*0.3</f>
        <v>0.20550000000000002</v>
      </c>
      <c r="AN28" s="77"/>
      <c r="AO28" s="77"/>
      <c r="AP28" s="49"/>
      <c r="AQ28" s="73"/>
      <c r="AR28" s="77"/>
      <c r="AS28" s="41">
        <f>(H28+H29)*0.2</f>
        <v>1.3370000000000002</v>
      </c>
      <c r="AT28" s="132">
        <f>(H28+H29)*0.15</f>
        <v>1.00275</v>
      </c>
      <c r="AU28" s="73"/>
      <c r="AV28" s="77"/>
      <c r="AW28" s="77"/>
      <c r="AX28" s="49"/>
    </row>
    <row r="29" spans="1:50" x14ac:dyDescent="0.25">
      <c r="A29" s="24"/>
      <c r="B29" s="24"/>
      <c r="C29" s="24"/>
      <c r="D29" s="24"/>
      <c r="E29" s="24"/>
      <c r="F29" s="25" t="s">
        <v>36</v>
      </c>
      <c r="G29" s="25">
        <v>0.6</v>
      </c>
      <c r="H29" s="25">
        <v>6</v>
      </c>
      <c r="I29" s="25">
        <v>10</v>
      </c>
      <c r="J29" s="25" t="s">
        <v>33</v>
      </c>
      <c r="K29" s="25">
        <f t="shared" si="9"/>
        <v>72</v>
      </c>
      <c r="L29" s="25">
        <f t="shared" si="10"/>
        <v>84</v>
      </c>
      <c r="M29" s="25">
        <f t="shared" si="11"/>
        <v>48</v>
      </c>
      <c r="N29" s="25">
        <f t="shared" si="12"/>
        <v>36</v>
      </c>
      <c r="O29" s="26">
        <v>240</v>
      </c>
      <c r="P29" s="25" t="s">
        <v>37</v>
      </c>
      <c r="Q29" s="25">
        <v>71043</v>
      </c>
      <c r="R29" s="19" t="s">
        <v>35</v>
      </c>
      <c r="S29" s="15" t="s">
        <v>36</v>
      </c>
      <c r="T29" s="9">
        <v>1</v>
      </c>
      <c r="U29" s="16">
        <v>10.11508977332668</v>
      </c>
      <c r="V29" s="43">
        <f t="shared" si="14"/>
        <v>101196</v>
      </c>
      <c r="W29" s="51"/>
      <c r="X29" s="48"/>
      <c r="Y29" s="48"/>
      <c r="Z29" s="49"/>
      <c r="AA29" s="50"/>
      <c r="AB29" s="48"/>
      <c r="AC29" s="48"/>
      <c r="AD29" s="48"/>
      <c r="AE29" s="68">
        <f t="shared" ref="AE29" si="23">H29*0.3</f>
        <v>1.7999999999999998</v>
      </c>
      <c r="AF29" s="65">
        <f t="shared" ref="AF29" si="24">H29*0.35</f>
        <v>2.0999999999999996</v>
      </c>
      <c r="AG29" s="48"/>
      <c r="AH29" s="86"/>
      <c r="AI29" s="51"/>
      <c r="AJ29" s="48"/>
      <c r="AK29" s="130">
        <f>H29*0.2</f>
        <v>1.2000000000000002</v>
      </c>
      <c r="AL29" s="49"/>
      <c r="AM29" s="51"/>
      <c r="AN29" s="48"/>
      <c r="AO29" s="77"/>
      <c r="AP29" s="132">
        <f>H29*0.15</f>
        <v>0.89999999999999991</v>
      </c>
      <c r="AQ29" s="51"/>
      <c r="AR29" s="48"/>
      <c r="AS29" s="77"/>
      <c r="AT29" s="49"/>
      <c r="AU29" s="51"/>
      <c r="AV29" s="48"/>
      <c r="AW29" s="77"/>
      <c r="AX29" s="49"/>
    </row>
    <row r="30" spans="1:50" x14ac:dyDescent="0.25">
      <c r="A30" s="24"/>
      <c r="B30" s="24"/>
      <c r="C30" s="8"/>
      <c r="D30" s="8"/>
      <c r="E30" s="8"/>
      <c r="F30" s="25" t="s">
        <v>44</v>
      </c>
      <c r="G30" s="25">
        <v>3.25</v>
      </c>
      <c r="H30" s="25">
        <v>3.25</v>
      </c>
      <c r="I30" s="25">
        <v>1</v>
      </c>
      <c r="J30" s="25" t="s">
        <v>33</v>
      </c>
      <c r="K30" s="25">
        <f t="shared" si="9"/>
        <v>34.125</v>
      </c>
      <c r="L30" s="25">
        <f t="shared" si="10"/>
        <v>39.8125</v>
      </c>
      <c r="M30" s="25">
        <f t="shared" si="11"/>
        <v>22.75</v>
      </c>
      <c r="N30" s="25">
        <f t="shared" si="12"/>
        <v>17.0625</v>
      </c>
      <c r="O30" s="26">
        <v>113.75</v>
      </c>
      <c r="P30" s="25" t="s">
        <v>45</v>
      </c>
      <c r="Q30" s="25">
        <v>71094</v>
      </c>
      <c r="R30" s="27" t="s">
        <v>35</v>
      </c>
      <c r="S30" s="28" t="s">
        <v>44</v>
      </c>
      <c r="T30" s="25">
        <v>1</v>
      </c>
      <c r="U30" s="29">
        <v>5.4790069605519518</v>
      </c>
      <c r="V30" s="44">
        <f t="shared" si="14"/>
        <v>47962.6875</v>
      </c>
      <c r="W30" s="46">
        <f t="shared" ref="W30:W34" si="25">H30*0.3</f>
        <v>0.97499999999999998</v>
      </c>
      <c r="X30" s="41">
        <f>H30*0.35</f>
        <v>1.1375</v>
      </c>
      <c r="Y30" s="48"/>
      <c r="Z30" s="49"/>
      <c r="AA30" s="50"/>
      <c r="AB30" s="48"/>
      <c r="AC30" s="41">
        <f t="shared" ref="AC30:AC32" si="26">H30*0.2</f>
        <v>0.65</v>
      </c>
      <c r="AD30" s="48"/>
      <c r="AE30" s="51"/>
      <c r="AF30" s="48"/>
      <c r="AG30" s="48"/>
      <c r="AH30" s="86"/>
      <c r="AI30" s="51"/>
      <c r="AJ30" s="48"/>
      <c r="AK30" s="48"/>
      <c r="AL30" s="49"/>
      <c r="AM30" s="51"/>
      <c r="AN30" s="48"/>
      <c r="AO30" s="48"/>
      <c r="AP30" s="132">
        <f t="shared" ref="AP30:AP36" si="27">H30*0.15</f>
        <v>0.48749999999999999</v>
      </c>
      <c r="AQ30" s="51"/>
      <c r="AR30" s="48"/>
      <c r="AS30" s="48"/>
      <c r="AT30" s="49"/>
      <c r="AU30" s="51"/>
      <c r="AV30" s="48"/>
      <c r="AW30" s="48"/>
      <c r="AX30" s="49"/>
    </row>
    <row r="31" spans="1:50" x14ac:dyDescent="0.25">
      <c r="A31" s="24"/>
      <c r="B31" s="24"/>
      <c r="C31" s="8"/>
      <c r="D31" s="8"/>
      <c r="E31" s="8"/>
      <c r="F31" s="25" t="s">
        <v>46</v>
      </c>
      <c r="G31" s="25">
        <v>3.25</v>
      </c>
      <c r="H31" s="25">
        <v>3.25</v>
      </c>
      <c r="I31" s="25">
        <v>1</v>
      </c>
      <c r="J31" s="25" t="s">
        <v>33</v>
      </c>
      <c r="K31" s="25">
        <f t="shared" si="9"/>
        <v>34.125</v>
      </c>
      <c r="L31" s="25">
        <f t="shared" si="10"/>
        <v>39.8125</v>
      </c>
      <c r="M31" s="25">
        <f t="shared" si="11"/>
        <v>22.75</v>
      </c>
      <c r="N31" s="25">
        <f t="shared" si="12"/>
        <v>17.0625</v>
      </c>
      <c r="O31" s="26">
        <v>113.75</v>
      </c>
      <c r="P31" s="25" t="s">
        <v>47</v>
      </c>
      <c r="Q31" s="25">
        <v>71094</v>
      </c>
      <c r="R31" s="27" t="s">
        <v>35</v>
      </c>
      <c r="S31" s="28" t="s">
        <v>46</v>
      </c>
      <c r="T31" s="25">
        <v>2</v>
      </c>
      <c r="U31" s="29">
        <v>5.4790069605519518</v>
      </c>
      <c r="V31" s="44">
        <f t="shared" si="14"/>
        <v>47962.6875</v>
      </c>
      <c r="W31" s="46">
        <f t="shared" si="25"/>
        <v>0.97499999999999998</v>
      </c>
      <c r="X31" s="41">
        <f>H31*0.35</f>
        <v>1.1375</v>
      </c>
      <c r="Y31" s="48"/>
      <c r="Z31" s="49"/>
      <c r="AA31" s="50"/>
      <c r="AB31" s="48"/>
      <c r="AC31" s="41">
        <f t="shared" si="26"/>
        <v>0.65</v>
      </c>
      <c r="AD31" s="48"/>
      <c r="AE31" s="51"/>
      <c r="AF31" s="48"/>
      <c r="AG31" s="48"/>
      <c r="AH31" s="86"/>
      <c r="AI31" s="51"/>
      <c r="AJ31" s="48"/>
      <c r="AK31" s="48"/>
      <c r="AL31" s="49"/>
      <c r="AM31" s="51"/>
      <c r="AN31" s="48"/>
      <c r="AO31" s="48"/>
      <c r="AP31" s="132">
        <f t="shared" si="27"/>
        <v>0.48749999999999999</v>
      </c>
      <c r="AQ31" s="51"/>
      <c r="AR31" s="48"/>
      <c r="AS31" s="48"/>
      <c r="AT31" s="49"/>
      <c r="AU31" s="51"/>
      <c r="AV31" s="48"/>
      <c r="AW31" s="48"/>
      <c r="AX31" s="49"/>
    </row>
    <row r="32" spans="1:50" x14ac:dyDescent="0.25">
      <c r="A32" s="24"/>
      <c r="B32" s="8"/>
      <c r="C32" s="8"/>
      <c r="D32" s="8"/>
      <c r="E32" s="8"/>
      <c r="F32" s="25" t="s">
        <v>44</v>
      </c>
      <c r="G32" s="25">
        <v>2.6666666666666665</v>
      </c>
      <c r="H32" s="25">
        <v>2.6666666666666665</v>
      </c>
      <c r="I32" s="25">
        <v>1</v>
      </c>
      <c r="J32" s="25" t="s">
        <v>33</v>
      </c>
      <c r="K32" s="25">
        <f t="shared" si="9"/>
        <v>27.999999999999996</v>
      </c>
      <c r="L32" s="25">
        <f t="shared" si="10"/>
        <v>32.666666666666664</v>
      </c>
      <c r="M32" s="25">
        <f t="shared" si="11"/>
        <v>18.666666666666668</v>
      </c>
      <c r="N32" s="25">
        <f t="shared" si="12"/>
        <v>13.999999999999998</v>
      </c>
      <c r="O32" s="26">
        <v>93.333333333333329</v>
      </c>
      <c r="P32" s="25" t="s">
        <v>48</v>
      </c>
      <c r="Q32" s="25">
        <v>71070</v>
      </c>
      <c r="R32" s="27" t="s">
        <v>35</v>
      </c>
      <c r="S32" s="15" t="s">
        <v>44</v>
      </c>
      <c r="T32" s="25">
        <v>1</v>
      </c>
      <c r="U32" s="29">
        <v>4.4955954548118573</v>
      </c>
      <c r="V32" s="44">
        <f t="shared" si="14"/>
        <v>39353.999999999993</v>
      </c>
      <c r="W32" s="46">
        <f t="shared" si="25"/>
        <v>0.79999999999999993</v>
      </c>
      <c r="X32" s="41">
        <f>H32*0.35</f>
        <v>0.93333333333333324</v>
      </c>
      <c r="Y32" s="48"/>
      <c r="Z32" s="49"/>
      <c r="AA32" s="50"/>
      <c r="AB32" s="48"/>
      <c r="AC32" s="41">
        <f t="shared" si="26"/>
        <v>0.53333333333333333</v>
      </c>
      <c r="AD32" s="48"/>
      <c r="AE32" s="51"/>
      <c r="AF32" s="48"/>
      <c r="AG32" s="48"/>
      <c r="AH32" s="86"/>
      <c r="AI32" s="51"/>
      <c r="AJ32" s="48"/>
      <c r="AK32" s="48"/>
      <c r="AL32" s="49"/>
      <c r="AM32" s="51"/>
      <c r="AN32" s="48"/>
      <c r="AO32" s="48"/>
      <c r="AP32" s="132">
        <f t="shared" si="27"/>
        <v>0.39999999999999997</v>
      </c>
      <c r="AQ32" s="51"/>
      <c r="AR32" s="48"/>
      <c r="AS32" s="48"/>
      <c r="AT32" s="49"/>
      <c r="AU32" s="51"/>
      <c r="AV32" s="48"/>
      <c r="AW32" s="48"/>
      <c r="AX32" s="49"/>
    </row>
    <row r="33" spans="1:50" ht="15.75" thickBot="1" x14ac:dyDescent="0.3">
      <c r="A33" s="24"/>
      <c r="B33" s="8"/>
      <c r="C33" s="8"/>
      <c r="D33" s="8"/>
      <c r="E33" s="8"/>
      <c r="F33" s="25" t="s">
        <v>46</v>
      </c>
      <c r="G33" s="25">
        <v>2.6666666666666665</v>
      </c>
      <c r="H33" s="25">
        <v>2.6666666666666665</v>
      </c>
      <c r="I33" s="25">
        <v>1</v>
      </c>
      <c r="J33" s="25" t="s">
        <v>33</v>
      </c>
      <c r="K33" s="25">
        <f t="shared" si="9"/>
        <v>27.999999999999996</v>
      </c>
      <c r="L33" s="25">
        <f t="shared" si="10"/>
        <v>32.666666666666664</v>
      </c>
      <c r="M33" s="25">
        <f t="shared" si="11"/>
        <v>18.666666666666668</v>
      </c>
      <c r="N33" s="25">
        <f t="shared" si="12"/>
        <v>13.999999999999998</v>
      </c>
      <c r="O33" s="26">
        <v>93.333333333333329</v>
      </c>
      <c r="P33" s="25" t="s">
        <v>49</v>
      </c>
      <c r="Q33" s="25">
        <v>71070</v>
      </c>
      <c r="R33" s="27" t="s">
        <v>35</v>
      </c>
      <c r="S33" s="15" t="s">
        <v>46</v>
      </c>
      <c r="T33" s="25">
        <v>2</v>
      </c>
      <c r="U33" s="29">
        <v>4.4955954548118573</v>
      </c>
      <c r="V33" s="44">
        <f t="shared" si="14"/>
        <v>39353.999999999993</v>
      </c>
      <c r="W33" s="46">
        <f t="shared" si="25"/>
        <v>0.79999999999999993</v>
      </c>
      <c r="X33" s="48"/>
      <c r="Y33" s="48"/>
      <c r="Z33" s="49"/>
      <c r="AA33" s="50"/>
      <c r="AB33" s="41">
        <f>H33*0.35</f>
        <v>0.93333333333333324</v>
      </c>
      <c r="AC33" s="41">
        <f>H33*0.2</f>
        <v>0.53333333333333333</v>
      </c>
      <c r="AD33" s="48"/>
      <c r="AE33" s="51"/>
      <c r="AF33" s="48"/>
      <c r="AG33" s="48"/>
      <c r="AH33" s="86"/>
      <c r="AI33" s="51"/>
      <c r="AJ33" s="48"/>
      <c r="AK33" s="48"/>
      <c r="AL33" s="49"/>
      <c r="AM33" s="51"/>
      <c r="AN33" s="48"/>
      <c r="AO33" s="48"/>
      <c r="AP33" s="132">
        <f t="shared" si="27"/>
        <v>0.39999999999999997</v>
      </c>
      <c r="AQ33" s="51"/>
      <c r="AR33" s="48"/>
      <c r="AS33" s="48"/>
      <c r="AT33" s="49"/>
      <c r="AU33" s="51"/>
      <c r="AV33" s="48"/>
      <c r="AW33" s="48"/>
      <c r="AX33" s="49"/>
    </row>
    <row r="34" spans="1:50" ht="60.75" thickBot="1" x14ac:dyDescent="0.3">
      <c r="A34" s="24"/>
      <c r="B34" s="8"/>
      <c r="C34" s="8"/>
      <c r="D34" s="8"/>
      <c r="E34" s="8"/>
      <c r="F34" s="28" t="s">
        <v>50</v>
      </c>
      <c r="G34" s="25">
        <v>0.14336917562724014</v>
      </c>
      <c r="H34" s="25">
        <v>2.6666666666666665</v>
      </c>
      <c r="I34" s="25">
        <v>18.600000000000001</v>
      </c>
      <c r="J34" s="25" t="s">
        <v>51</v>
      </c>
      <c r="K34" s="25">
        <f t="shared" si="9"/>
        <v>44.79999999999999</v>
      </c>
      <c r="L34" s="25">
        <f t="shared" si="10"/>
        <v>52.266666666666659</v>
      </c>
      <c r="M34" s="25">
        <f t="shared" si="11"/>
        <v>29.866666666666664</v>
      </c>
      <c r="N34" s="25">
        <f t="shared" si="12"/>
        <v>22.399999999999995</v>
      </c>
      <c r="O34" s="26">
        <v>149.33333333333331</v>
      </c>
      <c r="P34" s="25" t="s">
        <v>52</v>
      </c>
      <c r="Q34" s="25">
        <v>71070</v>
      </c>
      <c r="R34" s="27" t="s">
        <v>35</v>
      </c>
      <c r="S34" s="15" t="s">
        <v>50</v>
      </c>
      <c r="T34" s="25">
        <v>3</v>
      </c>
      <c r="U34" s="29">
        <v>4.4955954548118573</v>
      </c>
      <c r="V34" s="44">
        <f t="shared" si="14"/>
        <v>62966.399999999987</v>
      </c>
      <c r="W34" s="46">
        <f t="shared" si="25"/>
        <v>0.79999999999999993</v>
      </c>
      <c r="X34" s="48"/>
      <c r="Y34" s="48"/>
      <c r="Z34" s="49"/>
      <c r="AA34" s="50"/>
      <c r="AB34" s="48"/>
      <c r="AC34" s="48"/>
      <c r="AD34" s="48"/>
      <c r="AE34" s="51"/>
      <c r="AF34" s="56"/>
      <c r="AG34" s="48"/>
      <c r="AH34" s="86"/>
      <c r="AI34" s="51"/>
      <c r="AJ34" s="48"/>
      <c r="AK34" s="48"/>
      <c r="AL34" s="49"/>
      <c r="AM34" s="51"/>
      <c r="AN34" s="42"/>
      <c r="AO34" s="42"/>
      <c r="AP34" s="59"/>
      <c r="AQ34" s="51"/>
      <c r="AR34" s="48"/>
      <c r="AS34" s="48"/>
      <c r="AT34" s="49"/>
      <c r="AU34" s="51"/>
      <c r="AV34" s="48"/>
      <c r="AW34" s="48"/>
      <c r="AX34" s="49"/>
    </row>
    <row r="35" spans="1:50" ht="15.75" thickBot="1" x14ac:dyDescent="0.3">
      <c r="A35" s="24"/>
      <c r="B35" s="24"/>
      <c r="C35" s="8"/>
      <c r="D35" s="8"/>
      <c r="E35" s="8"/>
      <c r="F35" s="25" t="s">
        <v>44</v>
      </c>
      <c r="G35" s="25">
        <v>3.25</v>
      </c>
      <c r="H35" s="25">
        <v>3.25</v>
      </c>
      <c r="I35" s="25">
        <v>1</v>
      </c>
      <c r="J35" s="25" t="s">
        <v>33</v>
      </c>
      <c r="K35" s="25">
        <f t="shared" si="9"/>
        <v>34.125</v>
      </c>
      <c r="L35" s="25">
        <f t="shared" si="10"/>
        <v>39.8125</v>
      </c>
      <c r="M35" s="25">
        <f t="shared" si="11"/>
        <v>22.75</v>
      </c>
      <c r="N35" s="25">
        <f t="shared" si="12"/>
        <v>17.0625</v>
      </c>
      <c r="O35" s="26">
        <v>113.75</v>
      </c>
      <c r="P35" s="25" t="s">
        <v>53</v>
      </c>
      <c r="Q35" s="25">
        <v>71072</v>
      </c>
      <c r="R35" s="27" t="s">
        <v>35</v>
      </c>
      <c r="S35" s="28" t="s">
        <v>44</v>
      </c>
      <c r="T35" s="25">
        <v>1</v>
      </c>
      <c r="U35" s="29">
        <v>5.4790069605519518</v>
      </c>
      <c r="V35" s="44">
        <f t="shared" si="14"/>
        <v>47962.6875</v>
      </c>
      <c r="W35" s="46">
        <f t="shared" ref="W35:W36" si="28">H35*0.3</f>
        <v>0.97499999999999998</v>
      </c>
      <c r="X35" s="48"/>
      <c r="Y35" s="48"/>
      <c r="Z35" s="49"/>
      <c r="AA35" s="50"/>
      <c r="AB35" s="48"/>
      <c r="AC35" s="48"/>
      <c r="AD35" s="48"/>
      <c r="AE35" s="51"/>
      <c r="AF35" s="65">
        <f t="shared" ref="AF35:AF39" si="29">H35*0.35</f>
        <v>1.1375</v>
      </c>
      <c r="AG35" s="41">
        <f>H35*0.2</f>
        <v>0.65</v>
      </c>
      <c r="AH35" s="86"/>
      <c r="AI35" s="51"/>
      <c r="AJ35" s="48"/>
      <c r="AK35" s="48"/>
      <c r="AL35" s="49"/>
      <c r="AM35" s="51"/>
      <c r="AN35" s="48"/>
      <c r="AO35" s="48"/>
      <c r="AP35" s="132">
        <f t="shared" si="27"/>
        <v>0.48749999999999999</v>
      </c>
      <c r="AQ35" s="51"/>
      <c r="AR35" s="48"/>
      <c r="AS35" s="48"/>
      <c r="AT35" s="49"/>
      <c r="AU35" s="51"/>
      <c r="AV35" s="48"/>
      <c r="AW35" s="48"/>
      <c r="AX35" s="49"/>
    </row>
    <row r="36" spans="1:50" ht="15.75" thickBot="1" x14ac:dyDescent="0.3">
      <c r="A36" s="24"/>
      <c r="B36" s="24"/>
      <c r="C36" s="8"/>
      <c r="D36" s="8"/>
      <c r="E36" s="8"/>
      <c r="F36" s="25" t="s">
        <v>46</v>
      </c>
      <c r="G36" s="25">
        <v>3.25</v>
      </c>
      <c r="H36" s="25">
        <v>3.25</v>
      </c>
      <c r="I36" s="25">
        <v>1</v>
      </c>
      <c r="J36" s="25" t="s">
        <v>33</v>
      </c>
      <c r="K36" s="25">
        <f t="shared" si="9"/>
        <v>34.125</v>
      </c>
      <c r="L36" s="25">
        <f t="shared" si="10"/>
        <v>39.8125</v>
      </c>
      <c r="M36" s="25">
        <f t="shared" si="11"/>
        <v>22.75</v>
      </c>
      <c r="N36" s="25">
        <f t="shared" si="12"/>
        <v>17.0625</v>
      </c>
      <c r="O36" s="26">
        <v>113.75</v>
      </c>
      <c r="P36" s="25" t="s">
        <v>54</v>
      </c>
      <c r="Q36" s="25">
        <v>71072</v>
      </c>
      <c r="R36" s="27" t="s">
        <v>35</v>
      </c>
      <c r="S36" s="28" t="s">
        <v>46</v>
      </c>
      <c r="T36" s="25">
        <v>2</v>
      </c>
      <c r="U36" s="29">
        <v>5.4790069605519518</v>
      </c>
      <c r="V36" s="44">
        <f t="shared" si="14"/>
        <v>47962.6875</v>
      </c>
      <c r="W36" s="46">
        <f t="shared" si="28"/>
        <v>0.97499999999999998</v>
      </c>
      <c r="X36" s="48"/>
      <c r="Y36" s="48"/>
      <c r="Z36" s="49"/>
      <c r="AA36" s="50"/>
      <c r="AB36" s="48"/>
      <c r="AC36" s="48"/>
      <c r="AD36" s="48"/>
      <c r="AE36" s="51"/>
      <c r="AF36" s="65">
        <f t="shared" si="29"/>
        <v>1.1375</v>
      </c>
      <c r="AG36" s="41">
        <f>H36*0.2</f>
        <v>0.65</v>
      </c>
      <c r="AH36" s="86"/>
      <c r="AI36" s="51"/>
      <c r="AJ36" s="48"/>
      <c r="AK36" s="48"/>
      <c r="AL36" s="49"/>
      <c r="AM36" s="51"/>
      <c r="AN36" s="48"/>
      <c r="AO36" s="48"/>
      <c r="AP36" s="132">
        <f t="shared" si="27"/>
        <v>0.48749999999999999</v>
      </c>
      <c r="AQ36" s="51"/>
      <c r="AR36" s="48"/>
      <c r="AS36" s="48"/>
      <c r="AT36" s="49"/>
      <c r="AU36" s="51"/>
      <c r="AV36" s="48"/>
      <c r="AW36" s="48"/>
      <c r="AX36" s="49"/>
    </row>
    <row r="37" spans="1:50" ht="15.75" thickBot="1" x14ac:dyDescent="0.3">
      <c r="A37" s="24"/>
      <c r="B37" s="24"/>
      <c r="C37" s="24"/>
      <c r="D37" s="24"/>
      <c r="E37" s="24"/>
      <c r="F37" s="25" t="s">
        <v>42</v>
      </c>
      <c r="G37" s="25">
        <v>1.6833333333333333</v>
      </c>
      <c r="H37" s="25">
        <v>1.6833333333333333</v>
      </c>
      <c r="I37" s="25">
        <v>1</v>
      </c>
      <c r="J37" s="25" t="s">
        <v>33</v>
      </c>
      <c r="K37" s="25">
        <f t="shared" si="9"/>
        <v>17.674999999999997</v>
      </c>
      <c r="L37" s="25">
        <f t="shared" si="10"/>
        <v>20.62083333333333</v>
      </c>
      <c r="M37" s="25">
        <f t="shared" si="11"/>
        <v>11.783333333333333</v>
      </c>
      <c r="N37" s="25">
        <f t="shared" si="12"/>
        <v>8.8374999999999986</v>
      </c>
      <c r="O37" s="26">
        <v>58.916666666666664</v>
      </c>
      <c r="P37" s="25" t="s">
        <v>43</v>
      </c>
      <c r="Q37" s="25">
        <v>71067</v>
      </c>
      <c r="R37" s="19" t="s">
        <v>35</v>
      </c>
      <c r="S37" s="15" t="s">
        <v>42</v>
      </c>
      <c r="T37" s="9">
        <v>1</v>
      </c>
      <c r="U37" s="16">
        <v>2.8378446308499852</v>
      </c>
      <c r="V37" s="43">
        <f t="shared" si="14"/>
        <v>24842.212499999998</v>
      </c>
      <c r="W37" s="51"/>
      <c r="X37" s="48"/>
      <c r="Y37" s="48"/>
      <c r="Z37" s="49"/>
      <c r="AA37" s="47">
        <f t="shared" ref="AA37:AA39" si="30">H37*0.3</f>
        <v>0.505</v>
      </c>
      <c r="AB37" s="48"/>
      <c r="AC37" s="48"/>
      <c r="AD37" s="48"/>
      <c r="AE37" s="51"/>
      <c r="AF37" s="65">
        <f t="shared" si="29"/>
        <v>0.58916666666666662</v>
      </c>
      <c r="AG37" s="121"/>
      <c r="AH37" s="86"/>
      <c r="AI37" s="51"/>
      <c r="AJ37" s="48"/>
      <c r="AK37" s="130">
        <f t="shared" ref="AK37:AK39" si="31">H37*0.2</f>
        <v>0.33666666666666667</v>
      </c>
      <c r="AL37" s="49"/>
      <c r="AM37" s="51"/>
      <c r="AN37" s="48"/>
      <c r="AO37" s="48"/>
      <c r="AP37" s="132">
        <f t="shared" ref="AP37:AP42" si="32">H37*0.15</f>
        <v>0.2525</v>
      </c>
      <c r="AQ37" s="51"/>
      <c r="AR37" s="48"/>
      <c r="AS37" s="48"/>
      <c r="AT37" s="49"/>
      <c r="AU37" s="51"/>
      <c r="AV37" s="48"/>
      <c r="AW37" s="48"/>
      <c r="AX37" s="49"/>
    </row>
    <row r="38" spans="1:50" ht="15.75" thickBot="1" x14ac:dyDescent="0.3">
      <c r="A38" s="24"/>
      <c r="B38" s="24"/>
      <c r="C38" s="24"/>
      <c r="D38" s="24"/>
      <c r="E38" s="24"/>
      <c r="F38" s="25" t="s">
        <v>42</v>
      </c>
      <c r="G38" s="25">
        <v>1.6833333333333333</v>
      </c>
      <c r="H38" s="25">
        <v>1.6833333333333333</v>
      </c>
      <c r="I38" s="25">
        <v>1</v>
      </c>
      <c r="J38" s="25" t="s">
        <v>33</v>
      </c>
      <c r="K38" s="25">
        <f t="shared" si="9"/>
        <v>17.674999999999997</v>
      </c>
      <c r="L38" s="25">
        <f t="shared" si="10"/>
        <v>20.62083333333333</v>
      </c>
      <c r="M38" s="25">
        <f t="shared" si="11"/>
        <v>11.783333333333333</v>
      </c>
      <c r="N38" s="25">
        <f t="shared" si="12"/>
        <v>8.8374999999999986</v>
      </c>
      <c r="O38" s="26">
        <v>58.916666666666664</v>
      </c>
      <c r="P38" s="25" t="s">
        <v>43</v>
      </c>
      <c r="Q38" s="25">
        <v>71067</v>
      </c>
      <c r="R38" s="19" t="s">
        <v>35</v>
      </c>
      <c r="S38" s="15" t="s">
        <v>42</v>
      </c>
      <c r="T38" s="9">
        <v>2</v>
      </c>
      <c r="U38" s="16">
        <v>2.8378446308499852</v>
      </c>
      <c r="V38" s="43">
        <f t="shared" si="14"/>
        <v>24842.212499999998</v>
      </c>
      <c r="W38" s="51"/>
      <c r="X38" s="48"/>
      <c r="Y38" s="48"/>
      <c r="Z38" s="49"/>
      <c r="AA38" s="47">
        <f t="shared" si="30"/>
        <v>0.505</v>
      </c>
      <c r="AB38" s="48"/>
      <c r="AC38" s="48"/>
      <c r="AD38" s="48"/>
      <c r="AE38" s="51"/>
      <c r="AF38" s="65">
        <f t="shared" si="29"/>
        <v>0.58916666666666662</v>
      </c>
      <c r="AG38" s="121"/>
      <c r="AH38" s="86"/>
      <c r="AI38" s="51"/>
      <c r="AJ38" s="48"/>
      <c r="AK38" s="130">
        <f t="shared" si="31"/>
        <v>0.33666666666666667</v>
      </c>
      <c r="AL38" s="49"/>
      <c r="AM38" s="51"/>
      <c r="AN38" s="48"/>
      <c r="AO38" s="48"/>
      <c r="AP38" s="132">
        <f t="shared" si="32"/>
        <v>0.2525</v>
      </c>
      <c r="AQ38" s="51"/>
      <c r="AR38" s="48"/>
      <c r="AS38" s="48"/>
      <c r="AT38" s="49"/>
      <c r="AU38" s="51"/>
      <c r="AV38" s="48"/>
      <c r="AW38" s="48"/>
      <c r="AX38" s="49"/>
    </row>
    <row r="39" spans="1:50" x14ac:dyDescent="0.25">
      <c r="A39" s="24"/>
      <c r="B39" s="24"/>
      <c r="C39" s="24"/>
      <c r="D39" s="24"/>
      <c r="E39" s="24"/>
      <c r="F39" s="25" t="s">
        <v>42</v>
      </c>
      <c r="G39" s="25">
        <v>1.6833333333333333</v>
      </c>
      <c r="H39" s="25">
        <v>1.6833333333333333</v>
      </c>
      <c r="I39" s="25">
        <v>1</v>
      </c>
      <c r="J39" s="25" t="s">
        <v>33</v>
      </c>
      <c r="K39" s="25">
        <f t="shared" si="9"/>
        <v>17.674999999999997</v>
      </c>
      <c r="L39" s="25">
        <f t="shared" si="10"/>
        <v>20.62083333333333</v>
      </c>
      <c r="M39" s="25">
        <f t="shared" si="11"/>
        <v>11.783333333333333</v>
      </c>
      <c r="N39" s="25">
        <f t="shared" si="12"/>
        <v>8.8374999999999986</v>
      </c>
      <c r="O39" s="26">
        <v>58.916666666666664</v>
      </c>
      <c r="P39" s="25" t="s">
        <v>43</v>
      </c>
      <c r="Q39" s="25">
        <v>71067</v>
      </c>
      <c r="R39" s="19" t="s">
        <v>35</v>
      </c>
      <c r="S39" s="15" t="s">
        <v>42</v>
      </c>
      <c r="T39" s="9">
        <v>3</v>
      </c>
      <c r="U39" s="16">
        <v>2.8378446308499852</v>
      </c>
      <c r="V39" s="43">
        <f t="shared" si="14"/>
        <v>24842.212499999998</v>
      </c>
      <c r="W39" s="51"/>
      <c r="X39" s="48"/>
      <c r="Y39" s="48"/>
      <c r="Z39" s="49"/>
      <c r="AA39" s="47">
        <f t="shared" si="30"/>
        <v>0.505</v>
      </c>
      <c r="AB39" s="48"/>
      <c r="AC39" s="48"/>
      <c r="AD39" s="48"/>
      <c r="AE39" s="51"/>
      <c r="AF39" s="65">
        <f t="shared" si="29"/>
        <v>0.58916666666666662</v>
      </c>
      <c r="AG39" s="48"/>
      <c r="AH39" s="86"/>
      <c r="AI39" s="51"/>
      <c r="AJ39" s="48"/>
      <c r="AK39" s="130">
        <f t="shared" si="31"/>
        <v>0.33666666666666667</v>
      </c>
      <c r="AL39" s="49"/>
      <c r="AM39" s="51"/>
      <c r="AN39" s="48"/>
      <c r="AO39" s="48"/>
      <c r="AP39" s="132">
        <f t="shared" si="32"/>
        <v>0.2525</v>
      </c>
      <c r="AQ39" s="51"/>
      <c r="AR39" s="48"/>
      <c r="AS39" s="48"/>
      <c r="AT39" s="49"/>
      <c r="AU39" s="51"/>
      <c r="AV39" s="48"/>
      <c r="AW39" s="48"/>
      <c r="AX39" s="49"/>
    </row>
    <row r="40" spans="1:50" x14ac:dyDescent="0.25">
      <c r="A40" s="24"/>
      <c r="B40" s="24"/>
      <c r="C40" s="24"/>
      <c r="D40" s="24"/>
      <c r="E40" s="24"/>
      <c r="F40" s="25" t="s">
        <v>55</v>
      </c>
      <c r="G40" s="25">
        <v>1.0666666666666667</v>
      </c>
      <c r="H40" s="25">
        <v>1.0666666666666667</v>
      </c>
      <c r="I40" s="25">
        <v>1</v>
      </c>
      <c r="J40" s="25" t="s">
        <v>33</v>
      </c>
      <c r="K40" s="25">
        <f t="shared" si="9"/>
        <v>11.200000000000001</v>
      </c>
      <c r="L40" s="25">
        <f t="shared" si="10"/>
        <v>13.066666666666666</v>
      </c>
      <c r="M40" s="25">
        <f t="shared" si="11"/>
        <v>7.4666666666666677</v>
      </c>
      <c r="N40" s="25">
        <f t="shared" si="12"/>
        <v>5.6000000000000005</v>
      </c>
      <c r="O40" s="26">
        <v>37.333333333333336</v>
      </c>
      <c r="P40" s="25" t="s">
        <v>76</v>
      </c>
      <c r="Q40" s="25">
        <v>71069</v>
      </c>
      <c r="R40" s="19" t="s">
        <v>35</v>
      </c>
      <c r="S40" s="15" t="s">
        <v>55</v>
      </c>
      <c r="T40" s="9">
        <v>1</v>
      </c>
      <c r="U40" s="16">
        <v>1.7982381819247431</v>
      </c>
      <c r="V40" s="43">
        <f t="shared" si="14"/>
        <v>15741.6</v>
      </c>
      <c r="W40" s="51"/>
      <c r="X40" s="48"/>
      <c r="Y40" s="48"/>
      <c r="Z40" s="49"/>
      <c r="AA40" s="47">
        <f>H40*0.3</f>
        <v>0.32</v>
      </c>
      <c r="AB40" s="41">
        <f t="shared" ref="AB40:AB42" si="33">H40*0.35</f>
        <v>0.37333333333333329</v>
      </c>
      <c r="AC40" s="48"/>
      <c r="AD40" s="48"/>
      <c r="AE40" s="51"/>
      <c r="AF40" s="48"/>
      <c r="AG40" s="41">
        <f>H40*0.2</f>
        <v>0.21333333333333335</v>
      </c>
      <c r="AH40" s="86"/>
      <c r="AI40" s="51"/>
      <c r="AJ40" s="48"/>
      <c r="AK40" s="48"/>
      <c r="AL40" s="49"/>
      <c r="AM40" s="51"/>
      <c r="AN40" s="48"/>
      <c r="AO40" s="48"/>
      <c r="AP40" s="132">
        <f t="shared" si="32"/>
        <v>0.16</v>
      </c>
      <c r="AQ40" s="51"/>
      <c r="AR40" s="48"/>
      <c r="AS40" s="48"/>
      <c r="AT40" s="49"/>
      <c r="AU40" s="51"/>
      <c r="AV40" s="48"/>
      <c r="AW40" s="48"/>
      <c r="AX40" s="49"/>
    </row>
    <row r="41" spans="1:50" x14ac:dyDescent="0.25">
      <c r="A41" s="24"/>
      <c r="B41" s="24"/>
      <c r="C41" s="24"/>
      <c r="D41" s="24"/>
      <c r="E41" s="24"/>
      <c r="F41" s="25" t="s">
        <v>55</v>
      </c>
      <c r="G41" s="25">
        <v>1.0666666666666667</v>
      </c>
      <c r="H41" s="25">
        <v>1.0666666666666667</v>
      </c>
      <c r="I41" s="25">
        <v>1</v>
      </c>
      <c r="J41" s="25" t="s">
        <v>33</v>
      </c>
      <c r="K41" s="25">
        <f t="shared" si="9"/>
        <v>11.200000000000001</v>
      </c>
      <c r="L41" s="25">
        <f t="shared" si="10"/>
        <v>13.066666666666666</v>
      </c>
      <c r="M41" s="25">
        <f t="shared" si="11"/>
        <v>7.4666666666666677</v>
      </c>
      <c r="N41" s="25">
        <f t="shared" si="12"/>
        <v>5.6000000000000005</v>
      </c>
      <c r="O41" s="26">
        <v>37.333333333333336</v>
      </c>
      <c r="P41" s="25" t="s">
        <v>76</v>
      </c>
      <c r="Q41" s="25">
        <v>71069</v>
      </c>
      <c r="R41" s="19" t="s">
        <v>35</v>
      </c>
      <c r="S41" s="15" t="s">
        <v>55</v>
      </c>
      <c r="T41" s="9">
        <v>2</v>
      </c>
      <c r="U41" s="16">
        <v>1.7982381819247431</v>
      </c>
      <c r="V41" s="43">
        <f t="shared" si="14"/>
        <v>15741.6</v>
      </c>
      <c r="W41" s="51"/>
      <c r="X41" s="48"/>
      <c r="Y41" s="48"/>
      <c r="Z41" s="49"/>
      <c r="AA41" s="47">
        <f>H41*0.3</f>
        <v>0.32</v>
      </c>
      <c r="AB41" s="41">
        <f t="shared" si="33"/>
        <v>0.37333333333333329</v>
      </c>
      <c r="AC41" s="48"/>
      <c r="AD41" s="48"/>
      <c r="AE41" s="51"/>
      <c r="AF41" s="48"/>
      <c r="AG41" s="41">
        <f t="shared" ref="AG41:AG42" si="34">H41*0.2</f>
        <v>0.21333333333333335</v>
      </c>
      <c r="AH41" s="86"/>
      <c r="AI41" s="51"/>
      <c r="AJ41" s="48"/>
      <c r="AK41" s="48"/>
      <c r="AL41" s="49"/>
      <c r="AM41" s="51"/>
      <c r="AN41" s="48"/>
      <c r="AO41" s="48"/>
      <c r="AP41" s="132">
        <f t="shared" si="32"/>
        <v>0.16</v>
      </c>
      <c r="AQ41" s="51"/>
      <c r="AR41" s="48"/>
      <c r="AS41" s="48"/>
      <c r="AT41" s="49"/>
      <c r="AU41" s="51"/>
      <c r="AV41" s="48"/>
      <c r="AW41" s="48"/>
      <c r="AX41" s="49"/>
    </row>
    <row r="42" spans="1:50" ht="15.75" thickBot="1" x14ac:dyDescent="0.3">
      <c r="A42" s="24"/>
      <c r="B42" s="24"/>
      <c r="C42" s="24"/>
      <c r="D42" s="24"/>
      <c r="E42" s="24"/>
      <c r="F42" s="25" t="s">
        <v>55</v>
      </c>
      <c r="G42" s="25">
        <v>1.0666666666666667</v>
      </c>
      <c r="H42" s="25">
        <v>1.0666666666666667</v>
      </c>
      <c r="I42" s="25">
        <v>1</v>
      </c>
      <c r="J42" s="25" t="s">
        <v>33</v>
      </c>
      <c r="K42" s="25">
        <f t="shared" si="9"/>
        <v>11.200000000000001</v>
      </c>
      <c r="L42" s="25">
        <f t="shared" si="10"/>
        <v>13.066666666666666</v>
      </c>
      <c r="M42" s="25">
        <f t="shared" si="11"/>
        <v>7.4666666666666677</v>
      </c>
      <c r="N42" s="25">
        <f t="shared" si="12"/>
        <v>5.6000000000000005</v>
      </c>
      <c r="O42" s="26">
        <v>37.333333333333336</v>
      </c>
      <c r="P42" s="25" t="s">
        <v>76</v>
      </c>
      <c r="Q42" s="25">
        <v>71069</v>
      </c>
      <c r="R42" s="19" t="s">
        <v>35</v>
      </c>
      <c r="S42" s="15" t="s">
        <v>55</v>
      </c>
      <c r="T42" s="9">
        <v>3</v>
      </c>
      <c r="U42" s="16">
        <v>1.7982381819247431</v>
      </c>
      <c r="V42" s="43">
        <f t="shared" si="14"/>
        <v>15741.6</v>
      </c>
      <c r="W42" s="51"/>
      <c r="X42" s="48"/>
      <c r="Y42" s="48"/>
      <c r="Z42" s="49"/>
      <c r="AA42" s="47">
        <f>H42*0.3</f>
        <v>0.32</v>
      </c>
      <c r="AB42" s="41">
        <f t="shared" si="33"/>
        <v>0.37333333333333329</v>
      </c>
      <c r="AC42" s="48"/>
      <c r="AD42" s="48"/>
      <c r="AE42" s="51"/>
      <c r="AF42" s="48"/>
      <c r="AG42" s="41">
        <f t="shared" si="34"/>
        <v>0.21333333333333335</v>
      </c>
      <c r="AH42" s="86"/>
      <c r="AI42" s="51"/>
      <c r="AJ42" s="48"/>
      <c r="AK42" s="48"/>
      <c r="AL42" s="49"/>
      <c r="AM42" s="51"/>
      <c r="AN42" s="48"/>
      <c r="AO42" s="48"/>
      <c r="AP42" s="132">
        <f t="shared" si="32"/>
        <v>0.16</v>
      </c>
      <c r="AQ42" s="51"/>
      <c r="AR42" s="48"/>
      <c r="AS42" s="48"/>
      <c r="AT42" s="49"/>
      <c r="AU42" s="51"/>
      <c r="AV42" s="48"/>
      <c r="AW42" s="48"/>
      <c r="AX42" s="49"/>
    </row>
    <row r="43" spans="1:50" ht="15.75" thickBot="1" x14ac:dyDescent="0.3">
      <c r="A43" s="24"/>
      <c r="B43" s="24"/>
      <c r="C43" s="24"/>
      <c r="D43" s="24"/>
      <c r="E43" s="24"/>
      <c r="F43" s="25" t="s">
        <v>42</v>
      </c>
      <c r="G43" s="25">
        <v>1.71</v>
      </c>
      <c r="H43" s="25">
        <v>1.71</v>
      </c>
      <c r="I43" s="25">
        <v>1</v>
      </c>
      <c r="J43" s="25" t="s">
        <v>33</v>
      </c>
      <c r="K43" s="25">
        <f t="shared" si="9"/>
        <v>17.954999999999998</v>
      </c>
      <c r="L43" s="25">
        <f t="shared" si="10"/>
        <v>20.947499999999998</v>
      </c>
      <c r="M43" s="25">
        <f t="shared" si="11"/>
        <v>11.97</v>
      </c>
      <c r="N43" s="25">
        <f t="shared" si="12"/>
        <v>8.9774999999999991</v>
      </c>
      <c r="O43" s="26">
        <v>59.85</v>
      </c>
      <c r="P43" s="25" t="s">
        <v>43</v>
      </c>
      <c r="Q43" s="25">
        <v>71057</v>
      </c>
      <c r="R43" s="19" t="s">
        <v>35</v>
      </c>
      <c r="S43" s="15" t="s">
        <v>42</v>
      </c>
      <c r="T43" s="9">
        <v>1</v>
      </c>
      <c r="U43" s="16">
        <v>2.8828005853981038</v>
      </c>
      <c r="V43" s="43">
        <f t="shared" si="14"/>
        <v>25235.752499999999</v>
      </c>
      <c r="W43" s="51"/>
      <c r="X43" s="48"/>
      <c r="Y43" s="48"/>
      <c r="Z43" s="49"/>
      <c r="AA43" s="47">
        <f>H43*0.3</f>
        <v>0.51300000000000001</v>
      </c>
      <c r="AB43" s="48"/>
      <c r="AC43" s="48"/>
      <c r="AD43" s="48"/>
      <c r="AE43" s="51"/>
      <c r="AF43" s="65">
        <f t="shared" ref="AF43:AF45" si="35">H43*0.35</f>
        <v>0.59849999999999992</v>
      </c>
      <c r="AG43" s="48"/>
      <c r="AH43" s="86"/>
      <c r="AI43" s="51"/>
      <c r="AJ43" s="48"/>
      <c r="AK43" s="130">
        <f t="shared" ref="AK43:AK45" si="36">H43*0.2</f>
        <v>0.34200000000000003</v>
      </c>
      <c r="AL43" s="49"/>
      <c r="AM43" s="51"/>
      <c r="AN43" s="48"/>
      <c r="AO43" s="48"/>
      <c r="AP43" s="132">
        <f>H43*0.15</f>
        <v>0.25650000000000001</v>
      </c>
      <c r="AQ43" s="51"/>
      <c r="AR43" s="48"/>
      <c r="AS43" s="48"/>
      <c r="AT43" s="49"/>
      <c r="AU43" s="51"/>
      <c r="AV43" s="48"/>
      <c r="AW43" s="48"/>
      <c r="AX43" s="49"/>
    </row>
    <row r="44" spans="1:50" ht="15.75" thickBot="1" x14ac:dyDescent="0.3">
      <c r="A44" s="24"/>
      <c r="B44" s="24"/>
      <c r="C44" s="24"/>
      <c r="D44" s="24"/>
      <c r="E44" s="24"/>
      <c r="F44" s="25" t="s">
        <v>42</v>
      </c>
      <c r="G44" s="25">
        <v>1.71</v>
      </c>
      <c r="H44" s="25">
        <v>1.71</v>
      </c>
      <c r="I44" s="25">
        <v>1</v>
      </c>
      <c r="J44" s="25" t="s">
        <v>33</v>
      </c>
      <c r="K44" s="25">
        <f t="shared" si="9"/>
        <v>17.954999999999998</v>
      </c>
      <c r="L44" s="25">
        <f t="shared" si="10"/>
        <v>20.947499999999998</v>
      </c>
      <c r="M44" s="25">
        <f t="shared" si="11"/>
        <v>11.97</v>
      </c>
      <c r="N44" s="25">
        <f t="shared" si="12"/>
        <v>8.9774999999999991</v>
      </c>
      <c r="O44" s="26">
        <v>59.85</v>
      </c>
      <c r="P44" s="25" t="s">
        <v>43</v>
      </c>
      <c r="Q44" s="25">
        <v>71057</v>
      </c>
      <c r="R44" s="19" t="s">
        <v>35</v>
      </c>
      <c r="S44" s="15" t="s">
        <v>42</v>
      </c>
      <c r="T44" s="9">
        <v>2</v>
      </c>
      <c r="U44" s="16">
        <v>2.8828005853981038</v>
      </c>
      <c r="V44" s="43">
        <f t="shared" si="14"/>
        <v>25235.752499999999</v>
      </c>
      <c r="W44" s="51"/>
      <c r="X44" s="48"/>
      <c r="Y44" s="48"/>
      <c r="Z44" s="49"/>
      <c r="AA44" s="47">
        <f t="shared" ref="AA44:AA45" si="37">H44*0.3</f>
        <v>0.51300000000000001</v>
      </c>
      <c r="AB44" s="48"/>
      <c r="AC44" s="48"/>
      <c r="AD44" s="48"/>
      <c r="AE44" s="51"/>
      <c r="AF44" s="65">
        <f t="shared" si="35"/>
        <v>0.59849999999999992</v>
      </c>
      <c r="AG44" s="48"/>
      <c r="AH44" s="86"/>
      <c r="AI44" s="51"/>
      <c r="AJ44" s="48"/>
      <c r="AK44" s="130">
        <f t="shared" si="36"/>
        <v>0.34200000000000003</v>
      </c>
      <c r="AL44" s="49"/>
      <c r="AM44" s="51"/>
      <c r="AN44" s="48"/>
      <c r="AO44" s="48"/>
      <c r="AP44" s="132">
        <f t="shared" ref="AP44:AP50" si="38">H44*0.15</f>
        <v>0.25650000000000001</v>
      </c>
      <c r="AQ44" s="51"/>
      <c r="AR44" s="48"/>
      <c r="AS44" s="48"/>
      <c r="AT44" s="49"/>
      <c r="AU44" s="51"/>
      <c r="AV44" s="48"/>
      <c r="AW44" s="48"/>
      <c r="AX44" s="49"/>
    </row>
    <row r="45" spans="1:50" x14ac:dyDescent="0.25">
      <c r="A45" s="24"/>
      <c r="B45" s="24"/>
      <c r="C45" s="24"/>
      <c r="D45" s="24"/>
      <c r="E45" s="24"/>
      <c r="F45" s="25" t="s">
        <v>42</v>
      </c>
      <c r="G45" s="25">
        <v>1.71</v>
      </c>
      <c r="H45" s="25">
        <v>1.71</v>
      </c>
      <c r="I45" s="25">
        <v>1</v>
      </c>
      <c r="J45" s="25" t="s">
        <v>33</v>
      </c>
      <c r="K45" s="25">
        <f t="shared" si="9"/>
        <v>17.954999999999998</v>
      </c>
      <c r="L45" s="25">
        <f t="shared" si="10"/>
        <v>20.947499999999998</v>
      </c>
      <c r="M45" s="25">
        <f t="shared" si="11"/>
        <v>11.97</v>
      </c>
      <c r="N45" s="25">
        <f t="shared" si="12"/>
        <v>8.9774999999999991</v>
      </c>
      <c r="O45" s="26">
        <v>59.85</v>
      </c>
      <c r="P45" s="25" t="s">
        <v>43</v>
      </c>
      <c r="Q45" s="25">
        <v>71057</v>
      </c>
      <c r="R45" s="19" t="s">
        <v>35</v>
      </c>
      <c r="S45" s="15" t="s">
        <v>42</v>
      </c>
      <c r="T45" s="9">
        <v>3</v>
      </c>
      <c r="U45" s="16">
        <v>2.8828005853981038</v>
      </c>
      <c r="V45" s="43">
        <f t="shared" si="14"/>
        <v>25235.752499999999</v>
      </c>
      <c r="W45" s="51"/>
      <c r="X45" s="48"/>
      <c r="Y45" s="48"/>
      <c r="Z45" s="49"/>
      <c r="AA45" s="47">
        <f t="shared" si="37"/>
        <v>0.51300000000000001</v>
      </c>
      <c r="AB45" s="48"/>
      <c r="AC45" s="48"/>
      <c r="AD45" s="48"/>
      <c r="AE45" s="51"/>
      <c r="AF45" s="65">
        <f t="shared" si="35"/>
        <v>0.59849999999999992</v>
      </c>
      <c r="AG45" s="48"/>
      <c r="AH45" s="86"/>
      <c r="AI45" s="51"/>
      <c r="AJ45" s="48"/>
      <c r="AK45" s="130">
        <f t="shared" si="36"/>
        <v>0.34200000000000003</v>
      </c>
      <c r="AL45" s="49"/>
      <c r="AM45" s="51"/>
      <c r="AN45" s="48"/>
      <c r="AO45" s="48"/>
      <c r="AP45" s="132">
        <f t="shared" si="38"/>
        <v>0.25650000000000001</v>
      </c>
      <c r="AQ45" s="51"/>
      <c r="AR45" s="48"/>
      <c r="AS45" s="48"/>
      <c r="AT45" s="49"/>
      <c r="AU45" s="51"/>
      <c r="AV45" s="48"/>
      <c r="AW45" s="48"/>
      <c r="AX45" s="49"/>
    </row>
    <row r="46" spans="1:50" x14ac:dyDescent="0.25">
      <c r="A46" s="24"/>
      <c r="B46" s="24"/>
      <c r="C46" s="24"/>
      <c r="D46" s="24"/>
      <c r="E46" s="24"/>
      <c r="F46" s="25" t="s">
        <v>55</v>
      </c>
      <c r="G46" s="25">
        <v>1.0666666666666667</v>
      </c>
      <c r="H46" s="25">
        <v>1.0666666666666667</v>
      </c>
      <c r="I46" s="25">
        <v>1</v>
      </c>
      <c r="J46" s="25" t="s">
        <v>33</v>
      </c>
      <c r="K46" s="25">
        <f t="shared" si="9"/>
        <v>11.200000000000001</v>
      </c>
      <c r="L46" s="25">
        <f t="shared" si="10"/>
        <v>13.066666666666666</v>
      </c>
      <c r="M46" s="25">
        <f t="shared" si="11"/>
        <v>7.4666666666666677</v>
      </c>
      <c r="N46" s="25">
        <f t="shared" si="12"/>
        <v>5.6000000000000005</v>
      </c>
      <c r="O46" s="26">
        <v>37.333333333333336</v>
      </c>
      <c r="P46" s="25" t="s">
        <v>76</v>
      </c>
      <c r="Q46" s="25">
        <v>71068</v>
      </c>
      <c r="R46" s="19" t="s">
        <v>35</v>
      </c>
      <c r="S46" s="15" t="s">
        <v>55</v>
      </c>
      <c r="T46" s="9">
        <v>1</v>
      </c>
      <c r="U46" s="16">
        <v>1.7982381819247431</v>
      </c>
      <c r="V46" s="43">
        <f t="shared" si="14"/>
        <v>15741.6</v>
      </c>
      <c r="W46" s="51"/>
      <c r="X46" s="48"/>
      <c r="Y46" s="48"/>
      <c r="Z46" s="49"/>
      <c r="AA46" s="47">
        <f>H46*0.3</f>
        <v>0.32</v>
      </c>
      <c r="AB46" s="41">
        <f>H46*0.35</f>
        <v>0.37333333333333329</v>
      </c>
      <c r="AC46" s="48"/>
      <c r="AD46" s="48"/>
      <c r="AE46" s="51"/>
      <c r="AF46" s="48"/>
      <c r="AG46" s="41">
        <f>H46*0.2</f>
        <v>0.21333333333333335</v>
      </c>
      <c r="AH46" s="86"/>
      <c r="AI46" s="51"/>
      <c r="AJ46" s="48"/>
      <c r="AK46" s="48"/>
      <c r="AL46" s="49"/>
      <c r="AM46" s="51"/>
      <c r="AN46" s="48"/>
      <c r="AO46" s="48"/>
      <c r="AP46" s="132">
        <f t="shared" si="38"/>
        <v>0.16</v>
      </c>
      <c r="AQ46" s="51"/>
      <c r="AR46" s="48"/>
      <c r="AS46" s="48"/>
      <c r="AT46" s="49"/>
      <c r="AU46" s="51"/>
      <c r="AV46" s="48"/>
      <c r="AW46" s="48"/>
      <c r="AX46" s="49"/>
    </row>
    <row r="47" spans="1:50" x14ac:dyDescent="0.25">
      <c r="A47" s="24"/>
      <c r="B47" s="24"/>
      <c r="C47" s="24"/>
      <c r="D47" s="24"/>
      <c r="E47" s="24"/>
      <c r="F47" s="25" t="s">
        <v>55</v>
      </c>
      <c r="G47" s="25">
        <v>1.0666666666666667</v>
      </c>
      <c r="H47" s="25">
        <v>1.0666666666666667</v>
      </c>
      <c r="I47" s="25">
        <v>1</v>
      </c>
      <c r="J47" s="25" t="s">
        <v>33</v>
      </c>
      <c r="K47" s="25">
        <f t="shared" si="9"/>
        <v>11.200000000000001</v>
      </c>
      <c r="L47" s="25">
        <f t="shared" si="10"/>
        <v>13.066666666666666</v>
      </c>
      <c r="M47" s="25">
        <f t="shared" si="11"/>
        <v>7.4666666666666677</v>
      </c>
      <c r="N47" s="25">
        <f t="shared" si="12"/>
        <v>5.6000000000000005</v>
      </c>
      <c r="O47" s="26">
        <v>37.333333333333336</v>
      </c>
      <c r="P47" s="25" t="s">
        <v>76</v>
      </c>
      <c r="Q47" s="25">
        <v>71068</v>
      </c>
      <c r="R47" s="19" t="s">
        <v>35</v>
      </c>
      <c r="S47" s="15" t="s">
        <v>55</v>
      </c>
      <c r="T47" s="9">
        <v>2</v>
      </c>
      <c r="U47" s="16">
        <v>1.7982381819247431</v>
      </c>
      <c r="V47" s="43">
        <f t="shared" si="14"/>
        <v>15741.6</v>
      </c>
      <c r="W47" s="51"/>
      <c r="X47" s="48"/>
      <c r="Y47" s="48"/>
      <c r="Z47" s="49"/>
      <c r="AA47" s="47">
        <f>H47*0.3</f>
        <v>0.32</v>
      </c>
      <c r="AB47" s="41">
        <f>H47*0.35</f>
        <v>0.37333333333333329</v>
      </c>
      <c r="AC47" s="48"/>
      <c r="AD47" s="48"/>
      <c r="AE47" s="51"/>
      <c r="AF47" s="48"/>
      <c r="AG47" s="41">
        <f t="shared" ref="AG47:AG48" si="39">H47*0.2</f>
        <v>0.21333333333333335</v>
      </c>
      <c r="AH47" s="86"/>
      <c r="AI47" s="51"/>
      <c r="AJ47" s="48"/>
      <c r="AK47" s="48"/>
      <c r="AL47" s="49"/>
      <c r="AM47" s="51"/>
      <c r="AN47" s="48"/>
      <c r="AO47" s="48"/>
      <c r="AP47" s="132">
        <f t="shared" si="38"/>
        <v>0.16</v>
      </c>
      <c r="AQ47" s="51"/>
      <c r="AR47" s="48"/>
      <c r="AS47" s="48"/>
      <c r="AT47" s="49"/>
      <c r="AU47" s="51"/>
      <c r="AV47" s="48"/>
      <c r="AW47" s="48"/>
      <c r="AX47" s="49"/>
    </row>
    <row r="48" spans="1:50" ht="30" x14ac:dyDescent="0.25">
      <c r="A48" s="24"/>
      <c r="B48" s="24"/>
      <c r="C48" s="24"/>
      <c r="D48" s="24"/>
      <c r="E48" s="24"/>
      <c r="F48" s="25" t="s">
        <v>56</v>
      </c>
      <c r="G48" s="25">
        <v>1.0666666666666667</v>
      </c>
      <c r="H48" s="25">
        <v>1.0666666666666667</v>
      </c>
      <c r="I48" s="25">
        <v>1</v>
      </c>
      <c r="J48" s="25" t="s">
        <v>33</v>
      </c>
      <c r="K48" s="25">
        <f t="shared" si="9"/>
        <v>11.200000000000001</v>
      </c>
      <c r="L48" s="25">
        <f t="shared" si="10"/>
        <v>13.066666666666666</v>
      </c>
      <c r="M48" s="25">
        <f t="shared" si="11"/>
        <v>7.4666666666666677</v>
      </c>
      <c r="N48" s="25">
        <f t="shared" si="12"/>
        <v>5.6000000000000005</v>
      </c>
      <c r="O48" s="26">
        <v>37.333333333333336</v>
      </c>
      <c r="P48" s="25" t="s">
        <v>57</v>
      </c>
      <c r="Q48" s="25">
        <v>71068</v>
      </c>
      <c r="R48" s="19" t="s">
        <v>35</v>
      </c>
      <c r="S48" s="15" t="s">
        <v>56</v>
      </c>
      <c r="T48" s="9">
        <v>3</v>
      </c>
      <c r="U48" s="16">
        <v>1.7982381819247431</v>
      </c>
      <c r="V48" s="43">
        <f t="shared" si="14"/>
        <v>15741.6</v>
      </c>
      <c r="W48" s="51"/>
      <c r="X48" s="48"/>
      <c r="Y48" s="48"/>
      <c r="Z48" s="49"/>
      <c r="AA48" s="47">
        <f>H48*0.3</f>
        <v>0.32</v>
      </c>
      <c r="AB48" s="41">
        <f>H48*0.35</f>
        <v>0.37333333333333329</v>
      </c>
      <c r="AC48" s="48"/>
      <c r="AD48" s="48"/>
      <c r="AE48" s="51"/>
      <c r="AF48" s="48"/>
      <c r="AG48" s="41">
        <f t="shared" si="39"/>
        <v>0.21333333333333335</v>
      </c>
      <c r="AH48" s="86"/>
      <c r="AI48" s="51"/>
      <c r="AJ48" s="48"/>
      <c r="AK48" s="48"/>
      <c r="AL48" s="49"/>
      <c r="AM48" s="51"/>
      <c r="AN48" s="48"/>
      <c r="AO48" s="48"/>
      <c r="AP48" s="132">
        <f t="shared" si="38"/>
        <v>0.16</v>
      </c>
      <c r="AQ48" s="51"/>
      <c r="AR48" s="48"/>
      <c r="AS48" s="48"/>
      <c r="AT48" s="49"/>
      <c r="AU48" s="51"/>
      <c r="AV48" s="48"/>
      <c r="AW48" s="48"/>
      <c r="AX48" s="49"/>
    </row>
    <row r="49" spans="1:50" x14ac:dyDescent="0.25">
      <c r="A49" s="24"/>
      <c r="B49" s="24"/>
      <c r="C49" s="24"/>
      <c r="D49" s="24"/>
      <c r="E49" s="24"/>
      <c r="F49" s="25" t="s">
        <v>55</v>
      </c>
      <c r="G49" s="25">
        <v>2.2250000000000001</v>
      </c>
      <c r="H49" s="25">
        <v>2.2250000000000001</v>
      </c>
      <c r="I49" s="25">
        <v>1</v>
      </c>
      <c r="J49" s="25" t="s">
        <v>33</v>
      </c>
      <c r="K49" s="25">
        <f t="shared" si="9"/>
        <v>23.362500000000001</v>
      </c>
      <c r="L49" s="25">
        <f t="shared" si="10"/>
        <v>27.256249999999998</v>
      </c>
      <c r="M49" s="25">
        <f t="shared" si="11"/>
        <v>15.575000000000001</v>
      </c>
      <c r="N49" s="25">
        <f t="shared" si="12"/>
        <v>11.68125</v>
      </c>
      <c r="O49" s="26">
        <v>77.875</v>
      </c>
      <c r="P49" s="25" t="s">
        <v>76</v>
      </c>
      <c r="Q49" s="25">
        <v>71088</v>
      </c>
      <c r="R49" s="19" t="s">
        <v>35</v>
      </c>
      <c r="S49" s="15" t="s">
        <v>55</v>
      </c>
      <c r="T49" s="38">
        <v>1</v>
      </c>
      <c r="U49" s="16">
        <v>3.7510124576086441</v>
      </c>
      <c r="V49" s="43">
        <f t="shared" si="14"/>
        <v>32835.993750000001</v>
      </c>
      <c r="W49" s="51"/>
      <c r="X49" s="48"/>
      <c r="Y49" s="48"/>
      <c r="Z49" s="49"/>
      <c r="AA49" s="47">
        <f>H49*0.3</f>
        <v>0.66749999999999998</v>
      </c>
      <c r="AB49" s="41">
        <f>H49*0.35</f>
        <v>0.77874999999999994</v>
      </c>
      <c r="AC49" s="48"/>
      <c r="AD49" s="48"/>
      <c r="AE49" s="51"/>
      <c r="AF49" s="48"/>
      <c r="AG49" s="41">
        <f>H49*0.2</f>
        <v>0.44500000000000006</v>
      </c>
      <c r="AH49" s="86"/>
      <c r="AI49" s="51"/>
      <c r="AJ49" s="48"/>
      <c r="AK49" s="48"/>
      <c r="AL49" s="49"/>
      <c r="AM49" s="51"/>
      <c r="AN49" s="48"/>
      <c r="AO49" s="48"/>
      <c r="AP49" s="132">
        <f t="shared" si="38"/>
        <v>0.33374999999999999</v>
      </c>
      <c r="AQ49" s="51"/>
      <c r="AR49" s="48"/>
      <c r="AS49" s="48"/>
      <c r="AT49" s="49"/>
      <c r="AU49" s="51"/>
      <c r="AV49" s="48"/>
      <c r="AW49" s="48"/>
      <c r="AX49" s="49"/>
    </row>
    <row r="50" spans="1:50" ht="15.75" thickBot="1" x14ac:dyDescent="0.3">
      <c r="A50" s="24"/>
      <c r="B50" s="24"/>
      <c r="C50" s="24"/>
      <c r="D50" s="24"/>
      <c r="E50" s="24"/>
      <c r="F50" s="25" t="s">
        <v>55</v>
      </c>
      <c r="G50" s="25">
        <v>2.2250000000000001</v>
      </c>
      <c r="H50" s="25">
        <v>2.2250000000000001</v>
      </c>
      <c r="I50" s="25">
        <v>1</v>
      </c>
      <c r="J50" s="25" t="s">
        <v>33</v>
      </c>
      <c r="K50" s="25">
        <f t="shared" si="9"/>
        <v>23.362500000000001</v>
      </c>
      <c r="L50" s="25">
        <f t="shared" si="10"/>
        <v>27.256249999999998</v>
      </c>
      <c r="M50" s="25">
        <f t="shared" si="11"/>
        <v>15.575000000000001</v>
      </c>
      <c r="N50" s="25">
        <f t="shared" si="12"/>
        <v>11.68125</v>
      </c>
      <c r="O50" s="26">
        <v>77.875</v>
      </c>
      <c r="P50" s="25" t="s">
        <v>76</v>
      </c>
      <c r="Q50" s="25">
        <v>71088</v>
      </c>
      <c r="R50" s="19" t="s">
        <v>35</v>
      </c>
      <c r="S50" s="15" t="s">
        <v>55</v>
      </c>
      <c r="T50" s="38">
        <v>2</v>
      </c>
      <c r="U50" s="16">
        <v>3.7510124576086441</v>
      </c>
      <c r="V50" s="43">
        <f t="shared" si="14"/>
        <v>32835.993750000001</v>
      </c>
      <c r="W50" s="51"/>
      <c r="X50" s="48"/>
      <c r="Y50" s="48"/>
      <c r="Z50" s="49"/>
      <c r="AA50" s="47">
        <f>H50*0.3</f>
        <v>0.66749999999999998</v>
      </c>
      <c r="AB50" s="41">
        <f>H50*0.35</f>
        <v>0.77874999999999994</v>
      </c>
      <c r="AC50" s="48"/>
      <c r="AD50" s="48"/>
      <c r="AE50" s="51"/>
      <c r="AF50" s="48"/>
      <c r="AG50" s="41">
        <f>H50*0.2</f>
        <v>0.44500000000000006</v>
      </c>
      <c r="AH50" s="86"/>
      <c r="AI50" s="51"/>
      <c r="AJ50" s="48"/>
      <c r="AK50" s="48"/>
      <c r="AL50" s="49"/>
      <c r="AM50" s="51"/>
      <c r="AN50" s="48"/>
      <c r="AO50" s="48"/>
      <c r="AP50" s="132">
        <f t="shared" si="38"/>
        <v>0.33374999999999999</v>
      </c>
      <c r="AQ50" s="51"/>
      <c r="AR50" s="48"/>
      <c r="AS50" s="48"/>
      <c r="AT50" s="49"/>
      <c r="AU50" s="51"/>
      <c r="AV50" s="48"/>
      <c r="AW50" s="48"/>
      <c r="AX50" s="49"/>
    </row>
    <row r="51" spans="1:50" ht="15.75" thickBot="1" x14ac:dyDescent="0.3">
      <c r="A51" s="24"/>
      <c r="B51" s="8"/>
      <c r="C51" s="8"/>
      <c r="D51" s="8"/>
      <c r="E51" s="8"/>
      <c r="F51" s="25" t="s">
        <v>55</v>
      </c>
      <c r="G51" s="25">
        <v>1.3666700000000001</v>
      </c>
      <c r="H51" s="25">
        <v>1.3666700000000001</v>
      </c>
      <c r="I51" s="25">
        <v>1</v>
      </c>
      <c r="J51" s="25" t="s">
        <v>33</v>
      </c>
      <c r="K51" s="25">
        <f t="shared" si="9"/>
        <v>14.350035</v>
      </c>
      <c r="L51" s="25">
        <f t="shared" si="10"/>
        <v>16.7417075</v>
      </c>
      <c r="M51" s="25">
        <f t="shared" si="11"/>
        <v>9.5666899999999995</v>
      </c>
      <c r="N51" s="25">
        <f t="shared" si="12"/>
        <v>7.1750175</v>
      </c>
      <c r="O51" s="26">
        <v>47.833449999999999</v>
      </c>
      <c r="P51" s="25" t="s">
        <v>76</v>
      </c>
      <c r="Q51" s="25">
        <v>71064</v>
      </c>
      <c r="R51" s="19" t="s">
        <v>35</v>
      </c>
      <c r="S51" s="15" t="s">
        <v>55</v>
      </c>
      <c r="T51" s="9">
        <v>1</v>
      </c>
      <c r="U51" s="16">
        <v>2.3039982900853957</v>
      </c>
      <c r="V51" s="43">
        <f t="shared" si="14"/>
        <v>20168.974192499998</v>
      </c>
      <c r="W51" s="51"/>
      <c r="X51" s="48"/>
      <c r="Y51" s="48"/>
      <c r="Z51" s="49"/>
      <c r="AA51" s="47">
        <f t="shared" ref="AA51:AA81" si="40">H51*0.3</f>
        <v>0.410001</v>
      </c>
      <c r="AB51" s="48"/>
      <c r="AC51" s="48"/>
      <c r="AD51" s="48"/>
      <c r="AE51" s="51"/>
      <c r="AF51" s="65">
        <f t="shared" ref="AF51:AF52" si="41">H51*0.35</f>
        <v>0.4783345</v>
      </c>
      <c r="AG51" s="41">
        <f>H51*0.2</f>
        <v>0.27333400000000002</v>
      </c>
      <c r="AH51" s="86"/>
      <c r="AI51" s="51"/>
      <c r="AJ51" s="48"/>
      <c r="AK51" s="48"/>
      <c r="AL51" s="49"/>
      <c r="AM51" s="51"/>
      <c r="AN51" s="48"/>
      <c r="AO51" s="48"/>
      <c r="AP51" s="132">
        <f t="shared" ref="AP51:AP80" si="42">H51*0.15</f>
        <v>0.2050005</v>
      </c>
      <c r="AQ51" s="51"/>
      <c r="AR51" s="48"/>
      <c r="AS51" s="48"/>
      <c r="AT51" s="49"/>
      <c r="AU51" s="51"/>
      <c r="AV51" s="48"/>
      <c r="AW51" s="48"/>
      <c r="AX51" s="49"/>
    </row>
    <row r="52" spans="1:50" ht="15.75" thickBot="1" x14ac:dyDescent="0.3">
      <c r="A52" s="24"/>
      <c r="B52" s="8"/>
      <c r="C52" s="8"/>
      <c r="D52" s="8"/>
      <c r="E52" s="8"/>
      <c r="F52" s="25" t="s">
        <v>55</v>
      </c>
      <c r="G52" s="25">
        <v>1.3666700000000001</v>
      </c>
      <c r="H52" s="25">
        <v>1.3666700000000001</v>
      </c>
      <c r="I52" s="25">
        <v>1</v>
      </c>
      <c r="J52" s="25" t="s">
        <v>33</v>
      </c>
      <c r="K52" s="25">
        <f t="shared" si="9"/>
        <v>14.350035</v>
      </c>
      <c r="L52" s="25">
        <f t="shared" si="10"/>
        <v>16.7417075</v>
      </c>
      <c r="M52" s="25">
        <f t="shared" si="11"/>
        <v>9.5666899999999995</v>
      </c>
      <c r="N52" s="25">
        <f t="shared" si="12"/>
        <v>7.1750175</v>
      </c>
      <c r="O52" s="26">
        <v>47.833449999999999</v>
      </c>
      <c r="P52" s="25" t="s">
        <v>76</v>
      </c>
      <c r="Q52" s="25">
        <v>71064</v>
      </c>
      <c r="R52" s="19" t="s">
        <v>35</v>
      </c>
      <c r="S52" s="15" t="s">
        <v>55</v>
      </c>
      <c r="T52" s="9">
        <v>2</v>
      </c>
      <c r="U52" s="16">
        <v>2.3039982900853957</v>
      </c>
      <c r="V52" s="43">
        <f t="shared" si="14"/>
        <v>20168.974192499998</v>
      </c>
      <c r="W52" s="51"/>
      <c r="X52" s="48"/>
      <c r="Y52" s="48"/>
      <c r="Z52" s="49"/>
      <c r="AA52" s="47">
        <f t="shared" si="40"/>
        <v>0.410001</v>
      </c>
      <c r="AB52" s="48"/>
      <c r="AC52" s="48"/>
      <c r="AD52" s="48"/>
      <c r="AE52" s="51"/>
      <c r="AF52" s="65">
        <f t="shared" si="41"/>
        <v>0.4783345</v>
      </c>
      <c r="AG52" s="41">
        <f>H52*0.2</f>
        <v>0.27333400000000002</v>
      </c>
      <c r="AH52" s="86"/>
      <c r="AI52" s="51"/>
      <c r="AJ52" s="48"/>
      <c r="AK52" s="48"/>
      <c r="AL52" s="49"/>
      <c r="AM52" s="51"/>
      <c r="AN52" s="48"/>
      <c r="AO52" s="48"/>
      <c r="AP52" s="132">
        <f t="shared" si="42"/>
        <v>0.2050005</v>
      </c>
      <c r="AQ52" s="51"/>
      <c r="AR52" s="48"/>
      <c r="AS52" s="48"/>
      <c r="AT52" s="49"/>
      <c r="AU52" s="51"/>
      <c r="AV52" s="48"/>
      <c r="AW52" s="48"/>
      <c r="AX52" s="49"/>
    </row>
    <row r="53" spans="1:50" ht="15.75" thickBot="1" x14ac:dyDescent="0.3">
      <c r="A53" s="24"/>
      <c r="B53" s="8"/>
      <c r="C53" s="8"/>
      <c r="D53" s="8"/>
      <c r="E53" s="8"/>
      <c r="F53" s="25" t="s">
        <v>58</v>
      </c>
      <c r="G53" s="25">
        <v>0.1</v>
      </c>
      <c r="H53" s="25">
        <v>0.1</v>
      </c>
      <c r="I53" s="25">
        <v>1</v>
      </c>
      <c r="J53" s="25" t="s">
        <v>33</v>
      </c>
      <c r="K53" s="25">
        <f t="shared" si="9"/>
        <v>1.7999999999999998</v>
      </c>
      <c r="L53" s="25">
        <f t="shared" si="10"/>
        <v>2.0999999999999996</v>
      </c>
      <c r="M53" s="25">
        <f t="shared" si="11"/>
        <v>1.2000000000000002</v>
      </c>
      <c r="N53" s="25">
        <f t="shared" si="12"/>
        <v>0.89999999999999991</v>
      </c>
      <c r="O53" s="26">
        <v>6</v>
      </c>
      <c r="P53" s="25" t="s">
        <v>59</v>
      </c>
      <c r="Q53" s="25">
        <v>71064</v>
      </c>
      <c r="R53" s="19" t="s">
        <v>35</v>
      </c>
      <c r="S53" s="15" t="s">
        <v>58</v>
      </c>
      <c r="T53" s="9">
        <v>3</v>
      </c>
      <c r="U53" s="16">
        <v>0.16858482955544468</v>
      </c>
      <c r="V53" s="43">
        <f t="shared" si="14"/>
        <v>2529.8999999999996</v>
      </c>
      <c r="W53" s="51"/>
      <c r="X53" s="48"/>
      <c r="Y53" s="48"/>
      <c r="Z53" s="49"/>
      <c r="AA53" s="47">
        <f t="shared" si="40"/>
        <v>0.03</v>
      </c>
      <c r="AB53" s="48"/>
      <c r="AC53" s="48"/>
      <c r="AD53" s="48"/>
      <c r="AE53" s="51"/>
      <c r="AF53" s="56"/>
      <c r="AG53" s="48"/>
      <c r="AH53" s="86"/>
      <c r="AI53" s="51"/>
      <c r="AJ53" s="41">
        <f>H53*0.35</f>
        <v>3.4999999999999996E-2</v>
      </c>
      <c r="AK53" s="41">
        <f>H53*0.2</f>
        <v>2.0000000000000004E-2</v>
      </c>
      <c r="AL53" s="49"/>
      <c r="AM53" s="51"/>
      <c r="AN53" s="48"/>
      <c r="AO53" s="48"/>
      <c r="AP53" s="132">
        <f t="shared" si="42"/>
        <v>1.4999999999999999E-2</v>
      </c>
      <c r="AQ53" s="51"/>
      <c r="AR53" s="48"/>
      <c r="AS53" s="48"/>
      <c r="AT53" s="49"/>
      <c r="AU53" s="51"/>
      <c r="AV53" s="48"/>
      <c r="AW53" s="48"/>
      <c r="AX53" s="49"/>
    </row>
    <row r="54" spans="1:50" ht="15.75" thickBot="1" x14ac:dyDescent="0.3">
      <c r="A54" s="24"/>
      <c r="B54" s="8"/>
      <c r="C54" s="8"/>
      <c r="D54" s="8"/>
      <c r="E54" s="8"/>
      <c r="F54" s="25" t="s">
        <v>58</v>
      </c>
      <c r="G54" s="25">
        <v>0.1</v>
      </c>
      <c r="H54" s="25">
        <v>0.1</v>
      </c>
      <c r="I54" s="25">
        <v>1</v>
      </c>
      <c r="J54" s="25" t="s">
        <v>33</v>
      </c>
      <c r="K54" s="25">
        <f t="shared" si="9"/>
        <v>1.7999999999999998</v>
      </c>
      <c r="L54" s="25">
        <f t="shared" si="10"/>
        <v>2.0999999999999996</v>
      </c>
      <c r="M54" s="25">
        <f t="shared" si="11"/>
        <v>1.2000000000000002</v>
      </c>
      <c r="N54" s="25">
        <f t="shared" si="12"/>
        <v>0.89999999999999991</v>
      </c>
      <c r="O54" s="26">
        <v>6</v>
      </c>
      <c r="P54" s="25" t="s">
        <v>59</v>
      </c>
      <c r="Q54" s="25">
        <v>71064</v>
      </c>
      <c r="R54" s="19" t="s">
        <v>35</v>
      </c>
      <c r="S54" s="15" t="s">
        <v>58</v>
      </c>
      <c r="T54" s="9">
        <v>4</v>
      </c>
      <c r="U54" s="16">
        <v>0.16858482955544468</v>
      </c>
      <c r="V54" s="43">
        <f t="shared" si="14"/>
        <v>2529.8999999999996</v>
      </c>
      <c r="W54" s="51"/>
      <c r="X54" s="48"/>
      <c r="Y54" s="48"/>
      <c r="Z54" s="49"/>
      <c r="AA54" s="47">
        <f t="shared" si="40"/>
        <v>0.03</v>
      </c>
      <c r="AB54" s="48"/>
      <c r="AC54" s="48"/>
      <c r="AD54" s="48"/>
      <c r="AE54" s="51"/>
      <c r="AF54" s="56"/>
      <c r="AG54" s="48"/>
      <c r="AH54" s="86"/>
      <c r="AI54" s="51"/>
      <c r="AJ54" s="41">
        <f t="shared" ref="AJ54:AJ80" si="43">H54*0.35</f>
        <v>3.4999999999999996E-2</v>
      </c>
      <c r="AK54" s="41">
        <f t="shared" ref="AK54:AK80" si="44">H54*0.2</f>
        <v>2.0000000000000004E-2</v>
      </c>
      <c r="AL54" s="49"/>
      <c r="AM54" s="51"/>
      <c r="AN54" s="48"/>
      <c r="AO54" s="48"/>
      <c r="AP54" s="132">
        <f t="shared" si="42"/>
        <v>1.4999999999999999E-2</v>
      </c>
      <c r="AQ54" s="51"/>
      <c r="AR54" s="48"/>
      <c r="AS54" s="48"/>
      <c r="AT54" s="49"/>
      <c r="AU54" s="51"/>
      <c r="AV54" s="48"/>
      <c r="AW54" s="48"/>
      <c r="AX54" s="49"/>
    </row>
    <row r="55" spans="1:50" ht="15.75" thickBot="1" x14ac:dyDescent="0.3">
      <c r="A55" s="24"/>
      <c r="B55" s="8"/>
      <c r="C55" s="8"/>
      <c r="D55" s="8"/>
      <c r="E55" s="8"/>
      <c r="F55" s="25" t="s">
        <v>58</v>
      </c>
      <c r="G55" s="25">
        <v>0.1</v>
      </c>
      <c r="H55" s="25">
        <v>0.1</v>
      </c>
      <c r="I55" s="25">
        <v>1</v>
      </c>
      <c r="J55" s="25" t="s">
        <v>33</v>
      </c>
      <c r="K55" s="25">
        <f t="shared" si="9"/>
        <v>1.7999999999999998</v>
      </c>
      <c r="L55" s="25">
        <f t="shared" si="10"/>
        <v>2.0999999999999996</v>
      </c>
      <c r="M55" s="25">
        <f t="shared" si="11"/>
        <v>1.2000000000000002</v>
      </c>
      <c r="N55" s="25">
        <f t="shared" si="12"/>
        <v>0.89999999999999991</v>
      </c>
      <c r="O55" s="26">
        <v>6</v>
      </c>
      <c r="P55" s="25" t="s">
        <v>59</v>
      </c>
      <c r="Q55" s="25">
        <v>71064</v>
      </c>
      <c r="R55" s="19" t="s">
        <v>35</v>
      </c>
      <c r="S55" s="15" t="s">
        <v>58</v>
      </c>
      <c r="T55" s="9">
        <v>5</v>
      </c>
      <c r="U55" s="16">
        <v>0.16858482955544468</v>
      </c>
      <c r="V55" s="43">
        <f t="shared" si="14"/>
        <v>2529.8999999999996</v>
      </c>
      <c r="W55" s="51"/>
      <c r="X55" s="48"/>
      <c r="Y55" s="48"/>
      <c r="Z55" s="49"/>
      <c r="AA55" s="47">
        <f t="shared" si="40"/>
        <v>0.03</v>
      </c>
      <c r="AB55" s="48"/>
      <c r="AC55" s="48"/>
      <c r="AD55" s="48"/>
      <c r="AE55" s="51"/>
      <c r="AF55" s="56"/>
      <c r="AG55" s="48"/>
      <c r="AH55" s="86"/>
      <c r="AI55" s="51"/>
      <c r="AJ55" s="41">
        <f t="shared" si="43"/>
        <v>3.4999999999999996E-2</v>
      </c>
      <c r="AK55" s="41">
        <f t="shared" si="44"/>
        <v>2.0000000000000004E-2</v>
      </c>
      <c r="AL55" s="49"/>
      <c r="AM55" s="51"/>
      <c r="AN55" s="48"/>
      <c r="AO55" s="48"/>
      <c r="AP55" s="132">
        <f t="shared" si="42"/>
        <v>1.4999999999999999E-2</v>
      </c>
      <c r="AQ55" s="51"/>
      <c r="AR55" s="48"/>
      <c r="AS55" s="48"/>
      <c r="AT55" s="49"/>
      <c r="AU55" s="51"/>
      <c r="AV55" s="48"/>
      <c r="AW55" s="48"/>
      <c r="AX55" s="49"/>
    </row>
    <row r="56" spans="1:50" ht="15.75" thickBot="1" x14ac:dyDescent="0.3">
      <c r="A56" s="24"/>
      <c r="B56" s="8"/>
      <c r="C56" s="8"/>
      <c r="D56" s="8"/>
      <c r="E56" s="8"/>
      <c r="F56" s="25" t="s">
        <v>58</v>
      </c>
      <c r="G56" s="25">
        <v>0.1</v>
      </c>
      <c r="H56" s="25">
        <v>0.1</v>
      </c>
      <c r="I56" s="25">
        <v>1</v>
      </c>
      <c r="J56" s="25" t="s">
        <v>33</v>
      </c>
      <c r="K56" s="25">
        <f t="shared" si="9"/>
        <v>1.7999999999999998</v>
      </c>
      <c r="L56" s="25">
        <f t="shared" si="10"/>
        <v>2.0999999999999996</v>
      </c>
      <c r="M56" s="25">
        <f t="shared" si="11"/>
        <v>1.2000000000000002</v>
      </c>
      <c r="N56" s="25">
        <f t="shared" si="12"/>
        <v>0.89999999999999991</v>
      </c>
      <c r="O56" s="26">
        <v>6</v>
      </c>
      <c r="P56" s="25" t="s">
        <v>59</v>
      </c>
      <c r="Q56" s="25">
        <v>71064</v>
      </c>
      <c r="R56" s="19" t="s">
        <v>35</v>
      </c>
      <c r="S56" s="15" t="s">
        <v>58</v>
      </c>
      <c r="T56" s="9">
        <v>6</v>
      </c>
      <c r="U56" s="16">
        <v>0.16858482955544468</v>
      </c>
      <c r="V56" s="43">
        <f t="shared" si="14"/>
        <v>2529.8999999999996</v>
      </c>
      <c r="W56" s="51"/>
      <c r="X56" s="48"/>
      <c r="Y56" s="48"/>
      <c r="Z56" s="49"/>
      <c r="AA56" s="47">
        <f t="shared" si="40"/>
        <v>0.03</v>
      </c>
      <c r="AB56" s="48"/>
      <c r="AC56" s="48"/>
      <c r="AD56" s="48"/>
      <c r="AE56" s="51"/>
      <c r="AF56" s="56"/>
      <c r="AG56" s="48"/>
      <c r="AH56" s="86"/>
      <c r="AI56" s="51"/>
      <c r="AJ56" s="41">
        <f t="shared" si="43"/>
        <v>3.4999999999999996E-2</v>
      </c>
      <c r="AK56" s="41">
        <f t="shared" si="44"/>
        <v>2.0000000000000004E-2</v>
      </c>
      <c r="AL56" s="49"/>
      <c r="AM56" s="51"/>
      <c r="AN56" s="48"/>
      <c r="AO56" s="48"/>
      <c r="AP56" s="132">
        <f t="shared" si="42"/>
        <v>1.4999999999999999E-2</v>
      </c>
      <c r="AQ56" s="51"/>
      <c r="AR56" s="48"/>
      <c r="AS56" s="48"/>
      <c r="AT56" s="49"/>
      <c r="AU56" s="51"/>
      <c r="AV56" s="48"/>
      <c r="AW56" s="48"/>
      <c r="AX56" s="49"/>
    </row>
    <row r="57" spans="1:50" ht="15.75" thickBot="1" x14ac:dyDescent="0.3">
      <c r="A57" s="24"/>
      <c r="B57" s="8"/>
      <c r="C57" s="8"/>
      <c r="D57" s="8"/>
      <c r="E57" s="8"/>
      <c r="F57" s="25" t="s">
        <v>58</v>
      </c>
      <c r="G57" s="25">
        <v>0.1</v>
      </c>
      <c r="H57" s="25">
        <v>0.1</v>
      </c>
      <c r="I57" s="25">
        <v>1</v>
      </c>
      <c r="J57" s="25" t="s">
        <v>33</v>
      </c>
      <c r="K57" s="25">
        <f t="shared" si="9"/>
        <v>1.7999999999999998</v>
      </c>
      <c r="L57" s="25">
        <f t="shared" si="10"/>
        <v>2.0999999999999996</v>
      </c>
      <c r="M57" s="25">
        <f t="shared" si="11"/>
        <v>1.2000000000000002</v>
      </c>
      <c r="N57" s="25">
        <f t="shared" si="12"/>
        <v>0.89999999999999991</v>
      </c>
      <c r="O57" s="26">
        <v>6</v>
      </c>
      <c r="P57" s="25" t="s">
        <v>59</v>
      </c>
      <c r="Q57" s="25">
        <v>71064</v>
      </c>
      <c r="R57" s="19" t="s">
        <v>35</v>
      </c>
      <c r="S57" s="15" t="s">
        <v>58</v>
      </c>
      <c r="T57" s="9">
        <v>7</v>
      </c>
      <c r="U57" s="16">
        <v>0.16858482955544468</v>
      </c>
      <c r="V57" s="43">
        <f t="shared" si="14"/>
        <v>2529.8999999999996</v>
      </c>
      <c r="W57" s="51"/>
      <c r="X57" s="48"/>
      <c r="Y57" s="48"/>
      <c r="Z57" s="49"/>
      <c r="AA57" s="47">
        <f t="shared" si="40"/>
        <v>0.03</v>
      </c>
      <c r="AB57" s="48"/>
      <c r="AC57" s="48"/>
      <c r="AD57" s="48"/>
      <c r="AE57" s="51"/>
      <c r="AF57" s="56"/>
      <c r="AG57" s="48"/>
      <c r="AH57" s="86"/>
      <c r="AI57" s="51"/>
      <c r="AJ57" s="41">
        <f t="shared" si="43"/>
        <v>3.4999999999999996E-2</v>
      </c>
      <c r="AK57" s="41">
        <f t="shared" si="44"/>
        <v>2.0000000000000004E-2</v>
      </c>
      <c r="AL57" s="49"/>
      <c r="AM57" s="51"/>
      <c r="AN57" s="48"/>
      <c r="AO57" s="48"/>
      <c r="AP57" s="132">
        <f t="shared" si="42"/>
        <v>1.4999999999999999E-2</v>
      </c>
      <c r="AQ57" s="51"/>
      <c r="AR57" s="48"/>
      <c r="AS57" s="48"/>
      <c r="AT57" s="49"/>
      <c r="AU57" s="51"/>
      <c r="AV57" s="48"/>
      <c r="AW57" s="48"/>
      <c r="AX57" s="49"/>
    </row>
    <row r="58" spans="1:50" ht="15.75" thickBot="1" x14ac:dyDescent="0.3">
      <c r="A58" s="24"/>
      <c r="B58" s="8"/>
      <c r="C58" s="8"/>
      <c r="D58" s="8"/>
      <c r="E58" s="8"/>
      <c r="F58" s="25" t="s">
        <v>58</v>
      </c>
      <c r="G58" s="25">
        <v>0.1</v>
      </c>
      <c r="H58" s="25">
        <v>0.1</v>
      </c>
      <c r="I58" s="25">
        <v>1</v>
      </c>
      <c r="J58" s="25" t="s">
        <v>33</v>
      </c>
      <c r="K58" s="25">
        <f t="shared" si="9"/>
        <v>1.7999999999999998</v>
      </c>
      <c r="L58" s="25">
        <f t="shared" si="10"/>
        <v>2.0999999999999996</v>
      </c>
      <c r="M58" s="25">
        <f t="shared" si="11"/>
        <v>1.2000000000000002</v>
      </c>
      <c r="N58" s="25">
        <f t="shared" si="12"/>
        <v>0.89999999999999991</v>
      </c>
      <c r="O58" s="26">
        <v>6</v>
      </c>
      <c r="P58" s="25" t="s">
        <v>59</v>
      </c>
      <c r="Q58" s="25">
        <v>71064</v>
      </c>
      <c r="R58" s="19" t="s">
        <v>35</v>
      </c>
      <c r="S58" s="15" t="s">
        <v>58</v>
      </c>
      <c r="T58" s="9">
        <v>8</v>
      </c>
      <c r="U58" s="16">
        <v>0.16858482955544468</v>
      </c>
      <c r="V58" s="43">
        <f t="shared" si="14"/>
        <v>2529.8999999999996</v>
      </c>
      <c r="W58" s="51"/>
      <c r="X58" s="48"/>
      <c r="Y58" s="48"/>
      <c r="Z58" s="49"/>
      <c r="AA58" s="47">
        <f t="shared" si="40"/>
        <v>0.03</v>
      </c>
      <c r="AB58" s="48"/>
      <c r="AC58" s="48"/>
      <c r="AD58" s="48"/>
      <c r="AE58" s="51"/>
      <c r="AF58" s="56"/>
      <c r="AG58" s="48"/>
      <c r="AH58" s="86"/>
      <c r="AI58" s="51"/>
      <c r="AJ58" s="41">
        <f t="shared" si="43"/>
        <v>3.4999999999999996E-2</v>
      </c>
      <c r="AK58" s="41">
        <f t="shared" si="44"/>
        <v>2.0000000000000004E-2</v>
      </c>
      <c r="AL58" s="49"/>
      <c r="AM58" s="51"/>
      <c r="AN58" s="48"/>
      <c r="AO58" s="48"/>
      <c r="AP58" s="132">
        <f t="shared" si="42"/>
        <v>1.4999999999999999E-2</v>
      </c>
      <c r="AQ58" s="51"/>
      <c r="AR58" s="48"/>
      <c r="AS58" s="48"/>
      <c r="AT58" s="49"/>
      <c r="AU58" s="51"/>
      <c r="AV58" s="48"/>
      <c r="AW58" s="48"/>
      <c r="AX58" s="49"/>
    </row>
    <row r="59" spans="1:50" ht="15.75" thickBot="1" x14ac:dyDescent="0.3">
      <c r="A59" s="24"/>
      <c r="B59" s="8"/>
      <c r="C59" s="8"/>
      <c r="D59" s="8"/>
      <c r="E59" s="8"/>
      <c r="F59" s="25" t="s">
        <v>58</v>
      </c>
      <c r="G59" s="25">
        <v>0.1</v>
      </c>
      <c r="H59" s="25">
        <v>0.1</v>
      </c>
      <c r="I59" s="25">
        <v>1</v>
      </c>
      <c r="J59" s="25" t="s">
        <v>33</v>
      </c>
      <c r="K59" s="25">
        <f t="shared" si="9"/>
        <v>1.7999999999999998</v>
      </c>
      <c r="L59" s="25">
        <f t="shared" si="10"/>
        <v>2.0999999999999996</v>
      </c>
      <c r="M59" s="25">
        <f t="shared" si="11"/>
        <v>1.2000000000000002</v>
      </c>
      <c r="N59" s="25">
        <f t="shared" si="12"/>
        <v>0.89999999999999991</v>
      </c>
      <c r="O59" s="26">
        <v>6</v>
      </c>
      <c r="P59" s="25" t="s">
        <v>59</v>
      </c>
      <c r="Q59" s="25">
        <v>71064</v>
      </c>
      <c r="R59" s="19" t="s">
        <v>35</v>
      </c>
      <c r="S59" s="15" t="s">
        <v>58</v>
      </c>
      <c r="T59" s="9">
        <v>9</v>
      </c>
      <c r="U59" s="16">
        <v>0.16858482955544468</v>
      </c>
      <c r="V59" s="43">
        <f t="shared" si="14"/>
        <v>2529.8999999999996</v>
      </c>
      <c r="W59" s="51"/>
      <c r="X59" s="48"/>
      <c r="Y59" s="48"/>
      <c r="Z59" s="49"/>
      <c r="AA59" s="47">
        <f t="shared" si="40"/>
        <v>0.03</v>
      </c>
      <c r="AB59" s="48"/>
      <c r="AC59" s="48"/>
      <c r="AD59" s="48"/>
      <c r="AE59" s="51"/>
      <c r="AF59" s="56"/>
      <c r="AG59" s="48"/>
      <c r="AH59" s="86"/>
      <c r="AI59" s="51"/>
      <c r="AJ59" s="41">
        <f t="shared" si="43"/>
        <v>3.4999999999999996E-2</v>
      </c>
      <c r="AK59" s="41">
        <f t="shared" si="44"/>
        <v>2.0000000000000004E-2</v>
      </c>
      <c r="AL59" s="49"/>
      <c r="AM59" s="51"/>
      <c r="AN59" s="48"/>
      <c r="AO59" s="48"/>
      <c r="AP59" s="132">
        <f t="shared" si="42"/>
        <v>1.4999999999999999E-2</v>
      </c>
      <c r="AQ59" s="51"/>
      <c r="AR59" s="48"/>
      <c r="AS59" s="48"/>
      <c r="AT59" s="49"/>
      <c r="AU59" s="51"/>
      <c r="AV59" s="48"/>
      <c r="AW59" s="48"/>
      <c r="AX59" s="49"/>
    </row>
    <row r="60" spans="1:50" ht="15.75" thickBot="1" x14ac:dyDescent="0.3">
      <c r="A60" s="24"/>
      <c r="B60" s="8"/>
      <c r="C60" s="8"/>
      <c r="D60" s="8"/>
      <c r="E60" s="8"/>
      <c r="F60" s="25" t="s">
        <v>58</v>
      </c>
      <c r="G60" s="25">
        <v>0.1</v>
      </c>
      <c r="H60" s="25">
        <v>0.1</v>
      </c>
      <c r="I60" s="25">
        <v>1</v>
      </c>
      <c r="J60" s="25" t="s">
        <v>33</v>
      </c>
      <c r="K60" s="25">
        <f t="shared" si="9"/>
        <v>1.7999999999999998</v>
      </c>
      <c r="L60" s="25">
        <f t="shared" si="10"/>
        <v>2.0999999999999996</v>
      </c>
      <c r="M60" s="25">
        <f t="shared" si="11"/>
        <v>1.2000000000000002</v>
      </c>
      <c r="N60" s="25">
        <f t="shared" si="12"/>
        <v>0.89999999999999991</v>
      </c>
      <c r="O60" s="26">
        <v>6</v>
      </c>
      <c r="P60" s="25" t="s">
        <v>59</v>
      </c>
      <c r="Q60" s="25">
        <v>71064</v>
      </c>
      <c r="R60" s="19" t="s">
        <v>35</v>
      </c>
      <c r="S60" s="15" t="s">
        <v>58</v>
      </c>
      <c r="T60" s="9">
        <v>10</v>
      </c>
      <c r="U60" s="16">
        <v>0.16858482955544468</v>
      </c>
      <c r="V60" s="43">
        <f t="shared" si="14"/>
        <v>2529.8999999999996</v>
      </c>
      <c r="W60" s="51"/>
      <c r="X60" s="48"/>
      <c r="Y60" s="48"/>
      <c r="Z60" s="49"/>
      <c r="AA60" s="47">
        <f t="shared" si="40"/>
        <v>0.03</v>
      </c>
      <c r="AB60" s="48"/>
      <c r="AC60" s="48"/>
      <c r="AD60" s="48"/>
      <c r="AE60" s="51"/>
      <c r="AF60" s="56"/>
      <c r="AG60" s="48"/>
      <c r="AH60" s="86"/>
      <c r="AI60" s="51"/>
      <c r="AJ60" s="41">
        <f t="shared" si="43"/>
        <v>3.4999999999999996E-2</v>
      </c>
      <c r="AK60" s="41">
        <f t="shared" si="44"/>
        <v>2.0000000000000004E-2</v>
      </c>
      <c r="AL60" s="49"/>
      <c r="AM60" s="51"/>
      <c r="AN60" s="48"/>
      <c r="AO60" s="48"/>
      <c r="AP60" s="132">
        <f t="shared" si="42"/>
        <v>1.4999999999999999E-2</v>
      </c>
      <c r="AQ60" s="51"/>
      <c r="AR60" s="48"/>
      <c r="AS60" s="48"/>
      <c r="AT60" s="49"/>
      <c r="AU60" s="51"/>
      <c r="AV60" s="48"/>
      <c r="AW60" s="48"/>
      <c r="AX60" s="49"/>
    </row>
    <row r="61" spans="1:50" ht="15.75" thickBot="1" x14ac:dyDescent="0.3">
      <c r="A61" s="24"/>
      <c r="B61" s="8"/>
      <c r="C61" s="8"/>
      <c r="D61" s="8"/>
      <c r="E61" s="8"/>
      <c r="F61" s="25" t="s">
        <v>58</v>
      </c>
      <c r="G61" s="25">
        <v>0.1</v>
      </c>
      <c r="H61" s="25">
        <v>0.1</v>
      </c>
      <c r="I61" s="25">
        <v>1</v>
      </c>
      <c r="J61" s="25" t="s">
        <v>33</v>
      </c>
      <c r="K61" s="25">
        <f t="shared" si="9"/>
        <v>1.7999999999999998</v>
      </c>
      <c r="L61" s="25">
        <f t="shared" si="10"/>
        <v>2.0999999999999996</v>
      </c>
      <c r="M61" s="25">
        <f t="shared" si="11"/>
        <v>1.2000000000000002</v>
      </c>
      <c r="N61" s="25">
        <f t="shared" si="12"/>
        <v>0.89999999999999991</v>
      </c>
      <c r="O61" s="26">
        <v>6</v>
      </c>
      <c r="P61" s="25" t="s">
        <v>59</v>
      </c>
      <c r="Q61" s="25">
        <v>71064</v>
      </c>
      <c r="R61" s="19" t="s">
        <v>35</v>
      </c>
      <c r="S61" s="15" t="s">
        <v>58</v>
      </c>
      <c r="T61" s="9">
        <v>11</v>
      </c>
      <c r="U61" s="16">
        <v>0.16858482955544468</v>
      </c>
      <c r="V61" s="43">
        <f t="shared" si="14"/>
        <v>2529.8999999999996</v>
      </c>
      <c r="W61" s="51"/>
      <c r="X61" s="48"/>
      <c r="Y61" s="48"/>
      <c r="Z61" s="49"/>
      <c r="AA61" s="47">
        <f t="shared" si="40"/>
        <v>0.03</v>
      </c>
      <c r="AB61" s="48"/>
      <c r="AC61" s="48"/>
      <c r="AD61" s="48"/>
      <c r="AE61" s="51"/>
      <c r="AF61" s="56"/>
      <c r="AG61" s="48"/>
      <c r="AH61" s="86"/>
      <c r="AI61" s="51"/>
      <c r="AJ61" s="41">
        <f t="shared" si="43"/>
        <v>3.4999999999999996E-2</v>
      </c>
      <c r="AK61" s="41">
        <f t="shared" si="44"/>
        <v>2.0000000000000004E-2</v>
      </c>
      <c r="AL61" s="49"/>
      <c r="AM61" s="51"/>
      <c r="AN61" s="48"/>
      <c r="AO61" s="48"/>
      <c r="AP61" s="132">
        <f t="shared" si="42"/>
        <v>1.4999999999999999E-2</v>
      </c>
      <c r="AQ61" s="51"/>
      <c r="AR61" s="48"/>
      <c r="AS61" s="48"/>
      <c r="AT61" s="49"/>
      <c r="AU61" s="51"/>
      <c r="AV61" s="48"/>
      <c r="AW61" s="48"/>
      <c r="AX61" s="49"/>
    </row>
    <row r="62" spans="1:50" ht="15.75" thickBot="1" x14ac:dyDescent="0.3">
      <c r="A62" s="24"/>
      <c r="B62" s="8"/>
      <c r="C62" s="8"/>
      <c r="D62" s="8"/>
      <c r="E62" s="8"/>
      <c r="F62" s="25" t="s">
        <v>58</v>
      </c>
      <c r="G62" s="25">
        <v>0.1</v>
      </c>
      <c r="H62" s="25">
        <v>0.1</v>
      </c>
      <c r="I62" s="25">
        <v>1</v>
      </c>
      <c r="J62" s="25" t="s">
        <v>33</v>
      </c>
      <c r="K62" s="25">
        <f t="shared" si="9"/>
        <v>1.7999999999999998</v>
      </c>
      <c r="L62" s="25">
        <f t="shared" si="10"/>
        <v>2.0999999999999996</v>
      </c>
      <c r="M62" s="25">
        <f t="shared" si="11"/>
        <v>1.2000000000000002</v>
      </c>
      <c r="N62" s="25">
        <f t="shared" si="12"/>
        <v>0.89999999999999991</v>
      </c>
      <c r="O62" s="26">
        <v>6</v>
      </c>
      <c r="P62" s="25" t="s">
        <v>59</v>
      </c>
      <c r="Q62" s="25">
        <v>71064</v>
      </c>
      <c r="R62" s="19" t="s">
        <v>35</v>
      </c>
      <c r="S62" s="15" t="s">
        <v>58</v>
      </c>
      <c r="T62" s="9">
        <v>12</v>
      </c>
      <c r="U62" s="16">
        <v>0.16858482955544468</v>
      </c>
      <c r="V62" s="43">
        <f t="shared" si="14"/>
        <v>2529.8999999999996</v>
      </c>
      <c r="W62" s="51"/>
      <c r="X62" s="48"/>
      <c r="Y62" s="48"/>
      <c r="Z62" s="49"/>
      <c r="AA62" s="47">
        <f t="shared" si="40"/>
        <v>0.03</v>
      </c>
      <c r="AB62" s="48"/>
      <c r="AC62" s="48"/>
      <c r="AD62" s="48"/>
      <c r="AE62" s="51"/>
      <c r="AF62" s="56"/>
      <c r="AG62" s="48"/>
      <c r="AH62" s="86"/>
      <c r="AI62" s="51"/>
      <c r="AJ62" s="41">
        <f t="shared" si="43"/>
        <v>3.4999999999999996E-2</v>
      </c>
      <c r="AK62" s="41">
        <f t="shared" si="44"/>
        <v>2.0000000000000004E-2</v>
      </c>
      <c r="AL62" s="49"/>
      <c r="AM62" s="51"/>
      <c r="AN62" s="48"/>
      <c r="AO62" s="48"/>
      <c r="AP62" s="132">
        <f t="shared" si="42"/>
        <v>1.4999999999999999E-2</v>
      </c>
      <c r="AQ62" s="51"/>
      <c r="AR62" s="48"/>
      <c r="AS62" s="48"/>
      <c r="AT62" s="49"/>
      <c r="AU62" s="51"/>
      <c r="AV62" s="48"/>
      <c r="AW62" s="48"/>
      <c r="AX62" s="49"/>
    </row>
    <row r="63" spans="1:50" ht="15.75" thickBot="1" x14ac:dyDescent="0.3">
      <c r="A63" s="24"/>
      <c r="B63" s="8"/>
      <c r="C63" s="8"/>
      <c r="D63" s="8"/>
      <c r="E63" s="8"/>
      <c r="F63" s="25" t="s">
        <v>58</v>
      </c>
      <c r="G63" s="25">
        <v>0.1</v>
      </c>
      <c r="H63" s="25">
        <v>0.1</v>
      </c>
      <c r="I63" s="25">
        <v>1</v>
      </c>
      <c r="J63" s="25" t="s">
        <v>33</v>
      </c>
      <c r="K63" s="25">
        <f t="shared" si="9"/>
        <v>1.7999999999999998</v>
      </c>
      <c r="L63" s="25">
        <f t="shared" si="10"/>
        <v>2.0999999999999996</v>
      </c>
      <c r="M63" s="25">
        <f t="shared" si="11"/>
        <v>1.2000000000000002</v>
      </c>
      <c r="N63" s="25">
        <f t="shared" si="12"/>
        <v>0.89999999999999991</v>
      </c>
      <c r="O63" s="26">
        <v>6</v>
      </c>
      <c r="P63" s="25" t="s">
        <v>59</v>
      </c>
      <c r="Q63" s="25">
        <v>71064</v>
      </c>
      <c r="R63" s="19" t="s">
        <v>35</v>
      </c>
      <c r="S63" s="15" t="s">
        <v>58</v>
      </c>
      <c r="T63" s="9">
        <v>13</v>
      </c>
      <c r="U63" s="16">
        <v>0.16858482955544468</v>
      </c>
      <c r="V63" s="43">
        <f t="shared" si="14"/>
        <v>2529.8999999999996</v>
      </c>
      <c r="W63" s="51"/>
      <c r="X63" s="48"/>
      <c r="Y63" s="48"/>
      <c r="Z63" s="49"/>
      <c r="AA63" s="47">
        <f t="shared" si="40"/>
        <v>0.03</v>
      </c>
      <c r="AB63" s="48"/>
      <c r="AC63" s="48"/>
      <c r="AD63" s="48"/>
      <c r="AE63" s="51"/>
      <c r="AF63" s="56"/>
      <c r="AG63" s="48"/>
      <c r="AH63" s="86"/>
      <c r="AI63" s="51"/>
      <c r="AJ63" s="41">
        <f t="shared" si="43"/>
        <v>3.4999999999999996E-2</v>
      </c>
      <c r="AK63" s="41">
        <f t="shared" si="44"/>
        <v>2.0000000000000004E-2</v>
      </c>
      <c r="AL63" s="49"/>
      <c r="AM63" s="51"/>
      <c r="AN63" s="48"/>
      <c r="AO63" s="48"/>
      <c r="AP63" s="132">
        <f t="shared" si="42"/>
        <v>1.4999999999999999E-2</v>
      </c>
      <c r="AQ63" s="51"/>
      <c r="AR63" s="48"/>
      <c r="AS63" s="48"/>
      <c r="AT63" s="49"/>
      <c r="AU63" s="51"/>
      <c r="AV63" s="48"/>
      <c r="AW63" s="48"/>
      <c r="AX63" s="49"/>
    </row>
    <row r="64" spans="1:50" ht="15.75" thickBot="1" x14ac:dyDescent="0.3">
      <c r="A64" s="24"/>
      <c r="B64" s="8"/>
      <c r="C64" s="8"/>
      <c r="D64" s="8"/>
      <c r="E64" s="8"/>
      <c r="F64" s="25" t="s">
        <v>58</v>
      </c>
      <c r="G64" s="25">
        <v>0.1</v>
      </c>
      <c r="H64" s="25">
        <v>0.1</v>
      </c>
      <c r="I64" s="25">
        <v>1</v>
      </c>
      <c r="J64" s="25" t="s">
        <v>33</v>
      </c>
      <c r="K64" s="25">
        <f t="shared" si="9"/>
        <v>1.7999999999999998</v>
      </c>
      <c r="L64" s="25">
        <f t="shared" si="10"/>
        <v>2.0999999999999996</v>
      </c>
      <c r="M64" s="25">
        <f t="shared" si="11"/>
        <v>1.2000000000000002</v>
      </c>
      <c r="N64" s="25">
        <f t="shared" si="12"/>
        <v>0.89999999999999991</v>
      </c>
      <c r="O64" s="26">
        <v>6</v>
      </c>
      <c r="P64" s="25" t="s">
        <v>59</v>
      </c>
      <c r="Q64" s="25">
        <v>71064</v>
      </c>
      <c r="R64" s="19" t="s">
        <v>35</v>
      </c>
      <c r="S64" s="15" t="s">
        <v>58</v>
      </c>
      <c r="T64" s="9">
        <v>14</v>
      </c>
      <c r="U64" s="16">
        <v>0.16858482955544468</v>
      </c>
      <c r="V64" s="43">
        <f t="shared" si="14"/>
        <v>2529.8999999999996</v>
      </c>
      <c r="W64" s="51"/>
      <c r="X64" s="48"/>
      <c r="Y64" s="48"/>
      <c r="Z64" s="49"/>
      <c r="AA64" s="47">
        <f t="shared" si="40"/>
        <v>0.03</v>
      </c>
      <c r="AB64" s="48"/>
      <c r="AC64" s="48"/>
      <c r="AD64" s="48"/>
      <c r="AE64" s="51"/>
      <c r="AF64" s="56"/>
      <c r="AG64" s="48"/>
      <c r="AH64" s="86"/>
      <c r="AI64" s="51"/>
      <c r="AJ64" s="41">
        <f t="shared" si="43"/>
        <v>3.4999999999999996E-2</v>
      </c>
      <c r="AK64" s="41">
        <f t="shared" si="44"/>
        <v>2.0000000000000004E-2</v>
      </c>
      <c r="AL64" s="49"/>
      <c r="AM64" s="51"/>
      <c r="AN64" s="48"/>
      <c r="AO64" s="48"/>
      <c r="AP64" s="132">
        <f t="shared" si="42"/>
        <v>1.4999999999999999E-2</v>
      </c>
      <c r="AQ64" s="51"/>
      <c r="AR64" s="48"/>
      <c r="AS64" s="48"/>
      <c r="AT64" s="49"/>
      <c r="AU64" s="51"/>
      <c r="AV64" s="48"/>
      <c r="AW64" s="48"/>
      <c r="AX64" s="49"/>
    </row>
    <row r="65" spans="1:50" ht="15.75" thickBot="1" x14ac:dyDescent="0.3">
      <c r="A65" s="24"/>
      <c r="B65" s="8"/>
      <c r="C65" s="8"/>
      <c r="D65" s="8"/>
      <c r="E65" s="8"/>
      <c r="F65" s="25" t="s">
        <v>58</v>
      </c>
      <c r="G65" s="25">
        <v>0.1</v>
      </c>
      <c r="H65" s="25">
        <v>0.1</v>
      </c>
      <c r="I65" s="25">
        <v>1</v>
      </c>
      <c r="J65" s="25" t="s">
        <v>33</v>
      </c>
      <c r="K65" s="25">
        <f t="shared" si="9"/>
        <v>1.7999999999999998</v>
      </c>
      <c r="L65" s="25">
        <f t="shared" si="10"/>
        <v>2.0999999999999996</v>
      </c>
      <c r="M65" s="25">
        <f t="shared" si="11"/>
        <v>1.2000000000000002</v>
      </c>
      <c r="N65" s="25">
        <f t="shared" si="12"/>
        <v>0.89999999999999991</v>
      </c>
      <c r="O65" s="26">
        <v>6</v>
      </c>
      <c r="P65" s="25" t="s">
        <v>59</v>
      </c>
      <c r="Q65" s="25">
        <v>71064</v>
      </c>
      <c r="R65" s="19" t="s">
        <v>35</v>
      </c>
      <c r="S65" s="15" t="s">
        <v>58</v>
      </c>
      <c r="T65" s="9">
        <v>15</v>
      </c>
      <c r="U65" s="16">
        <v>0.16858482955544468</v>
      </c>
      <c r="V65" s="43">
        <f t="shared" si="14"/>
        <v>2529.8999999999996</v>
      </c>
      <c r="W65" s="51"/>
      <c r="X65" s="48"/>
      <c r="Y65" s="48"/>
      <c r="Z65" s="49"/>
      <c r="AA65" s="47">
        <f t="shared" si="40"/>
        <v>0.03</v>
      </c>
      <c r="AB65" s="48"/>
      <c r="AC65" s="48"/>
      <c r="AD65" s="48"/>
      <c r="AE65" s="51"/>
      <c r="AF65" s="56"/>
      <c r="AG65" s="48"/>
      <c r="AH65" s="86"/>
      <c r="AI65" s="51"/>
      <c r="AJ65" s="41">
        <f t="shared" si="43"/>
        <v>3.4999999999999996E-2</v>
      </c>
      <c r="AK65" s="41">
        <f t="shared" si="44"/>
        <v>2.0000000000000004E-2</v>
      </c>
      <c r="AL65" s="49"/>
      <c r="AM65" s="51"/>
      <c r="AN65" s="48"/>
      <c r="AO65" s="48"/>
      <c r="AP65" s="132">
        <f t="shared" si="42"/>
        <v>1.4999999999999999E-2</v>
      </c>
      <c r="AQ65" s="51"/>
      <c r="AR65" s="48"/>
      <c r="AS65" s="48"/>
      <c r="AT65" s="49"/>
      <c r="AU65" s="51"/>
      <c r="AV65" s="48"/>
      <c r="AW65" s="48"/>
      <c r="AX65" s="49"/>
    </row>
    <row r="66" spans="1:50" ht="15.75" thickBot="1" x14ac:dyDescent="0.3">
      <c r="A66" s="24"/>
      <c r="B66" s="8"/>
      <c r="C66" s="8"/>
      <c r="D66" s="8"/>
      <c r="E66" s="8"/>
      <c r="F66" s="25" t="s">
        <v>58</v>
      </c>
      <c r="G66" s="25">
        <v>0.1</v>
      </c>
      <c r="H66" s="25">
        <v>0.1</v>
      </c>
      <c r="I66" s="25">
        <v>1</v>
      </c>
      <c r="J66" s="25" t="s">
        <v>33</v>
      </c>
      <c r="K66" s="25">
        <f t="shared" si="9"/>
        <v>1.7999999999999998</v>
      </c>
      <c r="L66" s="25">
        <f t="shared" si="10"/>
        <v>2.0999999999999996</v>
      </c>
      <c r="M66" s="25">
        <f t="shared" si="11"/>
        <v>1.2000000000000002</v>
      </c>
      <c r="N66" s="25">
        <f t="shared" si="12"/>
        <v>0.89999999999999991</v>
      </c>
      <c r="O66" s="26">
        <v>6</v>
      </c>
      <c r="P66" s="25" t="s">
        <v>59</v>
      </c>
      <c r="Q66" s="25">
        <v>71064</v>
      </c>
      <c r="R66" s="19" t="s">
        <v>35</v>
      </c>
      <c r="S66" s="15" t="s">
        <v>58</v>
      </c>
      <c r="T66" s="9">
        <v>16</v>
      </c>
      <c r="U66" s="16">
        <v>0.16858482955544468</v>
      </c>
      <c r="V66" s="43">
        <f t="shared" si="14"/>
        <v>2529.8999999999996</v>
      </c>
      <c r="W66" s="51"/>
      <c r="X66" s="48"/>
      <c r="Y66" s="48"/>
      <c r="Z66" s="49"/>
      <c r="AA66" s="47">
        <f t="shared" si="40"/>
        <v>0.03</v>
      </c>
      <c r="AB66" s="48"/>
      <c r="AC66" s="48"/>
      <c r="AD66" s="48"/>
      <c r="AE66" s="51"/>
      <c r="AF66" s="56"/>
      <c r="AG66" s="48"/>
      <c r="AH66" s="86"/>
      <c r="AI66" s="51"/>
      <c r="AJ66" s="41">
        <f t="shared" si="43"/>
        <v>3.4999999999999996E-2</v>
      </c>
      <c r="AK66" s="41">
        <f t="shared" si="44"/>
        <v>2.0000000000000004E-2</v>
      </c>
      <c r="AL66" s="49"/>
      <c r="AM66" s="51"/>
      <c r="AN66" s="48"/>
      <c r="AO66" s="48"/>
      <c r="AP66" s="132">
        <f t="shared" si="42"/>
        <v>1.4999999999999999E-2</v>
      </c>
      <c r="AQ66" s="51"/>
      <c r="AR66" s="48"/>
      <c r="AS66" s="48"/>
      <c r="AT66" s="49"/>
      <c r="AU66" s="51"/>
      <c r="AV66" s="48"/>
      <c r="AW66" s="48"/>
      <c r="AX66" s="49"/>
    </row>
    <row r="67" spans="1:50" ht="15.75" thickBot="1" x14ac:dyDescent="0.3">
      <c r="A67" s="24"/>
      <c r="B67" s="8"/>
      <c r="C67" s="8"/>
      <c r="D67" s="8"/>
      <c r="E67" s="8"/>
      <c r="F67" s="25" t="s">
        <v>58</v>
      </c>
      <c r="G67" s="25">
        <v>0.1</v>
      </c>
      <c r="H67" s="25">
        <v>0.1</v>
      </c>
      <c r="I67" s="25">
        <v>1</v>
      </c>
      <c r="J67" s="25" t="s">
        <v>33</v>
      </c>
      <c r="K67" s="25">
        <f t="shared" si="9"/>
        <v>1.7999999999999998</v>
      </c>
      <c r="L67" s="25">
        <f t="shared" si="10"/>
        <v>2.0999999999999996</v>
      </c>
      <c r="M67" s="25">
        <f t="shared" si="11"/>
        <v>1.2000000000000002</v>
      </c>
      <c r="N67" s="25">
        <f t="shared" si="12"/>
        <v>0.89999999999999991</v>
      </c>
      <c r="O67" s="26">
        <v>6</v>
      </c>
      <c r="P67" s="25" t="s">
        <v>59</v>
      </c>
      <c r="Q67" s="25">
        <v>71064</v>
      </c>
      <c r="R67" s="19" t="s">
        <v>35</v>
      </c>
      <c r="S67" s="15" t="s">
        <v>58</v>
      </c>
      <c r="T67" s="9">
        <v>17</v>
      </c>
      <c r="U67" s="16">
        <v>0.16858482955544468</v>
      </c>
      <c r="V67" s="43">
        <f t="shared" si="14"/>
        <v>2529.8999999999996</v>
      </c>
      <c r="W67" s="51"/>
      <c r="X67" s="48"/>
      <c r="Y67" s="48"/>
      <c r="Z67" s="49"/>
      <c r="AA67" s="47">
        <f t="shared" si="40"/>
        <v>0.03</v>
      </c>
      <c r="AB67" s="48"/>
      <c r="AC67" s="48"/>
      <c r="AD67" s="48"/>
      <c r="AE67" s="51"/>
      <c r="AF67" s="56"/>
      <c r="AG67" s="48"/>
      <c r="AH67" s="86"/>
      <c r="AI67" s="51"/>
      <c r="AJ67" s="41">
        <f t="shared" si="43"/>
        <v>3.4999999999999996E-2</v>
      </c>
      <c r="AK67" s="41">
        <f t="shared" si="44"/>
        <v>2.0000000000000004E-2</v>
      </c>
      <c r="AL67" s="49"/>
      <c r="AM67" s="51"/>
      <c r="AN67" s="48"/>
      <c r="AO67" s="48"/>
      <c r="AP67" s="132">
        <f t="shared" si="42"/>
        <v>1.4999999999999999E-2</v>
      </c>
      <c r="AQ67" s="51"/>
      <c r="AR67" s="48"/>
      <c r="AS67" s="48"/>
      <c r="AT67" s="49"/>
      <c r="AU67" s="51"/>
      <c r="AV67" s="48"/>
      <c r="AW67" s="48"/>
      <c r="AX67" s="49"/>
    </row>
    <row r="68" spans="1:50" ht="15.75" thickBot="1" x14ac:dyDescent="0.3">
      <c r="A68" s="24"/>
      <c r="B68" s="8"/>
      <c r="C68" s="8"/>
      <c r="D68" s="8"/>
      <c r="E68" s="8"/>
      <c r="F68" s="25" t="s">
        <v>58</v>
      </c>
      <c r="G68" s="25">
        <v>0.1</v>
      </c>
      <c r="H68" s="25">
        <v>0.1</v>
      </c>
      <c r="I68" s="25">
        <v>1</v>
      </c>
      <c r="J68" s="25" t="s">
        <v>33</v>
      </c>
      <c r="K68" s="25">
        <f t="shared" si="9"/>
        <v>1.7999999999999998</v>
      </c>
      <c r="L68" s="25">
        <f t="shared" si="10"/>
        <v>2.0999999999999996</v>
      </c>
      <c r="M68" s="25">
        <f t="shared" si="11"/>
        <v>1.2000000000000002</v>
      </c>
      <c r="N68" s="25">
        <f t="shared" si="12"/>
        <v>0.89999999999999991</v>
      </c>
      <c r="O68" s="26">
        <v>6</v>
      </c>
      <c r="P68" s="25" t="s">
        <v>59</v>
      </c>
      <c r="Q68" s="25">
        <v>71064</v>
      </c>
      <c r="R68" s="19" t="s">
        <v>35</v>
      </c>
      <c r="S68" s="15" t="s">
        <v>58</v>
      </c>
      <c r="T68" s="9">
        <v>18</v>
      </c>
      <c r="U68" s="16">
        <v>0.16858482955544468</v>
      </c>
      <c r="V68" s="43">
        <f t="shared" si="14"/>
        <v>2529.8999999999996</v>
      </c>
      <c r="W68" s="51"/>
      <c r="X68" s="48"/>
      <c r="Y68" s="48"/>
      <c r="Z68" s="49"/>
      <c r="AA68" s="47">
        <f t="shared" si="40"/>
        <v>0.03</v>
      </c>
      <c r="AB68" s="48"/>
      <c r="AC68" s="48"/>
      <c r="AD68" s="48"/>
      <c r="AE68" s="51"/>
      <c r="AF68" s="56"/>
      <c r="AG68" s="48"/>
      <c r="AH68" s="86"/>
      <c r="AI68" s="51"/>
      <c r="AJ68" s="41">
        <f t="shared" si="43"/>
        <v>3.4999999999999996E-2</v>
      </c>
      <c r="AK68" s="41">
        <f t="shared" si="44"/>
        <v>2.0000000000000004E-2</v>
      </c>
      <c r="AL68" s="49"/>
      <c r="AM68" s="51"/>
      <c r="AN68" s="48"/>
      <c r="AO68" s="48"/>
      <c r="AP68" s="132">
        <f t="shared" si="42"/>
        <v>1.4999999999999999E-2</v>
      </c>
      <c r="AQ68" s="51"/>
      <c r="AR68" s="48"/>
      <c r="AS68" s="48"/>
      <c r="AT68" s="49"/>
      <c r="AU68" s="51"/>
      <c r="AV68" s="48"/>
      <c r="AW68" s="48"/>
      <c r="AX68" s="49"/>
    </row>
    <row r="69" spans="1:50" ht="15.75" thickBot="1" x14ac:dyDescent="0.3">
      <c r="A69" s="24"/>
      <c r="B69" s="8"/>
      <c r="C69" s="8"/>
      <c r="D69" s="8"/>
      <c r="E69" s="8"/>
      <c r="F69" s="25" t="s">
        <v>58</v>
      </c>
      <c r="G69" s="25">
        <v>0.1</v>
      </c>
      <c r="H69" s="25">
        <v>0.1</v>
      </c>
      <c r="I69" s="25">
        <v>1</v>
      </c>
      <c r="J69" s="25" t="s">
        <v>33</v>
      </c>
      <c r="K69" s="25">
        <f t="shared" ref="K69:K132" si="45">O69*0.3</f>
        <v>1.7999999999999998</v>
      </c>
      <c r="L69" s="25">
        <f t="shared" ref="L69:L132" si="46">O69*0.35</f>
        <v>2.0999999999999996</v>
      </c>
      <c r="M69" s="25">
        <f t="shared" ref="M69:M132" si="47">O69*0.2</f>
        <v>1.2000000000000002</v>
      </c>
      <c r="N69" s="25">
        <f t="shared" ref="N69:N132" si="48">O69*0.15</f>
        <v>0.89999999999999991</v>
      </c>
      <c r="O69" s="26">
        <v>6</v>
      </c>
      <c r="P69" s="25" t="s">
        <v>59</v>
      </c>
      <c r="Q69" s="25">
        <v>71064</v>
      </c>
      <c r="R69" s="19" t="s">
        <v>35</v>
      </c>
      <c r="S69" s="15" t="s">
        <v>58</v>
      </c>
      <c r="T69" s="9">
        <v>19</v>
      </c>
      <c r="U69" s="16">
        <v>0.16858482955544468</v>
      </c>
      <c r="V69" s="43">
        <f t="shared" si="14"/>
        <v>2529.8999999999996</v>
      </c>
      <c r="W69" s="51"/>
      <c r="X69" s="48"/>
      <c r="Y69" s="48"/>
      <c r="Z69" s="49"/>
      <c r="AA69" s="47">
        <f t="shared" si="40"/>
        <v>0.03</v>
      </c>
      <c r="AB69" s="48"/>
      <c r="AC69" s="48"/>
      <c r="AD69" s="48"/>
      <c r="AE69" s="51"/>
      <c r="AF69" s="56"/>
      <c r="AG69" s="48"/>
      <c r="AH69" s="86"/>
      <c r="AI69" s="51"/>
      <c r="AJ69" s="41">
        <f t="shared" si="43"/>
        <v>3.4999999999999996E-2</v>
      </c>
      <c r="AK69" s="41">
        <f t="shared" si="44"/>
        <v>2.0000000000000004E-2</v>
      </c>
      <c r="AL69" s="49"/>
      <c r="AM69" s="51"/>
      <c r="AN69" s="48"/>
      <c r="AO69" s="48"/>
      <c r="AP69" s="132">
        <f t="shared" si="42"/>
        <v>1.4999999999999999E-2</v>
      </c>
      <c r="AQ69" s="51"/>
      <c r="AR69" s="48"/>
      <c r="AS69" s="48"/>
      <c r="AT69" s="49"/>
      <c r="AU69" s="51"/>
      <c r="AV69" s="48"/>
      <c r="AW69" s="48"/>
      <c r="AX69" s="49"/>
    </row>
    <row r="70" spans="1:50" ht="15.75" thickBot="1" x14ac:dyDescent="0.3">
      <c r="A70" s="24"/>
      <c r="B70" s="8"/>
      <c r="C70" s="8"/>
      <c r="D70" s="8"/>
      <c r="E70" s="8"/>
      <c r="F70" s="25" t="s">
        <v>58</v>
      </c>
      <c r="G70" s="25">
        <v>0.1</v>
      </c>
      <c r="H70" s="25">
        <v>0.1</v>
      </c>
      <c r="I70" s="25">
        <v>1</v>
      </c>
      <c r="J70" s="25" t="s">
        <v>33</v>
      </c>
      <c r="K70" s="25">
        <f t="shared" si="45"/>
        <v>1.7999999999999998</v>
      </c>
      <c r="L70" s="25">
        <f t="shared" si="46"/>
        <v>2.0999999999999996</v>
      </c>
      <c r="M70" s="25">
        <f t="shared" si="47"/>
        <v>1.2000000000000002</v>
      </c>
      <c r="N70" s="25">
        <f t="shared" si="48"/>
        <v>0.89999999999999991</v>
      </c>
      <c r="O70" s="26">
        <v>6</v>
      </c>
      <c r="P70" s="25" t="s">
        <v>59</v>
      </c>
      <c r="Q70" s="25">
        <v>71064</v>
      </c>
      <c r="R70" s="19" t="s">
        <v>35</v>
      </c>
      <c r="S70" s="15" t="s">
        <v>58</v>
      </c>
      <c r="T70" s="9">
        <v>20</v>
      </c>
      <c r="U70" s="16">
        <v>0.16858482955544468</v>
      </c>
      <c r="V70" s="43">
        <f t="shared" ref="V70:V133" si="49">421.65*O70</f>
        <v>2529.8999999999996</v>
      </c>
      <c r="W70" s="51"/>
      <c r="X70" s="48"/>
      <c r="Y70" s="48"/>
      <c r="Z70" s="49"/>
      <c r="AA70" s="47">
        <f t="shared" si="40"/>
        <v>0.03</v>
      </c>
      <c r="AB70" s="48"/>
      <c r="AC70" s="48"/>
      <c r="AD70" s="48"/>
      <c r="AE70" s="51"/>
      <c r="AF70" s="56"/>
      <c r="AG70" s="48"/>
      <c r="AH70" s="86"/>
      <c r="AI70" s="51"/>
      <c r="AJ70" s="41">
        <f t="shared" si="43"/>
        <v>3.4999999999999996E-2</v>
      </c>
      <c r="AK70" s="41">
        <f t="shared" si="44"/>
        <v>2.0000000000000004E-2</v>
      </c>
      <c r="AL70" s="49"/>
      <c r="AM70" s="51"/>
      <c r="AN70" s="48"/>
      <c r="AO70" s="48"/>
      <c r="AP70" s="132">
        <f t="shared" si="42"/>
        <v>1.4999999999999999E-2</v>
      </c>
      <c r="AQ70" s="51"/>
      <c r="AR70" s="48"/>
      <c r="AS70" s="48"/>
      <c r="AT70" s="49"/>
      <c r="AU70" s="51"/>
      <c r="AV70" s="48"/>
      <c r="AW70" s="48"/>
      <c r="AX70" s="49"/>
    </row>
    <row r="71" spans="1:50" ht="15.75" thickBot="1" x14ac:dyDescent="0.3">
      <c r="A71" s="24"/>
      <c r="B71" s="8"/>
      <c r="C71" s="8"/>
      <c r="D71" s="8"/>
      <c r="E71" s="8"/>
      <c r="F71" s="25" t="s">
        <v>58</v>
      </c>
      <c r="G71" s="25">
        <v>0.1</v>
      </c>
      <c r="H71" s="25">
        <v>0.1</v>
      </c>
      <c r="I71" s="25">
        <v>1</v>
      </c>
      <c r="J71" s="25" t="s">
        <v>33</v>
      </c>
      <c r="K71" s="25">
        <f t="shared" si="45"/>
        <v>1.7999999999999998</v>
      </c>
      <c r="L71" s="25">
        <f t="shared" si="46"/>
        <v>2.0999999999999996</v>
      </c>
      <c r="M71" s="25">
        <f t="shared" si="47"/>
        <v>1.2000000000000002</v>
      </c>
      <c r="N71" s="25">
        <f t="shared" si="48"/>
        <v>0.89999999999999991</v>
      </c>
      <c r="O71" s="26">
        <v>6</v>
      </c>
      <c r="P71" s="25" t="s">
        <v>59</v>
      </c>
      <c r="Q71" s="25">
        <v>71064</v>
      </c>
      <c r="R71" s="19" t="s">
        <v>35</v>
      </c>
      <c r="S71" s="15" t="s">
        <v>58</v>
      </c>
      <c r="T71" s="9">
        <v>21</v>
      </c>
      <c r="U71" s="16">
        <v>0.16858482955544468</v>
      </c>
      <c r="V71" s="43">
        <f t="shared" si="49"/>
        <v>2529.8999999999996</v>
      </c>
      <c r="W71" s="51"/>
      <c r="X71" s="48"/>
      <c r="Y71" s="48"/>
      <c r="Z71" s="49"/>
      <c r="AA71" s="47">
        <f t="shared" si="40"/>
        <v>0.03</v>
      </c>
      <c r="AB71" s="48"/>
      <c r="AC71" s="48"/>
      <c r="AD71" s="48"/>
      <c r="AE71" s="51"/>
      <c r="AF71" s="56"/>
      <c r="AG71" s="48"/>
      <c r="AH71" s="86"/>
      <c r="AI71" s="51"/>
      <c r="AJ71" s="41">
        <f t="shared" si="43"/>
        <v>3.4999999999999996E-2</v>
      </c>
      <c r="AK71" s="41">
        <f t="shared" si="44"/>
        <v>2.0000000000000004E-2</v>
      </c>
      <c r="AL71" s="49"/>
      <c r="AM71" s="51"/>
      <c r="AN71" s="48"/>
      <c r="AO71" s="48"/>
      <c r="AP71" s="132">
        <f t="shared" si="42"/>
        <v>1.4999999999999999E-2</v>
      </c>
      <c r="AQ71" s="51"/>
      <c r="AR71" s="48"/>
      <c r="AS71" s="48"/>
      <c r="AT71" s="49"/>
      <c r="AU71" s="51"/>
      <c r="AV71" s="48"/>
      <c r="AW71" s="48"/>
      <c r="AX71" s="49"/>
    </row>
    <row r="72" spans="1:50" ht="15.75" thickBot="1" x14ac:dyDescent="0.3">
      <c r="A72" s="24"/>
      <c r="B72" s="8"/>
      <c r="C72" s="8"/>
      <c r="D72" s="8"/>
      <c r="E72" s="8"/>
      <c r="F72" s="25" t="s">
        <v>58</v>
      </c>
      <c r="G72" s="25">
        <v>0.1</v>
      </c>
      <c r="H72" s="25">
        <v>0.1</v>
      </c>
      <c r="I72" s="25">
        <v>1</v>
      </c>
      <c r="J72" s="25" t="s">
        <v>33</v>
      </c>
      <c r="K72" s="25">
        <f t="shared" si="45"/>
        <v>1.7999999999999998</v>
      </c>
      <c r="L72" s="25">
        <f t="shared" si="46"/>
        <v>2.0999999999999996</v>
      </c>
      <c r="M72" s="25">
        <f t="shared" si="47"/>
        <v>1.2000000000000002</v>
      </c>
      <c r="N72" s="25">
        <f t="shared" si="48"/>
        <v>0.89999999999999991</v>
      </c>
      <c r="O72" s="26">
        <v>6</v>
      </c>
      <c r="P72" s="25" t="s">
        <v>59</v>
      </c>
      <c r="Q72" s="25">
        <v>71064</v>
      </c>
      <c r="R72" s="19" t="s">
        <v>35</v>
      </c>
      <c r="S72" s="15" t="s">
        <v>58</v>
      </c>
      <c r="T72" s="9">
        <v>22</v>
      </c>
      <c r="U72" s="16">
        <v>0.16858482955544468</v>
      </c>
      <c r="V72" s="43">
        <f t="shared" si="49"/>
        <v>2529.8999999999996</v>
      </c>
      <c r="W72" s="51"/>
      <c r="X72" s="48"/>
      <c r="Y72" s="48"/>
      <c r="Z72" s="49"/>
      <c r="AA72" s="47">
        <f t="shared" si="40"/>
        <v>0.03</v>
      </c>
      <c r="AB72" s="48"/>
      <c r="AC72" s="48"/>
      <c r="AD72" s="48"/>
      <c r="AE72" s="51"/>
      <c r="AF72" s="56"/>
      <c r="AG72" s="48"/>
      <c r="AH72" s="86"/>
      <c r="AI72" s="51"/>
      <c r="AJ72" s="41">
        <f t="shared" si="43"/>
        <v>3.4999999999999996E-2</v>
      </c>
      <c r="AK72" s="41">
        <f t="shared" si="44"/>
        <v>2.0000000000000004E-2</v>
      </c>
      <c r="AL72" s="49"/>
      <c r="AM72" s="51"/>
      <c r="AN72" s="48"/>
      <c r="AO72" s="48"/>
      <c r="AP72" s="132">
        <f t="shared" si="42"/>
        <v>1.4999999999999999E-2</v>
      </c>
      <c r="AQ72" s="51"/>
      <c r="AR72" s="48"/>
      <c r="AS72" s="48"/>
      <c r="AT72" s="49"/>
      <c r="AU72" s="51"/>
      <c r="AV72" s="48"/>
      <c r="AW72" s="48"/>
      <c r="AX72" s="49"/>
    </row>
    <row r="73" spans="1:50" ht="15.75" thickBot="1" x14ac:dyDescent="0.3">
      <c r="A73" s="24"/>
      <c r="B73" s="8"/>
      <c r="C73" s="8"/>
      <c r="D73" s="8"/>
      <c r="E73" s="8"/>
      <c r="F73" s="25" t="s">
        <v>58</v>
      </c>
      <c r="G73" s="25">
        <v>0.1</v>
      </c>
      <c r="H73" s="25">
        <v>0.1</v>
      </c>
      <c r="I73" s="25">
        <v>1</v>
      </c>
      <c r="J73" s="25" t="s">
        <v>33</v>
      </c>
      <c r="K73" s="25">
        <f t="shared" si="45"/>
        <v>1.7999999999999998</v>
      </c>
      <c r="L73" s="25">
        <f t="shared" si="46"/>
        <v>2.0999999999999996</v>
      </c>
      <c r="M73" s="25">
        <f t="shared" si="47"/>
        <v>1.2000000000000002</v>
      </c>
      <c r="N73" s="25">
        <f t="shared" si="48"/>
        <v>0.89999999999999991</v>
      </c>
      <c r="O73" s="26">
        <v>6</v>
      </c>
      <c r="P73" s="25" t="s">
        <v>59</v>
      </c>
      <c r="Q73" s="25">
        <v>71064</v>
      </c>
      <c r="R73" s="19" t="s">
        <v>35</v>
      </c>
      <c r="S73" s="15" t="s">
        <v>58</v>
      </c>
      <c r="T73" s="9">
        <v>23</v>
      </c>
      <c r="U73" s="16">
        <v>0.16858482955544468</v>
      </c>
      <c r="V73" s="43">
        <f t="shared" si="49"/>
        <v>2529.8999999999996</v>
      </c>
      <c r="W73" s="51"/>
      <c r="X73" s="48"/>
      <c r="Y73" s="48"/>
      <c r="Z73" s="49"/>
      <c r="AA73" s="47">
        <f t="shared" si="40"/>
        <v>0.03</v>
      </c>
      <c r="AB73" s="48"/>
      <c r="AC73" s="48"/>
      <c r="AD73" s="48"/>
      <c r="AE73" s="51"/>
      <c r="AF73" s="56"/>
      <c r="AG73" s="48"/>
      <c r="AH73" s="86"/>
      <c r="AI73" s="51"/>
      <c r="AJ73" s="41">
        <f t="shared" si="43"/>
        <v>3.4999999999999996E-2</v>
      </c>
      <c r="AK73" s="41">
        <f t="shared" si="44"/>
        <v>2.0000000000000004E-2</v>
      </c>
      <c r="AL73" s="49"/>
      <c r="AM73" s="51"/>
      <c r="AN73" s="48"/>
      <c r="AO73" s="48"/>
      <c r="AP73" s="132">
        <f t="shared" si="42"/>
        <v>1.4999999999999999E-2</v>
      </c>
      <c r="AQ73" s="51"/>
      <c r="AR73" s="48"/>
      <c r="AS73" s="48"/>
      <c r="AT73" s="49"/>
      <c r="AU73" s="51"/>
      <c r="AV73" s="48"/>
      <c r="AW73" s="48"/>
      <c r="AX73" s="49"/>
    </row>
    <row r="74" spans="1:50" ht="15.75" thickBot="1" x14ac:dyDescent="0.3">
      <c r="A74" s="24"/>
      <c r="B74" s="8"/>
      <c r="C74" s="8"/>
      <c r="D74" s="8"/>
      <c r="E74" s="8"/>
      <c r="F74" s="25" t="s">
        <v>58</v>
      </c>
      <c r="G74" s="25">
        <v>0.1</v>
      </c>
      <c r="H74" s="25">
        <v>0.1</v>
      </c>
      <c r="I74" s="25">
        <v>1</v>
      </c>
      <c r="J74" s="25" t="s">
        <v>33</v>
      </c>
      <c r="K74" s="25">
        <f t="shared" si="45"/>
        <v>1.7999999999999998</v>
      </c>
      <c r="L74" s="25">
        <f t="shared" si="46"/>
        <v>2.0999999999999996</v>
      </c>
      <c r="M74" s="25">
        <f t="shared" si="47"/>
        <v>1.2000000000000002</v>
      </c>
      <c r="N74" s="25">
        <f t="shared" si="48"/>
        <v>0.89999999999999991</v>
      </c>
      <c r="O74" s="26">
        <v>6</v>
      </c>
      <c r="P74" s="25" t="s">
        <v>59</v>
      </c>
      <c r="Q74" s="25">
        <v>71064</v>
      </c>
      <c r="R74" s="19" t="s">
        <v>35</v>
      </c>
      <c r="S74" s="15" t="s">
        <v>58</v>
      </c>
      <c r="T74" s="9">
        <v>24</v>
      </c>
      <c r="U74" s="16">
        <v>0.16858482955544468</v>
      </c>
      <c r="V74" s="43">
        <f t="shared" si="49"/>
        <v>2529.8999999999996</v>
      </c>
      <c r="W74" s="51"/>
      <c r="X74" s="48"/>
      <c r="Y74" s="48"/>
      <c r="Z74" s="49"/>
      <c r="AA74" s="47">
        <f t="shared" si="40"/>
        <v>0.03</v>
      </c>
      <c r="AB74" s="48"/>
      <c r="AC74" s="48"/>
      <c r="AD74" s="48"/>
      <c r="AE74" s="51"/>
      <c r="AF74" s="56"/>
      <c r="AG74" s="48"/>
      <c r="AH74" s="86"/>
      <c r="AI74" s="51"/>
      <c r="AJ74" s="41">
        <f t="shared" si="43"/>
        <v>3.4999999999999996E-2</v>
      </c>
      <c r="AK74" s="41">
        <f t="shared" si="44"/>
        <v>2.0000000000000004E-2</v>
      </c>
      <c r="AL74" s="49"/>
      <c r="AM74" s="51"/>
      <c r="AN74" s="48"/>
      <c r="AO74" s="48"/>
      <c r="AP74" s="132">
        <f t="shared" si="42"/>
        <v>1.4999999999999999E-2</v>
      </c>
      <c r="AQ74" s="51"/>
      <c r="AR74" s="48"/>
      <c r="AS74" s="48"/>
      <c r="AT74" s="49"/>
      <c r="AU74" s="51"/>
      <c r="AV74" s="48"/>
      <c r="AW74" s="48"/>
      <c r="AX74" s="49"/>
    </row>
    <row r="75" spans="1:50" ht="15.75" thickBot="1" x14ac:dyDescent="0.3">
      <c r="A75" s="24"/>
      <c r="B75" s="8"/>
      <c r="C75" s="8"/>
      <c r="D75" s="8"/>
      <c r="E75" s="8"/>
      <c r="F75" s="25" t="s">
        <v>58</v>
      </c>
      <c r="G75" s="25">
        <v>0.1</v>
      </c>
      <c r="H75" s="25">
        <v>0.1</v>
      </c>
      <c r="I75" s="25">
        <v>1</v>
      </c>
      <c r="J75" s="25" t="s">
        <v>33</v>
      </c>
      <c r="K75" s="25">
        <f t="shared" si="45"/>
        <v>1.7999999999999998</v>
      </c>
      <c r="L75" s="25">
        <f t="shared" si="46"/>
        <v>2.0999999999999996</v>
      </c>
      <c r="M75" s="25">
        <f t="shared" si="47"/>
        <v>1.2000000000000002</v>
      </c>
      <c r="N75" s="25">
        <f t="shared" si="48"/>
        <v>0.89999999999999991</v>
      </c>
      <c r="O75" s="26">
        <v>6</v>
      </c>
      <c r="P75" s="25" t="s">
        <v>59</v>
      </c>
      <c r="Q75" s="25">
        <v>71064</v>
      </c>
      <c r="R75" s="19" t="s">
        <v>35</v>
      </c>
      <c r="S75" s="15" t="s">
        <v>58</v>
      </c>
      <c r="T75" s="9">
        <v>25</v>
      </c>
      <c r="U75" s="16">
        <v>0.16858482955544468</v>
      </c>
      <c r="V75" s="43">
        <f t="shared" si="49"/>
        <v>2529.8999999999996</v>
      </c>
      <c r="W75" s="51"/>
      <c r="X75" s="48"/>
      <c r="Y75" s="48"/>
      <c r="Z75" s="49"/>
      <c r="AA75" s="47">
        <f t="shared" si="40"/>
        <v>0.03</v>
      </c>
      <c r="AB75" s="48"/>
      <c r="AC75" s="48"/>
      <c r="AD75" s="48"/>
      <c r="AE75" s="51"/>
      <c r="AF75" s="56"/>
      <c r="AG75" s="48"/>
      <c r="AH75" s="86"/>
      <c r="AI75" s="51"/>
      <c r="AJ75" s="41">
        <f t="shared" si="43"/>
        <v>3.4999999999999996E-2</v>
      </c>
      <c r="AK75" s="41">
        <f t="shared" si="44"/>
        <v>2.0000000000000004E-2</v>
      </c>
      <c r="AL75" s="49"/>
      <c r="AM75" s="51"/>
      <c r="AN75" s="48"/>
      <c r="AO75" s="48"/>
      <c r="AP75" s="132">
        <f t="shared" si="42"/>
        <v>1.4999999999999999E-2</v>
      </c>
      <c r="AQ75" s="51"/>
      <c r="AR75" s="48"/>
      <c r="AS75" s="48"/>
      <c r="AT75" s="49"/>
      <c r="AU75" s="51"/>
      <c r="AV75" s="48"/>
      <c r="AW75" s="48"/>
      <c r="AX75" s="49"/>
    </row>
    <row r="76" spans="1:50" ht="15.75" thickBot="1" x14ac:dyDescent="0.3">
      <c r="A76" s="24"/>
      <c r="B76" s="8"/>
      <c r="C76" s="8"/>
      <c r="D76" s="8"/>
      <c r="E76" s="8"/>
      <c r="F76" s="25" t="s">
        <v>58</v>
      </c>
      <c r="G76" s="25">
        <v>0.1</v>
      </c>
      <c r="H76" s="25">
        <v>0.1</v>
      </c>
      <c r="I76" s="25">
        <v>1</v>
      </c>
      <c r="J76" s="25" t="s">
        <v>33</v>
      </c>
      <c r="K76" s="25">
        <f t="shared" si="45"/>
        <v>1.7999999999999998</v>
      </c>
      <c r="L76" s="25">
        <f t="shared" si="46"/>
        <v>2.0999999999999996</v>
      </c>
      <c r="M76" s="25">
        <f t="shared" si="47"/>
        <v>1.2000000000000002</v>
      </c>
      <c r="N76" s="25">
        <f t="shared" si="48"/>
        <v>0.89999999999999991</v>
      </c>
      <c r="O76" s="26">
        <v>6</v>
      </c>
      <c r="P76" s="25" t="s">
        <v>59</v>
      </c>
      <c r="Q76" s="25">
        <v>71064</v>
      </c>
      <c r="R76" s="19" t="s">
        <v>35</v>
      </c>
      <c r="S76" s="15" t="s">
        <v>58</v>
      </c>
      <c r="T76" s="9">
        <v>26</v>
      </c>
      <c r="U76" s="16">
        <v>0.16858482955544468</v>
      </c>
      <c r="V76" s="43">
        <f t="shared" si="49"/>
        <v>2529.8999999999996</v>
      </c>
      <c r="W76" s="51"/>
      <c r="X76" s="48"/>
      <c r="Y76" s="48"/>
      <c r="Z76" s="49"/>
      <c r="AA76" s="47">
        <f t="shared" si="40"/>
        <v>0.03</v>
      </c>
      <c r="AB76" s="48"/>
      <c r="AC76" s="48"/>
      <c r="AD76" s="48"/>
      <c r="AE76" s="51"/>
      <c r="AF76" s="56"/>
      <c r="AG76" s="48"/>
      <c r="AH76" s="86"/>
      <c r="AI76" s="51"/>
      <c r="AJ76" s="41">
        <f t="shared" si="43"/>
        <v>3.4999999999999996E-2</v>
      </c>
      <c r="AK76" s="41">
        <f t="shared" si="44"/>
        <v>2.0000000000000004E-2</v>
      </c>
      <c r="AL76" s="49"/>
      <c r="AM76" s="51"/>
      <c r="AN76" s="48"/>
      <c r="AO76" s="48"/>
      <c r="AP76" s="132">
        <f t="shared" si="42"/>
        <v>1.4999999999999999E-2</v>
      </c>
      <c r="AQ76" s="51"/>
      <c r="AR76" s="48"/>
      <c r="AS76" s="48"/>
      <c r="AT76" s="49"/>
      <c r="AU76" s="51"/>
      <c r="AV76" s="48"/>
      <c r="AW76" s="48"/>
      <c r="AX76" s="49"/>
    </row>
    <row r="77" spans="1:50" ht="15.75" thickBot="1" x14ac:dyDescent="0.3">
      <c r="A77" s="24"/>
      <c r="B77" s="8"/>
      <c r="C77" s="8"/>
      <c r="D77" s="8"/>
      <c r="E77" s="8"/>
      <c r="F77" s="25" t="s">
        <v>58</v>
      </c>
      <c r="G77" s="25">
        <v>0.1</v>
      </c>
      <c r="H77" s="25">
        <v>0.1</v>
      </c>
      <c r="I77" s="25">
        <v>1</v>
      </c>
      <c r="J77" s="25" t="s">
        <v>33</v>
      </c>
      <c r="K77" s="25">
        <f t="shared" si="45"/>
        <v>1.7999999999999998</v>
      </c>
      <c r="L77" s="25">
        <f t="shared" si="46"/>
        <v>2.0999999999999996</v>
      </c>
      <c r="M77" s="25">
        <f t="shared" si="47"/>
        <v>1.2000000000000002</v>
      </c>
      <c r="N77" s="25">
        <f t="shared" si="48"/>
        <v>0.89999999999999991</v>
      </c>
      <c r="O77" s="26">
        <v>6</v>
      </c>
      <c r="P77" s="25" t="s">
        <v>59</v>
      </c>
      <c r="Q77" s="25">
        <v>71064</v>
      </c>
      <c r="R77" s="19" t="s">
        <v>35</v>
      </c>
      <c r="S77" s="15" t="s">
        <v>58</v>
      </c>
      <c r="T77" s="9">
        <v>27</v>
      </c>
      <c r="U77" s="16">
        <v>0.16858482955544468</v>
      </c>
      <c r="V77" s="43">
        <f t="shared" si="49"/>
        <v>2529.8999999999996</v>
      </c>
      <c r="W77" s="51"/>
      <c r="X77" s="48"/>
      <c r="Y77" s="48"/>
      <c r="Z77" s="49"/>
      <c r="AA77" s="47">
        <f t="shared" si="40"/>
        <v>0.03</v>
      </c>
      <c r="AB77" s="48"/>
      <c r="AC77" s="48"/>
      <c r="AD77" s="48"/>
      <c r="AE77" s="51"/>
      <c r="AF77" s="56"/>
      <c r="AG77" s="48"/>
      <c r="AH77" s="86"/>
      <c r="AI77" s="51"/>
      <c r="AJ77" s="41">
        <f t="shared" si="43"/>
        <v>3.4999999999999996E-2</v>
      </c>
      <c r="AK77" s="41">
        <f t="shared" si="44"/>
        <v>2.0000000000000004E-2</v>
      </c>
      <c r="AL77" s="49"/>
      <c r="AM77" s="51"/>
      <c r="AN77" s="48"/>
      <c r="AO77" s="48"/>
      <c r="AP77" s="132">
        <f t="shared" si="42"/>
        <v>1.4999999999999999E-2</v>
      </c>
      <c r="AQ77" s="51"/>
      <c r="AR77" s="48"/>
      <c r="AS77" s="48"/>
      <c r="AT77" s="49"/>
      <c r="AU77" s="51"/>
      <c r="AV77" s="48"/>
      <c r="AW77" s="48"/>
      <c r="AX77" s="49"/>
    </row>
    <row r="78" spans="1:50" ht="15.75" thickBot="1" x14ac:dyDescent="0.3">
      <c r="A78" s="24"/>
      <c r="B78" s="8"/>
      <c r="C78" s="8"/>
      <c r="D78" s="8"/>
      <c r="E78" s="8"/>
      <c r="F78" s="25" t="s">
        <v>58</v>
      </c>
      <c r="G78" s="25">
        <v>0.1</v>
      </c>
      <c r="H78" s="25">
        <v>0.1</v>
      </c>
      <c r="I78" s="25">
        <v>1</v>
      </c>
      <c r="J78" s="25" t="s">
        <v>33</v>
      </c>
      <c r="K78" s="25">
        <f t="shared" si="45"/>
        <v>1.7999999999999998</v>
      </c>
      <c r="L78" s="25">
        <f t="shared" si="46"/>
        <v>2.0999999999999996</v>
      </c>
      <c r="M78" s="25">
        <f t="shared" si="47"/>
        <v>1.2000000000000002</v>
      </c>
      <c r="N78" s="25">
        <f t="shared" si="48"/>
        <v>0.89999999999999991</v>
      </c>
      <c r="O78" s="26">
        <v>6</v>
      </c>
      <c r="P78" s="25" t="s">
        <v>59</v>
      </c>
      <c r="Q78" s="25">
        <v>71064</v>
      </c>
      <c r="R78" s="19" t="s">
        <v>35</v>
      </c>
      <c r="S78" s="15" t="s">
        <v>58</v>
      </c>
      <c r="T78" s="9">
        <v>28</v>
      </c>
      <c r="U78" s="16">
        <v>0.16858482955544468</v>
      </c>
      <c r="V78" s="43">
        <f t="shared" si="49"/>
        <v>2529.8999999999996</v>
      </c>
      <c r="W78" s="51"/>
      <c r="X78" s="48"/>
      <c r="Y78" s="48"/>
      <c r="Z78" s="49"/>
      <c r="AA78" s="47">
        <f t="shared" si="40"/>
        <v>0.03</v>
      </c>
      <c r="AB78" s="48"/>
      <c r="AC78" s="48"/>
      <c r="AD78" s="48"/>
      <c r="AE78" s="51"/>
      <c r="AF78" s="56"/>
      <c r="AG78" s="48"/>
      <c r="AH78" s="86"/>
      <c r="AI78" s="51"/>
      <c r="AJ78" s="41">
        <f t="shared" si="43"/>
        <v>3.4999999999999996E-2</v>
      </c>
      <c r="AK78" s="41">
        <f t="shared" si="44"/>
        <v>2.0000000000000004E-2</v>
      </c>
      <c r="AL78" s="49"/>
      <c r="AM78" s="51"/>
      <c r="AN78" s="48"/>
      <c r="AO78" s="48"/>
      <c r="AP78" s="132">
        <f t="shared" si="42"/>
        <v>1.4999999999999999E-2</v>
      </c>
      <c r="AQ78" s="51"/>
      <c r="AR78" s="48"/>
      <c r="AS78" s="48"/>
      <c r="AT78" s="49"/>
      <c r="AU78" s="51"/>
      <c r="AV78" s="48"/>
      <c r="AW78" s="48"/>
      <c r="AX78" s="49"/>
    </row>
    <row r="79" spans="1:50" ht="15.75" thickBot="1" x14ac:dyDescent="0.3">
      <c r="A79" s="24"/>
      <c r="B79" s="8"/>
      <c r="C79" s="8"/>
      <c r="D79" s="8"/>
      <c r="E79" s="8"/>
      <c r="F79" s="25" t="s">
        <v>58</v>
      </c>
      <c r="G79" s="25">
        <v>0.1</v>
      </c>
      <c r="H79" s="25">
        <v>0.1</v>
      </c>
      <c r="I79" s="25">
        <v>1</v>
      </c>
      <c r="J79" s="25" t="s">
        <v>33</v>
      </c>
      <c r="K79" s="25">
        <f t="shared" si="45"/>
        <v>1.7999999999999998</v>
      </c>
      <c r="L79" s="25">
        <f t="shared" si="46"/>
        <v>2.0999999999999996</v>
      </c>
      <c r="M79" s="25">
        <f t="shared" si="47"/>
        <v>1.2000000000000002</v>
      </c>
      <c r="N79" s="25">
        <f t="shared" si="48"/>
        <v>0.89999999999999991</v>
      </c>
      <c r="O79" s="26">
        <v>6</v>
      </c>
      <c r="P79" s="25" t="s">
        <v>59</v>
      </c>
      <c r="Q79" s="25">
        <v>71064</v>
      </c>
      <c r="R79" s="19" t="s">
        <v>35</v>
      </c>
      <c r="S79" s="15" t="s">
        <v>58</v>
      </c>
      <c r="T79" s="9">
        <v>29</v>
      </c>
      <c r="U79" s="16">
        <v>0.16858482955544468</v>
      </c>
      <c r="V79" s="43">
        <f t="shared" si="49"/>
        <v>2529.8999999999996</v>
      </c>
      <c r="W79" s="51"/>
      <c r="X79" s="48"/>
      <c r="Y79" s="48"/>
      <c r="Z79" s="49"/>
      <c r="AA79" s="47">
        <f t="shared" si="40"/>
        <v>0.03</v>
      </c>
      <c r="AB79" s="48"/>
      <c r="AC79" s="48"/>
      <c r="AD79" s="48"/>
      <c r="AE79" s="51"/>
      <c r="AF79" s="56"/>
      <c r="AG79" s="48"/>
      <c r="AH79" s="86"/>
      <c r="AI79" s="51"/>
      <c r="AJ79" s="41">
        <f t="shared" si="43"/>
        <v>3.4999999999999996E-2</v>
      </c>
      <c r="AK79" s="41">
        <f t="shared" si="44"/>
        <v>2.0000000000000004E-2</v>
      </c>
      <c r="AL79" s="49"/>
      <c r="AM79" s="51"/>
      <c r="AN79" s="48"/>
      <c r="AO79" s="48"/>
      <c r="AP79" s="132">
        <f t="shared" si="42"/>
        <v>1.4999999999999999E-2</v>
      </c>
      <c r="AQ79" s="51"/>
      <c r="AR79" s="48"/>
      <c r="AS79" s="48"/>
      <c r="AT79" s="49"/>
      <c r="AU79" s="51"/>
      <c r="AV79" s="48"/>
      <c r="AW79" s="48"/>
      <c r="AX79" s="49"/>
    </row>
    <row r="80" spans="1:50" x14ac:dyDescent="0.25">
      <c r="A80" s="24"/>
      <c r="B80" s="8"/>
      <c r="C80" s="8"/>
      <c r="D80" s="8"/>
      <c r="E80" s="8"/>
      <c r="F80" s="25" t="s">
        <v>58</v>
      </c>
      <c r="G80" s="25">
        <v>0.1</v>
      </c>
      <c r="H80" s="25">
        <v>0.1</v>
      </c>
      <c r="I80" s="25">
        <v>1</v>
      </c>
      <c r="J80" s="25" t="s">
        <v>33</v>
      </c>
      <c r="K80" s="25">
        <f t="shared" si="45"/>
        <v>1.7999999999999998</v>
      </c>
      <c r="L80" s="25">
        <f t="shared" si="46"/>
        <v>2.0999999999999996</v>
      </c>
      <c r="M80" s="25">
        <f t="shared" si="47"/>
        <v>1.2000000000000002</v>
      </c>
      <c r="N80" s="25">
        <f t="shared" si="48"/>
        <v>0.89999999999999991</v>
      </c>
      <c r="O80" s="26">
        <v>6</v>
      </c>
      <c r="P80" s="25" t="s">
        <v>59</v>
      </c>
      <c r="Q80" s="25">
        <v>71064</v>
      </c>
      <c r="R80" s="19" t="s">
        <v>35</v>
      </c>
      <c r="S80" s="15" t="s">
        <v>58</v>
      </c>
      <c r="T80" s="9">
        <v>30</v>
      </c>
      <c r="U80" s="16">
        <v>0.16858482955544468</v>
      </c>
      <c r="V80" s="43">
        <f t="shared" si="49"/>
        <v>2529.8999999999996</v>
      </c>
      <c r="W80" s="51"/>
      <c r="X80" s="48"/>
      <c r="Y80" s="48"/>
      <c r="Z80" s="49"/>
      <c r="AA80" s="47">
        <f t="shared" si="40"/>
        <v>0.03</v>
      </c>
      <c r="AB80" s="48"/>
      <c r="AC80" s="48"/>
      <c r="AD80" s="48"/>
      <c r="AE80" s="51"/>
      <c r="AF80" s="56"/>
      <c r="AG80" s="48"/>
      <c r="AH80" s="86"/>
      <c r="AI80" s="51"/>
      <c r="AJ80" s="41">
        <f t="shared" si="43"/>
        <v>3.4999999999999996E-2</v>
      </c>
      <c r="AK80" s="41">
        <f t="shared" si="44"/>
        <v>2.0000000000000004E-2</v>
      </c>
      <c r="AL80" s="49"/>
      <c r="AM80" s="51"/>
      <c r="AN80" s="48"/>
      <c r="AO80" s="48"/>
      <c r="AP80" s="132">
        <f t="shared" si="42"/>
        <v>1.4999999999999999E-2</v>
      </c>
      <c r="AQ80" s="51"/>
      <c r="AR80" s="48"/>
      <c r="AS80" s="48"/>
      <c r="AT80" s="49"/>
      <c r="AU80" s="51"/>
      <c r="AV80" s="48"/>
      <c r="AW80" s="48"/>
      <c r="AX80" s="49"/>
    </row>
    <row r="81" spans="1:50" ht="30" x14ac:dyDescent="0.25">
      <c r="A81" s="24"/>
      <c r="B81" s="8"/>
      <c r="C81" s="8"/>
      <c r="D81" s="8"/>
      <c r="E81" s="8"/>
      <c r="F81" s="25" t="s">
        <v>56</v>
      </c>
      <c r="G81" s="25">
        <v>1.3666700000000001</v>
      </c>
      <c r="H81" s="25">
        <v>1.3666700000000001</v>
      </c>
      <c r="I81" s="25">
        <v>1</v>
      </c>
      <c r="J81" s="25" t="s">
        <v>33</v>
      </c>
      <c r="K81" s="25">
        <f t="shared" si="45"/>
        <v>14.350035</v>
      </c>
      <c r="L81" s="25">
        <f t="shared" si="46"/>
        <v>16.7417075</v>
      </c>
      <c r="M81" s="25">
        <f t="shared" si="47"/>
        <v>9.5666899999999995</v>
      </c>
      <c r="N81" s="25">
        <f t="shared" si="48"/>
        <v>7.1750175</v>
      </c>
      <c r="O81" s="26">
        <v>47.833449999999999</v>
      </c>
      <c r="P81" s="25" t="s">
        <v>57</v>
      </c>
      <c r="Q81" s="25">
        <v>71064</v>
      </c>
      <c r="R81" s="19" t="s">
        <v>35</v>
      </c>
      <c r="S81" s="15" t="s">
        <v>56</v>
      </c>
      <c r="T81" s="9">
        <v>31</v>
      </c>
      <c r="U81" s="16">
        <v>2.3039982900853957</v>
      </c>
      <c r="V81" s="43">
        <f t="shared" si="49"/>
        <v>20168.974192499998</v>
      </c>
      <c r="W81" s="51"/>
      <c r="X81" s="48"/>
      <c r="Y81" s="48"/>
      <c r="Z81" s="49"/>
      <c r="AA81" s="47">
        <f t="shared" si="40"/>
        <v>0.410001</v>
      </c>
      <c r="AB81" s="41">
        <f>H81*0.35</f>
        <v>0.4783345</v>
      </c>
      <c r="AC81" s="48"/>
      <c r="AD81" s="48"/>
      <c r="AE81" s="51"/>
      <c r="AF81" s="48"/>
      <c r="AG81" s="41">
        <f>H81*0.2</f>
        <v>0.27333400000000002</v>
      </c>
      <c r="AH81" s="86"/>
      <c r="AI81" s="51"/>
      <c r="AJ81" s="48"/>
      <c r="AK81" s="48"/>
      <c r="AL81" s="49"/>
      <c r="AM81" s="51"/>
      <c r="AN81" s="48"/>
      <c r="AO81" s="48"/>
      <c r="AP81" s="132">
        <f t="shared" ref="AP81:AP85" si="50">H81*0.15</f>
        <v>0.2050005</v>
      </c>
      <c r="AQ81" s="51"/>
      <c r="AR81" s="48"/>
      <c r="AS81" s="48"/>
      <c r="AT81" s="49"/>
      <c r="AU81" s="51"/>
      <c r="AV81" s="48"/>
      <c r="AW81" s="48"/>
      <c r="AX81" s="49"/>
    </row>
    <row r="82" spans="1:50" x14ac:dyDescent="0.25">
      <c r="A82" s="24"/>
      <c r="B82" s="24"/>
      <c r="C82" s="8"/>
      <c r="D82" s="8"/>
      <c r="E82" s="8"/>
      <c r="F82" s="25" t="s">
        <v>60</v>
      </c>
      <c r="G82" s="25">
        <v>0.25750000000000001</v>
      </c>
      <c r="H82" s="25">
        <v>0.51500000000000001</v>
      </c>
      <c r="I82" s="25">
        <v>2</v>
      </c>
      <c r="J82" s="25" t="s">
        <v>33</v>
      </c>
      <c r="K82" s="25">
        <f t="shared" si="45"/>
        <v>8.6519999999999992</v>
      </c>
      <c r="L82" s="25">
        <f t="shared" si="46"/>
        <v>10.093999999999999</v>
      </c>
      <c r="M82" s="25">
        <f t="shared" si="47"/>
        <v>5.7680000000000007</v>
      </c>
      <c r="N82" s="25">
        <f t="shared" si="48"/>
        <v>4.3259999999999996</v>
      </c>
      <c r="O82" s="26">
        <v>28.84</v>
      </c>
      <c r="P82" s="25" t="s">
        <v>61</v>
      </c>
      <c r="Q82" s="25">
        <v>71074</v>
      </c>
      <c r="R82" s="27" t="s">
        <v>35</v>
      </c>
      <c r="S82" s="28" t="s">
        <v>60</v>
      </c>
      <c r="T82" s="25">
        <v>1</v>
      </c>
      <c r="U82" s="29">
        <v>0.86821187221054008</v>
      </c>
      <c r="V82" s="44">
        <f t="shared" si="49"/>
        <v>12160.385999999999</v>
      </c>
      <c r="W82" s="46">
        <f>H82*0.3</f>
        <v>0.1545</v>
      </c>
      <c r="X82" s="41">
        <f>H82*0.35</f>
        <v>0.18024999999999999</v>
      </c>
      <c r="Y82" s="41">
        <f>H82*0.2</f>
        <v>0.10300000000000001</v>
      </c>
      <c r="Z82" s="49"/>
      <c r="AA82" s="50"/>
      <c r="AB82" s="48"/>
      <c r="AC82" s="48"/>
      <c r="AD82" s="48"/>
      <c r="AE82" s="51"/>
      <c r="AF82" s="48"/>
      <c r="AG82" s="48"/>
      <c r="AH82" s="86"/>
      <c r="AI82" s="51"/>
      <c r="AJ82" s="48"/>
      <c r="AK82" s="48"/>
      <c r="AL82" s="49"/>
      <c r="AM82" s="51"/>
      <c r="AN82" s="48"/>
      <c r="AO82" s="48"/>
      <c r="AP82" s="132">
        <f t="shared" si="50"/>
        <v>7.7249999999999999E-2</v>
      </c>
      <c r="AQ82" s="51"/>
      <c r="AR82" s="48"/>
      <c r="AS82" s="48"/>
      <c r="AT82" s="49"/>
      <c r="AU82" s="51"/>
      <c r="AV82" s="48"/>
      <c r="AW82" s="48"/>
      <c r="AX82" s="49"/>
    </row>
    <row r="83" spans="1:50" x14ac:dyDescent="0.25">
      <c r="A83" s="24"/>
      <c r="B83" s="24"/>
      <c r="C83" s="8"/>
      <c r="D83" s="8"/>
      <c r="E83" s="8"/>
      <c r="F83" s="25" t="s">
        <v>60</v>
      </c>
      <c r="G83" s="25">
        <v>0.25750000000000001</v>
      </c>
      <c r="H83" s="25">
        <v>0.51500000000000001</v>
      </c>
      <c r="I83" s="25">
        <v>2</v>
      </c>
      <c r="J83" s="25" t="s">
        <v>33</v>
      </c>
      <c r="K83" s="25">
        <f t="shared" si="45"/>
        <v>8.6519999999999992</v>
      </c>
      <c r="L83" s="25">
        <f t="shared" si="46"/>
        <v>10.093999999999999</v>
      </c>
      <c r="M83" s="25">
        <f t="shared" si="47"/>
        <v>5.7680000000000007</v>
      </c>
      <c r="N83" s="25">
        <f t="shared" si="48"/>
        <v>4.3259999999999996</v>
      </c>
      <c r="O83" s="26">
        <v>28.84</v>
      </c>
      <c r="P83" s="25" t="s">
        <v>61</v>
      </c>
      <c r="Q83" s="25">
        <v>71074</v>
      </c>
      <c r="R83" s="27" t="s">
        <v>35</v>
      </c>
      <c r="S83" s="28" t="s">
        <v>60</v>
      </c>
      <c r="T83" s="25">
        <v>2</v>
      </c>
      <c r="U83" s="29">
        <v>0.86821187221054008</v>
      </c>
      <c r="V83" s="44">
        <f t="shared" si="49"/>
        <v>12160.385999999999</v>
      </c>
      <c r="W83" s="46">
        <f t="shared" ref="W83:W85" si="51">H83*0.3</f>
        <v>0.1545</v>
      </c>
      <c r="X83" s="41">
        <f t="shared" ref="X83:X85" si="52">H83*0.35</f>
        <v>0.18024999999999999</v>
      </c>
      <c r="Y83" s="41">
        <f t="shared" ref="Y83:Y85" si="53">H83*0.2</f>
        <v>0.10300000000000001</v>
      </c>
      <c r="Z83" s="49"/>
      <c r="AA83" s="50"/>
      <c r="AB83" s="48"/>
      <c r="AC83" s="48"/>
      <c r="AD83" s="48"/>
      <c r="AE83" s="51"/>
      <c r="AF83" s="48"/>
      <c r="AG83" s="48"/>
      <c r="AH83" s="86"/>
      <c r="AI83" s="51"/>
      <c r="AJ83" s="48"/>
      <c r="AK83" s="48"/>
      <c r="AL83" s="49"/>
      <c r="AM83" s="51"/>
      <c r="AN83" s="48"/>
      <c r="AO83" s="48"/>
      <c r="AP83" s="132">
        <f t="shared" si="50"/>
        <v>7.7249999999999999E-2</v>
      </c>
      <c r="AQ83" s="51"/>
      <c r="AR83" s="48"/>
      <c r="AS83" s="48"/>
      <c r="AT83" s="49"/>
      <c r="AU83" s="51"/>
      <c r="AV83" s="48"/>
      <c r="AW83" s="48"/>
      <c r="AX83" s="49"/>
    </row>
    <row r="84" spans="1:50" x14ac:dyDescent="0.25">
      <c r="A84" s="24"/>
      <c r="B84" s="24"/>
      <c r="C84" s="8"/>
      <c r="D84" s="8"/>
      <c r="E84" s="8"/>
      <c r="F84" s="25" t="s">
        <v>60</v>
      </c>
      <c r="G84" s="25">
        <v>0.32624999999999998</v>
      </c>
      <c r="H84" s="25">
        <v>0.65249999999999997</v>
      </c>
      <c r="I84" s="25">
        <v>2</v>
      </c>
      <c r="J84" s="25" t="s">
        <v>33</v>
      </c>
      <c r="K84" s="25">
        <f t="shared" si="45"/>
        <v>10.962</v>
      </c>
      <c r="L84" s="25">
        <f t="shared" si="46"/>
        <v>12.789</v>
      </c>
      <c r="M84" s="25">
        <f t="shared" si="47"/>
        <v>7.3079999999999998</v>
      </c>
      <c r="N84" s="25">
        <f t="shared" si="48"/>
        <v>5.4809999999999999</v>
      </c>
      <c r="O84" s="26">
        <v>36.54</v>
      </c>
      <c r="P84" s="25" t="s">
        <v>61</v>
      </c>
      <c r="Q84" s="25">
        <v>71075</v>
      </c>
      <c r="R84" s="27" t="s">
        <v>35</v>
      </c>
      <c r="S84" s="28" t="s">
        <v>60</v>
      </c>
      <c r="T84" s="25">
        <v>1</v>
      </c>
      <c r="U84" s="29">
        <v>1.1000160128492764</v>
      </c>
      <c r="V84" s="44">
        <f t="shared" si="49"/>
        <v>15407.090999999999</v>
      </c>
      <c r="W84" s="46">
        <f t="shared" si="51"/>
        <v>0.19574999999999998</v>
      </c>
      <c r="X84" s="41">
        <f t="shared" si="52"/>
        <v>0.22837499999999997</v>
      </c>
      <c r="Y84" s="41">
        <f t="shared" si="53"/>
        <v>0.1305</v>
      </c>
      <c r="Z84" s="49"/>
      <c r="AA84" s="50"/>
      <c r="AB84" s="48"/>
      <c r="AC84" s="48"/>
      <c r="AD84" s="48"/>
      <c r="AE84" s="51"/>
      <c r="AF84" s="48"/>
      <c r="AG84" s="48"/>
      <c r="AH84" s="86"/>
      <c r="AI84" s="51"/>
      <c r="AJ84" s="48"/>
      <c r="AK84" s="48"/>
      <c r="AL84" s="49"/>
      <c r="AM84" s="51"/>
      <c r="AN84" s="48"/>
      <c r="AO84" s="48"/>
      <c r="AP84" s="132">
        <f t="shared" si="50"/>
        <v>9.787499999999999E-2</v>
      </c>
      <c r="AQ84" s="51"/>
      <c r="AR84" s="48"/>
      <c r="AS84" s="48"/>
      <c r="AT84" s="49"/>
      <c r="AU84" s="51"/>
      <c r="AV84" s="48"/>
      <c r="AW84" s="48"/>
      <c r="AX84" s="49"/>
    </row>
    <row r="85" spans="1:50" x14ac:dyDescent="0.25">
      <c r="A85" s="24"/>
      <c r="B85" s="24"/>
      <c r="C85" s="8"/>
      <c r="D85" s="8"/>
      <c r="E85" s="8"/>
      <c r="F85" s="25" t="s">
        <v>60</v>
      </c>
      <c r="G85" s="25">
        <v>0.32624999999999998</v>
      </c>
      <c r="H85" s="25">
        <v>0.65249999999999997</v>
      </c>
      <c r="I85" s="25">
        <v>2</v>
      </c>
      <c r="J85" s="25" t="s">
        <v>33</v>
      </c>
      <c r="K85" s="25">
        <f t="shared" si="45"/>
        <v>10.962</v>
      </c>
      <c r="L85" s="25">
        <f t="shared" si="46"/>
        <v>12.789</v>
      </c>
      <c r="M85" s="25">
        <f t="shared" si="47"/>
        <v>7.3079999999999998</v>
      </c>
      <c r="N85" s="25">
        <f t="shared" si="48"/>
        <v>5.4809999999999999</v>
      </c>
      <c r="O85" s="26">
        <v>36.54</v>
      </c>
      <c r="P85" s="25" t="s">
        <v>61</v>
      </c>
      <c r="Q85" s="25">
        <v>71075</v>
      </c>
      <c r="R85" s="27" t="s">
        <v>35</v>
      </c>
      <c r="S85" s="28" t="s">
        <v>60</v>
      </c>
      <c r="T85" s="25">
        <v>2</v>
      </c>
      <c r="U85" s="29">
        <v>1.1000160128492764</v>
      </c>
      <c r="V85" s="44">
        <f t="shared" si="49"/>
        <v>15407.090999999999</v>
      </c>
      <c r="W85" s="46">
        <f t="shared" si="51"/>
        <v>0.19574999999999998</v>
      </c>
      <c r="X85" s="41">
        <f t="shared" si="52"/>
        <v>0.22837499999999997</v>
      </c>
      <c r="Y85" s="41">
        <f t="shared" si="53"/>
        <v>0.1305</v>
      </c>
      <c r="Z85" s="49"/>
      <c r="AA85" s="50"/>
      <c r="AB85" s="48"/>
      <c r="AC85" s="48"/>
      <c r="AD85" s="48"/>
      <c r="AE85" s="51"/>
      <c r="AF85" s="48"/>
      <c r="AG85" s="48"/>
      <c r="AH85" s="86"/>
      <c r="AI85" s="51"/>
      <c r="AJ85" s="48"/>
      <c r="AK85" s="48"/>
      <c r="AL85" s="49"/>
      <c r="AM85" s="51"/>
      <c r="AN85" s="48"/>
      <c r="AO85" s="48"/>
      <c r="AP85" s="132">
        <f t="shared" si="50"/>
        <v>9.787499999999999E-2</v>
      </c>
      <c r="AQ85" s="51"/>
      <c r="AR85" s="48"/>
      <c r="AS85" s="48"/>
      <c r="AT85" s="49"/>
      <c r="AU85" s="51"/>
      <c r="AV85" s="48"/>
      <c r="AW85" s="48"/>
      <c r="AX85" s="49"/>
    </row>
    <row r="86" spans="1:50" x14ac:dyDescent="0.25">
      <c r="A86" s="24"/>
      <c r="B86" s="24"/>
      <c r="C86" s="24"/>
      <c r="D86" s="24"/>
      <c r="E86" s="24"/>
      <c r="F86" s="25" t="s">
        <v>55</v>
      </c>
      <c r="G86" s="25">
        <v>1.4375</v>
      </c>
      <c r="H86" s="25">
        <v>1.4375</v>
      </c>
      <c r="I86" s="25">
        <v>1</v>
      </c>
      <c r="J86" s="25" t="s">
        <v>33</v>
      </c>
      <c r="K86" s="25">
        <f t="shared" si="45"/>
        <v>15.09375</v>
      </c>
      <c r="L86" s="25">
        <f t="shared" si="46"/>
        <v>17.609375</v>
      </c>
      <c r="M86" s="25">
        <f t="shared" si="47"/>
        <v>10.0625</v>
      </c>
      <c r="N86" s="25">
        <f t="shared" si="48"/>
        <v>7.546875</v>
      </c>
      <c r="O86" s="26">
        <v>50.3125</v>
      </c>
      <c r="P86" s="25" t="s">
        <v>76</v>
      </c>
      <c r="Q86" s="25">
        <v>71073</v>
      </c>
      <c r="R86" s="19" t="s">
        <v>35</v>
      </c>
      <c r="S86" s="15" t="s">
        <v>55</v>
      </c>
      <c r="T86" s="38">
        <v>1</v>
      </c>
      <c r="U86" s="16">
        <v>2.4234069248595169</v>
      </c>
      <c r="V86" s="43">
        <f t="shared" si="49"/>
        <v>21214.265625</v>
      </c>
      <c r="W86" s="51"/>
      <c r="X86" s="48"/>
      <c r="Y86" s="48"/>
      <c r="Z86" s="49"/>
      <c r="AA86" s="47">
        <f t="shared" ref="AA86:AA120" si="54">H86*0.3</f>
        <v>0.43124999999999997</v>
      </c>
      <c r="AB86" s="41">
        <f>H86*0.35</f>
        <v>0.50312499999999993</v>
      </c>
      <c r="AC86" s="48"/>
      <c r="AD86" s="48"/>
      <c r="AE86" s="51"/>
      <c r="AF86" s="48"/>
      <c r="AG86" s="41">
        <f>H86*0.2</f>
        <v>0.28750000000000003</v>
      </c>
      <c r="AH86" s="86"/>
      <c r="AI86" s="51"/>
      <c r="AJ86" s="48"/>
      <c r="AK86" s="48"/>
      <c r="AL86" s="49"/>
      <c r="AM86" s="51"/>
      <c r="AN86" s="48"/>
      <c r="AO86" s="48"/>
      <c r="AP86" s="132">
        <f t="shared" ref="AP86:AP117" si="55">H86*0.15</f>
        <v>0.21562499999999998</v>
      </c>
      <c r="AQ86" s="51"/>
      <c r="AR86" s="48"/>
      <c r="AS86" s="48"/>
      <c r="AT86" s="49"/>
      <c r="AU86" s="51"/>
      <c r="AV86" s="48"/>
      <c r="AW86" s="48"/>
      <c r="AX86" s="49"/>
    </row>
    <row r="87" spans="1:50" x14ac:dyDescent="0.25">
      <c r="A87" s="24"/>
      <c r="B87" s="24"/>
      <c r="C87" s="24"/>
      <c r="D87" s="24"/>
      <c r="E87" s="24"/>
      <c r="F87" s="25" t="s">
        <v>55</v>
      </c>
      <c r="G87" s="25">
        <v>1.4375</v>
      </c>
      <c r="H87" s="25">
        <v>1.4375</v>
      </c>
      <c r="I87" s="25">
        <v>1</v>
      </c>
      <c r="J87" s="25" t="s">
        <v>33</v>
      </c>
      <c r="K87" s="25">
        <f t="shared" si="45"/>
        <v>15.09375</v>
      </c>
      <c r="L87" s="25">
        <f t="shared" si="46"/>
        <v>17.609375</v>
      </c>
      <c r="M87" s="25">
        <f t="shared" si="47"/>
        <v>10.0625</v>
      </c>
      <c r="N87" s="25">
        <f t="shared" si="48"/>
        <v>7.546875</v>
      </c>
      <c r="O87" s="26">
        <v>50.3125</v>
      </c>
      <c r="P87" s="25" t="s">
        <v>76</v>
      </c>
      <c r="Q87" s="25">
        <v>71073</v>
      </c>
      <c r="R87" s="19" t="s">
        <v>35</v>
      </c>
      <c r="S87" s="15" t="s">
        <v>55</v>
      </c>
      <c r="T87" s="38">
        <v>2</v>
      </c>
      <c r="U87" s="16">
        <v>2.4234069248595169</v>
      </c>
      <c r="V87" s="43">
        <f t="shared" si="49"/>
        <v>21214.265625</v>
      </c>
      <c r="W87" s="51"/>
      <c r="X87" s="48"/>
      <c r="Y87" s="48"/>
      <c r="Z87" s="49"/>
      <c r="AA87" s="47">
        <f t="shared" si="54"/>
        <v>0.43124999999999997</v>
      </c>
      <c r="AB87" s="41">
        <f t="shared" ref="AB87:AB88" si="56">H87*0.35</f>
        <v>0.50312499999999993</v>
      </c>
      <c r="AC87" s="48"/>
      <c r="AD87" s="48"/>
      <c r="AE87" s="51"/>
      <c r="AF87" s="48"/>
      <c r="AG87" s="41">
        <f>H87*0.2</f>
        <v>0.28750000000000003</v>
      </c>
      <c r="AH87" s="86"/>
      <c r="AI87" s="51"/>
      <c r="AJ87" s="48"/>
      <c r="AK87" s="48"/>
      <c r="AL87" s="49"/>
      <c r="AM87" s="51"/>
      <c r="AN87" s="48"/>
      <c r="AO87" s="48"/>
      <c r="AP87" s="132">
        <f t="shared" si="55"/>
        <v>0.21562499999999998</v>
      </c>
      <c r="AQ87" s="51"/>
      <c r="AR87" s="48"/>
      <c r="AS87" s="48"/>
      <c r="AT87" s="49"/>
      <c r="AU87" s="51"/>
      <c r="AV87" s="48"/>
      <c r="AW87" s="48"/>
      <c r="AX87" s="49"/>
    </row>
    <row r="88" spans="1:50" ht="15.75" thickBot="1" x14ac:dyDescent="0.3">
      <c r="A88" s="24"/>
      <c r="B88" s="24"/>
      <c r="C88" s="24"/>
      <c r="D88" s="24"/>
      <c r="E88" s="24"/>
      <c r="F88" s="25" t="s">
        <v>55</v>
      </c>
      <c r="G88" s="25">
        <v>1.4375</v>
      </c>
      <c r="H88" s="25">
        <v>1.4375</v>
      </c>
      <c r="I88" s="25">
        <v>1</v>
      </c>
      <c r="J88" s="25" t="s">
        <v>33</v>
      </c>
      <c r="K88" s="25">
        <f t="shared" si="45"/>
        <v>15.09375</v>
      </c>
      <c r="L88" s="25">
        <f t="shared" si="46"/>
        <v>17.609375</v>
      </c>
      <c r="M88" s="25">
        <f t="shared" si="47"/>
        <v>10.0625</v>
      </c>
      <c r="N88" s="25">
        <f t="shared" si="48"/>
        <v>7.546875</v>
      </c>
      <c r="O88" s="26">
        <v>50.3125</v>
      </c>
      <c r="P88" s="25" t="s">
        <v>76</v>
      </c>
      <c r="Q88" s="25">
        <v>71073</v>
      </c>
      <c r="R88" s="19" t="s">
        <v>35</v>
      </c>
      <c r="S88" s="15" t="s">
        <v>55</v>
      </c>
      <c r="T88" s="38">
        <v>3</v>
      </c>
      <c r="U88" s="16">
        <v>2.4234069248595169</v>
      </c>
      <c r="V88" s="43">
        <f t="shared" si="49"/>
        <v>21214.265625</v>
      </c>
      <c r="W88" s="51"/>
      <c r="X88" s="48"/>
      <c r="Y88" s="48"/>
      <c r="Z88" s="49"/>
      <c r="AA88" s="47">
        <f t="shared" si="54"/>
        <v>0.43124999999999997</v>
      </c>
      <c r="AB88" s="41">
        <f t="shared" si="56"/>
        <v>0.50312499999999993</v>
      </c>
      <c r="AC88" s="48"/>
      <c r="AD88" s="48"/>
      <c r="AE88" s="51"/>
      <c r="AF88" s="48"/>
      <c r="AG88" s="41">
        <f>H88*0.2</f>
        <v>0.28750000000000003</v>
      </c>
      <c r="AH88" s="86"/>
      <c r="AI88" s="51"/>
      <c r="AJ88" s="48"/>
      <c r="AK88" s="48"/>
      <c r="AL88" s="49"/>
      <c r="AM88" s="51"/>
      <c r="AN88" s="48"/>
      <c r="AO88" s="48"/>
      <c r="AP88" s="132">
        <f t="shared" si="55"/>
        <v>0.21562499999999998</v>
      </c>
      <c r="AQ88" s="51"/>
      <c r="AR88" s="48"/>
      <c r="AS88" s="48"/>
      <c r="AT88" s="49"/>
      <c r="AU88" s="51"/>
      <c r="AV88" s="48"/>
      <c r="AW88" s="48"/>
      <c r="AX88" s="49"/>
    </row>
    <row r="89" spans="1:50" ht="15.75" thickBot="1" x14ac:dyDescent="0.3">
      <c r="A89" s="24"/>
      <c r="B89" s="24"/>
      <c r="C89" s="24"/>
      <c r="D89" s="24"/>
      <c r="E89" s="24"/>
      <c r="F89" s="25" t="s">
        <v>58</v>
      </c>
      <c r="G89" s="25">
        <v>0.05</v>
      </c>
      <c r="H89" s="25">
        <v>0.05</v>
      </c>
      <c r="I89" s="25">
        <v>1</v>
      </c>
      <c r="J89" s="25" t="s">
        <v>33</v>
      </c>
      <c r="K89" s="25">
        <f t="shared" si="45"/>
        <v>1.2</v>
      </c>
      <c r="L89" s="25">
        <f t="shared" si="46"/>
        <v>1.4</v>
      </c>
      <c r="M89" s="25">
        <f t="shared" si="47"/>
        <v>0.8</v>
      </c>
      <c r="N89" s="25">
        <f t="shared" si="48"/>
        <v>0.6</v>
      </c>
      <c r="O89" s="26">
        <v>4</v>
      </c>
      <c r="P89" s="25" t="s">
        <v>62</v>
      </c>
      <c r="Q89" s="25">
        <v>71073</v>
      </c>
      <c r="R89" s="19" t="s">
        <v>35</v>
      </c>
      <c r="S89" s="15" t="s">
        <v>58</v>
      </c>
      <c r="T89" s="38">
        <v>4</v>
      </c>
      <c r="U89" s="16">
        <v>8.4292414777722341E-2</v>
      </c>
      <c r="V89" s="43">
        <f t="shared" si="49"/>
        <v>1686.6</v>
      </c>
      <c r="W89" s="51"/>
      <c r="X89" s="48"/>
      <c r="Y89" s="48"/>
      <c r="Z89" s="49"/>
      <c r="AA89" s="47">
        <f t="shared" si="54"/>
        <v>1.4999999999999999E-2</v>
      </c>
      <c r="AB89" s="48"/>
      <c r="AC89" s="48"/>
      <c r="AD89" s="48"/>
      <c r="AE89" s="51"/>
      <c r="AF89" s="56"/>
      <c r="AG89" s="48"/>
      <c r="AH89" s="86"/>
      <c r="AI89" s="51"/>
      <c r="AJ89" s="41">
        <f t="shared" ref="AJ89:AJ117" si="57">H89*0.35</f>
        <v>1.7499999999999998E-2</v>
      </c>
      <c r="AK89" s="41">
        <f t="shared" ref="AK89:AK117" si="58">H89*0.2</f>
        <v>1.0000000000000002E-2</v>
      </c>
      <c r="AL89" s="49"/>
      <c r="AM89" s="51"/>
      <c r="AN89" s="48"/>
      <c r="AO89" s="48"/>
      <c r="AP89" s="132">
        <f t="shared" si="55"/>
        <v>7.4999999999999997E-3</v>
      </c>
      <c r="AQ89" s="51"/>
      <c r="AR89" s="48"/>
      <c r="AS89" s="48"/>
      <c r="AT89" s="49"/>
      <c r="AU89" s="51"/>
      <c r="AV89" s="48"/>
      <c r="AW89" s="48"/>
      <c r="AX89" s="49"/>
    </row>
    <row r="90" spans="1:50" ht="15.75" thickBot="1" x14ac:dyDescent="0.3">
      <c r="A90" s="24"/>
      <c r="B90" s="24"/>
      <c r="C90" s="24"/>
      <c r="D90" s="24"/>
      <c r="E90" s="24"/>
      <c r="F90" s="25" t="s">
        <v>58</v>
      </c>
      <c r="G90" s="25">
        <v>0.05</v>
      </c>
      <c r="H90" s="25">
        <v>0.05</v>
      </c>
      <c r="I90" s="25">
        <v>1</v>
      </c>
      <c r="J90" s="25" t="s">
        <v>33</v>
      </c>
      <c r="K90" s="25">
        <f t="shared" si="45"/>
        <v>1.2</v>
      </c>
      <c r="L90" s="25">
        <f t="shared" si="46"/>
        <v>1.4</v>
      </c>
      <c r="M90" s="25">
        <f t="shared" si="47"/>
        <v>0.8</v>
      </c>
      <c r="N90" s="25">
        <f t="shared" si="48"/>
        <v>0.6</v>
      </c>
      <c r="O90" s="26">
        <v>4</v>
      </c>
      <c r="P90" s="25" t="s">
        <v>62</v>
      </c>
      <c r="Q90" s="25">
        <v>71073</v>
      </c>
      <c r="R90" s="19" t="s">
        <v>35</v>
      </c>
      <c r="S90" s="15" t="s">
        <v>58</v>
      </c>
      <c r="T90" s="38">
        <v>5</v>
      </c>
      <c r="U90" s="16">
        <v>8.4292414777722341E-2</v>
      </c>
      <c r="V90" s="43">
        <f t="shared" si="49"/>
        <v>1686.6</v>
      </c>
      <c r="W90" s="51"/>
      <c r="X90" s="48"/>
      <c r="Y90" s="48"/>
      <c r="Z90" s="49"/>
      <c r="AA90" s="47">
        <f t="shared" si="54"/>
        <v>1.4999999999999999E-2</v>
      </c>
      <c r="AB90" s="48"/>
      <c r="AC90" s="48"/>
      <c r="AD90" s="48"/>
      <c r="AE90" s="51"/>
      <c r="AF90" s="56"/>
      <c r="AG90" s="48"/>
      <c r="AH90" s="86"/>
      <c r="AI90" s="51"/>
      <c r="AJ90" s="41">
        <f t="shared" si="57"/>
        <v>1.7499999999999998E-2</v>
      </c>
      <c r="AK90" s="41">
        <f t="shared" si="58"/>
        <v>1.0000000000000002E-2</v>
      </c>
      <c r="AL90" s="49"/>
      <c r="AM90" s="51"/>
      <c r="AN90" s="48"/>
      <c r="AO90" s="48"/>
      <c r="AP90" s="132">
        <f t="shared" si="55"/>
        <v>7.4999999999999997E-3</v>
      </c>
      <c r="AQ90" s="51"/>
      <c r="AR90" s="48"/>
      <c r="AS90" s="48"/>
      <c r="AT90" s="49"/>
      <c r="AU90" s="51"/>
      <c r="AV90" s="48"/>
      <c r="AW90" s="48"/>
      <c r="AX90" s="49"/>
    </row>
    <row r="91" spans="1:50" ht="15.75" thickBot="1" x14ac:dyDescent="0.3">
      <c r="A91" s="24"/>
      <c r="B91" s="24"/>
      <c r="C91" s="24"/>
      <c r="D91" s="24"/>
      <c r="E91" s="24"/>
      <c r="F91" s="25" t="s">
        <v>58</v>
      </c>
      <c r="G91" s="25">
        <v>0.05</v>
      </c>
      <c r="H91" s="25">
        <v>0.05</v>
      </c>
      <c r="I91" s="25">
        <v>1</v>
      </c>
      <c r="J91" s="25" t="s">
        <v>33</v>
      </c>
      <c r="K91" s="25">
        <f t="shared" si="45"/>
        <v>1.2</v>
      </c>
      <c r="L91" s="25">
        <f t="shared" si="46"/>
        <v>1.4</v>
      </c>
      <c r="M91" s="25">
        <f t="shared" si="47"/>
        <v>0.8</v>
      </c>
      <c r="N91" s="25">
        <f t="shared" si="48"/>
        <v>0.6</v>
      </c>
      <c r="O91" s="26">
        <v>4</v>
      </c>
      <c r="P91" s="25" t="s">
        <v>62</v>
      </c>
      <c r="Q91" s="25">
        <v>71073</v>
      </c>
      <c r="R91" s="19" t="s">
        <v>35</v>
      </c>
      <c r="S91" s="15" t="s">
        <v>58</v>
      </c>
      <c r="T91" s="38">
        <v>6</v>
      </c>
      <c r="U91" s="16">
        <v>8.4292414777722341E-2</v>
      </c>
      <c r="V91" s="43">
        <f t="shared" si="49"/>
        <v>1686.6</v>
      </c>
      <c r="W91" s="51"/>
      <c r="X91" s="48"/>
      <c r="Y91" s="48"/>
      <c r="Z91" s="49"/>
      <c r="AA91" s="47">
        <f t="shared" si="54"/>
        <v>1.4999999999999999E-2</v>
      </c>
      <c r="AB91" s="48"/>
      <c r="AC91" s="48"/>
      <c r="AD91" s="48"/>
      <c r="AE91" s="51"/>
      <c r="AF91" s="56"/>
      <c r="AG91" s="48"/>
      <c r="AH91" s="86"/>
      <c r="AI91" s="51"/>
      <c r="AJ91" s="41">
        <f t="shared" si="57"/>
        <v>1.7499999999999998E-2</v>
      </c>
      <c r="AK91" s="41">
        <f t="shared" si="58"/>
        <v>1.0000000000000002E-2</v>
      </c>
      <c r="AL91" s="49"/>
      <c r="AM91" s="51"/>
      <c r="AN91" s="48"/>
      <c r="AO91" s="48"/>
      <c r="AP91" s="132">
        <f t="shared" si="55"/>
        <v>7.4999999999999997E-3</v>
      </c>
      <c r="AQ91" s="51"/>
      <c r="AR91" s="48"/>
      <c r="AS91" s="48"/>
      <c r="AT91" s="49"/>
      <c r="AU91" s="51"/>
      <c r="AV91" s="48"/>
      <c r="AW91" s="48"/>
      <c r="AX91" s="49"/>
    </row>
    <row r="92" spans="1:50" ht="15.75" thickBot="1" x14ac:dyDescent="0.3">
      <c r="A92" s="24"/>
      <c r="B92" s="24"/>
      <c r="C92" s="24"/>
      <c r="D92" s="24"/>
      <c r="E92" s="24"/>
      <c r="F92" s="25" t="s">
        <v>58</v>
      </c>
      <c r="G92" s="25">
        <v>0.05</v>
      </c>
      <c r="H92" s="25">
        <v>0.05</v>
      </c>
      <c r="I92" s="25">
        <v>1</v>
      </c>
      <c r="J92" s="25" t="s">
        <v>33</v>
      </c>
      <c r="K92" s="25">
        <f t="shared" si="45"/>
        <v>1.2</v>
      </c>
      <c r="L92" s="25">
        <f t="shared" si="46"/>
        <v>1.4</v>
      </c>
      <c r="M92" s="25">
        <f t="shared" si="47"/>
        <v>0.8</v>
      </c>
      <c r="N92" s="25">
        <f t="shared" si="48"/>
        <v>0.6</v>
      </c>
      <c r="O92" s="26">
        <v>4</v>
      </c>
      <c r="P92" s="25" t="s">
        <v>62</v>
      </c>
      <c r="Q92" s="25">
        <v>71073</v>
      </c>
      <c r="R92" s="19" t="s">
        <v>35</v>
      </c>
      <c r="S92" s="15" t="s">
        <v>58</v>
      </c>
      <c r="T92" s="38">
        <v>7</v>
      </c>
      <c r="U92" s="16">
        <v>8.4292414777722341E-2</v>
      </c>
      <c r="V92" s="43">
        <f t="shared" si="49"/>
        <v>1686.6</v>
      </c>
      <c r="W92" s="51"/>
      <c r="X92" s="48"/>
      <c r="Y92" s="48"/>
      <c r="Z92" s="49"/>
      <c r="AA92" s="47">
        <f t="shared" si="54"/>
        <v>1.4999999999999999E-2</v>
      </c>
      <c r="AB92" s="48"/>
      <c r="AC92" s="48"/>
      <c r="AD92" s="48"/>
      <c r="AE92" s="51"/>
      <c r="AF92" s="56"/>
      <c r="AG92" s="48"/>
      <c r="AH92" s="86"/>
      <c r="AI92" s="51"/>
      <c r="AJ92" s="41">
        <f t="shared" si="57"/>
        <v>1.7499999999999998E-2</v>
      </c>
      <c r="AK92" s="41">
        <f t="shared" si="58"/>
        <v>1.0000000000000002E-2</v>
      </c>
      <c r="AL92" s="49"/>
      <c r="AM92" s="51"/>
      <c r="AN92" s="48"/>
      <c r="AO92" s="48"/>
      <c r="AP92" s="132">
        <f t="shared" si="55"/>
        <v>7.4999999999999997E-3</v>
      </c>
      <c r="AQ92" s="51"/>
      <c r="AR92" s="48"/>
      <c r="AS92" s="48"/>
      <c r="AT92" s="49"/>
      <c r="AU92" s="51"/>
      <c r="AV92" s="48"/>
      <c r="AW92" s="48"/>
      <c r="AX92" s="49"/>
    </row>
    <row r="93" spans="1:50" ht="15.75" thickBot="1" x14ac:dyDescent="0.3">
      <c r="A93" s="24"/>
      <c r="B93" s="24"/>
      <c r="C93" s="24"/>
      <c r="D93" s="24"/>
      <c r="E93" s="24"/>
      <c r="F93" s="25" t="s">
        <v>58</v>
      </c>
      <c r="G93" s="25">
        <v>0.05</v>
      </c>
      <c r="H93" s="25">
        <v>0.05</v>
      </c>
      <c r="I93" s="25">
        <v>1</v>
      </c>
      <c r="J93" s="25" t="s">
        <v>33</v>
      </c>
      <c r="K93" s="25">
        <f t="shared" si="45"/>
        <v>1.2</v>
      </c>
      <c r="L93" s="25">
        <f t="shared" si="46"/>
        <v>1.4</v>
      </c>
      <c r="M93" s="25">
        <f t="shared" si="47"/>
        <v>0.8</v>
      </c>
      <c r="N93" s="25">
        <f t="shared" si="48"/>
        <v>0.6</v>
      </c>
      <c r="O93" s="26">
        <v>4</v>
      </c>
      <c r="P93" s="25" t="s">
        <v>62</v>
      </c>
      <c r="Q93" s="25">
        <v>71073</v>
      </c>
      <c r="R93" s="19" t="s">
        <v>35</v>
      </c>
      <c r="S93" s="15" t="s">
        <v>58</v>
      </c>
      <c r="T93" s="38">
        <v>8</v>
      </c>
      <c r="U93" s="16">
        <v>8.4292414777722341E-2</v>
      </c>
      <c r="V93" s="43">
        <f t="shared" si="49"/>
        <v>1686.6</v>
      </c>
      <c r="W93" s="51"/>
      <c r="X93" s="48"/>
      <c r="Y93" s="48"/>
      <c r="Z93" s="49"/>
      <c r="AA93" s="47">
        <f t="shared" si="54"/>
        <v>1.4999999999999999E-2</v>
      </c>
      <c r="AB93" s="48"/>
      <c r="AC93" s="48"/>
      <c r="AD93" s="48"/>
      <c r="AE93" s="51"/>
      <c r="AF93" s="56"/>
      <c r="AG93" s="48"/>
      <c r="AH93" s="86"/>
      <c r="AI93" s="51"/>
      <c r="AJ93" s="41">
        <f t="shared" si="57"/>
        <v>1.7499999999999998E-2</v>
      </c>
      <c r="AK93" s="41">
        <f t="shared" si="58"/>
        <v>1.0000000000000002E-2</v>
      </c>
      <c r="AL93" s="49"/>
      <c r="AM93" s="51"/>
      <c r="AN93" s="48"/>
      <c r="AO93" s="48"/>
      <c r="AP93" s="132">
        <f t="shared" si="55"/>
        <v>7.4999999999999997E-3</v>
      </c>
      <c r="AQ93" s="51"/>
      <c r="AR93" s="48"/>
      <c r="AS93" s="48"/>
      <c r="AT93" s="49"/>
      <c r="AU93" s="51"/>
      <c r="AV93" s="48"/>
      <c r="AW93" s="48"/>
      <c r="AX93" s="49"/>
    </row>
    <row r="94" spans="1:50" ht="15.75" thickBot="1" x14ac:dyDescent="0.3">
      <c r="A94" s="24"/>
      <c r="B94" s="24"/>
      <c r="C94" s="24"/>
      <c r="D94" s="24"/>
      <c r="E94" s="24"/>
      <c r="F94" s="25" t="s">
        <v>58</v>
      </c>
      <c r="G94" s="25">
        <v>0.05</v>
      </c>
      <c r="H94" s="25">
        <v>0.05</v>
      </c>
      <c r="I94" s="25">
        <v>1</v>
      </c>
      <c r="J94" s="25" t="s">
        <v>33</v>
      </c>
      <c r="K94" s="25">
        <f t="shared" si="45"/>
        <v>1.2</v>
      </c>
      <c r="L94" s="25">
        <f t="shared" si="46"/>
        <v>1.4</v>
      </c>
      <c r="M94" s="25">
        <f t="shared" si="47"/>
        <v>0.8</v>
      </c>
      <c r="N94" s="25">
        <f t="shared" si="48"/>
        <v>0.6</v>
      </c>
      <c r="O94" s="26">
        <v>4</v>
      </c>
      <c r="P94" s="25" t="s">
        <v>62</v>
      </c>
      <c r="Q94" s="25">
        <v>71073</v>
      </c>
      <c r="R94" s="19" t="s">
        <v>35</v>
      </c>
      <c r="S94" s="15" t="s">
        <v>58</v>
      </c>
      <c r="T94" s="38">
        <v>9</v>
      </c>
      <c r="U94" s="16">
        <v>8.4292414777722341E-2</v>
      </c>
      <c r="V94" s="43">
        <f t="shared" si="49"/>
        <v>1686.6</v>
      </c>
      <c r="W94" s="51"/>
      <c r="X94" s="48"/>
      <c r="Y94" s="48"/>
      <c r="Z94" s="49"/>
      <c r="AA94" s="47">
        <f t="shared" si="54"/>
        <v>1.4999999999999999E-2</v>
      </c>
      <c r="AB94" s="48"/>
      <c r="AC94" s="48"/>
      <c r="AD94" s="48"/>
      <c r="AE94" s="51"/>
      <c r="AF94" s="56"/>
      <c r="AG94" s="48"/>
      <c r="AH94" s="86"/>
      <c r="AI94" s="51"/>
      <c r="AJ94" s="41">
        <f t="shared" si="57"/>
        <v>1.7499999999999998E-2</v>
      </c>
      <c r="AK94" s="41">
        <f t="shared" si="58"/>
        <v>1.0000000000000002E-2</v>
      </c>
      <c r="AL94" s="49"/>
      <c r="AM94" s="51"/>
      <c r="AN94" s="48"/>
      <c r="AO94" s="48"/>
      <c r="AP94" s="132">
        <f t="shared" si="55"/>
        <v>7.4999999999999997E-3</v>
      </c>
      <c r="AQ94" s="51"/>
      <c r="AR94" s="48"/>
      <c r="AS94" s="48"/>
      <c r="AT94" s="49"/>
      <c r="AU94" s="51"/>
      <c r="AV94" s="48"/>
      <c r="AW94" s="48"/>
      <c r="AX94" s="49"/>
    </row>
    <row r="95" spans="1:50" ht="15.75" thickBot="1" x14ac:dyDescent="0.3">
      <c r="A95" s="24"/>
      <c r="B95" s="24"/>
      <c r="C95" s="24"/>
      <c r="D95" s="24"/>
      <c r="E95" s="24"/>
      <c r="F95" s="25" t="s">
        <v>58</v>
      </c>
      <c r="G95" s="25">
        <v>0.05</v>
      </c>
      <c r="H95" s="25">
        <v>0.05</v>
      </c>
      <c r="I95" s="25">
        <v>1</v>
      </c>
      <c r="J95" s="25" t="s">
        <v>33</v>
      </c>
      <c r="K95" s="25">
        <f t="shared" si="45"/>
        <v>1.2</v>
      </c>
      <c r="L95" s="25">
        <f t="shared" si="46"/>
        <v>1.4</v>
      </c>
      <c r="M95" s="25">
        <f t="shared" si="47"/>
        <v>0.8</v>
      </c>
      <c r="N95" s="25">
        <f t="shared" si="48"/>
        <v>0.6</v>
      </c>
      <c r="O95" s="26">
        <v>4</v>
      </c>
      <c r="P95" s="25" t="s">
        <v>62</v>
      </c>
      <c r="Q95" s="25">
        <v>71073</v>
      </c>
      <c r="R95" s="19" t="s">
        <v>35</v>
      </c>
      <c r="S95" s="15" t="s">
        <v>58</v>
      </c>
      <c r="T95" s="38">
        <v>10</v>
      </c>
      <c r="U95" s="16">
        <v>8.4292414777722341E-2</v>
      </c>
      <c r="V95" s="43">
        <f t="shared" si="49"/>
        <v>1686.6</v>
      </c>
      <c r="W95" s="51"/>
      <c r="X95" s="48"/>
      <c r="Y95" s="48"/>
      <c r="Z95" s="49"/>
      <c r="AA95" s="47">
        <f t="shared" si="54"/>
        <v>1.4999999999999999E-2</v>
      </c>
      <c r="AB95" s="48"/>
      <c r="AC95" s="48"/>
      <c r="AD95" s="48"/>
      <c r="AE95" s="51"/>
      <c r="AF95" s="56"/>
      <c r="AG95" s="48"/>
      <c r="AH95" s="86"/>
      <c r="AI95" s="51"/>
      <c r="AJ95" s="41">
        <f t="shared" si="57"/>
        <v>1.7499999999999998E-2</v>
      </c>
      <c r="AK95" s="41">
        <f t="shared" si="58"/>
        <v>1.0000000000000002E-2</v>
      </c>
      <c r="AL95" s="49"/>
      <c r="AM95" s="51"/>
      <c r="AN95" s="48"/>
      <c r="AO95" s="48"/>
      <c r="AP95" s="132">
        <f t="shared" si="55"/>
        <v>7.4999999999999997E-3</v>
      </c>
      <c r="AQ95" s="51"/>
      <c r="AR95" s="48"/>
      <c r="AS95" s="48"/>
      <c r="AT95" s="49"/>
      <c r="AU95" s="51"/>
      <c r="AV95" s="48"/>
      <c r="AW95" s="48"/>
      <c r="AX95" s="49"/>
    </row>
    <row r="96" spans="1:50" ht="15.75" thickBot="1" x14ac:dyDescent="0.3">
      <c r="A96" s="24"/>
      <c r="B96" s="24"/>
      <c r="C96" s="24"/>
      <c r="D96" s="24"/>
      <c r="E96" s="24"/>
      <c r="F96" s="25" t="s">
        <v>58</v>
      </c>
      <c r="G96" s="25">
        <v>0.05</v>
      </c>
      <c r="H96" s="25">
        <v>0.05</v>
      </c>
      <c r="I96" s="25">
        <v>1</v>
      </c>
      <c r="J96" s="25" t="s">
        <v>33</v>
      </c>
      <c r="K96" s="25">
        <f t="shared" si="45"/>
        <v>1.2</v>
      </c>
      <c r="L96" s="25">
        <f t="shared" si="46"/>
        <v>1.4</v>
      </c>
      <c r="M96" s="25">
        <f t="shared" si="47"/>
        <v>0.8</v>
      </c>
      <c r="N96" s="25">
        <f t="shared" si="48"/>
        <v>0.6</v>
      </c>
      <c r="O96" s="26">
        <v>4</v>
      </c>
      <c r="P96" s="25" t="s">
        <v>62</v>
      </c>
      <c r="Q96" s="25">
        <v>71073</v>
      </c>
      <c r="R96" s="19" t="s">
        <v>35</v>
      </c>
      <c r="S96" s="15" t="s">
        <v>58</v>
      </c>
      <c r="T96" s="38">
        <v>11</v>
      </c>
      <c r="U96" s="16">
        <v>8.4292414777722341E-2</v>
      </c>
      <c r="V96" s="43">
        <f t="shared" si="49"/>
        <v>1686.6</v>
      </c>
      <c r="W96" s="51"/>
      <c r="X96" s="48"/>
      <c r="Y96" s="48"/>
      <c r="Z96" s="49"/>
      <c r="AA96" s="47">
        <f t="shared" si="54"/>
        <v>1.4999999999999999E-2</v>
      </c>
      <c r="AB96" s="48"/>
      <c r="AC96" s="48"/>
      <c r="AD96" s="48"/>
      <c r="AE96" s="51"/>
      <c r="AF96" s="56"/>
      <c r="AG96" s="48"/>
      <c r="AH96" s="86"/>
      <c r="AI96" s="51"/>
      <c r="AJ96" s="41">
        <f t="shared" si="57"/>
        <v>1.7499999999999998E-2</v>
      </c>
      <c r="AK96" s="41">
        <f t="shared" si="58"/>
        <v>1.0000000000000002E-2</v>
      </c>
      <c r="AL96" s="49"/>
      <c r="AM96" s="51"/>
      <c r="AN96" s="48"/>
      <c r="AO96" s="48"/>
      <c r="AP96" s="132">
        <f t="shared" si="55"/>
        <v>7.4999999999999997E-3</v>
      </c>
      <c r="AQ96" s="51"/>
      <c r="AR96" s="48"/>
      <c r="AS96" s="48"/>
      <c r="AT96" s="49"/>
      <c r="AU96" s="51"/>
      <c r="AV96" s="48"/>
      <c r="AW96" s="48"/>
      <c r="AX96" s="49"/>
    </row>
    <row r="97" spans="1:50" ht="15.75" thickBot="1" x14ac:dyDescent="0.3">
      <c r="A97" s="24"/>
      <c r="B97" s="24"/>
      <c r="C97" s="24"/>
      <c r="D97" s="24"/>
      <c r="E97" s="24"/>
      <c r="F97" s="25" t="s">
        <v>58</v>
      </c>
      <c r="G97" s="25">
        <v>0.05</v>
      </c>
      <c r="H97" s="25">
        <v>0.05</v>
      </c>
      <c r="I97" s="25">
        <v>1</v>
      </c>
      <c r="J97" s="25" t="s">
        <v>33</v>
      </c>
      <c r="K97" s="25">
        <f t="shared" si="45"/>
        <v>1.2</v>
      </c>
      <c r="L97" s="25">
        <f t="shared" si="46"/>
        <v>1.4</v>
      </c>
      <c r="M97" s="25">
        <f t="shared" si="47"/>
        <v>0.8</v>
      </c>
      <c r="N97" s="25">
        <f t="shared" si="48"/>
        <v>0.6</v>
      </c>
      <c r="O97" s="26">
        <v>4</v>
      </c>
      <c r="P97" s="25" t="s">
        <v>62</v>
      </c>
      <c r="Q97" s="25">
        <v>71073</v>
      </c>
      <c r="R97" s="19" t="s">
        <v>35</v>
      </c>
      <c r="S97" s="15" t="s">
        <v>58</v>
      </c>
      <c r="T97" s="38">
        <v>12</v>
      </c>
      <c r="U97" s="16">
        <v>8.4292414777722341E-2</v>
      </c>
      <c r="V97" s="43">
        <f t="shared" si="49"/>
        <v>1686.6</v>
      </c>
      <c r="W97" s="51"/>
      <c r="X97" s="48"/>
      <c r="Y97" s="48"/>
      <c r="Z97" s="49"/>
      <c r="AA97" s="47">
        <f t="shared" si="54"/>
        <v>1.4999999999999999E-2</v>
      </c>
      <c r="AB97" s="48"/>
      <c r="AC97" s="48"/>
      <c r="AD97" s="48"/>
      <c r="AE97" s="51"/>
      <c r="AF97" s="56"/>
      <c r="AG97" s="48"/>
      <c r="AH97" s="86"/>
      <c r="AI97" s="51"/>
      <c r="AJ97" s="41">
        <f t="shared" si="57"/>
        <v>1.7499999999999998E-2</v>
      </c>
      <c r="AK97" s="41">
        <f t="shared" si="58"/>
        <v>1.0000000000000002E-2</v>
      </c>
      <c r="AL97" s="49"/>
      <c r="AM97" s="51"/>
      <c r="AN97" s="48"/>
      <c r="AO97" s="48"/>
      <c r="AP97" s="132">
        <f t="shared" si="55"/>
        <v>7.4999999999999997E-3</v>
      </c>
      <c r="AQ97" s="51"/>
      <c r="AR97" s="48"/>
      <c r="AS97" s="48"/>
      <c r="AT97" s="49"/>
      <c r="AU97" s="51"/>
      <c r="AV97" s="48"/>
      <c r="AW97" s="48"/>
      <c r="AX97" s="49"/>
    </row>
    <row r="98" spans="1:50" ht="15.75" thickBot="1" x14ac:dyDescent="0.3">
      <c r="A98" s="24"/>
      <c r="B98" s="24"/>
      <c r="C98" s="24"/>
      <c r="D98" s="24"/>
      <c r="E98" s="24"/>
      <c r="F98" s="25" t="s">
        <v>58</v>
      </c>
      <c r="G98" s="25">
        <v>0.05</v>
      </c>
      <c r="H98" s="25">
        <v>0.05</v>
      </c>
      <c r="I98" s="25">
        <v>1</v>
      </c>
      <c r="J98" s="25" t="s">
        <v>33</v>
      </c>
      <c r="K98" s="25">
        <f t="shared" si="45"/>
        <v>1.2</v>
      </c>
      <c r="L98" s="25">
        <f t="shared" si="46"/>
        <v>1.4</v>
      </c>
      <c r="M98" s="25">
        <f t="shared" si="47"/>
        <v>0.8</v>
      </c>
      <c r="N98" s="25">
        <f t="shared" si="48"/>
        <v>0.6</v>
      </c>
      <c r="O98" s="26">
        <v>4</v>
      </c>
      <c r="P98" s="25" t="s">
        <v>62</v>
      </c>
      <c r="Q98" s="25">
        <v>71073</v>
      </c>
      <c r="R98" s="19" t="s">
        <v>35</v>
      </c>
      <c r="S98" s="15" t="s">
        <v>58</v>
      </c>
      <c r="T98" s="38">
        <v>13</v>
      </c>
      <c r="U98" s="16">
        <v>8.4292414777722341E-2</v>
      </c>
      <c r="V98" s="43">
        <f t="shared" si="49"/>
        <v>1686.6</v>
      </c>
      <c r="W98" s="51"/>
      <c r="X98" s="48"/>
      <c r="Y98" s="48"/>
      <c r="Z98" s="49"/>
      <c r="AA98" s="47">
        <f t="shared" si="54"/>
        <v>1.4999999999999999E-2</v>
      </c>
      <c r="AB98" s="48"/>
      <c r="AC98" s="48"/>
      <c r="AD98" s="48"/>
      <c r="AE98" s="51"/>
      <c r="AF98" s="56"/>
      <c r="AG98" s="48"/>
      <c r="AH98" s="86"/>
      <c r="AI98" s="51"/>
      <c r="AJ98" s="41">
        <f t="shared" si="57"/>
        <v>1.7499999999999998E-2</v>
      </c>
      <c r="AK98" s="41">
        <f t="shared" si="58"/>
        <v>1.0000000000000002E-2</v>
      </c>
      <c r="AL98" s="49"/>
      <c r="AM98" s="51"/>
      <c r="AN98" s="48"/>
      <c r="AO98" s="48"/>
      <c r="AP98" s="132">
        <f t="shared" si="55"/>
        <v>7.4999999999999997E-3</v>
      </c>
      <c r="AQ98" s="51"/>
      <c r="AR98" s="48"/>
      <c r="AS98" s="48"/>
      <c r="AT98" s="49"/>
      <c r="AU98" s="51"/>
      <c r="AV98" s="48"/>
      <c r="AW98" s="48"/>
      <c r="AX98" s="49"/>
    </row>
    <row r="99" spans="1:50" ht="15.75" thickBot="1" x14ac:dyDescent="0.3">
      <c r="A99" s="24"/>
      <c r="B99" s="24"/>
      <c r="C99" s="24"/>
      <c r="D99" s="24"/>
      <c r="E99" s="24"/>
      <c r="F99" s="25" t="s">
        <v>58</v>
      </c>
      <c r="G99" s="25">
        <v>0.05</v>
      </c>
      <c r="H99" s="25">
        <v>0.05</v>
      </c>
      <c r="I99" s="25">
        <v>1</v>
      </c>
      <c r="J99" s="25" t="s">
        <v>33</v>
      </c>
      <c r="K99" s="25">
        <f t="shared" si="45"/>
        <v>1.2</v>
      </c>
      <c r="L99" s="25">
        <f t="shared" si="46"/>
        <v>1.4</v>
      </c>
      <c r="M99" s="25">
        <f t="shared" si="47"/>
        <v>0.8</v>
      </c>
      <c r="N99" s="25">
        <f t="shared" si="48"/>
        <v>0.6</v>
      </c>
      <c r="O99" s="26">
        <v>4</v>
      </c>
      <c r="P99" s="25" t="s">
        <v>62</v>
      </c>
      <c r="Q99" s="25">
        <v>71073</v>
      </c>
      <c r="R99" s="19" t="s">
        <v>35</v>
      </c>
      <c r="S99" s="15" t="s">
        <v>58</v>
      </c>
      <c r="T99" s="38">
        <v>14</v>
      </c>
      <c r="U99" s="16">
        <v>8.4292414777722341E-2</v>
      </c>
      <c r="V99" s="43">
        <f t="shared" si="49"/>
        <v>1686.6</v>
      </c>
      <c r="W99" s="51"/>
      <c r="X99" s="48"/>
      <c r="Y99" s="48"/>
      <c r="Z99" s="49"/>
      <c r="AA99" s="47">
        <f t="shared" si="54"/>
        <v>1.4999999999999999E-2</v>
      </c>
      <c r="AB99" s="48"/>
      <c r="AC99" s="48"/>
      <c r="AD99" s="48"/>
      <c r="AE99" s="51"/>
      <c r="AF99" s="56"/>
      <c r="AG99" s="48"/>
      <c r="AH99" s="86"/>
      <c r="AI99" s="51"/>
      <c r="AJ99" s="41">
        <f t="shared" si="57"/>
        <v>1.7499999999999998E-2</v>
      </c>
      <c r="AK99" s="41">
        <f t="shared" si="58"/>
        <v>1.0000000000000002E-2</v>
      </c>
      <c r="AL99" s="49"/>
      <c r="AM99" s="51"/>
      <c r="AN99" s="48"/>
      <c r="AO99" s="48"/>
      <c r="AP99" s="132">
        <f t="shared" si="55"/>
        <v>7.4999999999999997E-3</v>
      </c>
      <c r="AQ99" s="51"/>
      <c r="AR99" s="48"/>
      <c r="AS99" s="48"/>
      <c r="AT99" s="49"/>
      <c r="AU99" s="51"/>
      <c r="AV99" s="48"/>
      <c r="AW99" s="48"/>
      <c r="AX99" s="49"/>
    </row>
    <row r="100" spans="1:50" ht="15.75" thickBot="1" x14ac:dyDescent="0.3">
      <c r="A100" s="24"/>
      <c r="B100" s="24"/>
      <c r="C100" s="24"/>
      <c r="D100" s="24"/>
      <c r="E100" s="24"/>
      <c r="F100" s="25" t="s">
        <v>58</v>
      </c>
      <c r="G100" s="25">
        <v>0.05</v>
      </c>
      <c r="H100" s="25">
        <v>0.05</v>
      </c>
      <c r="I100" s="25">
        <v>1</v>
      </c>
      <c r="J100" s="25" t="s">
        <v>33</v>
      </c>
      <c r="K100" s="25">
        <f t="shared" si="45"/>
        <v>1.2</v>
      </c>
      <c r="L100" s="25">
        <f t="shared" si="46"/>
        <v>1.4</v>
      </c>
      <c r="M100" s="25">
        <f t="shared" si="47"/>
        <v>0.8</v>
      </c>
      <c r="N100" s="25">
        <f t="shared" si="48"/>
        <v>0.6</v>
      </c>
      <c r="O100" s="26">
        <v>4</v>
      </c>
      <c r="P100" s="25" t="s">
        <v>62</v>
      </c>
      <c r="Q100" s="25">
        <v>71073</v>
      </c>
      <c r="R100" s="19" t="s">
        <v>35</v>
      </c>
      <c r="S100" s="15" t="s">
        <v>58</v>
      </c>
      <c r="T100" s="38">
        <v>15</v>
      </c>
      <c r="U100" s="16">
        <v>8.4292414777722341E-2</v>
      </c>
      <c r="V100" s="43">
        <f t="shared" si="49"/>
        <v>1686.6</v>
      </c>
      <c r="W100" s="51"/>
      <c r="X100" s="48"/>
      <c r="Y100" s="48"/>
      <c r="Z100" s="49"/>
      <c r="AA100" s="47">
        <f t="shared" si="54"/>
        <v>1.4999999999999999E-2</v>
      </c>
      <c r="AB100" s="48"/>
      <c r="AC100" s="48"/>
      <c r="AD100" s="48"/>
      <c r="AE100" s="51"/>
      <c r="AF100" s="56"/>
      <c r="AG100" s="48"/>
      <c r="AH100" s="86"/>
      <c r="AI100" s="51"/>
      <c r="AJ100" s="41">
        <f t="shared" si="57"/>
        <v>1.7499999999999998E-2</v>
      </c>
      <c r="AK100" s="41">
        <f t="shared" si="58"/>
        <v>1.0000000000000002E-2</v>
      </c>
      <c r="AL100" s="49"/>
      <c r="AM100" s="51"/>
      <c r="AN100" s="48"/>
      <c r="AO100" s="48"/>
      <c r="AP100" s="132">
        <f t="shared" si="55"/>
        <v>7.4999999999999997E-3</v>
      </c>
      <c r="AQ100" s="51"/>
      <c r="AR100" s="48"/>
      <c r="AS100" s="48"/>
      <c r="AT100" s="49"/>
      <c r="AU100" s="51"/>
      <c r="AV100" s="48"/>
      <c r="AW100" s="48"/>
      <c r="AX100" s="49"/>
    </row>
    <row r="101" spans="1:50" ht="15.75" thickBot="1" x14ac:dyDescent="0.3">
      <c r="A101" s="24"/>
      <c r="B101" s="24"/>
      <c r="C101" s="24"/>
      <c r="D101" s="24"/>
      <c r="E101" s="24"/>
      <c r="F101" s="25" t="s">
        <v>58</v>
      </c>
      <c r="G101" s="25">
        <v>0.05</v>
      </c>
      <c r="H101" s="25">
        <v>0.05</v>
      </c>
      <c r="I101" s="25">
        <v>1</v>
      </c>
      <c r="J101" s="25" t="s">
        <v>33</v>
      </c>
      <c r="K101" s="25">
        <f t="shared" si="45"/>
        <v>1.2</v>
      </c>
      <c r="L101" s="25">
        <f t="shared" si="46"/>
        <v>1.4</v>
      </c>
      <c r="M101" s="25">
        <f t="shared" si="47"/>
        <v>0.8</v>
      </c>
      <c r="N101" s="25">
        <f t="shared" si="48"/>
        <v>0.6</v>
      </c>
      <c r="O101" s="26">
        <v>4</v>
      </c>
      <c r="P101" s="25" t="s">
        <v>62</v>
      </c>
      <c r="Q101" s="25">
        <v>71073</v>
      </c>
      <c r="R101" s="19" t="s">
        <v>35</v>
      </c>
      <c r="S101" s="15" t="s">
        <v>58</v>
      </c>
      <c r="T101" s="38">
        <v>16</v>
      </c>
      <c r="U101" s="16">
        <v>8.4292414777722341E-2</v>
      </c>
      <c r="V101" s="43">
        <f t="shared" si="49"/>
        <v>1686.6</v>
      </c>
      <c r="W101" s="51"/>
      <c r="X101" s="48"/>
      <c r="Y101" s="48"/>
      <c r="Z101" s="49"/>
      <c r="AA101" s="47">
        <f t="shared" si="54"/>
        <v>1.4999999999999999E-2</v>
      </c>
      <c r="AB101" s="48"/>
      <c r="AC101" s="48"/>
      <c r="AD101" s="48"/>
      <c r="AE101" s="51"/>
      <c r="AF101" s="56"/>
      <c r="AG101" s="48"/>
      <c r="AH101" s="86"/>
      <c r="AI101" s="51"/>
      <c r="AJ101" s="41">
        <f t="shared" si="57"/>
        <v>1.7499999999999998E-2</v>
      </c>
      <c r="AK101" s="41">
        <f t="shared" si="58"/>
        <v>1.0000000000000002E-2</v>
      </c>
      <c r="AL101" s="49"/>
      <c r="AM101" s="51"/>
      <c r="AN101" s="48"/>
      <c r="AO101" s="48"/>
      <c r="AP101" s="132">
        <f t="shared" si="55"/>
        <v>7.4999999999999997E-3</v>
      </c>
      <c r="AQ101" s="51"/>
      <c r="AR101" s="48"/>
      <c r="AS101" s="48"/>
      <c r="AT101" s="49"/>
      <c r="AU101" s="51"/>
      <c r="AV101" s="48"/>
      <c r="AW101" s="48"/>
      <c r="AX101" s="49"/>
    </row>
    <row r="102" spans="1:50" ht="15.75" thickBot="1" x14ac:dyDescent="0.3">
      <c r="A102" s="24"/>
      <c r="B102" s="24"/>
      <c r="C102" s="24"/>
      <c r="D102" s="24"/>
      <c r="E102" s="24"/>
      <c r="F102" s="25" t="s">
        <v>58</v>
      </c>
      <c r="G102" s="25">
        <v>0.05</v>
      </c>
      <c r="H102" s="25">
        <v>0.05</v>
      </c>
      <c r="I102" s="25">
        <v>1</v>
      </c>
      <c r="J102" s="25" t="s">
        <v>33</v>
      </c>
      <c r="K102" s="25">
        <f t="shared" si="45"/>
        <v>1.2</v>
      </c>
      <c r="L102" s="25">
        <f t="shared" si="46"/>
        <v>1.4</v>
      </c>
      <c r="M102" s="25">
        <f t="shared" si="47"/>
        <v>0.8</v>
      </c>
      <c r="N102" s="25">
        <f t="shared" si="48"/>
        <v>0.6</v>
      </c>
      <c r="O102" s="26">
        <v>4</v>
      </c>
      <c r="P102" s="25" t="s">
        <v>62</v>
      </c>
      <c r="Q102" s="25">
        <v>71073</v>
      </c>
      <c r="R102" s="19" t="s">
        <v>35</v>
      </c>
      <c r="S102" s="15" t="s">
        <v>58</v>
      </c>
      <c r="T102" s="38">
        <v>17</v>
      </c>
      <c r="U102" s="16">
        <v>8.4292414777722341E-2</v>
      </c>
      <c r="V102" s="43">
        <f t="shared" si="49"/>
        <v>1686.6</v>
      </c>
      <c r="W102" s="51"/>
      <c r="X102" s="48"/>
      <c r="Y102" s="48"/>
      <c r="Z102" s="49"/>
      <c r="AA102" s="47">
        <f t="shared" si="54"/>
        <v>1.4999999999999999E-2</v>
      </c>
      <c r="AB102" s="48"/>
      <c r="AC102" s="48"/>
      <c r="AD102" s="48"/>
      <c r="AE102" s="51"/>
      <c r="AF102" s="56"/>
      <c r="AG102" s="48"/>
      <c r="AH102" s="86"/>
      <c r="AI102" s="51"/>
      <c r="AJ102" s="41">
        <f t="shared" si="57"/>
        <v>1.7499999999999998E-2</v>
      </c>
      <c r="AK102" s="41">
        <f t="shared" si="58"/>
        <v>1.0000000000000002E-2</v>
      </c>
      <c r="AL102" s="49"/>
      <c r="AM102" s="51"/>
      <c r="AN102" s="48"/>
      <c r="AO102" s="48"/>
      <c r="AP102" s="132">
        <f t="shared" si="55"/>
        <v>7.4999999999999997E-3</v>
      </c>
      <c r="AQ102" s="51"/>
      <c r="AR102" s="48"/>
      <c r="AS102" s="48"/>
      <c r="AT102" s="49"/>
      <c r="AU102" s="51"/>
      <c r="AV102" s="48"/>
      <c r="AW102" s="48"/>
      <c r="AX102" s="49"/>
    </row>
    <row r="103" spans="1:50" ht="15.75" thickBot="1" x14ac:dyDescent="0.3">
      <c r="A103" s="24"/>
      <c r="B103" s="24"/>
      <c r="C103" s="24"/>
      <c r="D103" s="24"/>
      <c r="E103" s="24"/>
      <c r="F103" s="25" t="s">
        <v>58</v>
      </c>
      <c r="G103" s="25">
        <v>0.05</v>
      </c>
      <c r="H103" s="25">
        <v>0.05</v>
      </c>
      <c r="I103" s="25">
        <v>1</v>
      </c>
      <c r="J103" s="25" t="s">
        <v>33</v>
      </c>
      <c r="K103" s="25">
        <f t="shared" si="45"/>
        <v>1.2</v>
      </c>
      <c r="L103" s="25">
        <f t="shared" si="46"/>
        <v>1.4</v>
      </c>
      <c r="M103" s="25">
        <f t="shared" si="47"/>
        <v>0.8</v>
      </c>
      <c r="N103" s="25">
        <f t="shared" si="48"/>
        <v>0.6</v>
      </c>
      <c r="O103" s="26">
        <v>4</v>
      </c>
      <c r="P103" s="25" t="s">
        <v>62</v>
      </c>
      <c r="Q103" s="25">
        <v>71073</v>
      </c>
      <c r="R103" s="19" t="s">
        <v>35</v>
      </c>
      <c r="S103" s="15" t="s">
        <v>58</v>
      </c>
      <c r="T103" s="38">
        <v>18</v>
      </c>
      <c r="U103" s="16">
        <v>8.4292414777722341E-2</v>
      </c>
      <c r="V103" s="43">
        <f t="shared" si="49"/>
        <v>1686.6</v>
      </c>
      <c r="W103" s="51"/>
      <c r="X103" s="48"/>
      <c r="Y103" s="48"/>
      <c r="Z103" s="49"/>
      <c r="AA103" s="47">
        <f t="shared" si="54"/>
        <v>1.4999999999999999E-2</v>
      </c>
      <c r="AB103" s="48"/>
      <c r="AC103" s="48"/>
      <c r="AD103" s="48"/>
      <c r="AE103" s="51"/>
      <c r="AF103" s="56"/>
      <c r="AG103" s="48"/>
      <c r="AH103" s="86"/>
      <c r="AI103" s="51"/>
      <c r="AJ103" s="41">
        <f t="shared" si="57"/>
        <v>1.7499999999999998E-2</v>
      </c>
      <c r="AK103" s="41">
        <f t="shared" si="58"/>
        <v>1.0000000000000002E-2</v>
      </c>
      <c r="AL103" s="49"/>
      <c r="AM103" s="51"/>
      <c r="AN103" s="48"/>
      <c r="AO103" s="48"/>
      <c r="AP103" s="132">
        <f t="shared" si="55"/>
        <v>7.4999999999999997E-3</v>
      </c>
      <c r="AQ103" s="51"/>
      <c r="AR103" s="48"/>
      <c r="AS103" s="48"/>
      <c r="AT103" s="49"/>
      <c r="AU103" s="51"/>
      <c r="AV103" s="48"/>
      <c r="AW103" s="48"/>
      <c r="AX103" s="49"/>
    </row>
    <row r="104" spans="1:50" ht="15.75" thickBot="1" x14ac:dyDescent="0.3">
      <c r="A104" s="24"/>
      <c r="B104" s="24"/>
      <c r="C104" s="24"/>
      <c r="D104" s="24"/>
      <c r="E104" s="24"/>
      <c r="F104" s="25" t="s">
        <v>58</v>
      </c>
      <c r="G104" s="25">
        <v>0.05</v>
      </c>
      <c r="H104" s="25">
        <v>0.05</v>
      </c>
      <c r="I104" s="25">
        <v>1</v>
      </c>
      <c r="J104" s="25" t="s">
        <v>33</v>
      </c>
      <c r="K104" s="25">
        <f t="shared" si="45"/>
        <v>1.2</v>
      </c>
      <c r="L104" s="25">
        <f t="shared" si="46"/>
        <v>1.4</v>
      </c>
      <c r="M104" s="25">
        <f t="shared" si="47"/>
        <v>0.8</v>
      </c>
      <c r="N104" s="25">
        <f t="shared" si="48"/>
        <v>0.6</v>
      </c>
      <c r="O104" s="26">
        <v>4</v>
      </c>
      <c r="P104" s="25" t="s">
        <v>62</v>
      </c>
      <c r="Q104" s="25">
        <v>71073</v>
      </c>
      <c r="R104" s="19" t="s">
        <v>35</v>
      </c>
      <c r="S104" s="15" t="s">
        <v>58</v>
      </c>
      <c r="T104" s="38">
        <v>19</v>
      </c>
      <c r="U104" s="16">
        <v>8.4292414777722341E-2</v>
      </c>
      <c r="V104" s="43">
        <f t="shared" si="49"/>
        <v>1686.6</v>
      </c>
      <c r="W104" s="51"/>
      <c r="X104" s="48"/>
      <c r="Y104" s="48"/>
      <c r="Z104" s="49"/>
      <c r="AA104" s="47">
        <f t="shared" si="54"/>
        <v>1.4999999999999999E-2</v>
      </c>
      <c r="AB104" s="48"/>
      <c r="AC104" s="48"/>
      <c r="AD104" s="48"/>
      <c r="AE104" s="51"/>
      <c r="AF104" s="56"/>
      <c r="AG104" s="48"/>
      <c r="AH104" s="86"/>
      <c r="AI104" s="51"/>
      <c r="AJ104" s="41">
        <f t="shared" si="57"/>
        <v>1.7499999999999998E-2</v>
      </c>
      <c r="AK104" s="41">
        <f t="shared" si="58"/>
        <v>1.0000000000000002E-2</v>
      </c>
      <c r="AL104" s="49"/>
      <c r="AM104" s="51"/>
      <c r="AN104" s="48"/>
      <c r="AO104" s="48"/>
      <c r="AP104" s="132">
        <f t="shared" si="55"/>
        <v>7.4999999999999997E-3</v>
      </c>
      <c r="AQ104" s="51"/>
      <c r="AR104" s="48"/>
      <c r="AS104" s="48"/>
      <c r="AT104" s="49"/>
      <c r="AU104" s="51"/>
      <c r="AV104" s="48"/>
      <c r="AW104" s="48"/>
      <c r="AX104" s="49"/>
    </row>
    <row r="105" spans="1:50" ht="15.75" thickBot="1" x14ac:dyDescent="0.3">
      <c r="A105" s="24"/>
      <c r="B105" s="24"/>
      <c r="C105" s="24"/>
      <c r="D105" s="24"/>
      <c r="E105" s="24"/>
      <c r="F105" s="25" t="s">
        <v>58</v>
      </c>
      <c r="G105" s="25">
        <v>0.05</v>
      </c>
      <c r="H105" s="25">
        <v>0.05</v>
      </c>
      <c r="I105" s="25">
        <v>1</v>
      </c>
      <c r="J105" s="25" t="s">
        <v>33</v>
      </c>
      <c r="K105" s="25">
        <f t="shared" si="45"/>
        <v>1.2</v>
      </c>
      <c r="L105" s="25">
        <f t="shared" si="46"/>
        <v>1.4</v>
      </c>
      <c r="M105" s="25">
        <f t="shared" si="47"/>
        <v>0.8</v>
      </c>
      <c r="N105" s="25">
        <f t="shared" si="48"/>
        <v>0.6</v>
      </c>
      <c r="O105" s="26">
        <v>4</v>
      </c>
      <c r="P105" s="25" t="s">
        <v>62</v>
      </c>
      <c r="Q105" s="25">
        <v>71073</v>
      </c>
      <c r="R105" s="19" t="s">
        <v>35</v>
      </c>
      <c r="S105" s="15" t="s">
        <v>58</v>
      </c>
      <c r="T105" s="38">
        <v>20</v>
      </c>
      <c r="U105" s="16">
        <v>8.4292414777722341E-2</v>
      </c>
      <c r="V105" s="43">
        <f t="shared" si="49"/>
        <v>1686.6</v>
      </c>
      <c r="W105" s="51"/>
      <c r="X105" s="48"/>
      <c r="Y105" s="48"/>
      <c r="Z105" s="49"/>
      <c r="AA105" s="47">
        <f t="shared" si="54"/>
        <v>1.4999999999999999E-2</v>
      </c>
      <c r="AB105" s="48"/>
      <c r="AC105" s="48"/>
      <c r="AD105" s="48"/>
      <c r="AE105" s="51"/>
      <c r="AF105" s="56"/>
      <c r="AG105" s="48"/>
      <c r="AH105" s="86"/>
      <c r="AI105" s="51"/>
      <c r="AJ105" s="41">
        <f t="shared" si="57"/>
        <v>1.7499999999999998E-2</v>
      </c>
      <c r="AK105" s="41">
        <f t="shared" si="58"/>
        <v>1.0000000000000002E-2</v>
      </c>
      <c r="AL105" s="49"/>
      <c r="AM105" s="51"/>
      <c r="AN105" s="48"/>
      <c r="AO105" s="48"/>
      <c r="AP105" s="132">
        <f t="shared" si="55"/>
        <v>7.4999999999999997E-3</v>
      </c>
      <c r="AQ105" s="51"/>
      <c r="AR105" s="48"/>
      <c r="AS105" s="48"/>
      <c r="AT105" s="49"/>
      <c r="AU105" s="51"/>
      <c r="AV105" s="48"/>
      <c r="AW105" s="48"/>
      <c r="AX105" s="49"/>
    </row>
    <row r="106" spans="1:50" ht="15.75" thickBot="1" x14ac:dyDescent="0.3">
      <c r="A106" s="24"/>
      <c r="B106" s="24"/>
      <c r="C106" s="24"/>
      <c r="D106" s="24"/>
      <c r="E106" s="24"/>
      <c r="F106" s="25" t="s">
        <v>58</v>
      </c>
      <c r="G106" s="25">
        <v>0.05</v>
      </c>
      <c r="H106" s="25">
        <v>0.05</v>
      </c>
      <c r="I106" s="25">
        <v>1</v>
      </c>
      <c r="J106" s="25" t="s">
        <v>33</v>
      </c>
      <c r="K106" s="25">
        <f t="shared" si="45"/>
        <v>1.2</v>
      </c>
      <c r="L106" s="25">
        <f t="shared" si="46"/>
        <v>1.4</v>
      </c>
      <c r="M106" s="25">
        <f t="shared" si="47"/>
        <v>0.8</v>
      </c>
      <c r="N106" s="25">
        <f t="shared" si="48"/>
        <v>0.6</v>
      </c>
      <c r="O106" s="26">
        <v>4</v>
      </c>
      <c r="P106" s="25" t="s">
        <v>62</v>
      </c>
      <c r="Q106" s="25">
        <v>71073</v>
      </c>
      <c r="R106" s="19" t="s">
        <v>35</v>
      </c>
      <c r="S106" s="15" t="s">
        <v>58</v>
      </c>
      <c r="T106" s="38">
        <v>21</v>
      </c>
      <c r="U106" s="16">
        <v>8.4292414777722341E-2</v>
      </c>
      <c r="V106" s="43">
        <f t="shared" si="49"/>
        <v>1686.6</v>
      </c>
      <c r="W106" s="51"/>
      <c r="X106" s="48"/>
      <c r="Y106" s="48"/>
      <c r="Z106" s="49"/>
      <c r="AA106" s="47">
        <f t="shared" si="54"/>
        <v>1.4999999999999999E-2</v>
      </c>
      <c r="AB106" s="48"/>
      <c r="AC106" s="48"/>
      <c r="AD106" s="48"/>
      <c r="AE106" s="51"/>
      <c r="AF106" s="56"/>
      <c r="AG106" s="48"/>
      <c r="AH106" s="86"/>
      <c r="AI106" s="51"/>
      <c r="AJ106" s="41">
        <f t="shared" si="57"/>
        <v>1.7499999999999998E-2</v>
      </c>
      <c r="AK106" s="41">
        <f t="shared" si="58"/>
        <v>1.0000000000000002E-2</v>
      </c>
      <c r="AL106" s="49"/>
      <c r="AM106" s="51"/>
      <c r="AN106" s="48"/>
      <c r="AO106" s="48"/>
      <c r="AP106" s="132">
        <f t="shared" si="55"/>
        <v>7.4999999999999997E-3</v>
      </c>
      <c r="AQ106" s="51"/>
      <c r="AR106" s="48"/>
      <c r="AS106" s="48"/>
      <c r="AT106" s="49"/>
      <c r="AU106" s="51"/>
      <c r="AV106" s="48"/>
      <c r="AW106" s="48"/>
      <c r="AX106" s="49"/>
    </row>
    <row r="107" spans="1:50" ht="15.75" thickBot="1" x14ac:dyDescent="0.3">
      <c r="A107" s="24"/>
      <c r="B107" s="24"/>
      <c r="C107" s="24"/>
      <c r="D107" s="24"/>
      <c r="E107" s="24"/>
      <c r="F107" s="25" t="s">
        <v>58</v>
      </c>
      <c r="G107" s="25">
        <v>0.05</v>
      </c>
      <c r="H107" s="25">
        <v>0.05</v>
      </c>
      <c r="I107" s="25">
        <v>1</v>
      </c>
      <c r="J107" s="25" t="s">
        <v>33</v>
      </c>
      <c r="K107" s="25">
        <f t="shared" si="45"/>
        <v>1.2</v>
      </c>
      <c r="L107" s="25">
        <f t="shared" si="46"/>
        <v>1.4</v>
      </c>
      <c r="M107" s="25">
        <f t="shared" si="47"/>
        <v>0.8</v>
      </c>
      <c r="N107" s="25">
        <f t="shared" si="48"/>
        <v>0.6</v>
      </c>
      <c r="O107" s="26">
        <v>4</v>
      </c>
      <c r="P107" s="25" t="s">
        <v>62</v>
      </c>
      <c r="Q107" s="25">
        <v>71073</v>
      </c>
      <c r="R107" s="19" t="s">
        <v>35</v>
      </c>
      <c r="S107" s="15" t="s">
        <v>58</v>
      </c>
      <c r="T107" s="38">
        <v>22</v>
      </c>
      <c r="U107" s="16">
        <v>8.4292414777722341E-2</v>
      </c>
      <c r="V107" s="43">
        <f t="shared" si="49"/>
        <v>1686.6</v>
      </c>
      <c r="W107" s="51"/>
      <c r="X107" s="48"/>
      <c r="Y107" s="48"/>
      <c r="Z107" s="49"/>
      <c r="AA107" s="47">
        <f t="shared" si="54"/>
        <v>1.4999999999999999E-2</v>
      </c>
      <c r="AB107" s="48"/>
      <c r="AC107" s="48"/>
      <c r="AD107" s="48"/>
      <c r="AE107" s="51"/>
      <c r="AF107" s="56"/>
      <c r="AG107" s="48"/>
      <c r="AH107" s="86"/>
      <c r="AI107" s="51"/>
      <c r="AJ107" s="41">
        <f t="shared" si="57"/>
        <v>1.7499999999999998E-2</v>
      </c>
      <c r="AK107" s="41">
        <f t="shared" si="58"/>
        <v>1.0000000000000002E-2</v>
      </c>
      <c r="AL107" s="49"/>
      <c r="AM107" s="51"/>
      <c r="AN107" s="48"/>
      <c r="AO107" s="48"/>
      <c r="AP107" s="132">
        <f t="shared" si="55"/>
        <v>7.4999999999999997E-3</v>
      </c>
      <c r="AQ107" s="51"/>
      <c r="AR107" s="48"/>
      <c r="AS107" s="48"/>
      <c r="AT107" s="49"/>
      <c r="AU107" s="51"/>
      <c r="AV107" s="48"/>
      <c r="AW107" s="48"/>
      <c r="AX107" s="49"/>
    </row>
    <row r="108" spans="1:50" ht="15.75" thickBot="1" x14ac:dyDescent="0.3">
      <c r="A108" s="24"/>
      <c r="B108" s="24"/>
      <c r="C108" s="24"/>
      <c r="D108" s="24"/>
      <c r="E108" s="24"/>
      <c r="F108" s="25" t="s">
        <v>58</v>
      </c>
      <c r="G108" s="25">
        <v>0.05</v>
      </c>
      <c r="H108" s="25">
        <v>0.05</v>
      </c>
      <c r="I108" s="25">
        <v>1</v>
      </c>
      <c r="J108" s="25" t="s">
        <v>33</v>
      </c>
      <c r="K108" s="25">
        <f t="shared" si="45"/>
        <v>1.2</v>
      </c>
      <c r="L108" s="25">
        <f t="shared" si="46"/>
        <v>1.4</v>
      </c>
      <c r="M108" s="25">
        <f t="shared" si="47"/>
        <v>0.8</v>
      </c>
      <c r="N108" s="25">
        <f t="shared" si="48"/>
        <v>0.6</v>
      </c>
      <c r="O108" s="26">
        <v>4</v>
      </c>
      <c r="P108" s="25" t="s">
        <v>62</v>
      </c>
      <c r="Q108" s="25">
        <v>71073</v>
      </c>
      <c r="R108" s="19" t="s">
        <v>35</v>
      </c>
      <c r="S108" s="15" t="s">
        <v>58</v>
      </c>
      <c r="T108" s="38">
        <v>23</v>
      </c>
      <c r="U108" s="16">
        <v>8.4292414777722341E-2</v>
      </c>
      <c r="V108" s="43">
        <f t="shared" si="49"/>
        <v>1686.6</v>
      </c>
      <c r="W108" s="51"/>
      <c r="X108" s="48"/>
      <c r="Y108" s="48"/>
      <c r="Z108" s="49"/>
      <c r="AA108" s="47">
        <f t="shared" si="54"/>
        <v>1.4999999999999999E-2</v>
      </c>
      <c r="AB108" s="48"/>
      <c r="AC108" s="48"/>
      <c r="AD108" s="48"/>
      <c r="AE108" s="51"/>
      <c r="AF108" s="56"/>
      <c r="AG108" s="48"/>
      <c r="AH108" s="86"/>
      <c r="AI108" s="51"/>
      <c r="AJ108" s="41">
        <f t="shared" si="57"/>
        <v>1.7499999999999998E-2</v>
      </c>
      <c r="AK108" s="41">
        <f t="shared" si="58"/>
        <v>1.0000000000000002E-2</v>
      </c>
      <c r="AL108" s="49"/>
      <c r="AM108" s="51"/>
      <c r="AN108" s="48"/>
      <c r="AO108" s="48"/>
      <c r="AP108" s="132">
        <f t="shared" si="55"/>
        <v>7.4999999999999997E-3</v>
      </c>
      <c r="AQ108" s="51"/>
      <c r="AR108" s="48"/>
      <c r="AS108" s="48"/>
      <c r="AT108" s="49"/>
      <c r="AU108" s="51"/>
      <c r="AV108" s="48"/>
      <c r="AW108" s="48"/>
      <c r="AX108" s="49"/>
    </row>
    <row r="109" spans="1:50" ht="15.75" thickBot="1" x14ac:dyDescent="0.3">
      <c r="A109" s="24"/>
      <c r="B109" s="24"/>
      <c r="C109" s="24"/>
      <c r="D109" s="24"/>
      <c r="E109" s="24"/>
      <c r="F109" s="25" t="s">
        <v>58</v>
      </c>
      <c r="G109" s="25">
        <v>0.05</v>
      </c>
      <c r="H109" s="25">
        <v>0.05</v>
      </c>
      <c r="I109" s="25">
        <v>1</v>
      </c>
      <c r="J109" s="25" t="s">
        <v>33</v>
      </c>
      <c r="K109" s="25">
        <f t="shared" si="45"/>
        <v>1.2</v>
      </c>
      <c r="L109" s="25">
        <f t="shared" si="46"/>
        <v>1.4</v>
      </c>
      <c r="M109" s="25">
        <f t="shared" si="47"/>
        <v>0.8</v>
      </c>
      <c r="N109" s="25">
        <f t="shared" si="48"/>
        <v>0.6</v>
      </c>
      <c r="O109" s="26">
        <v>4</v>
      </c>
      <c r="P109" s="25" t="s">
        <v>62</v>
      </c>
      <c r="Q109" s="25">
        <v>71073</v>
      </c>
      <c r="R109" s="19" t="s">
        <v>35</v>
      </c>
      <c r="S109" s="15" t="s">
        <v>58</v>
      </c>
      <c r="T109" s="38">
        <v>24</v>
      </c>
      <c r="U109" s="16">
        <v>8.4292414777722341E-2</v>
      </c>
      <c r="V109" s="43">
        <f t="shared" si="49"/>
        <v>1686.6</v>
      </c>
      <c r="W109" s="51"/>
      <c r="X109" s="48"/>
      <c r="Y109" s="48"/>
      <c r="Z109" s="49"/>
      <c r="AA109" s="47">
        <f t="shared" si="54"/>
        <v>1.4999999999999999E-2</v>
      </c>
      <c r="AB109" s="48"/>
      <c r="AC109" s="48"/>
      <c r="AD109" s="48"/>
      <c r="AE109" s="51"/>
      <c r="AF109" s="56"/>
      <c r="AG109" s="48"/>
      <c r="AH109" s="86"/>
      <c r="AI109" s="51"/>
      <c r="AJ109" s="41">
        <f t="shared" si="57"/>
        <v>1.7499999999999998E-2</v>
      </c>
      <c r="AK109" s="41">
        <f t="shared" si="58"/>
        <v>1.0000000000000002E-2</v>
      </c>
      <c r="AL109" s="49"/>
      <c r="AM109" s="51"/>
      <c r="AN109" s="48"/>
      <c r="AO109" s="48"/>
      <c r="AP109" s="132">
        <f t="shared" si="55"/>
        <v>7.4999999999999997E-3</v>
      </c>
      <c r="AQ109" s="51"/>
      <c r="AR109" s="48"/>
      <c r="AS109" s="48"/>
      <c r="AT109" s="49"/>
      <c r="AU109" s="51"/>
      <c r="AV109" s="48"/>
      <c r="AW109" s="48"/>
      <c r="AX109" s="49"/>
    </row>
    <row r="110" spans="1:50" ht="15.75" thickBot="1" x14ac:dyDescent="0.3">
      <c r="A110" s="24"/>
      <c r="B110" s="24"/>
      <c r="C110" s="24"/>
      <c r="D110" s="24"/>
      <c r="E110" s="24"/>
      <c r="F110" s="25" t="s">
        <v>58</v>
      </c>
      <c r="G110" s="25">
        <v>0.05</v>
      </c>
      <c r="H110" s="25">
        <v>0.05</v>
      </c>
      <c r="I110" s="25">
        <v>1</v>
      </c>
      <c r="J110" s="25" t="s">
        <v>33</v>
      </c>
      <c r="K110" s="25">
        <f t="shared" si="45"/>
        <v>1.2</v>
      </c>
      <c r="L110" s="25">
        <f t="shared" si="46"/>
        <v>1.4</v>
      </c>
      <c r="M110" s="25">
        <f t="shared" si="47"/>
        <v>0.8</v>
      </c>
      <c r="N110" s="25">
        <f t="shared" si="48"/>
        <v>0.6</v>
      </c>
      <c r="O110" s="26">
        <v>4</v>
      </c>
      <c r="P110" s="25" t="s">
        <v>62</v>
      </c>
      <c r="Q110" s="25">
        <v>71073</v>
      </c>
      <c r="R110" s="19" t="s">
        <v>35</v>
      </c>
      <c r="S110" s="15" t="s">
        <v>58</v>
      </c>
      <c r="T110" s="38">
        <v>25</v>
      </c>
      <c r="U110" s="16">
        <v>8.4292414777722341E-2</v>
      </c>
      <c r="V110" s="43">
        <f t="shared" si="49"/>
        <v>1686.6</v>
      </c>
      <c r="W110" s="51"/>
      <c r="X110" s="48"/>
      <c r="Y110" s="48"/>
      <c r="Z110" s="49"/>
      <c r="AA110" s="47">
        <f t="shared" si="54"/>
        <v>1.4999999999999999E-2</v>
      </c>
      <c r="AB110" s="48"/>
      <c r="AC110" s="48"/>
      <c r="AD110" s="48"/>
      <c r="AE110" s="51"/>
      <c r="AF110" s="56"/>
      <c r="AG110" s="48"/>
      <c r="AH110" s="86"/>
      <c r="AI110" s="51"/>
      <c r="AJ110" s="41">
        <f t="shared" si="57"/>
        <v>1.7499999999999998E-2</v>
      </c>
      <c r="AK110" s="41">
        <f t="shared" si="58"/>
        <v>1.0000000000000002E-2</v>
      </c>
      <c r="AL110" s="49"/>
      <c r="AM110" s="51"/>
      <c r="AN110" s="48"/>
      <c r="AO110" s="48"/>
      <c r="AP110" s="132">
        <f t="shared" si="55"/>
        <v>7.4999999999999997E-3</v>
      </c>
      <c r="AQ110" s="51"/>
      <c r="AR110" s="48"/>
      <c r="AS110" s="48"/>
      <c r="AT110" s="49"/>
      <c r="AU110" s="51"/>
      <c r="AV110" s="48"/>
      <c r="AW110" s="48"/>
      <c r="AX110" s="49"/>
    </row>
    <row r="111" spans="1:50" ht="15.75" thickBot="1" x14ac:dyDescent="0.3">
      <c r="A111" s="24"/>
      <c r="B111" s="24"/>
      <c r="C111" s="24"/>
      <c r="D111" s="24"/>
      <c r="E111" s="24"/>
      <c r="F111" s="25" t="s">
        <v>58</v>
      </c>
      <c r="G111" s="25">
        <v>0.05</v>
      </c>
      <c r="H111" s="25">
        <v>0.05</v>
      </c>
      <c r="I111" s="25">
        <v>1</v>
      </c>
      <c r="J111" s="25" t="s">
        <v>33</v>
      </c>
      <c r="K111" s="25">
        <f t="shared" si="45"/>
        <v>1.2</v>
      </c>
      <c r="L111" s="25">
        <f t="shared" si="46"/>
        <v>1.4</v>
      </c>
      <c r="M111" s="25">
        <f t="shared" si="47"/>
        <v>0.8</v>
      </c>
      <c r="N111" s="25">
        <f t="shared" si="48"/>
        <v>0.6</v>
      </c>
      <c r="O111" s="26">
        <v>4</v>
      </c>
      <c r="P111" s="25" t="s">
        <v>62</v>
      </c>
      <c r="Q111" s="25">
        <v>71073</v>
      </c>
      <c r="R111" s="19" t="s">
        <v>35</v>
      </c>
      <c r="S111" s="15" t="s">
        <v>58</v>
      </c>
      <c r="T111" s="38">
        <v>26</v>
      </c>
      <c r="U111" s="16">
        <v>8.4292414777722341E-2</v>
      </c>
      <c r="V111" s="43">
        <f t="shared" si="49"/>
        <v>1686.6</v>
      </c>
      <c r="W111" s="51"/>
      <c r="X111" s="48"/>
      <c r="Y111" s="48"/>
      <c r="Z111" s="49"/>
      <c r="AA111" s="47">
        <f t="shared" si="54"/>
        <v>1.4999999999999999E-2</v>
      </c>
      <c r="AB111" s="48"/>
      <c r="AC111" s="48"/>
      <c r="AD111" s="48"/>
      <c r="AE111" s="51"/>
      <c r="AF111" s="56"/>
      <c r="AG111" s="48"/>
      <c r="AH111" s="86"/>
      <c r="AI111" s="51"/>
      <c r="AJ111" s="41">
        <f t="shared" si="57"/>
        <v>1.7499999999999998E-2</v>
      </c>
      <c r="AK111" s="41">
        <f t="shared" si="58"/>
        <v>1.0000000000000002E-2</v>
      </c>
      <c r="AL111" s="49"/>
      <c r="AM111" s="51"/>
      <c r="AN111" s="48"/>
      <c r="AO111" s="48"/>
      <c r="AP111" s="132">
        <f t="shared" si="55"/>
        <v>7.4999999999999997E-3</v>
      </c>
      <c r="AQ111" s="51"/>
      <c r="AR111" s="48"/>
      <c r="AS111" s="48"/>
      <c r="AT111" s="49"/>
      <c r="AU111" s="51"/>
      <c r="AV111" s="48"/>
      <c r="AW111" s="48"/>
      <c r="AX111" s="49"/>
    </row>
    <row r="112" spans="1:50" ht="15.75" thickBot="1" x14ac:dyDescent="0.3">
      <c r="A112" s="24"/>
      <c r="B112" s="24"/>
      <c r="C112" s="24"/>
      <c r="D112" s="24"/>
      <c r="E112" s="24"/>
      <c r="F112" s="25" t="s">
        <v>58</v>
      </c>
      <c r="G112" s="25">
        <v>0.05</v>
      </c>
      <c r="H112" s="25">
        <v>0.05</v>
      </c>
      <c r="I112" s="25">
        <v>1</v>
      </c>
      <c r="J112" s="25" t="s">
        <v>33</v>
      </c>
      <c r="K112" s="25">
        <f t="shared" si="45"/>
        <v>1.2</v>
      </c>
      <c r="L112" s="25">
        <f t="shared" si="46"/>
        <v>1.4</v>
      </c>
      <c r="M112" s="25">
        <f t="shared" si="47"/>
        <v>0.8</v>
      </c>
      <c r="N112" s="25">
        <f t="shared" si="48"/>
        <v>0.6</v>
      </c>
      <c r="O112" s="26">
        <v>4</v>
      </c>
      <c r="P112" s="25" t="s">
        <v>62</v>
      </c>
      <c r="Q112" s="25">
        <v>71073</v>
      </c>
      <c r="R112" s="19" t="s">
        <v>35</v>
      </c>
      <c r="S112" s="15" t="s">
        <v>58</v>
      </c>
      <c r="T112" s="38">
        <v>27</v>
      </c>
      <c r="U112" s="16">
        <v>8.4292414777722341E-2</v>
      </c>
      <c r="V112" s="43">
        <f t="shared" si="49"/>
        <v>1686.6</v>
      </c>
      <c r="W112" s="51"/>
      <c r="X112" s="48"/>
      <c r="Y112" s="48"/>
      <c r="Z112" s="49"/>
      <c r="AA112" s="47">
        <f t="shared" si="54"/>
        <v>1.4999999999999999E-2</v>
      </c>
      <c r="AB112" s="48"/>
      <c r="AC112" s="48"/>
      <c r="AD112" s="48"/>
      <c r="AE112" s="51"/>
      <c r="AF112" s="56"/>
      <c r="AG112" s="48"/>
      <c r="AH112" s="86"/>
      <c r="AI112" s="51"/>
      <c r="AJ112" s="41">
        <f t="shared" si="57"/>
        <v>1.7499999999999998E-2</v>
      </c>
      <c r="AK112" s="41">
        <f t="shared" si="58"/>
        <v>1.0000000000000002E-2</v>
      </c>
      <c r="AL112" s="49"/>
      <c r="AM112" s="51"/>
      <c r="AN112" s="48"/>
      <c r="AO112" s="48"/>
      <c r="AP112" s="132">
        <f t="shared" si="55"/>
        <v>7.4999999999999997E-3</v>
      </c>
      <c r="AQ112" s="51"/>
      <c r="AR112" s="48"/>
      <c r="AS112" s="48"/>
      <c r="AT112" s="49"/>
      <c r="AU112" s="51"/>
      <c r="AV112" s="48"/>
      <c r="AW112" s="48"/>
      <c r="AX112" s="49"/>
    </row>
    <row r="113" spans="1:50" ht="15.75" thickBot="1" x14ac:dyDescent="0.3">
      <c r="A113" s="24"/>
      <c r="B113" s="24"/>
      <c r="C113" s="24"/>
      <c r="D113" s="24"/>
      <c r="E113" s="24"/>
      <c r="F113" s="25" t="s">
        <v>58</v>
      </c>
      <c r="G113" s="25">
        <v>0.05</v>
      </c>
      <c r="H113" s="25">
        <v>0.05</v>
      </c>
      <c r="I113" s="25">
        <v>1</v>
      </c>
      <c r="J113" s="25" t="s">
        <v>33</v>
      </c>
      <c r="K113" s="25">
        <f t="shared" si="45"/>
        <v>1.2</v>
      </c>
      <c r="L113" s="25">
        <f t="shared" si="46"/>
        <v>1.4</v>
      </c>
      <c r="M113" s="25">
        <f t="shared" si="47"/>
        <v>0.8</v>
      </c>
      <c r="N113" s="25">
        <f t="shared" si="48"/>
        <v>0.6</v>
      </c>
      <c r="O113" s="26">
        <v>4</v>
      </c>
      <c r="P113" s="25" t="s">
        <v>62</v>
      </c>
      <c r="Q113" s="25">
        <v>71073</v>
      </c>
      <c r="R113" s="19" t="s">
        <v>35</v>
      </c>
      <c r="S113" s="15" t="s">
        <v>58</v>
      </c>
      <c r="T113" s="38">
        <v>28</v>
      </c>
      <c r="U113" s="16">
        <v>8.4292414777722341E-2</v>
      </c>
      <c r="V113" s="43">
        <f t="shared" si="49"/>
        <v>1686.6</v>
      </c>
      <c r="W113" s="51"/>
      <c r="X113" s="48"/>
      <c r="Y113" s="48"/>
      <c r="Z113" s="49"/>
      <c r="AA113" s="47">
        <f t="shared" si="54"/>
        <v>1.4999999999999999E-2</v>
      </c>
      <c r="AB113" s="48"/>
      <c r="AC113" s="48"/>
      <c r="AD113" s="48"/>
      <c r="AE113" s="51"/>
      <c r="AF113" s="56"/>
      <c r="AG113" s="48"/>
      <c r="AH113" s="86"/>
      <c r="AI113" s="51"/>
      <c r="AJ113" s="41">
        <f t="shared" si="57"/>
        <v>1.7499999999999998E-2</v>
      </c>
      <c r="AK113" s="41">
        <f t="shared" si="58"/>
        <v>1.0000000000000002E-2</v>
      </c>
      <c r="AL113" s="49"/>
      <c r="AM113" s="51"/>
      <c r="AN113" s="48"/>
      <c r="AO113" s="48"/>
      <c r="AP113" s="132">
        <f t="shared" si="55"/>
        <v>7.4999999999999997E-3</v>
      </c>
      <c r="AQ113" s="51"/>
      <c r="AR113" s="48"/>
      <c r="AS113" s="48"/>
      <c r="AT113" s="49"/>
      <c r="AU113" s="51"/>
      <c r="AV113" s="48"/>
      <c r="AW113" s="48"/>
      <c r="AX113" s="49"/>
    </row>
    <row r="114" spans="1:50" ht="15.75" thickBot="1" x14ac:dyDescent="0.3">
      <c r="A114" s="24"/>
      <c r="B114" s="24"/>
      <c r="C114" s="24"/>
      <c r="D114" s="24"/>
      <c r="E114" s="24"/>
      <c r="F114" s="25" t="s">
        <v>58</v>
      </c>
      <c r="G114" s="25">
        <v>0.05</v>
      </c>
      <c r="H114" s="25">
        <v>0.05</v>
      </c>
      <c r="I114" s="25">
        <v>1</v>
      </c>
      <c r="J114" s="25" t="s">
        <v>33</v>
      </c>
      <c r="K114" s="25">
        <f t="shared" si="45"/>
        <v>1.2</v>
      </c>
      <c r="L114" s="25">
        <f t="shared" si="46"/>
        <v>1.4</v>
      </c>
      <c r="M114" s="25">
        <f t="shared" si="47"/>
        <v>0.8</v>
      </c>
      <c r="N114" s="25">
        <f t="shared" si="48"/>
        <v>0.6</v>
      </c>
      <c r="O114" s="26">
        <v>4</v>
      </c>
      <c r="P114" s="25" t="s">
        <v>62</v>
      </c>
      <c r="Q114" s="25">
        <v>71073</v>
      </c>
      <c r="R114" s="19" t="s">
        <v>35</v>
      </c>
      <c r="S114" s="15" t="s">
        <v>58</v>
      </c>
      <c r="T114" s="38">
        <v>29</v>
      </c>
      <c r="U114" s="16">
        <v>8.4292414777722341E-2</v>
      </c>
      <c r="V114" s="43">
        <f t="shared" si="49"/>
        <v>1686.6</v>
      </c>
      <c r="W114" s="51"/>
      <c r="X114" s="48"/>
      <c r="Y114" s="48"/>
      <c r="Z114" s="49"/>
      <c r="AA114" s="47">
        <f t="shared" si="54"/>
        <v>1.4999999999999999E-2</v>
      </c>
      <c r="AB114" s="48"/>
      <c r="AC114" s="48"/>
      <c r="AD114" s="48"/>
      <c r="AE114" s="51"/>
      <c r="AF114" s="56"/>
      <c r="AG114" s="48"/>
      <c r="AH114" s="86"/>
      <c r="AI114" s="51"/>
      <c r="AJ114" s="41">
        <f t="shared" si="57"/>
        <v>1.7499999999999998E-2</v>
      </c>
      <c r="AK114" s="41">
        <f t="shared" si="58"/>
        <v>1.0000000000000002E-2</v>
      </c>
      <c r="AL114" s="49"/>
      <c r="AM114" s="51"/>
      <c r="AN114" s="48"/>
      <c r="AO114" s="48"/>
      <c r="AP114" s="132">
        <f t="shared" si="55"/>
        <v>7.4999999999999997E-3</v>
      </c>
      <c r="AQ114" s="51"/>
      <c r="AR114" s="48"/>
      <c r="AS114" s="48"/>
      <c r="AT114" s="49"/>
      <c r="AU114" s="51"/>
      <c r="AV114" s="48"/>
      <c r="AW114" s="48"/>
      <c r="AX114" s="49"/>
    </row>
    <row r="115" spans="1:50" ht="15.75" thickBot="1" x14ac:dyDescent="0.3">
      <c r="A115" s="24"/>
      <c r="B115" s="24"/>
      <c r="C115" s="24"/>
      <c r="D115" s="24"/>
      <c r="E115" s="24"/>
      <c r="F115" s="25" t="s">
        <v>58</v>
      </c>
      <c r="G115" s="25">
        <v>0.05</v>
      </c>
      <c r="H115" s="25">
        <v>0.05</v>
      </c>
      <c r="I115" s="25">
        <v>1</v>
      </c>
      <c r="J115" s="25" t="s">
        <v>33</v>
      </c>
      <c r="K115" s="25">
        <f t="shared" si="45"/>
        <v>1.2</v>
      </c>
      <c r="L115" s="25">
        <f t="shared" si="46"/>
        <v>1.4</v>
      </c>
      <c r="M115" s="25">
        <f t="shared" si="47"/>
        <v>0.8</v>
      </c>
      <c r="N115" s="25">
        <f t="shared" si="48"/>
        <v>0.6</v>
      </c>
      <c r="O115" s="26">
        <v>4</v>
      </c>
      <c r="P115" s="25" t="s">
        <v>62</v>
      </c>
      <c r="Q115" s="25">
        <v>71073</v>
      </c>
      <c r="R115" s="19" t="s">
        <v>35</v>
      </c>
      <c r="S115" s="15" t="s">
        <v>58</v>
      </c>
      <c r="T115" s="38">
        <v>30</v>
      </c>
      <c r="U115" s="16">
        <v>8.4292414777722341E-2</v>
      </c>
      <c r="V115" s="43">
        <f t="shared" si="49"/>
        <v>1686.6</v>
      </c>
      <c r="W115" s="51"/>
      <c r="X115" s="48"/>
      <c r="Y115" s="48"/>
      <c r="Z115" s="49"/>
      <c r="AA115" s="47">
        <f t="shared" si="54"/>
        <v>1.4999999999999999E-2</v>
      </c>
      <c r="AB115" s="48"/>
      <c r="AC115" s="48"/>
      <c r="AD115" s="48"/>
      <c r="AE115" s="51"/>
      <c r="AF115" s="56"/>
      <c r="AG115" s="48"/>
      <c r="AH115" s="86"/>
      <c r="AI115" s="51"/>
      <c r="AJ115" s="41">
        <f t="shared" si="57"/>
        <v>1.7499999999999998E-2</v>
      </c>
      <c r="AK115" s="41">
        <f t="shared" si="58"/>
        <v>1.0000000000000002E-2</v>
      </c>
      <c r="AL115" s="49"/>
      <c r="AM115" s="51"/>
      <c r="AN115" s="48"/>
      <c r="AO115" s="48"/>
      <c r="AP115" s="132">
        <f t="shared" si="55"/>
        <v>7.4999999999999997E-3</v>
      </c>
      <c r="AQ115" s="51"/>
      <c r="AR115" s="48"/>
      <c r="AS115" s="48"/>
      <c r="AT115" s="49"/>
      <c r="AU115" s="51"/>
      <c r="AV115" s="48"/>
      <c r="AW115" s="48"/>
      <c r="AX115" s="49"/>
    </row>
    <row r="116" spans="1:50" ht="15.75" thickBot="1" x14ac:dyDescent="0.3">
      <c r="A116" s="24"/>
      <c r="B116" s="24"/>
      <c r="C116" s="24"/>
      <c r="D116" s="24"/>
      <c r="E116" s="24"/>
      <c r="F116" s="25" t="s">
        <v>58</v>
      </c>
      <c r="G116" s="25">
        <v>0.05</v>
      </c>
      <c r="H116" s="25">
        <v>0.05</v>
      </c>
      <c r="I116" s="25">
        <v>1</v>
      </c>
      <c r="J116" s="25" t="s">
        <v>33</v>
      </c>
      <c r="K116" s="25">
        <f t="shared" si="45"/>
        <v>1.2</v>
      </c>
      <c r="L116" s="25">
        <f t="shared" si="46"/>
        <v>1.4</v>
      </c>
      <c r="M116" s="25">
        <f t="shared" si="47"/>
        <v>0.8</v>
      </c>
      <c r="N116" s="25">
        <f t="shared" si="48"/>
        <v>0.6</v>
      </c>
      <c r="O116" s="26">
        <v>4</v>
      </c>
      <c r="P116" s="25" t="s">
        <v>62</v>
      </c>
      <c r="Q116" s="25">
        <v>71073</v>
      </c>
      <c r="R116" s="19" t="s">
        <v>35</v>
      </c>
      <c r="S116" s="15" t="s">
        <v>58</v>
      </c>
      <c r="T116" s="38">
        <v>31</v>
      </c>
      <c r="U116" s="16">
        <v>8.4292414777722341E-2</v>
      </c>
      <c r="V116" s="43">
        <f t="shared" si="49"/>
        <v>1686.6</v>
      </c>
      <c r="W116" s="51"/>
      <c r="X116" s="48"/>
      <c r="Y116" s="48"/>
      <c r="Z116" s="49"/>
      <c r="AA116" s="47">
        <f t="shared" si="54"/>
        <v>1.4999999999999999E-2</v>
      </c>
      <c r="AB116" s="48"/>
      <c r="AC116" s="48"/>
      <c r="AD116" s="48"/>
      <c r="AE116" s="51"/>
      <c r="AF116" s="56"/>
      <c r="AG116" s="48"/>
      <c r="AH116" s="86"/>
      <c r="AI116" s="51"/>
      <c r="AJ116" s="41">
        <f t="shared" si="57"/>
        <v>1.7499999999999998E-2</v>
      </c>
      <c r="AK116" s="41">
        <f t="shared" si="58"/>
        <v>1.0000000000000002E-2</v>
      </c>
      <c r="AL116" s="49"/>
      <c r="AM116" s="51"/>
      <c r="AN116" s="48"/>
      <c r="AO116" s="48"/>
      <c r="AP116" s="132">
        <f t="shared" si="55"/>
        <v>7.4999999999999997E-3</v>
      </c>
      <c r="AQ116" s="51"/>
      <c r="AR116" s="48"/>
      <c r="AS116" s="48"/>
      <c r="AT116" s="49"/>
      <c r="AU116" s="51"/>
      <c r="AV116" s="48"/>
      <c r="AW116" s="48"/>
      <c r="AX116" s="49"/>
    </row>
    <row r="117" spans="1:50" ht="15.75" thickBot="1" x14ac:dyDescent="0.3">
      <c r="A117" s="24"/>
      <c r="B117" s="24"/>
      <c r="C117" s="24"/>
      <c r="D117" s="24"/>
      <c r="E117" s="24"/>
      <c r="F117" s="25" t="s">
        <v>58</v>
      </c>
      <c r="G117" s="25">
        <v>0.05</v>
      </c>
      <c r="H117" s="25">
        <v>0.05</v>
      </c>
      <c r="I117" s="25">
        <v>1</v>
      </c>
      <c r="J117" s="25" t="s">
        <v>33</v>
      </c>
      <c r="K117" s="25">
        <f t="shared" si="45"/>
        <v>1.2</v>
      </c>
      <c r="L117" s="25">
        <f t="shared" si="46"/>
        <v>1.4</v>
      </c>
      <c r="M117" s="25">
        <f t="shared" si="47"/>
        <v>0.8</v>
      </c>
      <c r="N117" s="25">
        <f t="shared" si="48"/>
        <v>0.6</v>
      </c>
      <c r="O117" s="26">
        <v>4</v>
      </c>
      <c r="P117" s="25" t="s">
        <v>62</v>
      </c>
      <c r="Q117" s="25">
        <v>71073</v>
      </c>
      <c r="R117" s="19" t="s">
        <v>35</v>
      </c>
      <c r="S117" s="15" t="s">
        <v>58</v>
      </c>
      <c r="T117" s="38">
        <v>32</v>
      </c>
      <c r="U117" s="16">
        <v>8.4292414777722341E-2</v>
      </c>
      <c r="V117" s="43">
        <f t="shared" si="49"/>
        <v>1686.6</v>
      </c>
      <c r="W117" s="51"/>
      <c r="X117" s="48"/>
      <c r="Y117" s="48"/>
      <c r="Z117" s="49"/>
      <c r="AA117" s="47">
        <f t="shared" si="54"/>
        <v>1.4999999999999999E-2</v>
      </c>
      <c r="AB117" s="48"/>
      <c r="AC117" s="48"/>
      <c r="AD117" s="48"/>
      <c r="AE117" s="51"/>
      <c r="AF117" s="56"/>
      <c r="AG117" s="48"/>
      <c r="AH117" s="86"/>
      <c r="AI117" s="51"/>
      <c r="AJ117" s="41">
        <f t="shared" si="57"/>
        <v>1.7499999999999998E-2</v>
      </c>
      <c r="AK117" s="41">
        <f t="shared" si="58"/>
        <v>1.0000000000000002E-2</v>
      </c>
      <c r="AL117" s="49"/>
      <c r="AM117" s="51"/>
      <c r="AN117" s="48"/>
      <c r="AO117" s="48"/>
      <c r="AP117" s="132">
        <f t="shared" si="55"/>
        <v>7.4999999999999997E-3</v>
      </c>
      <c r="AQ117" s="51"/>
      <c r="AR117" s="48"/>
      <c r="AS117" s="48"/>
      <c r="AT117" s="49"/>
      <c r="AU117" s="51"/>
      <c r="AV117" s="48"/>
      <c r="AW117" s="48"/>
      <c r="AX117" s="49"/>
    </row>
    <row r="118" spans="1:50" x14ac:dyDescent="0.25">
      <c r="A118" s="24"/>
      <c r="B118" s="24"/>
      <c r="C118" s="24"/>
      <c r="D118" s="24"/>
      <c r="E118" s="24"/>
      <c r="F118" s="25" t="s">
        <v>63</v>
      </c>
      <c r="G118" s="25">
        <v>1.4375</v>
      </c>
      <c r="H118" s="25">
        <v>1.4375</v>
      </c>
      <c r="I118" s="25">
        <v>1</v>
      </c>
      <c r="J118" s="25" t="s">
        <v>33</v>
      </c>
      <c r="K118" s="25">
        <f t="shared" si="45"/>
        <v>15.09375</v>
      </c>
      <c r="L118" s="25">
        <f t="shared" si="46"/>
        <v>17.609375</v>
      </c>
      <c r="M118" s="25">
        <f t="shared" si="47"/>
        <v>10.0625</v>
      </c>
      <c r="N118" s="25">
        <f t="shared" si="48"/>
        <v>7.546875</v>
      </c>
      <c r="O118" s="26">
        <v>50.3125</v>
      </c>
      <c r="P118" s="25" t="s">
        <v>64</v>
      </c>
      <c r="Q118" s="25">
        <v>71073</v>
      </c>
      <c r="R118" s="19" t="s">
        <v>35</v>
      </c>
      <c r="S118" s="15" t="s">
        <v>63</v>
      </c>
      <c r="T118" s="38">
        <v>33</v>
      </c>
      <c r="U118" s="16">
        <v>2.4234069248595169</v>
      </c>
      <c r="V118" s="43">
        <f t="shared" si="49"/>
        <v>21214.265625</v>
      </c>
      <c r="W118" s="51"/>
      <c r="X118" s="48"/>
      <c r="Y118" s="48"/>
      <c r="Z118" s="49"/>
      <c r="AA118" s="47">
        <f t="shared" si="54"/>
        <v>0.43124999999999997</v>
      </c>
      <c r="AB118" s="48"/>
      <c r="AC118" s="48"/>
      <c r="AD118" s="48"/>
      <c r="AE118" s="51"/>
      <c r="AF118" s="56"/>
      <c r="AG118" s="48"/>
      <c r="AH118" s="86"/>
      <c r="AI118" s="51"/>
      <c r="AJ118" s="41">
        <f t="shared" ref="AJ118" si="59">H118*0.35</f>
        <v>0.50312499999999993</v>
      </c>
      <c r="AK118" s="41">
        <f t="shared" ref="AK118:AK120" si="60">H118*0.2</f>
        <v>0.28750000000000003</v>
      </c>
      <c r="AL118" s="49"/>
      <c r="AM118" s="51"/>
      <c r="AN118" s="48"/>
      <c r="AO118" s="48"/>
      <c r="AP118" s="49"/>
      <c r="AQ118" s="51"/>
      <c r="AR118" s="48"/>
      <c r="AS118" s="48"/>
      <c r="AT118" s="132">
        <f>H118*0.15</f>
        <v>0.21562499999999998</v>
      </c>
      <c r="AU118" s="51"/>
      <c r="AV118" s="48"/>
      <c r="AW118" s="48"/>
      <c r="AX118" s="49"/>
    </row>
    <row r="119" spans="1:50" x14ac:dyDescent="0.25">
      <c r="A119" s="24"/>
      <c r="B119" s="24"/>
      <c r="C119" s="24"/>
      <c r="D119" s="24"/>
      <c r="E119" s="24"/>
      <c r="F119" s="25" t="s">
        <v>55</v>
      </c>
      <c r="G119" s="25">
        <v>2.5</v>
      </c>
      <c r="H119" s="25">
        <v>2.5</v>
      </c>
      <c r="I119" s="25">
        <v>1</v>
      </c>
      <c r="J119" s="25" t="s">
        <v>33</v>
      </c>
      <c r="K119" s="25">
        <f t="shared" si="45"/>
        <v>26.25</v>
      </c>
      <c r="L119" s="25">
        <f t="shared" si="46"/>
        <v>30.624999999999996</v>
      </c>
      <c r="M119" s="25">
        <f t="shared" si="47"/>
        <v>17.5</v>
      </c>
      <c r="N119" s="25">
        <f t="shared" si="48"/>
        <v>13.125</v>
      </c>
      <c r="O119" s="26">
        <v>87.5</v>
      </c>
      <c r="P119" s="25" t="s">
        <v>76</v>
      </c>
      <c r="Q119" s="25">
        <v>71080</v>
      </c>
      <c r="R119" s="19" t="s">
        <v>35</v>
      </c>
      <c r="S119" s="15" t="s">
        <v>55</v>
      </c>
      <c r="T119" s="38">
        <v>1</v>
      </c>
      <c r="U119" s="16">
        <v>4.2146207388861168</v>
      </c>
      <c r="V119" s="43">
        <f t="shared" si="49"/>
        <v>36894.375</v>
      </c>
      <c r="W119" s="51"/>
      <c r="X119" s="48"/>
      <c r="Y119" s="48"/>
      <c r="Z119" s="49"/>
      <c r="AA119" s="47">
        <f t="shared" si="54"/>
        <v>0.75</v>
      </c>
      <c r="AB119" s="41">
        <f t="shared" ref="AB119:AB122" si="61">H119*0.35</f>
        <v>0.875</v>
      </c>
      <c r="AC119" s="48"/>
      <c r="AD119" s="48"/>
      <c r="AE119" s="51"/>
      <c r="AF119" s="48"/>
      <c r="AG119" s="48"/>
      <c r="AH119" s="86"/>
      <c r="AI119" s="51"/>
      <c r="AJ119" s="48"/>
      <c r="AK119" s="41">
        <f t="shared" si="60"/>
        <v>0.5</v>
      </c>
      <c r="AL119" s="49"/>
      <c r="AM119" s="51"/>
      <c r="AN119" s="48"/>
      <c r="AO119" s="48"/>
      <c r="AP119" s="132">
        <f t="shared" ref="AP119:AP124" si="62">H119*0.15</f>
        <v>0.375</v>
      </c>
      <c r="AQ119" s="51"/>
      <c r="AR119" s="48"/>
      <c r="AS119" s="48"/>
      <c r="AT119" s="49"/>
      <c r="AU119" s="51"/>
      <c r="AV119" s="48"/>
      <c r="AW119" s="48"/>
      <c r="AX119" s="49"/>
    </row>
    <row r="120" spans="1:50" x14ac:dyDescent="0.25">
      <c r="A120" s="24"/>
      <c r="B120" s="24"/>
      <c r="C120" s="24"/>
      <c r="D120" s="24"/>
      <c r="E120" s="24"/>
      <c r="F120" s="25" t="s">
        <v>55</v>
      </c>
      <c r="G120" s="25">
        <v>2.5</v>
      </c>
      <c r="H120" s="25">
        <v>2.5</v>
      </c>
      <c r="I120" s="25">
        <v>1</v>
      </c>
      <c r="J120" s="25" t="s">
        <v>33</v>
      </c>
      <c r="K120" s="25">
        <f t="shared" si="45"/>
        <v>26.25</v>
      </c>
      <c r="L120" s="25">
        <f t="shared" si="46"/>
        <v>30.624999999999996</v>
      </c>
      <c r="M120" s="25">
        <f t="shared" si="47"/>
        <v>17.5</v>
      </c>
      <c r="N120" s="25">
        <f t="shared" si="48"/>
        <v>13.125</v>
      </c>
      <c r="O120" s="26">
        <v>87.5</v>
      </c>
      <c r="P120" s="25" t="s">
        <v>76</v>
      </c>
      <c r="Q120" s="25">
        <v>71080</v>
      </c>
      <c r="R120" s="19" t="s">
        <v>35</v>
      </c>
      <c r="S120" s="15" t="s">
        <v>55</v>
      </c>
      <c r="T120" s="38">
        <v>2</v>
      </c>
      <c r="U120" s="16">
        <v>4.2146207388861168</v>
      </c>
      <c r="V120" s="43">
        <f t="shared" si="49"/>
        <v>36894.375</v>
      </c>
      <c r="W120" s="51"/>
      <c r="X120" s="48"/>
      <c r="Y120" s="48"/>
      <c r="Z120" s="49"/>
      <c r="AA120" s="47">
        <f t="shared" si="54"/>
        <v>0.75</v>
      </c>
      <c r="AB120" s="41">
        <f t="shared" si="61"/>
        <v>0.875</v>
      </c>
      <c r="AC120" s="48"/>
      <c r="AD120" s="48"/>
      <c r="AE120" s="51"/>
      <c r="AF120" s="48"/>
      <c r="AG120" s="48"/>
      <c r="AH120" s="86"/>
      <c r="AI120" s="51"/>
      <c r="AJ120" s="48"/>
      <c r="AK120" s="41">
        <f t="shared" si="60"/>
        <v>0.5</v>
      </c>
      <c r="AL120" s="49"/>
      <c r="AM120" s="51"/>
      <c r="AN120" s="48"/>
      <c r="AO120" s="48"/>
      <c r="AP120" s="132">
        <f t="shared" si="62"/>
        <v>0.375</v>
      </c>
      <c r="AQ120" s="51"/>
      <c r="AR120" s="48"/>
      <c r="AS120" s="48"/>
      <c r="AT120" s="49"/>
      <c r="AU120" s="51"/>
      <c r="AV120" s="48"/>
      <c r="AW120" s="48"/>
      <c r="AX120" s="49"/>
    </row>
    <row r="121" spans="1:50" x14ac:dyDescent="0.25">
      <c r="A121" s="24"/>
      <c r="B121" s="24"/>
      <c r="C121" s="24"/>
      <c r="D121" s="24"/>
      <c r="E121" s="24"/>
      <c r="F121" s="25" t="s">
        <v>55</v>
      </c>
      <c r="G121" s="25">
        <v>0.59375</v>
      </c>
      <c r="H121" s="25">
        <v>0.59375</v>
      </c>
      <c r="I121" s="25">
        <v>1</v>
      </c>
      <c r="J121" s="25" t="s">
        <v>33</v>
      </c>
      <c r="K121" s="25">
        <f t="shared" si="45"/>
        <v>7.125</v>
      </c>
      <c r="L121" s="25">
        <f t="shared" si="46"/>
        <v>8.3125</v>
      </c>
      <c r="M121" s="25">
        <f t="shared" si="47"/>
        <v>4.75</v>
      </c>
      <c r="N121" s="25">
        <f t="shared" si="48"/>
        <v>3.5625</v>
      </c>
      <c r="O121" s="26">
        <v>23.75</v>
      </c>
      <c r="P121" s="25" t="s">
        <v>76</v>
      </c>
      <c r="Q121" s="25">
        <v>71063</v>
      </c>
      <c r="R121" s="19" t="s">
        <v>35</v>
      </c>
      <c r="S121" s="15" t="s">
        <v>55</v>
      </c>
      <c r="T121" s="9">
        <v>1</v>
      </c>
      <c r="U121" s="16">
        <v>1.0009724254854526</v>
      </c>
      <c r="V121" s="43">
        <f t="shared" si="49"/>
        <v>10014.1875</v>
      </c>
      <c r="W121" s="51"/>
      <c r="X121" s="48"/>
      <c r="Y121" s="48"/>
      <c r="Z121" s="49"/>
      <c r="AA121" s="47">
        <f>H121*0.3</f>
        <v>0.17812500000000001</v>
      </c>
      <c r="AB121" s="41">
        <f t="shared" si="61"/>
        <v>0.20781249999999998</v>
      </c>
      <c r="AC121" s="48"/>
      <c r="AD121" s="48"/>
      <c r="AE121" s="51"/>
      <c r="AF121" s="48"/>
      <c r="AG121" s="41">
        <f>H121*0.2</f>
        <v>0.11875000000000001</v>
      </c>
      <c r="AH121" s="86"/>
      <c r="AI121" s="51"/>
      <c r="AJ121" s="48"/>
      <c r="AK121" s="48"/>
      <c r="AL121" s="49"/>
      <c r="AM121" s="51"/>
      <c r="AN121" s="48"/>
      <c r="AO121" s="48"/>
      <c r="AP121" s="132">
        <f t="shared" si="62"/>
        <v>8.9062500000000003E-2</v>
      </c>
      <c r="AQ121" s="51"/>
      <c r="AR121" s="48"/>
      <c r="AS121" s="48"/>
      <c r="AT121" s="49"/>
      <c r="AU121" s="51"/>
      <c r="AV121" s="48"/>
      <c r="AW121" s="48"/>
      <c r="AX121" s="49"/>
    </row>
    <row r="122" spans="1:50" ht="15.75" thickBot="1" x14ac:dyDescent="0.3">
      <c r="A122" s="24"/>
      <c r="B122" s="24"/>
      <c r="C122" s="24"/>
      <c r="D122" s="24"/>
      <c r="E122" s="24"/>
      <c r="F122" s="25" t="s">
        <v>55</v>
      </c>
      <c r="G122" s="25">
        <v>0.59375</v>
      </c>
      <c r="H122" s="25">
        <v>0.59375</v>
      </c>
      <c r="I122" s="25">
        <v>1</v>
      </c>
      <c r="J122" s="25" t="s">
        <v>33</v>
      </c>
      <c r="K122" s="25">
        <f t="shared" si="45"/>
        <v>7.125</v>
      </c>
      <c r="L122" s="25">
        <f t="shared" si="46"/>
        <v>8.3125</v>
      </c>
      <c r="M122" s="25">
        <f t="shared" si="47"/>
        <v>4.75</v>
      </c>
      <c r="N122" s="25">
        <f t="shared" si="48"/>
        <v>3.5625</v>
      </c>
      <c r="O122" s="26">
        <v>23.75</v>
      </c>
      <c r="P122" s="25" t="s">
        <v>76</v>
      </c>
      <c r="Q122" s="25">
        <v>71063</v>
      </c>
      <c r="R122" s="19" t="s">
        <v>35</v>
      </c>
      <c r="S122" s="15" t="s">
        <v>55</v>
      </c>
      <c r="T122" s="9">
        <v>2</v>
      </c>
      <c r="U122" s="16">
        <v>1.0009724254854526</v>
      </c>
      <c r="V122" s="43">
        <f t="shared" si="49"/>
        <v>10014.1875</v>
      </c>
      <c r="W122" s="51"/>
      <c r="X122" s="48"/>
      <c r="Y122" s="48"/>
      <c r="Z122" s="49"/>
      <c r="AA122" s="47">
        <f t="shared" ref="AA122:AA130" si="63">H122*0.3</f>
        <v>0.17812500000000001</v>
      </c>
      <c r="AB122" s="41">
        <f t="shared" si="61"/>
        <v>0.20781249999999998</v>
      </c>
      <c r="AC122" s="48"/>
      <c r="AD122" s="48"/>
      <c r="AE122" s="51"/>
      <c r="AF122" s="48"/>
      <c r="AG122" s="41">
        <f>H122*0.2</f>
        <v>0.11875000000000001</v>
      </c>
      <c r="AH122" s="86"/>
      <c r="AI122" s="51"/>
      <c r="AJ122" s="48"/>
      <c r="AK122" s="48"/>
      <c r="AL122" s="49"/>
      <c r="AM122" s="51"/>
      <c r="AN122" s="48"/>
      <c r="AO122" s="48"/>
      <c r="AP122" s="132">
        <f t="shared" si="62"/>
        <v>8.9062500000000003E-2</v>
      </c>
      <c r="AQ122" s="51"/>
      <c r="AR122" s="48"/>
      <c r="AS122" s="48"/>
      <c r="AT122" s="49"/>
      <c r="AU122" s="51"/>
      <c r="AV122" s="48"/>
      <c r="AW122" s="48"/>
      <c r="AX122" s="49"/>
    </row>
    <row r="123" spans="1:50" ht="15.75" thickBot="1" x14ac:dyDescent="0.3">
      <c r="A123" s="24"/>
      <c r="B123" s="24"/>
      <c r="C123" s="24"/>
      <c r="D123" s="24"/>
      <c r="E123" s="24"/>
      <c r="F123" s="25" t="s">
        <v>58</v>
      </c>
      <c r="G123" s="25">
        <v>0.1</v>
      </c>
      <c r="H123" s="25">
        <v>0.1</v>
      </c>
      <c r="I123" s="25">
        <v>1</v>
      </c>
      <c r="J123" s="25" t="s">
        <v>33</v>
      </c>
      <c r="K123" s="25">
        <f t="shared" si="45"/>
        <v>1.7999999999999998</v>
      </c>
      <c r="L123" s="25">
        <f t="shared" si="46"/>
        <v>2.0999999999999996</v>
      </c>
      <c r="M123" s="25">
        <f t="shared" si="47"/>
        <v>1.2000000000000002</v>
      </c>
      <c r="N123" s="25">
        <f t="shared" si="48"/>
        <v>0.89999999999999991</v>
      </c>
      <c r="O123" s="26">
        <v>6</v>
      </c>
      <c r="P123" s="25" t="s">
        <v>59</v>
      </c>
      <c r="Q123" s="25">
        <v>71063</v>
      </c>
      <c r="R123" s="19" t="s">
        <v>35</v>
      </c>
      <c r="S123" s="15" t="s">
        <v>58</v>
      </c>
      <c r="T123" s="9">
        <v>3</v>
      </c>
      <c r="U123" s="16">
        <v>0.16858482955544468</v>
      </c>
      <c r="V123" s="43">
        <f t="shared" si="49"/>
        <v>2529.8999999999996</v>
      </c>
      <c r="W123" s="51"/>
      <c r="X123" s="48"/>
      <c r="Y123" s="48"/>
      <c r="Z123" s="49"/>
      <c r="AA123" s="47">
        <f t="shared" si="63"/>
        <v>0.03</v>
      </c>
      <c r="AB123" s="48"/>
      <c r="AC123" s="48"/>
      <c r="AD123" s="48"/>
      <c r="AE123" s="51"/>
      <c r="AF123" s="56"/>
      <c r="AG123" s="48"/>
      <c r="AH123" s="86"/>
      <c r="AI123" s="51"/>
      <c r="AJ123" s="41">
        <f t="shared" ref="AJ123" si="64">H123*0.35</f>
        <v>3.4999999999999996E-2</v>
      </c>
      <c r="AK123" s="41">
        <f t="shared" ref="AK123" si="65">H123*0.2</f>
        <v>2.0000000000000004E-2</v>
      </c>
      <c r="AL123" s="49"/>
      <c r="AM123" s="51"/>
      <c r="AN123" s="48"/>
      <c r="AO123" s="48"/>
      <c r="AP123" s="132">
        <f t="shared" si="62"/>
        <v>1.4999999999999999E-2</v>
      </c>
      <c r="AQ123" s="51"/>
      <c r="AR123" s="48"/>
      <c r="AS123" s="48"/>
      <c r="AT123" s="49"/>
      <c r="AU123" s="51"/>
      <c r="AV123" s="48"/>
      <c r="AW123" s="48"/>
      <c r="AX123" s="49"/>
    </row>
    <row r="124" spans="1:50" ht="15.75" thickBot="1" x14ac:dyDescent="0.3">
      <c r="A124" s="24"/>
      <c r="B124" s="24"/>
      <c r="C124" s="24"/>
      <c r="D124" s="24"/>
      <c r="E124" s="24"/>
      <c r="F124" s="25" t="s">
        <v>58</v>
      </c>
      <c r="G124" s="25">
        <v>0.1</v>
      </c>
      <c r="H124" s="25">
        <v>0.1</v>
      </c>
      <c r="I124" s="25">
        <v>1</v>
      </c>
      <c r="J124" s="25" t="s">
        <v>33</v>
      </c>
      <c r="K124" s="25">
        <f t="shared" si="45"/>
        <v>1.7999999999999998</v>
      </c>
      <c r="L124" s="25">
        <f t="shared" si="46"/>
        <v>2.0999999999999996</v>
      </c>
      <c r="M124" s="25">
        <f t="shared" si="47"/>
        <v>1.2000000000000002</v>
      </c>
      <c r="N124" s="25">
        <f t="shared" si="48"/>
        <v>0.89999999999999991</v>
      </c>
      <c r="O124" s="26">
        <v>6</v>
      </c>
      <c r="P124" s="25" t="s">
        <v>59</v>
      </c>
      <c r="Q124" s="25">
        <v>71063</v>
      </c>
      <c r="R124" s="19" t="s">
        <v>35</v>
      </c>
      <c r="S124" s="15" t="s">
        <v>58</v>
      </c>
      <c r="T124" s="9">
        <v>4</v>
      </c>
      <c r="U124" s="16">
        <v>0.16858482955544468</v>
      </c>
      <c r="V124" s="43">
        <f t="shared" si="49"/>
        <v>2529.8999999999996</v>
      </c>
      <c r="W124" s="51"/>
      <c r="X124" s="48"/>
      <c r="Y124" s="48"/>
      <c r="Z124" s="49"/>
      <c r="AA124" s="47">
        <f t="shared" si="63"/>
        <v>0.03</v>
      </c>
      <c r="AB124" s="48"/>
      <c r="AC124" s="48"/>
      <c r="AD124" s="48"/>
      <c r="AE124" s="51"/>
      <c r="AF124" s="56"/>
      <c r="AG124" s="48"/>
      <c r="AH124" s="86"/>
      <c r="AI124" s="51"/>
      <c r="AJ124" s="41">
        <f t="shared" ref="AJ124" si="66">H124*0.35</f>
        <v>3.4999999999999996E-2</v>
      </c>
      <c r="AK124" s="41">
        <f t="shared" ref="AK124" si="67">H124*0.2</f>
        <v>2.0000000000000004E-2</v>
      </c>
      <c r="AL124" s="49"/>
      <c r="AM124" s="51"/>
      <c r="AN124" s="48"/>
      <c r="AO124" s="48"/>
      <c r="AP124" s="132">
        <f t="shared" si="62"/>
        <v>1.4999999999999999E-2</v>
      </c>
      <c r="AQ124" s="51"/>
      <c r="AR124" s="48"/>
      <c r="AS124" s="48"/>
      <c r="AT124" s="49"/>
      <c r="AU124" s="51"/>
      <c r="AV124" s="48"/>
      <c r="AW124" s="48"/>
      <c r="AX124" s="49"/>
    </row>
    <row r="125" spans="1:50" ht="15.75" thickBot="1" x14ac:dyDescent="0.3">
      <c r="A125" s="24"/>
      <c r="B125" s="24"/>
      <c r="C125" s="24"/>
      <c r="D125" s="24"/>
      <c r="E125" s="24"/>
      <c r="F125" s="25" t="s">
        <v>63</v>
      </c>
      <c r="G125" s="25">
        <v>0.59375</v>
      </c>
      <c r="H125" s="25">
        <v>0.59375</v>
      </c>
      <c r="I125" s="25">
        <v>1</v>
      </c>
      <c r="J125" s="25" t="s">
        <v>33</v>
      </c>
      <c r="K125" s="25">
        <f t="shared" si="45"/>
        <v>7.125</v>
      </c>
      <c r="L125" s="25">
        <f t="shared" si="46"/>
        <v>8.3125</v>
      </c>
      <c r="M125" s="25">
        <f t="shared" si="47"/>
        <v>4.75</v>
      </c>
      <c r="N125" s="25">
        <f t="shared" si="48"/>
        <v>3.5625</v>
      </c>
      <c r="O125" s="26">
        <v>23.75</v>
      </c>
      <c r="P125" s="25" t="s">
        <v>65</v>
      </c>
      <c r="Q125" s="25">
        <v>71063</v>
      </c>
      <c r="R125" s="19" t="s">
        <v>35</v>
      </c>
      <c r="S125" s="15" t="s">
        <v>63</v>
      </c>
      <c r="T125" s="9">
        <v>5</v>
      </c>
      <c r="U125" s="16">
        <v>1.0009724254854526</v>
      </c>
      <c r="V125" s="43">
        <f t="shared" si="49"/>
        <v>10014.1875</v>
      </c>
      <c r="W125" s="51"/>
      <c r="X125" s="48"/>
      <c r="Y125" s="48"/>
      <c r="Z125" s="49"/>
      <c r="AA125" s="47">
        <f t="shared" si="63"/>
        <v>0.17812500000000001</v>
      </c>
      <c r="AB125" s="48"/>
      <c r="AC125" s="48"/>
      <c r="AD125" s="48"/>
      <c r="AE125" s="51"/>
      <c r="AF125" s="56"/>
      <c r="AG125" s="48"/>
      <c r="AH125" s="86"/>
      <c r="AI125" s="51"/>
      <c r="AJ125" s="41">
        <f t="shared" ref="AJ125:AJ130" si="68">H125*0.35</f>
        <v>0.20781249999999998</v>
      </c>
      <c r="AK125" s="41">
        <f t="shared" ref="AK125:AK130" si="69">H125*0.2</f>
        <v>0.11875000000000001</v>
      </c>
      <c r="AL125" s="49"/>
      <c r="AM125" s="51"/>
      <c r="AN125" s="48"/>
      <c r="AO125" s="48"/>
      <c r="AP125" s="132">
        <f t="shared" ref="AP125:AP130" si="70">H125*0.15</f>
        <v>8.9062500000000003E-2</v>
      </c>
      <c r="AQ125" s="51"/>
      <c r="AR125" s="48"/>
      <c r="AS125" s="48"/>
      <c r="AT125" s="49"/>
      <c r="AU125" s="51"/>
      <c r="AV125" s="48"/>
      <c r="AW125" s="48"/>
      <c r="AX125" s="49"/>
    </row>
    <row r="126" spans="1:50" ht="15.75" thickBot="1" x14ac:dyDescent="0.3">
      <c r="A126" s="24"/>
      <c r="B126" s="24"/>
      <c r="C126" s="24"/>
      <c r="D126" s="24"/>
      <c r="E126" s="24"/>
      <c r="F126" s="25" t="s">
        <v>63</v>
      </c>
      <c r="G126" s="25">
        <v>0.59375</v>
      </c>
      <c r="H126" s="25">
        <v>0.59375</v>
      </c>
      <c r="I126" s="25">
        <v>1</v>
      </c>
      <c r="J126" s="25" t="s">
        <v>33</v>
      </c>
      <c r="K126" s="25">
        <f t="shared" si="45"/>
        <v>7.125</v>
      </c>
      <c r="L126" s="25">
        <f t="shared" si="46"/>
        <v>8.3125</v>
      </c>
      <c r="M126" s="25">
        <f t="shared" si="47"/>
        <v>4.75</v>
      </c>
      <c r="N126" s="25">
        <f t="shared" si="48"/>
        <v>3.5625</v>
      </c>
      <c r="O126" s="26">
        <v>23.75</v>
      </c>
      <c r="P126" s="25" t="s">
        <v>65</v>
      </c>
      <c r="Q126" s="25">
        <v>71063</v>
      </c>
      <c r="R126" s="19" t="s">
        <v>35</v>
      </c>
      <c r="S126" s="15" t="s">
        <v>63</v>
      </c>
      <c r="T126" s="9">
        <v>6</v>
      </c>
      <c r="U126" s="16">
        <v>1.0009724254854526</v>
      </c>
      <c r="V126" s="43">
        <f t="shared" si="49"/>
        <v>10014.1875</v>
      </c>
      <c r="W126" s="51"/>
      <c r="X126" s="48"/>
      <c r="Y126" s="48"/>
      <c r="Z126" s="49"/>
      <c r="AA126" s="47">
        <f t="shared" si="63"/>
        <v>0.17812500000000001</v>
      </c>
      <c r="AB126" s="48"/>
      <c r="AC126" s="48"/>
      <c r="AD126" s="48"/>
      <c r="AE126" s="51"/>
      <c r="AF126" s="56"/>
      <c r="AG126" s="48"/>
      <c r="AH126" s="86"/>
      <c r="AI126" s="51"/>
      <c r="AJ126" s="41">
        <f t="shared" si="68"/>
        <v>0.20781249999999998</v>
      </c>
      <c r="AK126" s="41">
        <f t="shared" si="69"/>
        <v>0.11875000000000001</v>
      </c>
      <c r="AL126" s="49"/>
      <c r="AM126" s="51"/>
      <c r="AN126" s="48"/>
      <c r="AO126" s="48"/>
      <c r="AP126" s="132">
        <f t="shared" si="70"/>
        <v>8.9062500000000003E-2</v>
      </c>
      <c r="AQ126" s="51"/>
      <c r="AR126" s="48"/>
      <c r="AS126" s="48"/>
      <c r="AT126" s="49"/>
      <c r="AU126" s="51"/>
      <c r="AV126" s="48"/>
      <c r="AW126" s="48"/>
      <c r="AX126" s="49"/>
    </row>
    <row r="127" spans="1:50" ht="15.75" thickBot="1" x14ac:dyDescent="0.3">
      <c r="A127" s="24"/>
      <c r="B127" s="24"/>
      <c r="C127" s="24"/>
      <c r="D127" s="24"/>
      <c r="E127" s="24"/>
      <c r="F127" s="25" t="s">
        <v>63</v>
      </c>
      <c r="G127" s="25">
        <v>0.59375</v>
      </c>
      <c r="H127" s="25">
        <v>0.59375</v>
      </c>
      <c r="I127" s="25">
        <v>1</v>
      </c>
      <c r="J127" s="25" t="s">
        <v>33</v>
      </c>
      <c r="K127" s="25">
        <f t="shared" si="45"/>
        <v>7.125</v>
      </c>
      <c r="L127" s="25">
        <f t="shared" si="46"/>
        <v>8.3125</v>
      </c>
      <c r="M127" s="25">
        <f t="shared" si="47"/>
        <v>4.75</v>
      </c>
      <c r="N127" s="25">
        <f t="shared" si="48"/>
        <v>3.5625</v>
      </c>
      <c r="O127" s="26">
        <v>23.75</v>
      </c>
      <c r="P127" s="25" t="s">
        <v>65</v>
      </c>
      <c r="Q127" s="25">
        <v>71063</v>
      </c>
      <c r="R127" s="19" t="s">
        <v>35</v>
      </c>
      <c r="S127" s="15" t="s">
        <v>63</v>
      </c>
      <c r="T127" s="9">
        <v>7</v>
      </c>
      <c r="U127" s="16">
        <v>1.0009724254854526</v>
      </c>
      <c r="V127" s="43">
        <f t="shared" si="49"/>
        <v>10014.1875</v>
      </c>
      <c r="W127" s="51"/>
      <c r="X127" s="48"/>
      <c r="Y127" s="48"/>
      <c r="Z127" s="49"/>
      <c r="AA127" s="47">
        <f t="shared" si="63"/>
        <v>0.17812500000000001</v>
      </c>
      <c r="AB127" s="48"/>
      <c r="AC127" s="48"/>
      <c r="AD127" s="48"/>
      <c r="AE127" s="51"/>
      <c r="AF127" s="56"/>
      <c r="AG127" s="48"/>
      <c r="AH127" s="86"/>
      <c r="AI127" s="51"/>
      <c r="AJ127" s="41">
        <f t="shared" si="68"/>
        <v>0.20781249999999998</v>
      </c>
      <c r="AK127" s="41">
        <f t="shared" si="69"/>
        <v>0.11875000000000001</v>
      </c>
      <c r="AL127" s="49"/>
      <c r="AM127" s="51"/>
      <c r="AN127" s="48"/>
      <c r="AO127" s="48"/>
      <c r="AP127" s="132">
        <f t="shared" si="70"/>
        <v>8.9062500000000003E-2</v>
      </c>
      <c r="AQ127" s="51"/>
      <c r="AR127" s="48"/>
      <c r="AS127" s="48"/>
      <c r="AT127" s="49"/>
      <c r="AU127" s="51"/>
      <c r="AV127" s="48"/>
      <c r="AW127" s="48"/>
      <c r="AX127" s="49"/>
    </row>
    <row r="128" spans="1:50" ht="15.75" thickBot="1" x14ac:dyDescent="0.3">
      <c r="A128" s="24"/>
      <c r="B128" s="24"/>
      <c r="C128" s="24"/>
      <c r="D128" s="24"/>
      <c r="E128" s="24"/>
      <c r="F128" s="25" t="s">
        <v>63</v>
      </c>
      <c r="G128" s="25">
        <v>0.59375</v>
      </c>
      <c r="H128" s="25">
        <v>0.59375</v>
      </c>
      <c r="I128" s="25">
        <v>1</v>
      </c>
      <c r="J128" s="25" t="s">
        <v>33</v>
      </c>
      <c r="K128" s="25">
        <f t="shared" si="45"/>
        <v>7.125</v>
      </c>
      <c r="L128" s="25">
        <f t="shared" si="46"/>
        <v>8.3125</v>
      </c>
      <c r="M128" s="25">
        <f t="shared" si="47"/>
        <v>4.75</v>
      </c>
      <c r="N128" s="25">
        <f t="shared" si="48"/>
        <v>3.5625</v>
      </c>
      <c r="O128" s="26">
        <v>23.75</v>
      </c>
      <c r="P128" s="25" t="s">
        <v>65</v>
      </c>
      <c r="Q128" s="25">
        <v>71063</v>
      </c>
      <c r="R128" s="19" t="s">
        <v>35</v>
      </c>
      <c r="S128" s="15" t="s">
        <v>63</v>
      </c>
      <c r="T128" s="9">
        <v>8</v>
      </c>
      <c r="U128" s="16">
        <v>1.0009724254854526</v>
      </c>
      <c r="V128" s="43">
        <f t="shared" si="49"/>
        <v>10014.1875</v>
      </c>
      <c r="W128" s="51"/>
      <c r="X128" s="48"/>
      <c r="Y128" s="48"/>
      <c r="Z128" s="49"/>
      <c r="AA128" s="47">
        <f t="shared" si="63"/>
        <v>0.17812500000000001</v>
      </c>
      <c r="AB128" s="48"/>
      <c r="AC128" s="48"/>
      <c r="AD128" s="48"/>
      <c r="AE128" s="51"/>
      <c r="AF128" s="56"/>
      <c r="AG128" s="48"/>
      <c r="AH128" s="86"/>
      <c r="AI128" s="51"/>
      <c r="AJ128" s="41">
        <f t="shared" si="68"/>
        <v>0.20781249999999998</v>
      </c>
      <c r="AK128" s="41">
        <f t="shared" si="69"/>
        <v>0.11875000000000001</v>
      </c>
      <c r="AL128" s="49"/>
      <c r="AM128" s="51"/>
      <c r="AN128" s="48"/>
      <c r="AO128" s="48"/>
      <c r="AP128" s="132">
        <f t="shared" si="70"/>
        <v>8.9062500000000003E-2</v>
      </c>
      <c r="AQ128" s="51"/>
      <c r="AR128" s="48"/>
      <c r="AS128" s="48"/>
      <c r="AT128" s="49"/>
      <c r="AU128" s="51"/>
      <c r="AV128" s="48"/>
      <c r="AW128" s="48"/>
      <c r="AX128" s="49"/>
    </row>
    <row r="129" spans="1:50" ht="15.75" thickBot="1" x14ac:dyDescent="0.3">
      <c r="A129" s="24"/>
      <c r="B129" s="24"/>
      <c r="C129" s="24"/>
      <c r="D129" s="24"/>
      <c r="E129" s="24"/>
      <c r="F129" s="25" t="s">
        <v>63</v>
      </c>
      <c r="G129" s="25">
        <v>0.59375</v>
      </c>
      <c r="H129" s="25">
        <v>0.59375</v>
      </c>
      <c r="I129" s="25">
        <v>1</v>
      </c>
      <c r="J129" s="25" t="s">
        <v>33</v>
      </c>
      <c r="K129" s="25">
        <f t="shared" si="45"/>
        <v>7.125</v>
      </c>
      <c r="L129" s="25">
        <f t="shared" si="46"/>
        <v>8.3125</v>
      </c>
      <c r="M129" s="25">
        <f t="shared" si="47"/>
        <v>4.75</v>
      </c>
      <c r="N129" s="25">
        <f t="shared" si="48"/>
        <v>3.5625</v>
      </c>
      <c r="O129" s="26">
        <v>23.75</v>
      </c>
      <c r="P129" s="25" t="s">
        <v>65</v>
      </c>
      <c r="Q129" s="25">
        <v>71063</v>
      </c>
      <c r="R129" s="19" t="s">
        <v>35</v>
      </c>
      <c r="S129" s="15" t="s">
        <v>63</v>
      </c>
      <c r="T129" s="9">
        <v>9</v>
      </c>
      <c r="U129" s="16">
        <v>1.0009724254854526</v>
      </c>
      <c r="V129" s="43">
        <f t="shared" si="49"/>
        <v>10014.1875</v>
      </c>
      <c r="W129" s="51"/>
      <c r="X129" s="48"/>
      <c r="Y129" s="48"/>
      <c r="Z129" s="49"/>
      <c r="AA129" s="47">
        <f t="shared" si="63"/>
        <v>0.17812500000000001</v>
      </c>
      <c r="AB129" s="48"/>
      <c r="AC129" s="48"/>
      <c r="AD129" s="48"/>
      <c r="AE129" s="51"/>
      <c r="AF129" s="56"/>
      <c r="AG129" s="48"/>
      <c r="AH129" s="86"/>
      <c r="AI129" s="73"/>
      <c r="AJ129" s="41">
        <f t="shared" si="68"/>
        <v>0.20781249999999998</v>
      </c>
      <c r="AK129" s="41">
        <f t="shared" si="69"/>
        <v>0.11875000000000001</v>
      </c>
      <c r="AL129" s="159"/>
      <c r="AM129" s="73"/>
      <c r="AN129" s="77"/>
      <c r="AO129" s="77"/>
      <c r="AP129" s="132">
        <f t="shared" si="70"/>
        <v>8.9062500000000003E-2</v>
      </c>
      <c r="AQ129" s="73"/>
      <c r="AR129" s="77"/>
      <c r="AS129" s="77"/>
      <c r="AT129" s="49"/>
      <c r="AU129" s="73"/>
      <c r="AV129" s="77"/>
      <c r="AW129" s="77"/>
      <c r="AX129" s="49"/>
    </row>
    <row r="130" spans="1:50" x14ac:dyDescent="0.25">
      <c r="A130" s="24"/>
      <c r="B130" s="24"/>
      <c r="C130" s="24"/>
      <c r="D130" s="24"/>
      <c r="E130" s="24"/>
      <c r="F130" s="25" t="s">
        <v>63</v>
      </c>
      <c r="G130" s="25">
        <v>0.59375</v>
      </c>
      <c r="H130" s="25">
        <v>0.59375</v>
      </c>
      <c r="I130" s="25">
        <v>1</v>
      </c>
      <c r="J130" s="25" t="s">
        <v>33</v>
      </c>
      <c r="K130" s="25">
        <f t="shared" si="45"/>
        <v>7.125</v>
      </c>
      <c r="L130" s="25">
        <f t="shared" si="46"/>
        <v>8.3125</v>
      </c>
      <c r="M130" s="25">
        <f t="shared" si="47"/>
        <v>4.75</v>
      </c>
      <c r="N130" s="25">
        <f t="shared" si="48"/>
        <v>3.5625</v>
      </c>
      <c r="O130" s="26">
        <v>23.75</v>
      </c>
      <c r="P130" s="25" t="s">
        <v>65</v>
      </c>
      <c r="Q130" s="25">
        <v>71063</v>
      </c>
      <c r="R130" s="19" t="s">
        <v>35</v>
      </c>
      <c r="S130" s="15" t="s">
        <v>63</v>
      </c>
      <c r="T130" s="9">
        <v>10</v>
      </c>
      <c r="U130" s="16">
        <v>1.0009724254854526</v>
      </c>
      <c r="V130" s="43">
        <f t="shared" si="49"/>
        <v>10014.1875</v>
      </c>
      <c r="W130" s="51"/>
      <c r="X130" s="48"/>
      <c r="Y130" s="48"/>
      <c r="Z130" s="49"/>
      <c r="AA130" s="47">
        <f t="shared" si="63"/>
        <v>0.17812500000000001</v>
      </c>
      <c r="AB130" s="48"/>
      <c r="AC130" s="48"/>
      <c r="AD130" s="48"/>
      <c r="AE130" s="51"/>
      <c r="AF130" s="56"/>
      <c r="AG130" s="48"/>
      <c r="AH130" s="86"/>
      <c r="AI130" s="73"/>
      <c r="AJ130" s="41">
        <f t="shared" si="68"/>
        <v>0.20781249999999998</v>
      </c>
      <c r="AK130" s="41">
        <f t="shared" si="69"/>
        <v>0.11875000000000001</v>
      </c>
      <c r="AL130" s="159"/>
      <c r="AM130" s="73"/>
      <c r="AN130" s="77"/>
      <c r="AO130" s="77"/>
      <c r="AP130" s="132">
        <f t="shared" si="70"/>
        <v>8.9062500000000003E-2</v>
      </c>
      <c r="AQ130" s="73"/>
      <c r="AR130" s="77"/>
      <c r="AS130" s="77"/>
      <c r="AT130" s="49"/>
      <c r="AU130" s="73"/>
      <c r="AV130" s="77"/>
      <c r="AW130" s="77"/>
      <c r="AX130" s="49"/>
    </row>
    <row r="131" spans="1:50" x14ac:dyDescent="0.25">
      <c r="A131" s="24"/>
      <c r="B131" s="24"/>
      <c r="C131" s="24"/>
      <c r="D131" s="24"/>
      <c r="E131" s="24"/>
      <c r="F131" s="25" t="s">
        <v>63</v>
      </c>
      <c r="G131" s="25">
        <v>7.0000000000000007E-2</v>
      </c>
      <c r="H131" s="25">
        <v>0.28000000000000003</v>
      </c>
      <c r="I131" s="25">
        <v>4</v>
      </c>
      <c r="J131" s="25" t="s">
        <v>33</v>
      </c>
      <c r="K131" s="25">
        <f t="shared" si="45"/>
        <v>5.04</v>
      </c>
      <c r="L131" s="25">
        <f t="shared" si="46"/>
        <v>5.88</v>
      </c>
      <c r="M131" s="25">
        <f t="shared" si="47"/>
        <v>3.3600000000000003</v>
      </c>
      <c r="N131" s="25">
        <f t="shared" si="48"/>
        <v>2.52</v>
      </c>
      <c r="O131" s="26">
        <v>16.8</v>
      </c>
      <c r="P131" s="25" t="s">
        <v>66</v>
      </c>
      <c r="Q131" s="25">
        <v>71081</v>
      </c>
      <c r="R131" s="19" t="s">
        <v>35</v>
      </c>
      <c r="S131" s="15" t="s">
        <v>63</v>
      </c>
      <c r="T131" s="9">
        <v>1</v>
      </c>
      <c r="U131" s="16">
        <v>0.47203752275524513</v>
      </c>
      <c r="V131" s="43">
        <f t="shared" si="49"/>
        <v>7083.72</v>
      </c>
      <c r="W131" s="51"/>
      <c r="X131" s="48"/>
      <c r="Y131" s="48"/>
      <c r="Z131" s="49"/>
      <c r="AA131" s="50"/>
      <c r="AB131" s="48"/>
      <c r="AC131" s="48"/>
      <c r="AD131" s="48"/>
      <c r="AE131" s="51"/>
      <c r="AF131" s="48"/>
      <c r="AG131" s="48"/>
      <c r="AH131" s="86"/>
      <c r="AI131" s="73"/>
      <c r="AJ131" s="77"/>
      <c r="AK131" s="77"/>
      <c r="AL131" s="159"/>
      <c r="AM131" s="76"/>
      <c r="AN131" s="74"/>
      <c r="AO131" s="74"/>
      <c r="AP131" s="75"/>
      <c r="AQ131" s="73"/>
      <c r="AR131" s="77"/>
      <c r="AS131" s="77"/>
      <c r="AT131" s="159"/>
      <c r="AU131" s="73"/>
      <c r="AV131" s="77"/>
      <c r="AW131" s="77"/>
      <c r="AX131" s="159"/>
    </row>
    <row r="132" spans="1:50" x14ac:dyDescent="0.25">
      <c r="A132" s="24"/>
      <c r="B132" s="24"/>
      <c r="C132" s="24"/>
      <c r="D132" s="24"/>
      <c r="E132" s="24"/>
      <c r="F132" s="25" t="s">
        <v>63</v>
      </c>
      <c r="G132" s="25">
        <v>7.0000000000000007E-2</v>
      </c>
      <c r="H132" s="25">
        <v>0.28000000000000003</v>
      </c>
      <c r="I132" s="25">
        <v>4</v>
      </c>
      <c r="J132" s="25" t="s">
        <v>33</v>
      </c>
      <c r="K132" s="25">
        <f t="shared" si="45"/>
        <v>5.04</v>
      </c>
      <c r="L132" s="25">
        <f t="shared" si="46"/>
        <v>5.88</v>
      </c>
      <c r="M132" s="25">
        <f t="shared" si="47"/>
        <v>3.3600000000000003</v>
      </c>
      <c r="N132" s="25">
        <f t="shared" si="48"/>
        <v>2.52</v>
      </c>
      <c r="O132" s="26">
        <v>16.8</v>
      </c>
      <c r="P132" s="25" t="s">
        <v>66</v>
      </c>
      <c r="Q132" s="25">
        <v>71081</v>
      </c>
      <c r="R132" s="19" t="s">
        <v>35</v>
      </c>
      <c r="S132" s="15" t="s">
        <v>63</v>
      </c>
      <c r="T132" s="9">
        <v>2</v>
      </c>
      <c r="U132" s="16">
        <v>0.47203752275524513</v>
      </c>
      <c r="V132" s="43">
        <f t="shared" si="49"/>
        <v>7083.72</v>
      </c>
      <c r="W132" s="51"/>
      <c r="X132" s="48"/>
      <c r="Y132" s="48"/>
      <c r="Z132" s="49"/>
      <c r="AA132" s="50"/>
      <c r="AB132" s="48"/>
      <c r="AC132" s="48"/>
      <c r="AD132" s="48"/>
      <c r="AE132" s="51"/>
      <c r="AF132" s="48"/>
      <c r="AG132" s="48"/>
      <c r="AH132" s="86"/>
      <c r="AI132" s="73"/>
      <c r="AJ132" s="77"/>
      <c r="AK132" s="77"/>
      <c r="AL132" s="159"/>
      <c r="AM132" s="76"/>
      <c r="AN132" s="74"/>
      <c r="AO132" s="74"/>
      <c r="AP132" s="75"/>
      <c r="AQ132" s="73"/>
      <c r="AR132" s="77"/>
      <c r="AS132" s="77"/>
      <c r="AT132" s="159"/>
      <c r="AU132" s="73"/>
      <c r="AV132" s="77"/>
      <c r="AW132" s="77"/>
      <c r="AX132" s="159"/>
    </row>
    <row r="133" spans="1:50" x14ac:dyDescent="0.25">
      <c r="A133" s="24"/>
      <c r="B133" s="24"/>
      <c r="C133" s="8"/>
      <c r="D133" s="8"/>
      <c r="E133" s="8"/>
      <c r="F133" s="25" t="s">
        <v>44</v>
      </c>
      <c r="G133" s="25">
        <v>5.585</v>
      </c>
      <c r="H133" s="25">
        <v>5.585</v>
      </c>
      <c r="I133" s="25">
        <v>1</v>
      </c>
      <c r="J133" s="25" t="s">
        <v>33</v>
      </c>
      <c r="K133" s="25">
        <f t="shared" ref="K133:K196" si="71">O133*0.3</f>
        <v>41.887499999999996</v>
      </c>
      <c r="L133" s="25">
        <f t="shared" ref="L133:L196" si="72">O133*0.35</f>
        <v>48.868749999999999</v>
      </c>
      <c r="M133" s="25">
        <f t="shared" ref="M133:M196" si="73">O133*0.2</f>
        <v>27.925000000000001</v>
      </c>
      <c r="N133" s="25">
        <f t="shared" ref="N133:N196" si="74">O133*0.15</f>
        <v>20.943749999999998</v>
      </c>
      <c r="O133" s="26">
        <v>139.625</v>
      </c>
      <c r="P133" s="25" t="s">
        <v>45</v>
      </c>
      <c r="Q133" s="25">
        <v>71056</v>
      </c>
      <c r="R133" s="27" t="s">
        <v>35</v>
      </c>
      <c r="S133" s="28" t="s">
        <v>44</v>
      </c>
      <c r="T133" s="25">
        <v>1</v>
      </c>
      <c r="U133" s="29">
        <v>9.4154627306715852</v>
      </c>
      <c r="V133" s="44">
        <f t="shared" si="49"/>
        <v>58872.881249999999</v>
      </c>
      <c r="W133" s="46">
        <f>H133*0.3</f>
        <v>1.6755</v>
      </c>
      <c r="X133" s="41">
        <f>H133*0.35</f>
        <v>1.9547499999999998</v>
      </c>
      <c r="Y133" s="48"/>
      <c r="Z133" s="49"/>
      <c r="AA133" s="50"/>
      <c r="AB133" s="48"/>
      <c r="AC133" s="41">
        <f>H133*0.2</f>
        <v>1.117</v>
      </c>
      <c r="AD133" s="48"/>
      <c r="AE133" s="51"/>
      <c r="AF133" s="48"/>
      <c r="AG133" s="48"/>
      <c r="AH133" s="86"/>
      <c r="AI133" s="73"/>
      <c r="AJ133" s="77"/>
      <c r="AK133" s="77"/>
      <c r="AL133" s="159"/>
      <c r="AM133" s="73"/>
      <c r="AN133" s="77"/>
      <c r="AO133" s="77"/>
      <c r="AP133" s="132">
        <f t="shared" ref="AP133:AP136" si="75">H133*0.15</f>
        <v>0.83774999999999999</v>
      </c>
      <c r="AQ133" s="73"/>
      <c r="AR133" s="77"/>
      <c r="AS133" s="77"/>
      <c r="AT133" s="49"/>
      <c r="AU133" s="73"/>
      <c r="AV133" s="77"/>
      <c r="AW133" s="77"/>
      <c r="AX133" s="49"/>
    </row>
    <row r="134" spans="1:50" x14ac:dyDescent="0.25">
      <c r="A134" s="24"/>
      <c r="B134" s="24"/>
      <c r="C134" s="8"/>
      <c r="D134" s="8"/>
      <c r="E134" s="8"/>
      <c r="F134" s="25" t="s">
        <v>46</v>
      </c>
      <c r="G134" s="25">
        <v>5.585</v>
      </c>
      <c r="H134" s="25">
        <v>5.585</v>
      </c>
      <c r="I134" s="25">
        <v>1</v>
      </c>
      <c r="J134" s="25" t="s">
        <v>33</v>
      </c>
      <c r="K134" s="25">
        <f t="shared" si="71"/>
        <v>41.887499999999996</v>
      </c>
      <c r="L134" s="25">
        <f t="shared" si="72"/>
        <v>48.868749999999999</v>
      </c>
      <c r="M134" s="25">
        <f t="shared" si="73"/>
        <v>27.925000000000001</v>
      </c>
      <c r="N134" s="25">
        <f t="shared" si="74"/>
        <v>20.943749999999998</v>
      </c>
      <c r="O134" s="26">
        <v>139.625</v>
      </c>
      <c r="P134" s="25" t="s">
        <v>47</v>
      </c>
      <c r="Q134" s="25">
        <v>71056</v>
      </c>
      <c r="R134" s="27" t="s">
        <v>35</v>
      </c>
      <c r="S134" s="28" t="s">
        <v>46</v>
      </c>
      <c r="T134" s="25">
        <v>2</v>
      </c>
      <c r="U134" s="29">
        <v>9.4154627306715852</v>
      </c>
      <c r="V134" s="44">
        <f t="shared" ref="V134:V197" si="76">421.65*O134</f>
        <v>58872.881249999999</v>
      </c>
      <c r="W134" s="46">
        <f>H134*0.3</f>
        <v>1.6755</v>
      </c>
      <c r="X134" s="41">
        <f>H134*0.35</f>
        <v>1.9547499999999998</v>
      </c>
      <c r="Y134" s="48"/>
      <c r="Z134" s="49"/>
      <c r="AA134" s="50"/>
      <c r="AB134" s="48"/>
      <c r="AC134" s="41">
        <f t="shared" ref="AC134:AC135" si="77">H134*0.2</f>
        <v>1.117</v>
      </c>
      <c r="AD134" s="48"/>
      <c r="AE134" s="51"/>
      <c r="AF134" s="48"/>
      <c r="AG134" s="48"/>
      <c r="AH134" s="86"/>
      <c r="AI134" s="73"/>
      <c r="AJ134" s="77"/>
      <c r="AK134" s="77"/>
      <c r="AL134" s="159"/>
      <c r="AM134" s="73"/>
      <c r="AN134" s="77"/>
      <c r="AO134" s="77"/>
      <c r="AP134" s="132">
        <f t="shared" si="75"/>
        <v>0.83774999999999999</v>
      </c>
      <c r="AQ134" s="73"/>
      <c r="AR134" s="77"/>
      <c r="AS134" s="77"/>
      <c r="AT134" s="49"/>
      <c r="AU134" s="73"/>
      <c r="AV134" s="77"/>
      <c r="AW134" s="77"/>
      <c r="AX134" s="49"/>
    </row>
    <row r="135" spans="1:50" x14ac:dyDescent="0.25">
      <c r="A135" s="24"/>
      <c r="B135" s="24"/>
      <c r="C135" s="8"/>
      <c r="D135" s="8"/>
      <c r="E135" s="8"/>
      <c r="F135" s="25" t="s">
        <v>44</v>
      </c>
      <c r="G135" s="25">
        <v>5.585</v>
      </c>
      <c r="H135" s="25">
        <v>5.585</v>
      </c>
      <c r="I135" s="25">
        <v>1</v>
      </c>
      <c r="J135" s="25" t="s">
        <v>33</v>
      </c>
      <c r="K135" s="25">
        <f t="shared" si="71"/>
        <v>41.887499999999996</v>
      </c>
      <c r="L135" s="25">
        <f t="shared" si="72"/>
        <v>48.868749999999999</v>
      </c>
      <c r="M135" s="25">
        <f t="shared" si="73"/>
        <v>27.925000000000001</v>
      </c>
      <c r="N135" s="25">
        <f t="shared" si="74"/>
        <v>20.943749999999998</v>
      </c>
      <c r="O135" s="26">
        <v>139.625</v>
      </c>
      <c r="P135" s="25" t="s">
        <v>53</v>
      </c>
      <c r="Q135" s="25">
        <v>71060</v>
      </c>
      <c r="R135" s="27" t="s">
        <v>35</v>
      </c>
      <c r="S135" s="28" t="s">
        <v>44</v>
      </c>
      <c r="T135" s="25">
        <v>1</v>
      </c>
      <c r="U135" s="29">
        <v>9.4154627306715852</v>
      </c>
      <c r="V135" s="44">
        <f t="shared" si="76"/>
        <v>58872.881249999999</v>
      </c>
      <c r="W135" s="46">
        <f t="shared" ref="W135:W138" si="78">H135*0.3</f>
        <v>1.6755</v>
      </c>
      <c r="X135" s="41">
        <f>H135*0.35</f>
        <v>1.9547499999999998</v>
      </c>
      <c r="Y135" s="48"/>
      <c r="Z135" s="49"/>
      <c r="AA135" s="50"/>
      <c r="AB135" s="48"/>
      <c r="AC135" s="41">
        <f t="shared" si="77"/>
        <v>1.117</v>
      </c>
      <c r="AD135" s="48"/>
      <c r="AE135" s="51"/>
      <c r="AF135" s="48"/>
      <c r="AG135" s="48"/>
      <c r="AH135" s="86"/>
      <c r="AI135" s="73"/>
      <c r="AJ135" s="77"/>
      <c r="AK135" s="77"/>
      <c r="AL135" s="159"/>
      <c r="AM135" s="73"/>
      <c r="AN135" s="77"/>
      <c r="AO135" s="77"/>
      <c r="AP135" s="132">
        <f t="shared" si="75"/>
        <v>0.83774999999999999</v>
      </c>
      <c r="AQ135" s="73"/>
      <c r="AR135" s="77"/>
      <c r="AS135" s="77"/>
      <c r="AT135" s="49"/>
      <c r="AU135" s="73"/>
      <c r="AV135" s="77"/>
      <c r="AW135" s="77"/>
      <c r="AX135" s="49"/>
    </row>
    <row r="136" spans="1:50" ht="15.75" thickBot="1" x14ac:dyDescent="0.3">
      <c r="A136" s="24"/>
      <c r="B136" s="24"/>
      <c r="C136" s="8"/>
      <c r="D136" s="8"/>
      <c r="E136" s="8"/>
      <c r="F136" s="25" t="s">
        <v>46</v>
      </c>
      <c r="G136" s="25">
        <v>5.585</v>
      </c>
      <c r="H136" s="25">
        <v>5.585</v>
      </c>
      <c r="I136" s="25">
        <v>1</v>
      </c>
      <c r="J136" s="25" t="s">
        <v>33</v>
      </c>
      <c r="K136" s="25">
        <f t="shared" si="71"/>
        <v>41.887499999999996</v>
      </c>
      <c r="L136" s="25">
        <f t="shared" si="72"/>
        <v>48.868749999999999</v>
      </c>
      <c r="M136" s="25">
        <f t="shared" si="73"/>
        <v>27.925000000000001</v>
      </c>
      <c r="N136" s="25">
        <f t="shared" si="74"/>
        <v>20.943749999999998</v>
      </c>
      <c r="O136" s="26">
        <v>139.625</v>
      </c>
      <c r="P136" s="25" t="s">
        <v>54</v>
      </c>
      <c r="Q136" s="25">
        <v>71060</v>
      </c>
      <c r="R136" s="27" t="s">
        <v>35</v>
      </c>
      <c r="S136" s="28" t="s">
        <v>46</v>
      </c>
      <c r="T136" s="25">
        <v>2</v>
      </c>
      <c r="U136" s="29">
        <v>9.4154627306715852</v>
      </c>
      <c r="V136" s="44">
        <f t="shared" si="76"/>
        <v>58872.881249999999</v>
      </c>
      <c r="W136" s="46">
        <f t="shared" si="78"/>
        <v>1.6755</v>
      </c>
      <c r="X136" s="48"/>
      <c r="Y136" s="48"/>
      <c r="Z136" s="49"/>
      <c r="AA136" s="50"/>
      <c r="AB136" s="41">
        <f>H136*0.35</f>
        <v>1.9547499999999998</v>
      </c>
      <c r="AC136" s="41">
        <f>H136*0.2</f>
        <v>1.117</v>
      </c>
      <c r="AD136" s="48"/>
      <c r="AE136" s="51"/>
      <c r="AF136" s="48"/>
      <c r="AG136" s="48"/>
      <c r="AH136" s="86"/>
      <c r="AI136" s="73"/>
      <c r="AJ136" s="77"/>
      <c r="AK136" s="77"/>
      <c r="AL136" s="159"/>
      <c r="AM136" s="73"/>
      <c r="AN136" s="77"/>
      <c r="AO136" s="77"/>
      <c r="AP136" s="132">
        <f t="shared" si="75"/>
        <v>0.83774999999999999</v>
      </c>
      <c r="AQ136" s="73"/>
      <c r="AR136" s="77"/>
      <c r="AS136" s="77"/>
      <c r="AT136" s="49"/>
      <c r="AU136" s="73"/>
      <c r="AV136" s="77"/>
      <c r="AW136" s="77"/>
      <c r="AX136" s="49"/>
    </row>
    <row r="137" spans="1:50" ht="15.75" thickBot="1" x14ac:dyDescent="0.3">
      <c r="A137" s="24"/>
      <c r="B137" s="8"/>
      <c r="C137" s="8"/>
      <c r="D137" s="8"/>
      <c r="E137" s="8"/>
      <c r="F137" s="25" t="s">
        <v>67</v>
      </c>
      <c r="G137" s="25">
        <v>6.55</v>
      </c>
      <c r="H137" s="25">
        <v>6.55</v>
      </c>
      <c r="I137" s="25">
        <v>1</v>
      </c>
      <c r="J137" s="25" t="s">
        <v>33</v>
      </c>
      <c r="K137" s="25">
        <f t="shared" si="71"/>
        <v>49.125</v>
      </c>
      <c r="L137" s="25">
        <f t="shared" si="72"/>
        <v>57.312499999999993</v>
      </c>
      <c r="M137" s="25">
        <f t="shared" si="73"/>
        <v>32.75</v>
      </c>
      <c r="N137" s="25">
        <f t="shared" si="74"/>
        <v>24.5625</v>
      </c>
      <c r="O137" s="26">
        <v>163.75</v>
      </c>
      <c r="P137" s="25" t="s">
        <v>48</v>
      </c>
      <c r="Q137" s="25">
        <v>71059</v>
      </c>
      <c r="R137" s="27" t="s">
        <v>35</v>
      </c>
      <c r="S137" s="15" t="s">
        <v>67</v>
      </c>
      <c r="T137" s="25">
        <v>1</v>
      </c>
      <c r="U137" s="29">
        <v>11.042306335881626</v>
      </c>
      <c r="V137" s="44">
        <f t="shared" si="76"/>
        <v>69045.1875</v>
      </c>
      <c r="W137" s="46">
        <f t="shared" si="78"/>
        <v>1.9649999999999999</v>
      </c>
      <c r="X137" s="48"/>
      <c r="Y137" s="48"/>
      <c r="Z137" s="49"/>
      <c r="AA137" s="50"/>
      <c r="AB137" s="48"/>
      <c r="AC137" s="48"/>
      <c r="AD137" s="48"/>
      <c r="AE137" s="51"/>
      <c r="AF137" s="65">
        <f t="shared" ref="AF137:AF140" si="79">H137*0.35</f>
        <v>2.2925</v>
      </c>
      <c r="AG137" s="41">
        <f>H137*0.2</f>
        <v>1.31</v>
      </c>
      <c r="AH137" s="86"/>
      <c r="AI137" s="73"/>
      <c r="AJ137" s="77"/>
      <c r="AK137" s="77"/>
      <c r="AL137" s="159"/>
      <c r="AM137" s="73"/>
      <c r="AN137" s="77"/>
      <c r="AO137" s="77"/>
      <c r="AP137" s="132">
        <f>H137*0.15</f>
        <v>0.98249999999999993</v>
      </c>
      <c r="AQ137" s="73"/>
      <c r="AR137" s="77"/>
      <c r="AS137" s="77"/>
      <c r="AT137" s="49"/>
      <c r="AU137" s="73"/>
      <c r="AV137" s="77"/>
      <c r="AW137" s="77"/>
      <c r="AX137" s="49"/>
    </row>
    <row r="138" spans="1:50" ht="15.75" thickBot="1" x14ac:dyDescent="0.3">
      <c r="A138" s="24"/>
      <c r="B138" s="8"/>
      <c r="C138" s="8"/>
      <c r="D138" s="8"/>
      <c r="E138" s="8"/>
      <c r="F138" s="25" t="s">
        <v>68</v>
      </c>
      <c r="G138" s="25">
        <v>6.55</v>
      </c>
      <c r="H138" s="25">
        <v>6.55</v>
      </c>
      <c r="I138" s="25">
        <v>1</v>
      </c>
      <c r="J138" s="25" t="s">
        <v>33</v>
      </c>
      <c r="K138" s="25">
        <f t="shared" si="71"/>
        <v>49.125</v>
      </c>
      <c r="L138" s="25">
        <f t="shared" si="72"/>
        <v>57.312499999999993</v>
      </c>
      <c r="M138" s="25">
        <f t="shared" si="73"/>
        <v>32.75</v>
      </c>
      <c r="N138" s="25">
        <f t="shared" si="74"/>
        <v>24.5625</v>
      </c>
      <c r="O138" s="26">
        <v>163.75</v>
      </c>
      <c r="P138" s="25" t="s">
        <v>49</v>
      </c>
      <c r="Q138" s="25">
        <v>71059</v>
      </c>
      <c r="R138" s="27" t="s">
        <v>35</v>
      </c>
      <c r="S138" s="15" t="s">
        <v>68</v>
      </c>
      <c r="T138" s="25">
        <v>2</v>
      </c>
      <c r="U138" s="29">
        <v>11.042306335881626</v>
      </c>
      <c r="V138" s="44">
        <f t="shared" si="76"/>
        <v>69045.1875</v>
      </c>
      <c r="W138" s="46">
        <f t="shared" si="78"/>
        <v>1.9649999999999999</v>
      </c>
      <c r="X138" s="48"/>
      <c r="Y138" s="48"/>
      <c r="Z138" s="49"/>
      <c r="AA138" s="50"/>
      <c r="AB138" s="48"/>
      <c r="AC138" s="48"/>
      <c r="AD138" s="48"/>
      <c r="AE138" s="51"/>
      <c r="AF138" s="65">
        <f t="shared" si="79"/>
        <v>2.2925</v>
      </c>
      <c r="AG138" s="41">
        <f>H138*0.2</f>
        <v>1.31</v>
      </c>
      <c r="AH138" s="86"/>
      <c r="AI138" s="73"/>
      <c r="AJ138" s="77"/>
      <c r="AK138" s="77"/>
      <c r="AL138" s="159"/>
      <c r="AM138" s="73"/>
      <c r="AN138" s="77"/>
      <c r="AO138" s="77"/>
      <c r="AP138" s="132">
        <f>H138*0.15</f>
        <v>0.98249999999999993</v>
      </c>
      <c r="AQ138" s="73"/>
      <c r="AR138" s="77"/>
      <c r="AS138" s="77"/>
      <c r="AT138" s="49"/>
      <c r="AU138" s="73"/>
      <c r="AV138" s="77"/>
      <c r="AW138" s="77"/>
      <c r="AX138" s="49"/>
    </row>
    <row r="139" spans="1:50" ht="15.75" thickBot="1" x14ac:dyDescent="0.3">
      <c r="A139" s="24"/>
      <c r="B139" s="8"/>
      <c r="C139" s="8"/>
      <c r="D139" s="8"/>
      <c r="E139" s="8"/>
      <c r="F139" s="25" t="s">
        <v>67</v>
      </c>
      <c r="G139" s="25">
        <v>6.55</v>
      </c>
      <c r="H139" s="25">
        <v>6.55</v>
      </c>
      <c r="I139" s="25">
        <v>1</v>
      </c>
      <c r="J139" s="25" t="s">
        <v>33</v>
      </c>
      <c r="K139" s="25">
        <f t="shared" si="71"/>
        <v>49.125</v>
      </c>
      <c r="L139" s="25">
        <f t="shared" si="72"/>
        <v>57.312499999999993</v>
      </c>
      <c r="M139" s="25">
        <f t="shared" si="73"/>
        <v>32.75</v>
      </c>
      <c r="N139" s="25">
        <f t="shared" si="74"/>
        <v>24.5625</v>
      </c>
      <c r="O139" s="26">
        <v>163.75</v>
      </c>
      <c r="P139" s="25" t="s">
        <v>48</v>
      </c>
      <c r="Q139" s="25">
        <v>71071</v>
      </c>
      <c r="R139" s="27" t="s">
        <v>35</v>
      </c>
      <c r="S139" s="15" t="s">
        <v>67</v>
      </c>
      <c r="T139" s="25">
        <v>1</v>
      </c>
      <c r="U139" s="29">
        <v>11.042306335881626</v>
      </c>
      <c r="V139" s="44">
        <f t="shared" si="76"/>
        <v>69045.1875</v>
      </c>
      <c r="W139" s="51"/>
      <c r="X139" s="48"/>
      <c r="Y139" s="48"/>
      <c r="Z139" s="49"/>
      <c r="AA139" s="47">
        <f t="shared" ref="AA139:AA140" si="80">H139*0.3</f>
        <v>1.9649999999999999</v>
      </c>
      <c r="AB139" s="48"/>
      <c r="AC139" s="48"/>
      <c r="AD139" s="48"/>
      <c r="AE139" s="51"/>
      <c r="AF139" s="65">
        <f t="shared" si="79"/>
        <v>2.2925</v>
      </c>
      <c r="AG139" s="41">
        <f>H139*0.2</f>
        <v>1.31</v>
      </c>
      <c r="AH139" s="86"/>
      <c r="AI139" s="73"/>
      <c r="AJ139" s="77"/>
      <c r="AK139" s="77"/>
      <c r="AL139" s="159"/>
      <c r="AM139" s="73"/>
      <c r="AN139" s="77"/>
      <c r="AO139" s="77"/>
      <c r="AP139" s="132">
        <f>H139*0.15</f>
        <v>0.98249999999999993</v>
      </c>
      <c r="AQ139" s="73"/>
      <c r="AR139" s="77"/>
      <c r="AS139" s="77"/>
      <c r="AT139" s="49"/>
      <c r="AU139" s="73"/>
      <c r="AV139" s="77"/>
      <c r="AW139" s="77"/>
      <c r="AX139" s="49"/>
    </row>
    <row r="140" spans="1:50" x14ac:dyDescent="0.25">
      <c r="A140" s="24"/>
      <c r="B140" s="8"/>
      <c r="C140" s="8"/>
      <c r="D140" s="8"/>
      <c r="E140" s="8"/>
      <c r="F140" s="25" t="s">
        <v>68</v>
      </c>
      <c r="G140" s="25">
        <v>6.55</v>
      </c>
      <c r="H140" s="25">
        <v>6.55</v>
      </c>
      <c r="I140" s="25">
        <v>1</v>
      </c>
      <c r="J140" s="25" t="s">
        <v>33</v>
      </c>
      <c r="K140" s="25">
        <f t="shared" si="71"/>
        <v>49.125</v>
      </c>
      <c r="L140" s="25">
        <f t="shared" si="72"/>
        <v>57.312499999999993</v>
      </c>
      <c r="M140" s="25">
        <f t="shared" si="73"/>
        <v>32.75</v>
      </c>
      <c r="N140" s="25">
        <f t="shared" si="74"/>
        <v>24.5625</v>
      </c>
      <c r="O140" s="26">
        <v>163.75</v>
      </c>
      <c r="P140" s="25" t="s">
        <v>49</v>
      </c>
      <c r="Q140" s="25">
        <v>71071</v>
      </c>
      <c r="R140" s="27" t="s">
        <v>35</v>
      </c>
      <c r="S140" s="15" t="s">
        <v>68</v>
      </c>
      <c r="T140" s="25">
        <v>2</v>
      </c>
      <c r="U140" s="29">
        <v>11.042306335881626</v>
      </c>
      <c r="V140" s="44">
        <f t="shared" si="76"/>
        <v>69045.1875</v>
      </c>
      <c r="W140" s="51"/>
      <c r="X140" s="48"/>
      <c r="Y140" s="48"/>
      <c r="Z140" s="49"/>
      <c r="AA140" s="47">
        <f t="shared" si="80"/>
        <v>1.9649999999999999</v>
      </c>
      <c r="AB140" s="48"/>
      <c r="AC140" s="48"/>
      <c r="AD140" s="48"/>
      <c r="AE140" s="51"/>
      <c r="AF140" s="65">
        <f t="shared" si="79"/>
        <v>2.2925</v>
      </c>
      <c r="AG140" s="41">
        <f>H140*0.2</f>
        <v>1.31</v>
      </c>
      <c r="AH140" s="86"/>
      <c r="AI140" s="73"/>
      <c r="AJ140" s="77"/>
      <c r="AK140" s="77"/>
      <c r="AL140" s="159"/>
      <c r="AM140" s="73"/>
      <c r="AN140" s="77"/>
      <c r="AO140" s="77"/>
      <c r="AP140" s="132">
        <f>H140*0.15</f>
        <v>0.98249999999999993</v>
      </c>
      <c r="AQ140" s="73"/>
      <c r="AR140" s="77"/>
      <c r="AS140" s="77"/>
      <c r="AT140" s="49"/>
      <c r="AU140" s="73"/>
      <c r="AV140" s="77"/>
      <c r="AW140" s="77"/>
      <c r="AX140" s="49"/>
    </row>
    <row r="141" spans="1:50" ht="15.75" thickBot="1" x14ac:dyDescent="0.3">
      <c r="A141" s="24"/>
      <c r="B141" s="24"/>
      <c r="C141" s="8"/>
      <c r="D141" s="8"/>
      <c r="E141" s="8"/>
      <c r="F141" s="25" t="s">
        <v>60</v>
      </c>
      <c r="G141" s="25">
        <v>0.47</v>
      </c>
      <c r="H141" s="25">
        <v>0.94</v>
      </c>
      <c r="I141" s="25">
        <v>2</v>
      </c>
      <c r="J141" s="25" t="s">
        <v>33</v>
      </c>
      <c r="K141" s="25">
        <f t="shared" si="71"/>
        <v>15.792</v>
      </c>
      <c r="L141" s="25">
        <f t="shared" si="72"/>
        <v>18.423999999999999</v>
      </c>
      <c r="M141" s="25">
        <f t="shared" si="73"/>
        <v>10.528</v>
      </c>
      <c r="N141" s="25">
        <f t="shared" si="74"/>
        <v>7.8959999999999999</v>
      </c>
      <c r="O141" s="26">
        <v>52.64</v>
      </c>
      <c r="P141" s="25" t="s">
        <v>69</v>
      </c>
      <c r="Q141" s="25">
        <v>71047</v>
      </c>
      <c r="R141" s="27" t="s">
        <v>35</v>
      </c>
      <c r="S141" s="28" t="s">
        <v>60</v>
      </c>
      <c r="T141" s="25">
        <v>1</v>
      </c>
      <c r="U141" s="29">
        <v>1.5846973978211798</v>
      </c>
      <c r="V141" s="44">
        <f t="shared" si="76"/>
        <v>22195.655999999999</v>
      </c>
      <c r="W141" s="46">
        <f>H141*0.3</f>
        <v>0.28199999999999997</v>
      </c>
      <c r="X141" s="48"/>
      <c r="Y141" s="48"/>
      <c r="Z141" s="49"/>
      <c r="AA141" s="50"/>
      <c r="AB141" s="41">
        <f>H141*0.35</f>
        <v>0.32899999999999996</v>
      </c>
      <c r="AC141" s="41">
        <f>H141*0.2</f>
        <v>0.188</v>
      </c>
      <c r="AD141" s="48"/>
      <c r="AE141" s="51"/>
      <c r="AF141" s="48"/>
      <c r="AG141" s="48"/>
      <c r="AH141" s="86"/>
      <c r="AI141" s="73"/>
      <c r="AJ141" s="77"/>
      <c r="AK141" s="77"/>
      <c r="AL141" s="159"/>
      <c r="AM141" s="73"/>
      <c r="AN141" s="77"/>
      <c r="AO141" s="77"/>
      <c r="AP141" s="132">
        <f>H141*0.15</f>
        <v>0.14099999999999999</v>
      </c>
      <c r="AQ141" s="73"/>
      <c r="AR141" s="77"/>
      <c r="AS141" s="77"/>
      <c r="AT141" s="49"/>
      <c r="AU141" s="73"/>
      <c r="AV141" s="77"/>
      <c r="AW141" s="77"/>
      <c r="AX141" s="49"/>
    </row>
    <row r="142" spans="1:50" ht="30.75" thickBot="1" x14ac:dyDescent="0.3">
      <c r="A142" s="24"/>
      <c r="B142" s="24"/>
      <c r="C142" s="24"/>
      <c r="D142" s="24"/>
      <c r="E142" s="24"/>
      <c r="F142" s="25" t="s">
        <v>70</v>
      </c>
      <c r="G142" s="25">
        <v>0.55000000000000004</v>
      </c>
      <c r="H142" s="25">
        <v>0.55000000000000004</v>
      </c>
      <c r="I142" s="25">
        <v>1</v>
      </c>
      <c r="J142" s="25" t="s">
        <v>33</v>
      </c>
      <c r="K142" s="25">
        <f t="shared" si="71"/>
        <v>6.6</v>
      </c>
      <c r="L142" s="25">
        <f t="shared" si="72"/>
        <v>7.6999999999999993</v>
      </c>
      <c r="M142" s="25">
        <f t="shared" si="73"/>
        <v>4.4000000000000004</v>
      </c>
      <c r="N142" s="25">
        <f t="shared" si="74"/>
        <v>3.3</v>
      </c>
      <c r="O142" s="26">
        <v>22</v>
      </c>
      <c r="P142" s="25" t="s">
        <v>71</v>
      </c>
      <c r="Q142" s="25">
        <v>71082</v>
      </c>
      <c r="R142" s="19" t="s">
        <v>35</v>
      </c>
      <c r="S142" s="15" t="s">
        <v>70</v>
      </c>
      <c r="T142" s="9">
        <v>1</v>
      </c>
      <c r="U142" s="16">
        <v>0.92721656255494578</v>
      </c>
      <c r="V142" s="43">
        <f t="shared" si="76"/>
        <v>9276.2999999999993</v>
      </c>
      <c r="W142" s="51"/>
      <c r="X142" s="48"/>
      <c r="Y142" s="48"/>
      <c r="Z142" s="49"/>
      <c r="AA142" s="47">
        <f t="shared" ref="AA142:AA143" si="81">H142*0.3</f>
        <v>0.16500000000000001</v>
      </c>
      <c r="AB142" s="48"/>
      <c r="AC142" s="48"/>
      <c r="AD142" s="48"/>
      <c r="AE142" s="51"/>
      <c r="AF142" s="56"/>
      <c r="AG142" s="48"/>
      <c r="AH142" s="86"/>
      <c r="AI142" s="73"/>
      <c r="AJ142" s="130">
        <f t="shared" ref="AJ142:AJ143" si="82">H142*0.35</f>
        <v>0.1925</v>
      </c>
      <c r="AK142" s="130">
        <f t="shared" ref="AK142:AK147" si="83">H142*0.2</f>
        <v>0.11000000000000001</v>
      </c>
      <c r="AL142" s="132">
        <f t="shared" ref="AL142:AL143" si="84">H142*0.15</f>
        <v>8.2500000000000004E-2</v>
      </c>
      <c r="AM142" s="73"/>
      <c r="AN142" s="77"/>
      <c r="AO142" s="77"/>
      <c r="AP142" s="49"/>
      <c r="AQ142" s="73"/>
      <c r="AR142" s="77"/>
      <c r="AS142" s="77"/>
      <c r="AT142" s="49"/>
      <c r="AU142" s="73"/>
      <c r="AV142" s="77"/>
      <c r="AW142" s="77"/>
      <c r="AX142" s="49"/>
    </row>
    <row r="143" spans="1:50" ht="30.75" thickBot="1" x14ac:dyDescent="0.3">
      <c r="A143" s="24"/>
      <c r="B143" s="24"/>
      <c r="C143" s="24"/>
      <c r="D143" s="24"/>
      <c r="E143" s="24"/>
      <c r="F143" s="25" t="s">
        <v>70</v>
      </c>
      <c r="G143" s="25">
        <v>0.55000000000000004</v>
      </c>
      <c r="H143" s="25">
        <v>0.55000000000000004</v>
      </c>
      <c r="I143" s="25">
        <v>1</v>
      </c>
      <c r="J143" s="25" t="s">
        <v>33</v>
      </c>
      <c r="K143" s="25">
        <f t="shared" si="71"/>
        <v>6.6</v>
      </c>
      <c r="L143" s="25">
        <f t="shared" si="72"/>
        <v>7.6999999999999993</v>
      </c>
      <c r="M143" s="25">
        <f t="shared" si="73"/>
        <v>4.4000000000000004</v>
      </c>
      <c r="N143" s="25">
        <f t="shared" si="74"/>
        <v>3.3</v>
      </c>
      <c r="O143" s="26">
        <v>22</v>
      </c>
      <c r="P143" s="25" t="s">
        <v>71</v>
      </c>
      <c r="Q143" s="25">
        <v>71082</v>
      </c>
      <c r="R143" s="19" t="s">
        <v>35</v>
      </c>
      <c r="S143" s="15" t="s">
        <v>70</v>
      </c>
      <c r="T143" s="9">
        <v>2</v>
      </c>
      <c r="U143" s="16">
        <v>0.92721656255494578</v>
      </c>
      <c r="V143" s="43">
        <f t="shared" si="76"/>
        <v>9276.2999999999993</v>
      </c>
      <c r="W143" s="51"/>
      <c r="X143" s="48"/>
      <c r="Y143" s="48"/>
      <c r="Z143" s="49"/>
      <c r="AA143" s="47">
        <f t="shared" si="81"/>
        <v>0.16500000000000001</v>
      </c>
      <c r="AB143" s="48"/>
      <c r="AC143" s="48"/>
      <c r="AD143" s="48"/>
      <c r="AE143" s="51"/>
      <c r="AF143" s="56"/>
      <c r="AG143" s="48"/>
      <c r="AH143" s="86"/>
      <c r="AI143" s="73"/>
      <c r="AJ143" s="130">
        <f t="shared" si="82"/>
        <v>0.1925</v>
      </c>
      <c r="AK143" s="130">
        <f t="shared" si="83"/>
        <v>0.11000000000000001</v>
      </c>
      <c r="AL143" s="132">
        <f t="shared" si="84"/>
        <v>8.2500000000000004E-2</v>
      </c>
      <c r="AM143" s="73"/>
      <c r="AN143" s="77"/>
      <c r="AO143" s="77"/>
      <c r="AP143" s="49"/>
      <c r="AQ143" s="73"/>
      <c r="AR143" s="77"/>
      <c r="AS143" s="77"/>
      <c r="AT143" s="49"/>
      <c r="AU143" s="73"/>
      <c r="AV143" s="77"/>
      <c r="AW143" s="77"/>
      <c r="AX143" s="49"/>
    </row>
    <row r="144" spans="1:50" ht="15.75" thickBot="1" x14ac:dyDescent="0.3">
      <c r="A144" s="24"/>
      <c r="B144" s="24"/>
      <c r="C144" s="24"/>
      <c r="D144" s="24"/>
      <c r="E144" s="24"/>
      <c r="F144" s="25" t="s">
        <v>42</v>
      </c>
      <c r="G144" s="25">
        <v>1.85</v>
      </c>
      <c r="H144" s="25">
        <v>1.85</v>
      </c>
      <c r="I144" s="25">
        <v>1</v>
      </c>
      <c r="J144" s="25" t="s">
        <v>33</v>
      </c>
      <c r="K144" s="25">
        <f t="shared" si="71"/>
        <v>19.425000000000001</v>
      </c>
      <c r="L144" s="25">
        <f t="shared" si="72"/>
        <v>22.662499999999998</v>
      </c>
      <c r="M144" s="25">
        <f t="shared" si="73"/>
        <v>12.950000000000001</v>
      </c>
      <c r="N144" s="25">
        <f t="shared" si="74"/>
        <v>9.7125000000000004</v>
      </c>
      <c r="O144" s="26">
        <v>64.75</v>
      </c>
      <c r="P144" s="25" t="s">
        <v>43</v>
      </c>
      <c r="Q144" s="25">
        <v>71092</v>
      </c>
      <c r="R144" s="19" t="s">
        <v>35</v>
      </c>
      <c r="S144" s="15" t="s">
        <v>42</v>
      </c>
      <c r="T144" s="9">
        <v>1</v>
      </c>
      <c r="U144" s="16">
        <v>3.1188193467757266</v>
      </c>
      <c r="V144" s="43">
        <f t="shared" si="76"/>
        <v>27301.837499999998</v>
      </c>
      <c r="W144" s="51"/>
      <c r="X144" s="48"/>
      <c r="Y144" s="48"/>
      <c r="Z144" s="49"/>
      <c r="AA144" s="47">
        <f>H144*0.3</f>
        <v>0.55500000000000005</v>
      </c>
      <c r="AB144" s="48"/>
      <c r="AC144" s="48"/>
      <c r="AD144" s="48"/>
      <c r="AE144" s="51"/>
      <c r="AF144" s="65">
        <f t="shared" ref="AF144:AF147" si="85">H144*0.35</f>
        <v>0.64749999999999996</v>
      </c>
      <c r="AG144" s="48"/>
      <c r="AH144" s="86"/>
      <c r="AI144" s="73"/>
      <c r="AJ144" s="77"/>
      <c r="AK144" s="130">
        <f t="shared" si="83"/>
        <v>0.37000000000000005</v>
      </c>
      <c r="AL144" s="49"/>
      <c r="AM144" s="73"/>
      <c r="AN144" s="77"/>
      <c r="AO144" s="77"/>
      <c r="AP144" s="132">
        <f t="shared" ref="AP144:AP149" si="86">H144*0.15</f>
        <v>0.27750000000000002</v>
      </c>
      <c r="AQ144" s="73"/>
      <c r="AR144" s="77"/>
      <c r="AS144" s="77"/>
      <c r="AT144" s="49"/>
      <c r="AU144" s="73"/>
      <c r="AV144" s="77"/>
      <c r="AW144" s="77"/>
      <c r="AX144" s="49"/>
    </row>
    <row r="145" spans="1:50" ht="15.75" thickBot="1" x14ac:dyDescent="0.3">
      <c r="A145" s="24"/>
      <c r="B145" s="24"/>
      <c r="C145" s="24"/>
      <c r="D145" s="24"/>
      <c r="E145" s="24"/>
      <c r="F145" s="25" t="s">
        <v>42</v>
      </c>
      <c r="G145" s="25">
        <v>1.85</v>
      </c>
      <c r="H145" s="25">
        <v>1.85</v>
      </c>
      <c r="I145" s="25">
        <v>1</v>
      </c>
      <c r="J145" s="25" t="s">
        <v>33</v>
      </c>
      <c r="K145" s="25">
        <f t="shared" si="71"/>
        <v>19.425000000000001</v>
      </c>
      <c r="L145" s="25">
        <f t="shared" si="72"/>
        <v>22.662499999999998</v>
      </c>
      <c r="M145" s="25">
        <f t="shared" si="73"/>
        <v>12.950000000000001</v>
      </c>
      <c r="N145" s="25">
        <f t="shared" si="74"/>
        <v>9.7125000000000004</v>
      </c>
      <c r="O145" s="26">
        <v>64.75</v>
      </c>
      <c r="P145" s="25" t="s">
        <v>43</v>
      </c>
      <c r="Q145" s="25">
        <v>71092</v>
      </c>
      <c r="R145" s="19" t="s">
        <v>35</v>
      </c>
      <c r="S145" s="15" t="s">
        <v>42</v>
      </c>
      <c r="T145" s="9">
        <v>2</v>
      </c>
      <c r="U145" s="16">
        <v>3.1188193467757266</v>
      </c>
      <c r="V145" s="43">
        <f t="shared" si="76"/>
        <v>27301.837499999998</v>
      </c>
      <c r="W145" s="51"/>
      <c r="X145" s="48"/>
      <c r="Y145" s="48"/>
      <c r="Z145" s="49"/>
      <c r="AA145" s="47">
        <f t="shared" ref="AA145:AA149" si="87">H145*0.3</f>
        <v>0.55500000000000005</v>
      </c>
      <c r="AB145" s="48"/>
      <c r="AC145" s="48"/>
      <c r="AD145" s="48"/>
      <c r="AE145" s="51"/>
      <c r="AF145" s="65">
        <f t="shared" si="85"/>
        <v>0.64749999999999996</v>
      </c>
      <c r="AG145" s="48"/>
      <c r="AH145" s="86"/>
      <c r="AI145" s="73"/>
      <c r="AJ145" s="77"/>
      <c r="AK145" s="130">
        <f t="shared" si="83"/>
        <v>0.37000000000000005</v>
      </c>
      <c r="AL145" s="49"/>
      <c r="AM145" s="73"/>
      <c r="AN145" s="77"/>
      <c r="AO145" s="77"/>
      <c r="AP145" s="132">
        <f t="shared" si="86"/>
        <v>0.27750000000000002</v>
      </c>
      <c r="AQ145" s="73"/>
      <c r="AR145" s="77"/>
      <c r="AS145" s="77"/>
      <c r="AT145" s="49"/>
      <c r="AU145" s="73"/>
      <c r="AV145" s="77"/>
      <c r="AW145" s="77"/>
      <c r="AX145" s="49"/>
    </row>
    <row r="146" spans="1:50" ht="15.75" thickBot="1" x14ac:dyDescent="0.3">
      <c r="A146" s="24"/>
      <c r="B146" s="24"/>
      <c r="C146" s="24"/>
      <c r="D146" s="24"/>
      <c r="E146" s="24"/>
      <c r="F146" s="25" t="s">
        <v>42</v>
      </c>
      <c r="G146" s="25">
        <v>1.85</v>
      </c>
      <c r="H146" s="25">
        <v>1.85</v>
      </c>
      <c r="I146" s="25">
        <v>1</v>
      </c>
      <c r="J146" s="25" t="s">
        <v>33</v>
      </c>
      <c r="K146" s="25">
        <f t="shared" si="71"/>
        <v>19.425000000000001</v>
      </c>
      <c r="L146" s="25">
        <f t="shared" si="72"/>
        <v>22.662499999999998</v>
      </c>
      <c r="M146" s="25">
        <f t="shared" si="73"/>
        <v>12.950000000000001</v>
      </c>
      <c r="N146" s="25">
        <f t="shared" si="74"/>
        <v>9.7125000000000004</v>
      </c>
      <c r="O146" s="26">
        <v>64.75</v>
      </c>
      <c r="P146" s="25" t="s">
        <v>43</v>
      </c>
      <c r="Q146" s="25">
        <v>71092</v>
      </c>
      <c r="R146" s="19" t="s">
        <v>35</v>
      </c>
      <c r="S146" s="15" t="s">
        <v>42</v>
      </c>
      <c r="T146" s="9">
        <v>3</v>
      </c>
      <c r="U146" s="16">
        <v>3.1188193467757266</v>
      </c>
      <c r="V146" s="43">
        <f t="shared" si="76"/>
        <v>27301.837499999998</v>
      </c>
      <c r="W146" s="51"/>
      <c r="X146" s="48"/>
      <c r="Y146" s="48"/>
      <c r="Z146" s="49"/>
      <c r="AA146" s="47">
        <f t="shared" si="87"/>
        <v>0.55500000000000005</v>
      </c>
      <c r="AB146" s="48"/>
      <c r="AC146" s="48"/>
      <c r="AD146" s="48"/>
      <c r="AE146" s="51"/>
      <c r="AF146" s="65">
        <f t="shared" si="85"/>
        <v>0.64749999999999996</v>
      </c>
      <c r="AG146" s="48"/>
      <c r="AH146" s="86"/>
      <c r="AI146" s="73"/>
      <c r="AJ146" s="77"/>
      <c r="AK146" s="130">
        <f t="shared" si="83"/>
        <v>0.37000000000000005</v>
      </c>
      <c r="AL146" s="49"/>
      <c r="AM146" s="73"/>
      <c r="AN146" s="77"/>
      <c r="AO146" s="77"/>
      <c r="AP146" s="132">
        <f t="shared" si="86"/>
        <v>0.27750000000000002</v>
      </c>
      <c r="AQ146" s="73"/>
      <c r="AR146" s="77"/>
      <c r="AS146" s="77"/>
      <c r="AT146" s="49"/>
      <c r="AU146" s="73"/>
      <c r="AV146" s="77"/>
      <c r="AW146" s="77"/>
      <c r="AX146" s="49"/>
    </row>
    <row r="147" spans="1:50" x14ac:dyDescent="0.25">
      <c r="A147" s="24"/>
      <c r="B147" s="24"/>
      <c r="C147" s="24"/>
      <c r="D147" s="24"/>
      <c r="E147" s="24"/>
      <c r="F147" s="25" t="s">
        <v>42</v>
      </c>
      <c r="G147" s="25">
        <v>1.85</v>
      </c>
      <c r="H147" s="25">
        <v>1.85</v>
      </c>
      <c r="I147" s="25">
        <v>1</v>
      </c>
      <c r="J147" s="25" t="s">
        <v>33</v>
      </c>
      <c r="K147" s="25">
        <f t="shared" si="71"/>
        <v>19.425000000000001</v>
      </c>
      <c r="L147" s="25">
        <f t="shared" si="72"/>
        <v>22.662499999999998</v>
      </c>
      <c r="M147" s="25">
        <f t="shared" si="73"/>
        <v>12.950000000000001</v>
      </c>
      <c r="N147" s="25">
        <f t="shared" si="74"/>
        <v>9.7125000000000004</v>
      </c>
      <c r="O147" s="26">
        <v>64.75</v>
      </c>
      <c r="P147" s="25" t="s">
        <v>43</v>
      </c>
      <c r="Q147" s="25">
        <v>71092</v>
      </c>
      <c r="R147" s="19" t="s">
        <v>35</v>
      </c>
      <c r="S147" s="15" t="s">
        <v>42</v>
      </c>
      <c r="T147" s="9">
        <v>4</v>
      </c>
      <c r="U147" s="16">
        <v>3.1188193467757266</v>
      </c>
      <c r="V147" s="43">
        <f t="shared" si="76"/>
        <v>27301.837499999998</v>
      </c>
      <c r="W147" s="51"/>
      <c r="X147" s="48"/>
      <c r="Y147" s="48"/>
      <c r="Z147" s="49"/>
      <c r="AA147" s="47">
        <f t="shared" si="87"/>
        <v>0.55500000000000005</v>
      </c>
      <c r="AB147" s="48"/>
      <c r="AC147" s="48"/>
      <c r="AD147" s="48"/>
      <c r="AE147" s="51"/>
      <c r="AF147" s="65">
        <f t="shared" si="85"/>
        <v>0.64749999999999996</v>
      </c>
      <c r="AG147" s="48"/>
      <c r="AH147" s="86"/>
      <c r="AI147" s="73"/>
      <c r="AJ147" s="77"/>
      <c r="AK147" s="130">
        <f t="shared" si="83"/>
        <v>0.37000000000000005</v>
      </c>
      <c r="AL147" s="49"/>
      <c r="AM147" s="73"/>
      <c r="AN147" s="77"/>
      <c r="AO147" s="77"/>
      <c r="AP147" s="132">
        <f t="shared" si="86"/>
        <v>0.27750000000000002</v>
      </c>
      <c r="AQ147" s="73"/>
      <c r="AR147" s="77"/>
      <c r="AS147" s="77"/>
      <c r="AT147" s="49"/>
      <c r="AU147" s="73"/>
      <c r="AV147" s="77"/>
      <c r="AW147" s="77"/>
      <c r="AX147" s="49"/>
    </row>
    <row r="148" spans="1:50" x14ac:dyDescent="0.25">
      <c r="A148" s="24"/>
      <c r="B148" s="24"/>
      <c r="C148" s="24"/>
      <c r="D148" s="24"/>
      <c r="E148" s="24"/>
      <c r="F148" s="25" t="s">
        <v>55</v>
      </c>
      <c r="G148" s="25">
        <v>1.0425</v>
      </c>
      <c r="H148" s="25">
        <v>1.0425</v>
      </c>
      <c r="I148" s="25">
        <v>1</v>
      </c>
      <c r="J148" s="25" t="s">
        <v>33</v>
      </c>
      <c r="K148" s="25">
        <f t="shared" si="71"/>
        <v>10.946249999999999</v>
      </c>
      <c r="L148" s="25">
        <f t="shared" si="72"/>
        <v>12.770624999999999</v>
      </c>
      <c r="M148" s="25">
        <f t="shared" si="73"/>
        <v>7.2974999999999994</v>
      </c>
      <c r="N148" s="25">
        <f t="shared" si="74"/>
        <v>5.4731249999999996</v>
      </c>
      <c r="O148" s="26">
        <v>36.487499999999997</v>
      </c>
      <c r="P148" s="25" t="s">
        <v>76</v>
      </c>
      <c r="Q148" s="25">
        <v>71062</v>
      </c>
      <c r="R148" s="19" t="s">
        <v>35</v>
      </c>
      <c r="S148" s="15" t="s">
        <v>55</v>
      </c>
      <c r="T148" s="9">
        <v>1</v>
      </c>
      <c r="U148" s="16">
        <v>1.7574968481155107</v>
      </c>
      <c r="V148" s="43">
        <f t="shared" si="76"/>
        <v>15384.954374999998</v>
      </c>
      <c r="W148" s="51"/>
      <c r="X148" s="48"/>
      <c r="Y148" s="48"/>
      <c r="Z148" s="49"/>
      <c r="AA148" s="47">
        <f t="shared" si="87"/>
        <v>0.31274999999999997</v>
      </c>
      <c r="AB148" s="41">
        <f t="shared" ref="AB148:AB149" si="88">H148*0.35</f>
        <v>0.36487499999999995</v>
      </c>
      <c r="AC148" s="48"/>
      <c r="AD148" s="48"/>
      <c r="AE148" s="51"/>
      <c r="AF148" s="48"/>
      <c r="AG148" s="41">
        <f>H148*0.2</f>
        <v>0.20850000000000002</v>
      </c>
      <c r="AH148" s="86"/>
      <c r="AI148" s="73"/>
      <c r="AJ148" s="77"/>
      <c r="AK148" s="77"/>
      <c r="AL148" s="159"/>
      <c r="AM148" s="73"/>
      <c r="AN148" s="77"/>
      <c r="AO148" s="77"/>
      <c r="AP148" s="132">
        <f t="shared" si="86"/>
        <v>0.15637499999999999</v>
      </c>
      <c r="AQ148" s="73"/>
      <c r="AR148" s="77"/>
      <c r="AS148" s="77"/>
      <c r="AT148" s="49"/>
      <c r="AU148" s="73"/>
      <c r="AV148" s="77"/>
      <c r="AW148" s="77"/>
      <c r="AX148" s="49"/>
    </row>
    <row r="149" spans="1:50" ht="15.75" thickBot="1" x14ac:dyDescent="0.3">
      <c r="A149" s="24"/>
      <c r="B149" s="24"/>
      <c r="C149" s="24"/>
      <c r="D149" s="24"/>
      <c r="E149" s="24"/>
      <c r="F149" s="25" t="s">
        <v>55</v>
      </c>
      <c r="G149" s="25">
        <v>1.0425</v>
      </c>
      <c r="H149" s="25">
        <v>1.0425</v>
      </c>
      <c r="I149" s="25">
        <v>1</v>
      </c>
      <c r="J149" s="25" t="s">
        <v>33</v>
      </c>
      <c r="K149" s="25">
        <f t="shared" si="71"/>
        <v>10.946249999999999</v>
      </c>
      <c r="L149" s="25">
        <f t="shared" si="72"/>
        <v>12.770624999999999</v>
      </c>
      <c r="M149" s="25">
        <f t="shared" si="73"/>
        <v>7.2974999999999994</v>
      </c>
      <c r="N149" s="25">
        <f t="shared" si="74"/>
        <v>5.4731249999999996</v>
      </c>
      <c r="O149" s="26">
        <v>36.487499999999997</v>
      </c>
      <c r="P149" s="25" t="s">
        <v>76</v>
      </c>
      <c r="Q149" s="25">
        <v>71062</v>
      </c>
      <c r="R149" s="19" t="s">
        <v>35</v>
      </c>
      <c r="S149" s="15" t="s">
        <v>55</v>
      </c>
      <c r="T149" s="9">
        <v>2</v>
      </c>
      <c r="U149" s="16">
        <v>1.7574968481155107</v>
      </c>
      <c r="V149" s="43">
        <f t="shared" si="76"/>
        <v>15384.954374999998</v>
      </c>
      <c r="W149" s="51"/>
      <c r="X149" s="48"/>
      <c r="Y149" s="48"/>
      <c r="Z149" s="49"/>
      <c r="AA149" s="47">
        <f t="shared" si="87"/>
        <v>0.31274999999999997</v>
      </c>
      <c r="AB149" s="41">
        <f t="shared" si="88"/>
        <v>0.36487499999999995</v>
      </c>
      <c r="AC149" s="48"/>
      <c r="AD149" s="48"/>
      <c r="AE149" s="51"/>
      <c r="AF149" s="48"/>
      <c r="AG149" s="41">
        <f>H149*0.2</f>
        <v>0.20850000000000002</v>
      </c>
      <c r="AH149" s="86"/>
      <c r="AI149" s="73"/>
      <c r="AJ149" s="77"/>
      <c r="AK149" s="77"/>
      <c r="AL149" s="159"/>
      <c r="AM149" s="73"/>
      <c r="AN149" s="77"/>
      <c r="AO149" s="77"/>
      <c r="AP149" s="132">
        <f t="shared" si="86"/>
        <v>0.15637499999999999</v>
      </c>
      <c r="AQ149" s="73"/>
      <c r="AR149" s="77"/>
      <c r="AS149" s="77"/>
      <c r="AT149" s="49"/>
      <c r="AU149" s="73"/>
      <c r="AV149" s="77"/>
      <c r="AW149" s="77"/>
      <c r="AX149" s="49"/>
    </row>
    <row r="150" spans="1:50" ht="15.75" thickBot="1" x14ac:dyDescent="0.3">
      <c r="A150" s="24"/>
      <c r="B150" s="24"/>
      <c r="C150" s="24"/>
      <c r="D150" s="24"/>
      <c r="E150" s="24"/>
      <c r="F150" s="25" t="s">
        <v>42</v>
      </c>
      <c r="G150" s="25">
        <v>1.85</v>
      </c>
      <c r="H150" s="25">
        <v>1.85</v>
      </c>
      <c r="I150" s="25">
        <v>1</v>
      </c>
      <c r="J150" s="25" t="s">
        <v>33</v>
      </c>
      <c r="K150" s="25">
        <f t="shared" si="71"/>
        <v>19.425000000000001</v>
      </c>
      <c r="L150" s="25">
        <f t="shared" si="72"/>
        <v>22.662499999999998</v>
      </c>
      <c r="M150" s="25">
        <f t="shared" si="73"/>
        <v>12.950000000000001</v>
      </c>
      <c r="N150" s="25">
        <f t="shared" si="74"/>
        <v>9.7125000000000004</v>
      </c>
      <c r="O150" s="26">
        <v>64.75</v>
      </c>
      <c r="P150" s="25" t="s">
        <v>43</v>
      </c>
      <c r="Q150" s="25">
        <v>71093</v>
      </c>
      <c r="R150" s="19" t="s">
        <v>35</v>
      </c>
      <c r="S150" s="15" t="s">
        <v>42</v>
      </c>
      <c r="T150" s="9">
        <v>1</v>
      </c>
      <c r="U150" s="16">
        <v>3.1188193467757266</v>
      </c>
      <c r="V150" s="43">
        <f t="shared" si="76"/>
        <v>27301.837499999998</v>
      </c>
      <c r="W150" s="51"/>
      <c r="X150" s="48"/>
      <c r="Y150" s="48"/>
      <c r="Z150" s="49"/>
      <c r="AA150" s="47">
        <f>H150*0.3</f>
        <v>0.55500000000000005</v>
      </c>
      <c r="AB150" s="48"/>
      <c r="AC150" s="48"/>
      <c r="AD150" s="48"/>
      <c r="AE150" s="51"/>
      <c r="AF150" s="65">
        <f t="shared" ref="AF150:AF151" si="89">H150*0.35</f>
        <v>0.64749999999999996</v>
      </c>
      <c r="AG150" s="48"/>
      <c r="AH150" s="86"/>
      <c r="AI150" s="73"/>
      <c r="AJ150" s="77"/>
      <c r="AK150" s="130">
        <f t="shared" ref="AK150:AK151" si="90">H150*0.2</f>
        <v>0.37000000000000005</v>
      </c>
      <c r="AL150" s="49"/>
      <c r="AM150" s="73"/>
      <c r="AN150" s="77"/>
      <c r="AO150" s="77"/>
      <c r="AP150" s="132">
        <f t="shared" ref="AP150:AP151" si="91">H150*0.15</f>
        <v>0.27750000000000002</v>
      </c>
      <c r="AQ150" s="73"/>
      <c r="AR150" s="77"/>
      <c r="AS150" s="77"/>
      <c r="AT150" s="49"/>
      <c r="AU150" s="73"/>
      <c r="AV150" s="77"/>
      <c r="AW150" s="77"/>
      <c r="AX150" s="49"/>
    </row>
    <row r="151" spans="1:50" x14ac:dyDescent="0.25">
      <c r="A151" s="24"/>
      <c r="B151" s="24"/>
      <c r="C151" s="24"/>
      <c r="D151" s="24"/>
      <c r="E151" s="24"/>
      <c r="F151" s="25" t="s">
        <v>42</v>
      </c>
      <c r="G151" s="25">
        <v>1.85</v>
      </c>
      <c r="H151" s="25">
        <v>1.85</v>
      </c>
      <c r="I151" s="25">
        <v>1</v>
      </c>
      <c r="J151" s="25" t="s">
        <v>33</v>
      </c>
      <c r="K151" s="25">
        <f t="shared" si="71"/>
        <v>19.425000000000001</v>
      </c>
      <c r="L151" s="25">
        <f t="shared" si="72"/>
        <v>22.662499999999998</v>
      </c>
      <c r="M151" s="25">
        <f t="shared" si="73"/>
        <v>12.950000000000001</v>
      </c>
      <c r="N151" s="25">
        <f t="shared" si="74"/>
        <v>9.7125000000000004</v>
      </c>
      <c r="O151" s="26">
        <v>64.75</v>
      </c>
      <c r="P151" s="25" t="s">
        <v>43</v>
      </c>
      <c r="Q151" s="25">
        <v>71093</v>
      </c>
      <c r="R151" s="19" t="s">
        <v>35</v>
      </c>
      <c r="S151" s="15" t="s">
        <v>42</v>
      </c>
      <c r="T151" s="9">
        <v>2</v>
      </c>
      <c r="U151" s="16">
        <v>3.1188193467757266</v>
      </c>
      <c r="V151" s="43">
        <f t="shared" si="76"/>
        <v>27301.837499999998</v>
      </c>
      <c r="W151" s="51"/>
      <c r="X151" s="48"/>
      <c r="Y151" s="48"/>
      <c r="Z151" s="49"/>
      <c r="AA151" s="47">
        <f>H151*0.3</f>
        <v>0.55500000000000005</v>
      </c>
      <c r="AB151" s="48"/>
      <c r="AC151" s="48"/>
      <c r="AD151" s="48"/>
      <c r="AE151" s="55"/>
      <c r="AF151" s="65">
        <f t="shared" si="89"/>
        <v>0.64749999999999996</v>
      </c>
      <c r="AG151" s="48"/>
      <c r="AH151" s="86"/>
      <c r="AI151" s="73"/>
      <c r="AJ151" s="77"/>
      <c r="AK151" s="130">
        <f t="shared" si="90"/>
        <v>0.37000000000000005</v>
      </c>
      <c r="AL151" s="49"/>
      <c r="AM151" s="73"/>
      <c r="AN151" s="77"/>
      <c r="AO151" s="77"/>
      <c r="AP151" s="132">
        <f t="shared" si="91"/>
        <v>0.27750000000000002</v>
      </c>
      <c r="AQ151" s="73"/>
      <c r="AR151" s="77"/>
      <c r="AS151" s="77"/>
      <c r="AT151" s="49"/>
      <c r="AU151" s="73"/>
      <c r="AV151" s="77"/>
      <c r="AW151" s="77"/>
      <c r="AX151" s="49"/>
    </row>
    <row r="152" spans="1:50" x14ac:dyDescent="0.25">
      <c r="A152" s="24"/>
      <c r="B152" s="24"/>
      <c r="C152" s="24"/>
      <c r="D152" s="24"/>
      <c r="E152" s="24"/>
      <c r="F152" s="25" t="s">
        <v>38</v>
      </c>
      <c r="G152" s="25">
        <v>0.68500000000000005</v>
      </c>
      <c r="H152" s="25">
        <v>0.68500000000000005</v>
      </c>
      <c r="I152" s="25">
        <v>1</v>
      </c>
      <c r="J152" s="25" t="s">
        <v>33</v>
      </c>
      <c r="K152" s="25">
        <f t="shared" si="71"/>
        <v>8.2200000000000006</v>
      </c>
      <c r="L152" s="25">
        <f t="shared" si="72"/>
        <v>9.59</v>
      </c>
      <c r="M152" s="25">
        <f t="shared" si="73"/>
        <v>5.48</v>
      </c>
      <c r="N152" s="25">
        <f t="shared" si="74"/>
        <v>4.1100000000000003</v>
      </c>
      <c r="O152" s="26">
        <v>27.400000000000002</v>
      </c>
      <c r="P152" s="25" t="s">
        <v>39</v>
      </c>
      <c r="Q152" s="25">
        <v>71051</v>
      </c>
      <c r="R152" s="19" t="s">
        <v>35</v>
      </c>
      <c r="S152" s="15" t="s">
        <v>38</v>
      </c>
      <c r="T152" s="9">
        <v>1</v>
      </c>
      <c r="U152" s="16">
        <v>1.1548060824547961</v>
      </c>
      <c r="V152" s="43">
        <f t="shared" si="76"/>
        <v>11553.210000000001</v>
      </c>
      <c r="W152" s="51"/>
      <c r="X152" s="48"/>
      <c r="Y152" s="48"/>
      <c r="Z152" s="49"/>
      <c r="AA152" s="50"/>
      <c r="AB152" s="48"/>
      <c r="AC152" s="48"/>
      <c r="AD152" s="48"/>
      <c r="AE152" s="51"/>
      <c r="AF152" s="48"/>
      <c r="AG152" s="48"/>
      <c r="AH152" s="86"/>
      <c r="AI152" s="73"/>
      <c r="AJ152" s="77"/>
      <c r="AK152" s="77"/>
      <c r="AL152" s="159"/>
      <c r="AM152" s="131">
        <f t="shared" ref="AM152:AM159" si="92">H152*0.3</f>
        <v>0.20550000000000002</v>
      </c>
      <c r="AN152" s="130">
        <f>H152*0.35</f>
        <v>0.23974999999999999</v>
      </c>
      <c r="AO152" s="77"/>
      <c r="AP152" s="159"/>
      <c r="AQ152" s="73"/>
      <c r="AR152" s="77"/>
      <c r="AS152" s="41">
        <f>(H152+H153)*0.2</f>
        <v>0.27400000000000002</v>
      </c>
      <c r="AT152" s="132">
        <f>(H152+H153)*0.15</f>
        <v>0.20550000000000002</v>
      </c>
      <c r="AU152" s="73"/>
      <c r="AV152" s="77"/>
      <c r="AW152" s="77"/>
      <c r="AX152" s="159"/>
    </row>
    <row r="153" spans="1:50" x14ac:dyDescent="0.25">
      <c r="A153" s="24"/>
      <c r="B153" s="24"/>
      <c r="C153" s="24"/>
      <c r="D153" s="24"/>
      <c r="E153" s="24"/>
      <c r="F153" s="25" t="s">
        <v>40</v>
      </c>
      <c r="G153" s="25">
        <v>0.68500000000000005</v>
      </c>
      <c r="H153" s="25">
        <v>0.68500000000000005</v>
      </c>
      <c r="I153" s="25">
        <v>1</v>
      </c>
      <c r="J153" s="25" t="s">
        <v>33</v>
      </c>
      <c r="K153" s="25">
        <f t="shared" si="71"/>
        <v>8.2200000000000006</v>
      </c>
      <c r="L153" s="25">
        <f t="shared" si="72"/>
        <v>9.59</v>
      </c>
      <c r="M153" s="25">
        <f t="shared" si="73"/>
        <v>5.48</v>
      </c>
      <c r="N153" s="25">
        <f t="shared" si="74"/>
        <v>4.1100000000000003</v>
      </c>
      <c r="O153" s="26">
        <v>27.400000000000002</v>
      </c>
      <c r="P153" s="25" t="s">
        <v>41</v>
      </c>
      <c r="Q153" s="25">
        <v>71051</v>
      </c>
      <c r="R153" s="19" t="s">
        <v>35</v>
      </c>
      <c r="S153" s="15" t="s">
        <v>40</v>
      </c>
      <c r="T153" s="9">
        <v>2</v>
      </c>
      <c r="U153" s="16">
        <v>1.1548060824547961</v>
      </c>
      <c r="V153" s="43">
        <f t="shared" si="76"/>
        <v>11553.210000000001</v>
      </c>
      <c r="W153" s="51"/>
      <c r="X153" s="48"/>
      <c r="Y153" s="48"/>
      <c r="Z153" s="49"/>
      <c r="AA153" s="50"/>
      <c r="AB153" s="48"/>
      <c r="AC153" s="48"/>
      <c r="AD153" s="48"/>
      <c r="AE153" s="51"/>
      <c r="AF153" s="48"/>
      <c r="AG153" s="48"/>
      <c r="AH153" s="86"/>
      <c r="AI153" s="73"/>
      <c r="AJ153" s="77"/>
      <c r="AK153" s="77"/>
      <c r="AL153" s="159"/>
      <c r="AM153" s="131">
        <f t="shared" si="92"/>
        <v>0.20550000000000002</v>
      </c>
      <c r="AN153" s="77"/>
      <c r="AO153" s="77"/>
      <c r="AP153" s="159"/>
      <c r="AQ153" s="73"/>
      <c r="AR153" s="77"/>
      <c r="AS153" s="77"/>
      <c r="AT153" s="159"/>
      <c r="AU153" s="73"/>
      <c r="AV153" s="77"/>
      <c r="AW153" s="77"/>
      <c r="AX153" s="159"/>
    </row>
    <row r="154" spans="1:50" x14ac:dyDescent="0.25">
      <c r="A154" s="24"/>
      <c r="B154" s="24"/>
      <c r="C154" s="24"/>
      <c r="D154" s="24"/>
      <c r="E154" s="24"/>
      <c r="F154" s="25" t="s">
        <v>38</v>
      </c>
      <c r="G154" s="25">
        <v>0.68500000000000005</v>
      </c>
      <c r="H154" s="25">
        <v>0.68500000000000005</v>
      </c>
      <c r="I154" s="25">
        <v>1</v>
      </c>
      <c r="J154" s="25" t="s">
        <v>33</v>
      </c>
      <c r="K154" s="25">
        <f t="shared" si="71"/>
        <v>8.2200000000000006</v>
      </c>
      <c r="L154" s="25">
        <f t="shared" si="72"/>
        <v>9.59</v>
      </c>
      <c r="M154" s="25">
        <f t="shared" si="73"/>
        <v>5.48</v>
      </c>
      <c r="N154" s="25">
        <f t="shared" si="74"/>
        <v>4.1100000000000003</v>
      </c>
      <c r="O154" s="26">
        <v>27.400000000000002</v>
      </c>
      <c r="P154" s="25" t="s">
        <v>39</v>
      </c>
      <c r="Q154" s="25">
        <v>71052</v>
      </c>
      <c r="R154" s="19" t="s">
        <v>35</v>
      </c>
      <c r="S154" s="15" t="s">
        <v>38</v>
      </c>
      <c r="T154" s="9">
        <v>1</v>
      </c>
      <c r="U154" s="16">
        <v>1.1548060824547961</v>
      </c>
      <c r="V154" s="43">
        <f t="shared" si="76"/>
        <v>11553.210000000001</v>
      </c>
      <c r="W154" s="51"/>
      <c r="X154" s="48"/>
      <c r="Y154" s="48"/>
      <c r="Z154" s="49"/>
      <c r="AA154" s="50"/>
      <c r="AB154" s="48"/>
      <c r="AC154" s="48"/>
      <c r="AD154" s="48"/>
      <c r="AE154" s="51"/>
      <c r="AF154" s="48"/>
      <c r="AG154" s="48"/>
      <c r="AH154" s="86"/>
      <c r="AI154" s="73"/>
      <c r="AJ154" s="77"/>
      <c r="AK154" s="77"/>
      <c r="AL154" s="159"/>
      <c r="AM154" s="131">
        <f t="shared" si="92"/>
        <v>0.20550000000000002</v>
      </c>
      <c r="AN154" s="130">
        <f>H154*0.35</f>
        <v>0.23974999999999999</v>
      </c>
      <c r="AO154" s="77"/>
      <c r="AP154" s="159"/>
      <c r="AQ154" s="73"/>
      <c r="AR154" s="77"/>
      <c r="AS154" s="41">
        <f>(H154+H155)*0.2</f>
        <v>0.27400000000000002</v>
      </c>
      <c r="AT154" s="132">
        <f>(H154+H155)*0.15</f>
        <v>0.20550000000000002</v>
      </c>
      <c r="AU154" s="73"/>
      <c r="AV154" s="77"/>
      <c r="AW154" s="77"/>
      <c r="AX154" s="159"/>
    </row>
    <row r="155" spans="1:50" x14ac:dyDescent="0.25">
      <c r="A155" s="24"/>
      <c r="B155" s="24"/>
      <c r="C155" s="24"/>
      <c r="D155" s="24"/>
      <c r="E155" s="24"/>
      <c r="F155" s="25" t="s">
        <v>40</v>
      </c>
      <c r="G155" s="25">
        <v>0.68500000000000005</v>
      </c>
      <c r="H155" s="25">
        <v>0.68500000000000005</v>
      </c>
      <c r="I155" s="25">
        <v>1</v>
      </c>
      <c r="J155" s="25" t="s">
        <v>33</v>
      </c>
      <c r="K155" s="25">
        <f t="shared" si="71"/>
        <v>8.2200000000000006</v>
      </c>
      <c r="L155" s="25">
        <f t="shared" si="72"/>
        <v>9.59</v>
      </c>
      <c r="M155" s="25">
        <f t="shared" si="73"/>
        <v>5.48</v>
      </c>
      <c r="N155" s="25">
        <f t="shared" si="74"/>
        <v>4.1100000000000003</v>
      </c>
      <c r="O155" s="26">
        <v>27.400000000000002</v>
      </c>
      <c r="P155" s="25" t="s">
        <v>41</v>
      </c>
      <c r="Q155" s="25">
        <v>71052</v>
      </c>
      <c r="R155" s="19" t="s">
        <v>35</v>
      </c>
      <c r="S155" s="15" t="s">
        <v>40</v>
      </c>
      <c r="T155" s="9">
        <v>2</v>
      </c>
      <c r="U155" s="16">
        <v>1.1548060824547961</v>
      </c>
      <c r="V155" s="43">
        <f t="shared" si="76"/>
        <v>11553.210000000001</v>
      </c>
      <c r="W155" s="51"/>
      <c r="X155" s="48"/>
      <c r="Y155" s="48"/>
      <c r="Z155" s="49"/>
      <c r="AA155" s="50"/>
      <c r="AB155" s="48"/>
      <c r="AC155" s="48"/>
      <c r="AD155" s="48"/>
      <c r="AE155" s="51"/>
      <c r="AF155" s="48"/>
      <c r="AG155" s="48"/>
      <c r="AH155" s="86"/>
      <c r="AI155" s="73"/>
      <c r="AJ155" s="77"/>
      <c r="AK155" s="77"/>
      <c r="AL155" s="159"/>
      <c r="AM155" s="131">
        <f t="shared" si="92"/>
        <v>0.20550000000000002</v>
      </c>
      <c r="AN155" s="130">
        <f>H155*0.35</f>
        <v>0.23974999999999999</v>
      </c>
      <c r="AO155" s="77"/>
      <c r="AP155" s="159"/>
      <c r="AQ155" s="73"/>
      <c r="AR155" s="77"/>
      <c r="AS155" s="77"/>
      <c r="AT155" s="159"/>
      <c r="AU155" s="73"/>
      <c r="AV155" s="77"/>
      <c r="AW155" s="77"/>
      <c r="AX155" s="159"/>
    </row>
    <row r="156" spans="1:50" x14ac:dyDescent="0.25">
      <c r="A156" s="24"/>
      <c r="B156" s="24"/>
      <c r="C156" s="24"/>
      <c r="D156" s="24"/>
      <c r="E156" s="24"/>
      <c r="F156" s="25" t="s">
        <v>38</v>
      </c>
      <c r="G156" s="25">
        <v>0.68500000000000005</v>
      </c>
      <c r="H156" s="25">
        <v>0.68500000000000005</v>
      </c>
      <c r="I156" s="25">
        <v>1</v>
      </c>
      <c r="J156" s="25" t="s">
        <v>33</v>
      </c>
      <c r="K156" s="25">
        <f t="shared" si="71"/>
        <v>8.2200000000000006</v>
      </c>
      <c r="L156" s="25">
        <f t="shared" si="72"/>
        <v>9.59</v>
      </c>
      <c r="M156" s="25">
        <f t="shared" si="73"/>
        <v>5.48</v>
      </c>
      <c r="N156" s="25">
        <f t="shared" si="74"/>
        <v>4.1100000000000003</v>
      </c>
      <c r="O156" s="26">
        <v>27.400000000000002</v>
      </c>
      <c r="P156" s="25" t="s">
        <v>39</v>
      </c>
      <c r="Q156" s="25">
        <v>71053</v>
      </c>
      <c r="R156" s="19" t="s">
        <v>35</v>
      </c>
      <c r="S156" s="15" t="s">
        <v>38</v>
      </c>
      <c r="T156" s="9">
        <v>1</v>
      </c>
      <c r="U156" s="16">
        <v>1.1548060824547961</v>
      </c>
      <c r="V156" s="43">
        <f t="shared" si="76"/>
        <v>11553.210000000001</v>
      </c>
      <c r="W156" s="51"/>
      <c r="X156" s="48"/>
      <c r="Y156" s="48"/>
      <c r="Z156" s="49"/>
      <c r="AA156" s="50"/>
      <c r="AB156" s="48"/>
      <c r="AC156" s="48"/>
      <c r="AD156" s="48"/>
      <c r="AE156" s="51"/>
      <c r="AF156" s="48"/>
      <c r="AG156" s="48"/>
      <c r="AH156" s="86"/>
      <c r="AI156" s="73"/>
      <c r="AJ156" s="77"/>
      <c r="AK156" s="77"/>
      <c r="AL156" s="159"/>
      <c r="AM156" s="131">
        <f t="shared" si="92"/>
        <v>0.20550000000000002</v>
      </c>
      <c r="AN156" s="130">
        <f>H156*0.35</f>
        <v>0.23974999999999999</v>
      </c>
      <c r="AO156" s="77"/>
      <c r="AP156" s="159"/>
      <c r="AQ156" s="73"/>
      <c r="AR156" s="77"/>
      <c r="AS156" s="41">
        <f>(H156+H157)*0.2</f>
        <v>0.27400000000000002</v>
      </c>
      <c r="AT156" s="132">
        <f>(H156+H157)*0.15</f>
        <v>0.20550000000000002</v>
      </c>
      <c r="AU156" s="73"/>
      <c r="AV156" s="77"/>
      <c r="AW156" s="77"/>
      <c r="AX156" s="159"/>
    </row>
    <row r="157" spans="1:50" x14ac:dyDescent="0.25">
      <c r="A157" s="24"/>
      <c r="B157" s="24"/>
      <c r="C157" s="24"/>
      <c r="D157" s="24"/>
      <c r="E157" s="24"/>
      <c r="F157" s="25" t="s">
        <v>40</v>
      </c>
      <c r="G157" s="25">
        <v>0.68500000000000005</v>
      </c>
      <c r="H157" s="25">
        <v>0.68500000000000005</v>
      </c>
      <c r="I157" s="25">
        <v>1</v>
      </c>
      <c r="J157" s="25" t="s">
        <v>33</v>
      </c>
      <c r="K157" s="25">
        <f t="shared" si="71"/>
        <v>8.2200000000000006</v>
      </c>
      <c r="L157" s="25">
        <f t="shared" si="72"/>
        <v>9.59</v>
      </c>
      <c r="M157" s="25">
        <f t="shared" si="73"/>
        <v>5.48</v>
      </c>
      <c r="N157" s="25">
        <f t="shared" si="74"/>
        <v>4.1100000000000003</v>
      </c>
      <c r="O157" s="26">
        <v>27.400000000000002</v>
      </c>
      <c r="P157" s="25" t="s">
        <v>41</v>
      </c>
      <c r="Q157" s="25">
        <v>71053</v>
      </c>
      <c r="R157" s="19" t="s">
        <v>35</v>
      </c>
      <c r="S157" s="15" t="s">
        <v>40</v>
      </c>
      <c r="T157" s="9">
        <v>2</v>
      </c>
      <c r="U157" s="16">
        <v>1.1548060824547961</v>
      </c>
      <c r="V157" s="43">
        <f t="shared" si="76"/>
        <v>11553.210000000001</v>
      </c>
      <c r="W157" s="51"/>
      <c r="X157" s="48"/>
      <c r="Y157" s="48"/>
      <c r="Z157" s="49"/>
      <c r="AA157" s="50"/>
      <c r="AB157" s="48"/>
      <c r="AC157" s="48"/>
      <c r="AD157" s="48"/>
      <c r="AE157" s="51"/>
      <c r="AF157" s="48"/>
      <c r="AG157" s="48"/>
      <c r="AH157" s="86"/>
      <c r="AI157" s="73"/>
      <c r="AJ157" s="77"/>
      <c r="AK157" s="77"/>
      <c r="AL157" s="159"/>
      <c r="AM157" s="131">
        <f t="shared" si="92"/>
        <v>0.20550000000000002</v>
      </c>
      <c r="AN157" s="77"/>
      <c r="AO157" s="77"/>
      <c r="AP157" s="159"/>
      <c r="AQ157" s="73"/>
      <c r="AR157" s="77"/>
      <c r="AS157" s="77"/>
      <c r="AT157" s="159"/>
      <c r="AU157" s="73"/>
      <c r="AV157" s="77"/>
      <c r="AW157" s="77"/>
      <c r="AX157" s="159"/>
    </row>
    <row r="158" spans="1:50" x14ac:dyDescent="0.25">
      <c r="A158" s="24"/>
      <c r="B158" s="24"/>
      <c r="C158" s="24"/>
      <c r="D158" s="24"/>
      <c r="E158" s="24"/>
      <c r="F158" s="25" t="s">
        <v>38</v>
      </c>
      <c r="G158" s="25">
        <v>0.68500000000000005</v>
      </c>
      <c r="H158" s="25">
        <v>0.68500000000000005</v>
      </c>
      <c r="I158" s="25">
        <v>1</v>
      </c>
      <c r="J158" s="25" t="s">
        <v>33</v>
      </c>
      <c r="K158" s="25">
        <f t="shared" si="71"/>
        <v>8.2200000000000006</v>
      </c>
      <c r="L158" s="25">
        <f t="shared" si="72"/>
        <v>9.59</v>
      </c>
      <c r="M158" s="25">
        <f t="shared" si="73"/>
        <v>5.48</v>
      </c>
      <c r="N158" s="25">
        <f t="shared" si="74"/>
        <v>4.1100000000000003</v>
      </c>
      <c r="O158" s="26">
        <v>27.400000000000002</v>
      </c>
      <c r="P158" s="25" t="s">
        <v>39</v>
      </c>
      <c r="Q158" s="25">
        <v>71054</v>
      </c>
      <c r="R158" s="19" t="s">
        <v>35</v>
      </c>
      <c r="S158" s="15" t="s">
        <v>38</v>
      </c>
      <c r="T158" s="9">
        <v>1</v>
      </c>
      <c r="U158" s="16">
        <v>1.1548060824547961</v>
      </c>
      <c r="V158" s="43">
        <f t="shared" si="76"/>
        <v>11553.210000000001</v>
      </c>
      <c r="W158" s="51"/>
      <c r="X158" s="48"/>
      <c r="Y158" s="48"/>
      <c r="Z158" s="49"/>
      <c r="AA158" s="50"/>
      <c r="AB158" s="48"/>
      <c r="AC158" s="48"/>
      <c r="AD158" s="48"/>
      <c r="AE158" s="51"/>
      <c r="AF158" s="48"/>
      <c r="AG158" s="48"/>
      <c r="AH158" s="86"/>
      <c r="AI158" s="73"/>
      <c r="AJ158" s="77"/>
      <c r="AK158" s="77"/>
      <c r="AL158" s="159"/>
      <c r="AM158" s="131">
        <f t="shared" si="92"/>
        <v>0.20550000000000002</v>
      </c>
      <c r="AN158" s="130">
        <f>H158*0.35</f>
        <v>0.23974999999999999</v>
      </c>
      <c r="AO158" s="77"/>
      <c r="AP158" s="159"/>
      <c r="AQ158" s="73"/>
      <c r="AR158" s="77"/>
      <c r="AS158" s="41">
        <f>(H158+H159)*0.2</f>
        <v>0.27400000000000002</v>
      </c>
      <c r="AT158" s="132">
        <f>(H158+H159)*0.15</f>
        <v>0.20550000000000002</v>
      </c>
      <c r="AU158" s="73"/>
      <c r="AV158" s="77"/>
      <c r="AW158" s="77"/>
      <c r="AX158" s="159"/>
    </row>
    <row r="159" spans="1:50" ht="15.75" thickBot="1" x14ac:dyDescent="0.3">
      <c r="A159" s="24"/>
      <c r="B159" s="24"/>
      <c r="C159" s="24"/>
      <c r="D159" s="24"/>
      <c r="E159" s="24"/>
      <c r="F159" s="25" t="s">
        <v>40</v>
      </c>
      <c r="G159" s="25">
        <v>0.68500000000000005</v>
      </c>
      <c r="H159" s="25">
        <v>0.68500000000000005</v>
      </c>
      <c r="I159" s="25">
        <v>1</v>
      </c>
      <c r="J159" s="25" t="s">
        <v>33</v>
      </c>
      <c r="K159" s="25">
        <f t="shared" si="71"/>
        <v>8.2200000000000006</v>
      </c>
      <c r="L159" s="25">
        <f t="shared" si="72"/>
        <v>9.59</v>
      </c>
      <c r="M159" s="25">
        <f t="shared" si="73"/>
        <v>5.48</v>
      </c>
      <c r="N159" s="25">
        <f t="shared" si="74"/>
        <v>4.1100000000000003</v>
      </c>
      <c r="O159" s="26">
        <v>27.400000000000002</v>
      </c>
      <c r="P159" s="25" t="s">
        <v>41</v>
      </c>
      <c r="Q159" s="25">
        <v>71054</v>
      </c>
      <c r="R159" s="19" t="s">
        <v>35</v>
      </c>
      <c r="S159" s="15" t="s">
        <v>40</v>
      </c>
      <c r="T159" s="9">
        <v>2</v>
      </c>
      <c r="U159" s="16">
        <v>1.1548060824547961</v>
      </c>
      <c r="V159" s="43">
        <f t="shared" si="76"/>
        <v>11553.210000000001</v>
      </c>
      <c r="W159" s="51"/>
      <c r="X159" s="48"/>
      <c r="Y159" s="48"/>
      <c r="Z159" s="49"/>
      <c r="AA159" s="50"/>
      <c r="AB159" s="48"/>
      <c r="AC159" s="48"/>
      <c r="AD159" s="48"/>
      <c r="AE159" s="51"/>
      <c r="AF159" s="48"/>
      <c r="AG159" s="48"/>
      <c r="AH159" s="86"/>
      <c r="AI159" s="73"/>
      <c r="AJ159" s="77"/>
      <c r="AK159" s="77"/>
      <c r="AL159" s="159"/>
      <c r="AM159" s="131">
        <f t="shared" si="92"/>
        <v>0.20550000000000002</v>
      </c>
      <c r="AN159" s="77"/>
      <c r="AO159" s="77"/>
      <c r="AP159" s="159"/>
      <c r="AQ159" s="73"/>
      <c r="AR159" s="77"/>
      <c r="AS159" s="77"/>
      <c r="AT159" s="159"/>
      <c r="AU159" s="73"/>
      <c r="AV159" s="77"/>
      <c r="AW159" s="77"/>
      <c r="AX159" s="159"/>
    </row>
    <row r="160" spans="1:50" ht="15.75" thickBot="1" x14ac:dyDescent="0.3">
      <c r="A160" s="24"/>
      <c r="B160" s="8"/>
      <c r="C160" s="8"/>
      <c r="D160" s="8"/>
      <c r="E160" s="8"/>
      <c r="F160" s="25" t="s">
        <v>44</v>
      </c>
      <c r="G160" s="25">
        <v>2.7333333333333329</v>
      </c>
      <c r="H160" s="25">
        <v>2.7333333333333329</v>
      </c>
      <c r="I160" s="25">
        <v>1</v>
      </c>
      <c r="J160" s="25" t="s">
        <v>33</v>
      </c>
      <c r="K160" s="25">
        <f t="shared" si="71"/>
        <v>28.699999999999996</v>
      </c>
      <c r="L160" s="25">
        <f t="shared" si="72"/>
        <v>33.483333333333327</v>
      </c>
      <c r="M160" s="25">
        <f t="shared" si="73"/>
        <v>19.133333333333333</v>
      </c>
      <c r="N160" s="25">
        <f t="shared" si="74"/>
        <v>14.349999999999998</v>
      </c>
      <c r="O160" s="26">
        <v>95.666666666666657</v>
      </c>
      <c r="P160" s="25" t="s">
        <v>48</v>
      </c>
      <c r="Q160" s="25">
        <v>71065</v>
      </c>
      <c r="R160" s="27" t="s">
        <v>35</v>
      </c>
      <c r="S160" s="15" t="s">
        <v>44</v>
      </c>
      <c r="T160" s="25">
        <v>1</v>
      </c>
      <c r="U160" s="29">
        <v>4.6079853411821539</v>
      </c>
      <c r="V160" s="44">
        <f t="shared" si="76"/>
        <v>40337.849999999991</v>
      </c>
      <c r="W160" s="46">
        <f t="shared" ref="W160:W162" si="93">H160*0.3</f>
        <v>0.81999999999999984</v>
      </c>
      <c r="X160" s="48"/>
      <c r="Y160" s="48"/>
      <c r="Z160" s="49"/>
      <c r="AA160" s="50"/>
      <c r="AB160" s="48"/>
      <c r="AC160" s="48"/>
      <c r="AD160" s="48"/>
      <c r="AE160" s="51"/>
      <c r="AF160" s="65">
        <f t="shared" ref="AF160:AF161" si="94">H160*0.35</f>
        <v>0.95666666666666644</v>
      </c>
      <c r="AG160" s="41">
        <f>H160*0.2</f>
        <v>0.54666666666666663</v>
      </c>
      <c r="AH160" s="86"/>
      <c r="AI160" s="73"/>
      <c r="AJ160" s="77"/>
      <c r="AK160" s="77"/>
      <c r="AL160" s="159"/>
      <c r="AM160" s="73"/>
      <c r="AN160" s="77"/>
      <c r="AO160" s="77"/>
      <c r="AP160" s="132">
        <f t="shared" ref="AP160:AP161" si="95">H160*0.15</f>
        <v>0.40999999999999992</v>
      </c>
      <c r="AQ160" s="73"/>
      <c r="AR160" s="77"/>
      <c r="AS160" s="77"/>
      <c r="AT160" s="49"/>
      <c r="AU160" s="73"/>
      <c r="AV160" s="77"/>
      <c r="AW160" s="77"/>
      <c r="AX160" s="49"/>
    </row>
    <row r="161" spans="1:50" ht="15.75" thickBot="1" x14ac:dyDescent="0.3">
      <c r="A161" s="24"/>
      <c r="B161" s="8"/>
      <c r="C161" s="8"/>
      <c r="D161" s="8"/>
      <c r="E161" s="8"/>
      <c r="F161" s="25" t="s">
        <v>46</v>
      </c>
      <c r="G161" s="25">
        <v>2.7333333333333329</v>
      </c>
      <c r="H161" s="25">
        <v>2.7333333333333329</v>
      </c>
      <c r="I161" s="25">
        <v>1</v>
      </c>
      <c r="J161" s="25" t="s">
        <v>33</v>
      </c>
      <c r="K161" s="25">
        <f t="shared" si="71"/>
        <v>28.699999999999996</v>
      </c>
      <c r="L161" s="25">
        <f t="shared" si="72"/>
        <v>33.483333333333327</v>
      </c>
      <c r="M161" s="25">
        <f t="shared" si="73"/>
        <v>19.133333333333333</v>
      </c>
      <c r="N161" s="25">
        <f t="shared" si="74"/>
        <v>14.349999999999998</v>
      </c>
      <c r="O161" s="26">
        <v>95.666666666666657</v>
      </c>
      <c r="P161" s="25" t="s">
        <v>49</v>
      </c>
      <c r="Q161" s="25">
        <v>71065</v>
      </c>
      <c r="R161" s="27" t="s">
        <v>35</v>
      </c>
      <c r="S161" s="15" t="s">
        <v>46</v>
      </c>
      <c r="T161" s="25">
        <v>2</v>
      </c>
      <c r="U161" s="29">
        <v>4.6079853411821539</v>
      </c>
      <c r="V161" s="44">
        <f t="shared" si="76"/>
        <v>40337.849999999991</v>
      </c>
      <c r="W161" s="46">
        <f t="shared" si="93"/>
        <v>0.81999999999999984</v>
      </c>
      <c r="X161" s="48"/>
      <c r="Y161" s="48"/>
      <c r="Z161" s="49"/>
      <c r="AA161" s="50"/>
      <c r="AB161" s="48"/>
      <c r="AC161" s="48"/>
      <c r="AD161" s="48"/>
      <c r="AE161" s="51"/>
      <c r="AF161" s="65">
        <f t="shared" si="94"/>
        <v>0.95666666666666644</v>
      </c>
      <c r="AG161" s="41">
        <f>H161*0.2</f>
        <v>0.54666666666666663</v>
      </c>
      <c r="AH161" s="86"/>
      <c r="AI161" s="73"/>
      <c r="AJ161" s="77"/>
      <c r="AK161" s="77"/>
      <c r="AL161" s="159"/>
      <c r="AM161" s="73"/>
      <c r="AN161" s="77"/>
      <c r="AO161" s="77"/>
      <c r="AP161" s="132">
        <f t="shared" si="95"/>
        <v>0.40999999999999992</v>
      </c>
      <c r="AQ161" s="73"/>
      <c r="AR161" s="77"/>
      <c r="AS161" s="77"/>
      <c r="AT161" s="49"/>
      <c r="AU161" s="73"/>
      <c r="AV161" s="77"/>
      <c r="AW161" s="77"/>
      <c r="AX161" s="49"/>
    </row>
    <row r="162" spans="1:50" ht="60" x14ac:dyDescent="0.25">
      <c r="A162" s="24"/>
      <c r="B162" s="8"/>
      <c r="C162" s="8"/>
      <c r="D162" s="8"/>
      <c r="E162" s="8"/>
      <c r="F162" s="28" t="s">
        <v>50</v>
      </c>
      <c r="G162" s="25">
        <v>0.14695340501792112</v>
      </c>
      <c r="H162" s="25">
        <v>2.7333333333333329</v>
      </c>
      <c r="I162" s="25">
        <v>18.600000000000001</v>
      </c>
      <c r="J162" s="25" t="s">
        <v>51</v>
      </c>
      <c r="K162" s="25">
        <f t="shared" si="71"/>
        <v>45.919999999999987</v>
      </c>
      <c r="L162" s="25">
        <f t="shared" si="72"/>
        <v>53.573333333333316</v>
      </c>
      <c r="M162" s="25">
        <f t="shared" si="73"/>
        <v>30.61333333333333</v>
      </c>
      <c r="N162" s="25">
        <f t="shared" si="74"/>
        <v>22.959999999999994</v>
      </c>
      <c r="O162" s="26">
        <v>153.06666666666663</v>
      </c>
      <c r="P162" s="25" t="s">
        <v>52</v>
      </c>
      <c r="Q162" s="25">
        <v>71065</v>
      </c>
      <c r="R162" s="27" t="s">
        <v>35</v>
      </c>
      <c r="S162" s="15" t="s">
        <v>50</v>
      </c>
      <c r="T162" s="25">
        <v>3</v>
      </c>
      <c r="U162" s="29">
        <v>4.6079853411821539</v>
      </c>
      <c r="V162" s="44">
        <f t="shared" si="76"/>
        <v>64540.559999999983</v>
      </c>
      <c r="W162" s="46">
        <f t="shared" si="93"/>
        <v>0.81999999999999984</v>
      </c>
      <c r="X162" s="48"/>
      <c r="Y162" s="48"/>
      <c r="Z162" s="49"/>
      <c r="AA162" s="50"/>
      <c r="AB162" s="48"/>
      <c r="AC162" s="48"/>
      <c r="AD162" s="48"/>
      <c r="AE162" s="51"/>
      <c r="AF162" s="56"/>
      <c r="AG162" s="48"/>
      <c r="AH162" s="86"/>
      <c r="AI162" s="73"/>
      <c r="AJ162" s="77"/>
      <c r="AK162" s="77"/>
      <c r="AL162" s="159"/>
      <c r="AM162" s="73"/>
      <c r="AN162" s="77"/>
      <c r="AO162" s="77"/>
      <c r="AP162" s="159"/>
      <c r="AQ162" s="73"/>
      <c r="AR162" s="77"/>
      <c r="AS162" s="77"/>
      <c r="AT162" s="159"/>
      <c r="AU162" s="73"/>
      <c r="AV162" s="77"/>
      <c r="AW162" s="77"/>
      <c r="AX162" s="159"/>
    </row>
    <row r="163" spans="1:50" x14ac:dyDescent="0.25">
      <c r="A163" s="24"/>
      <c r="B163" s="24"/>
      <c r="C163" s="24"/>
      <c r="D163" s="24"/>
      <c r="E163" s="24"/>
      <c r="F163" s="25" t="s">
        <v>55</v>
      </c>
      <c r="G163" s="25">
        <v>1.0425</v>
      </c>
      <c r="H163" s="25">
        <v>1.0425</v>
      </c>
      <c r="I163" s="25">
        <v>1</v>
      </c>
      <c r="J163" s="25" t="s">
        <v>33</v>
      </c>
      <c r="K163" s="25">
        <f t="shared" si="71"/>
        <v>10.946249999999999</v>
      </c>
      <c r="L163" s="25">
        <f t="shared" si="72"/>
        <v>12.770624999999999</v>
      </c>
      <c r="M163" s="25">
        <f t="shared" si="73"/>
        <v>7.2974999999999994</v>
      </c>
      <c r="N163" s="25">
        <f t="shared" si="74"/>
        <v>5.4731249999999996</v>
      </c>
      <c r="O163" s="26">
        <v>36.487499999999997</v>
      </c>
      <c r="P163" s="25" t="s">
        <v>76</v>
      </c>
      <c r="Q163" s="25">
        <v>71066</v>
      </c>
      <c r="R163" s="19" t="s">
        <v>35</v>
      </c>
      <c r="S163" s="15" t="s">
        <v>55</v>
      </c>
      <c r="T163" s="9">
        <v>1</v>
      </c>
      <c r="U163" s="16">
        <v>1.7574968481155107</v>
      </c>
      <c r="V163" s="43">
        <f t="shared" si="76"/>
        <v>15384.954374999998</v>
      </c>
      <c r="W163" s="51"/>
      <c r="X163" s="48"/>
      <c r="Y163" s="48"/>
      <c r="Z163" s="49"/>
      <c r="AA163" s="47">
        <f>H163*0.3</f>
        <v>0.31274999999999997</v>
      </c>
      <c r="AB163" s="41">
        <f t="shared" ref="AB163:AB164" si="96">H163*0.35</f>
        <v>0.36487499999999995</v>
      </c>
      <c r="AC163" s="48"/>
      <c r="AD163" s="48"/>
      <c r="AE163" s="51"/>
      <c r="AF163" s="48"/>
      <c r="AG163" s="48"/>
      <c r="AH163" s="86"/>
      <c r="AI163" s="73"/>
      <c r="AJ163" s="77"/>
      <c r="AK163" s="130">
        <f t="shared" ref="AK163:AK184" si="97">H163*0.2</f>
        <v>0.20850000000000002</v>
      </c>
      <c r="AL163" s="159"/>
      <c r="AM163" s="73"/>
      <c r="AN163" s="77"/>
      <c r="AO163" s="77"/>
      <c r="AP163" s="132">
        <f t="shared" ref="AP163:AP180" si="98">H163*0.15</f>
        <v>0.15637499999999999</v>
      </c>
      <c r="AQ163" s="73"/>
      <c r="AR163" s="77"/>
      <c r="AS163" s="77"/>
      <c r="AT163" s="49"/>
      <c r="AU163" s="73"/>
      <c r="AV163" s="77"/>
      <c r="AW163" s="77"/>
      <c r="AX163" s="49"/>
    </row>
    <row r="164" spans="1:50" ht="15.75" thickBot="1" x14ac:dyDescent="0.3">
      <c r="A164" s="24"/>
      <c r="B164" s="24"/>
      <c r="C164" s="24"/>
      <c r="D164" s="24"/>
      <c r="E164" s="24"/>
      <c r="F164" s="25" t="s">
        <v>55</v>
      </c>
      <c r="G164" s="25">
        <v>1.0425</v>
      </c>
      <c r="H164" s="25">
        <v>1.0425</v>
      </c>
      <c r="I164" s="25">
        <v>1</v>
      </c>
      <c r="J164" s="25" t="s">
        <v>33</v>
      </c>
      <c r="K164" s="25">
        <f t="shared" si="71"/>
        <v>10.946249999999999</v>
      </c>
      <c r="L164" s="25">
        <f t="shared" si="72"/>
        <v>12.770624999999999</v>
      </c>
      <c r="M164" s="25">
        <f t="shared" si="73"/>
        <v>7.2974999999999994</v>
      </c>
      <c r="N164" s="25">
        <f t="shared" si="74"/>
        <v>5.4731249999999996</v>
      </c>
      <c r="O164" s="26">
        <v>36.487499999999997</v>
      </c>
      <c r="P164" s="25" t="s">
        <v>76</v>
      </c>
      <c r="Q164" s="25">
        <v>71066</v>
      </c>
      <c r="R164" s="19" t="s">
        <v>35</v>
      </c>
      <c r="S164" s="15" t="s">
        <v>55</v>
      </c>
      <c r="T164" s="9">
        <v>2</v>
      </c>
      <c r="U164" s="16">
        <v>1.7574968481155107</v>
      </c>
      <c r="V164" s="43">
        <f t="shared" si="76"/>
        <v>15384.954374999998</v>
      </c>
      <c r="W164" s="51"/>
      <c r="X164" s="48"/>
      <c r="Y164" s="48"/>
      <c r="Z164" s="49"/>
      <c r="AA164" s="47">
        <f t="shared" ref="AA164:AA184" si="99">H164*0.3</f>
        <v>0.31274999999999997</v>
      </c>
      <c r="AB164" s="41">
        <f t="shared" si="96"/>
        <v>0.36487499999999995</v>
      </c>
      <c r="AC164" s="48"/>
      <c r="AD164" s="48"/>
      <c r="AE164" s="51"/>
      <c r="AF164" s="48"/>
      <c r="AG164" s="48"/>
      <c r="AH164" s="86"/>
      <c r="AI164" s="73"/>
      <c r="AJ164" s="77"/>
      <c r="AK164" s="130">
        <f t="shared" si="97"/>
        <v>0.20850000000000002</v>
      </c>
      <c r="AL164" s="159"/>
      <c r="AM164" s="73"/>
      <c r="AN164" s="77"/>
      <c r="AO164" s="77"/>
      <c r="AP164" s="132">
        <f t="shared" si="98"/>
        <v>0.15637499999999999</v>
      </c>
      <c r="AQ164" s="73"/>
      <c r="AR164" s="77"/>
      <c r="AS164" s="77"/>
      <c r="AT164" s="49"/>
      <c r="AU164" s="73"/>
      <c r="AV164" s="77"/>
      <c r="AW164" s="77"/>
      <c r="AX164" s="49"/>
    </row>
    <row r="165" spans="1:50" ht="15.75" thickBot="1" x14ac:dyDescent="0.3">
      <c r="A165" s="24"/>
      <c r="B165" s="24"/>
      <c r="C165" s="24"/>
      <c r="D165" s="24"/>
      <c r="E165" s="24"/>
      <c r="F165" s="25" t="s">
        <v>42</v>
      </c>
      <c r="G165" s="25">
        <v>0.89</v>
      </c>
      <c r="H165" s="25">
        <v>0.89</v>
      </c>
      <c r="I165" s="25">
        <v>1</v>
      </c>
      <c r="J165" s="25" t="s">
        <v>33</v>
      </c>
      <c r="K165" s="25">
        <f t="shared" si="71"/>
        <v>10.68</v>
      </c>
      <c r="L165" s="25">
        <f t="shared" si="72"/>
        <v>12.459999999999999</v>
      </c>
      <c r="M165" s="25">
        <f t="shared" si="73"/>
        <v>7.120000000000001</v>
      </c>
      <c r="N165" s="25">
        <f t="shared" si="74"/>
        <v>5.34</v>
      </c>
      <c r="O165" s="26">
        <v>35.6</v>
      </c>
      <c r="P165" s="25" t="s">
        <v>43</v>
      </c>
      <c r="Q165" s="25">
        <v>71084</v>
      </c>
      <c r="R165" s="19" t="s">
        <v>35</v>
      </c>
      <c r="S165" s="15" t="s">
        <v>42</v>
      </c>
      <c r="T165" s="9">
        <v>1</v>
      </c>
      <c r="U165" s="16">
        <v>1.5004049830434576</v>
      </c>
      <c r="V165" s="43">
        <f t="shared" si="76"/>
        <v>15010.74</v>
      </c>
      <c r="W165" s="51"/>
      <c r="X165" s="48"/>
      <c r="Y165" s="48"/>
      <c r="Z165" s="49"/>
      <c r="AA165" s="47">
        <f t="shared" si="99"/>
        <v>0.26700000000000002</v>
      </c>
      <c r="AB165" s="48"/>
      <c r="AC165" s="48"/>
      <c r="AD165" s="48"/>
      <c r="AE165" s="51"/>
      <c r="AF165" s="65">
        <f t="shared" ref="AF165:AF166" si="100">H165*0.35</f>
        <v>0.3115</v>
      </c>
      <c r="AG165" s="48"/>
      <c r="AH165" s="86"/>
      <c r="AI165" s="73"/>
      <c r="AJ165" s="77"/>
      <c r="AK165" s="130">
        <f t="shared" si="97"/>
        <v>0.17800000000000002</v>
      </c>
      <c r="AL165" s="49"/>
      <c r="AM165" s="73"/>
      <c r="AN165" s="77"/>
      <c r="AO165" s="77"/>
      <c r="AP165" s="132">
        <f t="shared" si="98"/>
        <v>0.13350000000000001</v>
      </c>
      <c r="AQ165" s="73"/>
      <c r="AR165" s="77"/>
      <c r="AS165" s="77"/>
      <c r="AT165" s="49"/>
      <c r="AU165" s="73"/>
      <c r="AV165" s="77"/>
      <c r="AW165" s="77"/>
      <c r="AX165" s="49"/>
    </row>
    <row r="166" spans="1:50" x14ac:dyDescent="0.25">
      <c r="A166" s="24"/>
      <c r="B166" s="24"/>
      <c r="C166" s="24"/>
      <c r="D166" s="24"/>
      <c r="E166" s="24"/>
      <c r="F166" s="25" t="s">
        <v>42</v>
      </c>
      <c r="G166" s="25">
        <v>0.89</v>
      </c>
      <c r="H166" s="25">
        <v>0.89</v>
      </c>
      <c r="I166" s="25">
        <v>1</v>
      </c>
      <c r="J166" s="25" t="s">
        <v>33</v>
      </c>
      <c r="K166" s="25">
        <f t="shared" si="71"/>
        <v>10.68</v>
      </c>
      <c r="L166" s="25">
        <f t="shared" si="72"/>
        <v>12.459999999999999</v>
      </c>
      <c r="M166" s="25">
        <f t="shared" si="73"/>
        <v>7.120000000000001</v>
      </c>
      <c r="N166" s="25">
        <f t="shared" si="74"/>
        <v>5.34</v>
      </c>
      <c r="O166" s="26">
        <v>35.6</v>
      </c>
      <c r="P166" s="25" t="s">
        <v>43</v>
      </c>
      <c r="Q166" s="25">
        <v>71084</v>
      </c>
      <c r="R166" s="19" t="s">
        <v>35</v>
      </c>
      <c r="S166" s="15" t="s">
        <v>42</v>
      </c>
      <c r="T166" s="9">
        <v>2</v>
      </c>
      <c r="U166" s="16">
        <v>1.5004049830434576</v>
      </c>
      <c r="V166" s="43">
        <f t="shared" si="76"/>
        <v>15010.74</v>
      </c>
      <c r="W166" s="51"/>
      <c r="X166" s="48"/>
      <c r="Y166" s="48"/>
      <c r="Z166" s="49"/>
      <c r="AA166" s="47">
        <f t="shared" si="99"/>
        <v>0.26700000000000002</v>
      </c>
      <c r="AB166" s="48"/>
      <c r="AC166" s="48"/>
      <c r="AD166" s="48"/>
      <c r="AE166" s="51"/>
      <c r="AF166" s="65">
        <f t="shared" si="100"/>
        <v>0.3115</v>
      </c>
      <c r="AG166" s="48"/>
      <c r="AH166" s="86"/>
      <c r="AI166" s="73"/>
      <c r="AJ166" s="77"/>
      <c r="AK166" s="130">
        <f t="shared" si="97"/>
        <v>0.17800000000000002</v>
      </c>
      <c r="AL166" s="49"/>
      <c r="AM166" s="73"/>
      <c r="AN166" s="77"/>
      <c r="AO166" s="77"/>
      <c r="AP166" s="132">
        <f t="shared" si="98"/>
        <v>0.13350000000000001</v>
      </c>
      <c r="AQ166" s="73"/>
      <c r="AR166" s="77"/>
      <c r="AS166" s="77"/>
      <c r="AT166" s="49"/>
      <c r="AU166" s="73"/>
      <c r="AV166" s="77"/>
      <c r="AW166" s="77"/>
      <c r="AX166" s="49"/>
    </row>
    <row r="167" spans="1:50" x14ac:dyDescent="0.25">
      <c r="A167" s="24"/>
      <c r="B167" s="24"/>
      <c r="C167" s="24"/>
      <c r="D167" s="24"/>
      <c r="E167" s="24"/>
      <c r="F167" s="25" t="s">
        <v>55</v>
      </c>
      <c r="G167" s="25">
        <v>1.1399999999999999</v>
      </c>
      <c r="H167" s="25">
        <v>1.1399999999999999</v>
      </c>
      <c r="I167" s="25">
        <v>1</v>
      </c>
      <c r="J167" s="25" t="s">
        <v>33</v>
      </c>
      <c r="K167" s="25">
        <f t="shared" si="71"/>
        <v>11.969999999999999</v>
      </c>
      <c r="L167" s="25">
        <f t="shared" si="72"/>
        <v>13.964999999999998</v>
      </c>
      <c r="M167" s="25">
        <f t="shared" si="73"/>
        <v>7.98</v>
      </c>
      <c r="N167" s="25">
        <f t="shared" si="74"/>
        <v>5.9849999999999994</v>
      </c>
      <c r="O167" s="26">
        <v>39.9</v>
      </c>
      <c r="P167" s="25" t="s">
        <v>76</v>
      </c>
      <c r="Q167" s="25">
        <v>71090</v>
      </c>
      <c r="R167" s="19" t="s">
        <v>35</v>
      </c>
      <c r="S167" s="15" t="s">
        <v>55</v>
      </c>
      <c r="T167" s="9">
        <v>1</v>
      </c>
      <c r="U167" s="16">
        <v>1.9218670569320691</v>
      </c>
      <c r="V167" s="43">
        <f t="shared" si="76"/>
        <v>16823.834999999999</v>
      </c>
      <c r="W167" s="51"/>
      <c r="X167" s="48"/>
      <c r="Y167" s="48"/>
      <c r="Z167" s="49"/>
      <c r="AA167" s="47">
        <f t="shared" si="99"/>
        <v>0.34199999999999997</v>
      </c>
      <c r="AB167" s="41">
        <f t="shared" ref="AB167:AB168" si="101">H167*0.35</f>
        <v>0.39899999999999997</v>
      </c>
      <c r="AC167" s="48"/>
      <c r="AD167" s="48"/>
      <c r="AE167" s="51"/>
      <c r="AF167" s="48"/>
      <c r="AG167" s="48"/>
      <c r="AH167" s="86"/>
      <c r="AI167" s="73"/>
      <c r="AJ167" s="77"/>
      <c r="AK167" s="130">
        <f t="shared" si="97"/>
        <v>0.22799999999999998</v>
      </c>
      <c r="AL167" s="159"/>
      <c r="AM167" s="73"/>
      <c r="AN167" s="77"/>
      <c r="AO167" s="77"/>
      <c r="AP167" s="132">
        <f t="shared" si="98"/>
        <v>0.17099999999999999</v>
      </c>
      <c r="AQ167" s="73"/>
      <c r="AR167" s="77"/>
      <c r="AS167" s="77"/>
      <c r="AT167" s="49"/>
      <c r="AU167" s="73"/>
      <c r="AV167" s="77"/>
      <c r="AW167" s="77"/>
      <c r="AX167" s="49"/>
    </row>
    <row r="168" spans="1:50" ht="15.75" thickBot="1" x14ac:dyDescent="0.3">
      <c r="A168" s="24"/>
      <c r="B168" s="24"/>
      <c r="C168" s="24"/>
      <c r="D168" s="24"/>
      <c r="E168" s="24"/>
      <c r="F168" s="25" t="s">
        <v>55</v>
      </c>
      <c r="G168" s="25">
        <v>1.1399999999999999</v>
      </c>
      <c r="H168" s="25">
        <v>1.1399999999999999</v>
      </c>
      <c r="I168" s="25">
        <v>1</v>
      </c>
      <c r="J168" s="25" t="s">
        <v>33</v>
      </c>
      <c r="K168" s="25">
        <f t="shared" si="71"/>
        <v>11.969999999999999</v>
      </c>
      <c r="L168" s="25">
        <f t="shared" si="72"/>
        <v>13.964999999999998</v>
      </c>
      <c r="M168" s="25">
        <f t="shared" si="73"/>
        <v>7.98</v>
      </c>
      <c r="N168" s="25">
        <f t="shared" si="74"/>
        <v>5.9849999999999994</v>
      </c>
      <c r="O168" s="26">
        <v>39.9</v>
      </c>
      <c r="P168" s="25" t="s">
        <v>76</v>
      </c>
      <c r="Q168" s="25">
        <v>71090</v>
      </c>
      <c r="R168" s="19" t="s">
        <v>35</v>
      </c>
      <c r="S168" s="15" t="s">
        <v>55</v>
      </c>
      <c r="T168" s="9">
        <v>2</v>
      </c>
      <c r="U168" s="16">
        <v>1.9218670569320691</v>
      </c>
      <c r="V168" s="43">
        <f t="shared" si="76"/>
        <v>16823.834999999999</v>
      </c>
      <c r="W168" s="51"/>
      <c r="X168" s="48"/>
      <c r="Y168" s="48"/>
      <c r="Z168" s="49"/>
      <c r="AA168" s="47">
        <f t="shared" si="99"/>
        <v>0.34199999999999997</v>
      </c>
      <c r="AB168" s="41">
        <f t="shared" si="101"/>
        <v>0.39899999999999997</v>
      </c>
      <c r="AC168" s="48"/>
      <c r="AD168" s="48"/>
      <c r="AE168" s="51"/>
      <c r="AF168" s="48"/>
      <c r="AG168" s="48"/>
      <c r="AH168" s="86"/>
      <c r="AI168" s="73"/>
      <c r="AJ168" s="77"/>
      <c r="AK168" s="130">
        <f t="shared" si="97"/>
        <v>0.22799999999999998</v>
      </c>
      <c r="AL168" s="159"/>
      <c r="AM168" s="73"/>
      <c r="AN168" s="77"/>
      <c r="AO168" s="77"/>
      <c r="AP168" s="132">
        <f t="shared" si="98"/>
        <v>0.17099999999999999</v>
      </c>
      <c r="AQ168" s="73"/>
      <c r="AR168" s="77"/>
      <c r="AS168" s="77"/>
      <c r="AT168" s="49"/>
      <c r="AU168" s="73"/>
      <c r="AV168" s="77"/>
      <c r="AW168" s="77"/>
      <c r="AX168" s="49"/>
    </row>
    <row r="169" spans="1:50" ht="15.75" thickBot="1" x14ac:dyDescent="0.3">
      <c r="A169" s="24"/>
      <c r="B169" s="24"/>
      <c r="C169" s="24"/>
      <c r="D169" s="24"/>
      <c r="E169" s="24"/>
      <c r="F169" s="25" t="s">
        <v>42</v>
      </c>
      <c r="G169" s="25">
        <v>0.89</v>
      </c>
      <c r="H169" s="25">
        <v>0.89</v>
      </c>
      <c r="I169" s="25">
        <v>1</v>
      </c>
      <c r="J169" s="25" t="s">
        <v>33</v>
      </c>
      <c r="K169" s="25">
        <f t="shared" si="71"/>
        <v>10.68</v>
      </c>
      <c r="L169" s="25">
        <f t="shared" si="72"/>
        <v>12.459999999999999</v>
      </c>
      <c r="M169" s="25">
        <f t="shared" si="73"/>
        <v>7.120000000000001</v>
      </c>
      <c r="N169" s="25">
        <f t="shared" si="74"/>
        <v>5.34</v>
      </c>
      <c r="O169" s="26">
        <v>35.6</v>
      </c>
      <c r="P169" s="25" t="s">
        <v>43</v>
      </c>
      <c r="Q169" s="25">
        <v>71085</v>
      </c>
      <c r="R169" s="19" t="s">
        <v>35</v>
      </c>
      <c r="S169" s="15" t="s">
        <v>42</v>
      </c>
      <c r="T169" s="9">
        <v>1</v>
      </c>
      <c r="U169" s="16">
        <v>1.5004049830434576</v>
      </c>
      <c r="V169" s="43">
        <f t="shared" si="76"/>
        <v>15010.74</v>
      </c>
      <c r="W169" s="51"/>
      <c r="X169" s="48"/>
      <c r="Y169" s="48"/>
      <c r="Z169" s="49"/>
      <c r="AA169" s="47">
        <f t="shared" si="99"/>
        <v>0.26700000000000002</v>
      </c>
      <c r="AB169" s="48"/>
      <c r="AC169" s="48"/>
      <c r="AD169" s="48"/>
      <c r="AE169" s="51"/>
      <c r="AF169" s="65">
        <f t="shared" ref="AF169:AF175" si="102">H169*0.35</f>
        <v>0.3115</v>
      </c>
      <c r="AG169" s="48"/>
      <c r="AH169" s="86"/>
      <c r="AI169" s="73"/>
      <c r="AJ169" s="77"/>
      <c r="AK169" s="130">
        <f t="shared" si="97"/>
        <v>0.17800000000000002</v>
      </c>
      <c r="AL169" s="49"/>
      <c r="AM169" s="73"/>
      <c r="AN169" s="77"/>
      <c r="AO169" s="77"/>
      <c r="AP169" s="132">
        <f t="shared" si="98"/>
        <v>0.13350000000000001</v>
      </c>
      <c r="AQ169" s="73"/>
      <c r="AR169" s="77"/>
      <c r="AS169" s="77"/>
      <c r="AT169" s="49"/>
      <c r="AU169" s="73"/>
      <c r="AV169" s="77"/>
      <c r="AW169" s="77"/>
      <c r="AX169" s="49"/>
    </row>
    <row r="170" spans="1:50" ht="15.75" thickBot="1" x14ac:dyDescent="0.3">
      <c r="A170" s="24"/>
      <c r="B170" s="24"/>
      <c r="C170" s="24"/>
      <c r="D170" s="24"/>
      <c r="E170" s="24"/>
      <c r="F170" s="25" t="s">
        <v>42</v>
      </c>
      <c r="G170" s="25">
        <v>0.89</v>
      </c>
      <c r="H170" s="25">
        <v>0.89</v>
      </c>
      <c r="I170" s="25">
        <v>1</v>
      </c>
      <c r="J170" s="25" t="s">
        <v>33</v>
      </c>
      <c r="K170" s="25">
        <f t="shared" si="71"/>
        <v>10.68</v>
      </c>
      <c r="L170" s="25">
        <f t="shared" si="72"/>
        <v>12.459999999999999</v>
      </c>
      <c r="M170" s="25">
        <f t="shared" si="73"/>
        <v>7.120000000000001</v>
      </c>
      <c r="N170" s="25">
        <f t="shared" si="74"/>
        <v>5.34</v>
      </c>
      <c r="O170" s="26">
        <v>35.6</v>
      </c>
      <c r="P170" s="25" t="s">
        <v>43</v>
      </c>
      <c r="Q170" s="25">
        <v>71085</v>
      </c>
      <c r="R170" s="19" t="s">
        <v>35</v>
      </c>
      <c r="S170" s="15" t="s">
        <v>42</v>
      </c>
      <c r="T170" s="9">
        <v>2</v>
      </c>
      <c r="U170" s="16">
        <v>1.5004049830434576</v>
      </c>
      <c r="V170" s="43">
        <f t="shared" si="76"/>
        <v>15010.74</v>
      </c>
      <c r="W170" s="51"/>
      <c r="X170" s="48"/>
      <c r="Y170" s="48"/>
      <c r="Z170" s="49"/>
      <c r="AA170" s="47">
        <f t="shared" si="99"/>
        <v>0.26700000000000002</v>
      </c>
      <c r="AB170" s="48"/>
      <c r="AC170" s="48"/>
      <c r="AD170" s="48"/>
      <c r="AE170" s="51"/>
      <c r="AF170" s="65">
        <f t="shared" si="102"/>
        <v>0.3115</v>
      </c>
      <c r="AG170" s="48"/>
      <c r="AH170" s="86"/>
      <c r="AI170" s="73"/>
      <c r="AJ170" s="77"/>
      <c r="AK170" s="130">
        <f t="shared" si="97"/>
        <v>0.17800000000000002</v>
      </c>
      <c r="AL170" s="49"/>
      <c r="AM170" s="73"/>
      <c r="AN170" s="77"/>
      <c r="AO170" s="77"/>
      <c r="AP170" s="132">
        <f t="shared" si="98"/>
        <v>0.13350000000000001</v>
      </c>
      <c r="AQ170" s="73"/>
      <c r="AR170" s="77"/>
      <c r="AS170" s="77"/>
      <c r="AT170" s="49"/>
      <c r="AU170" s="73"/>
      <c r="AV170" s="77"/>
      <c r="AW170" s="77"/>
      <c r="AX170" s="49"/>
    </row>
    <row r="171" spans="1:50" ht="15.75" thickBot="1" x14ac:dyDescent="0.3">
      <c r="A171" s="24"/>
      <c r="B171" s="24"/>
      <c r="C171" s="24"/>
      <c r="D171" s="24"/>
      <c r="E171" s="24"/>
      <c r="F171" s="25" t="s">
        <v>42</v>
      </c>
      <c r="G171" s="25">
        <v>0.89</v>
      </c>
      <c r="H171" s="25">
        <v>0.89</v>
      </c>
      <c r="I171" s="25">
        <v>1</v>
      </c>
      <c r="J171" s="25" t="s">
        <v>33</v>
      </c>
      <c r="K171" s="25">
        <f t="shared" si="71"/>
        <v>10.68</v>
      </c>
      <c r="L171" s="25">
        <f t="shared" si="72"/>
        <v>12.459999999999999</v>
      </c>
      <c r="M171" s="25">
        <f t="shared" si="73"/>
        <v>7.120000000000001</v>
      </c>
      <c r="N171" s="25">
        <f t="shared" si="74"/>
        <v>5.34</v>
      </c>
      <c r="O171" s="26">
        <v>35.6</v>
      </c>
      <c r="P171" s="25" t="s">
        <v>43</v>
      </c>
      <c r="Q171" s="25">
        <v>71085</v>
      </c>
      <c r="R171" s="19" t="s">
        <v>35</v>
      </c>
      <c r="S171" s="15" t="s">
        <v>42</v>
      </c>
      <c r="T171" s="9">
        <v>3</v>
      </c>
      <c r="U171" s="16">
        <v>1.5004049830434576</v>
      </c>
      <c r="V171" s="43">
        <f t="shared" si="76"/>
        <v>15010.74</v>
      </c>
      <c r="W171" s="51"/>
      <c r="X171" s="48"/>
      <c r="Y171" s="48"/>
      <c r="Z171" s="49"/>
      <c r="AA171" s="47">
        <f t="shared" si="99"/>
        <v>0.26700000000000002</v>
      </c>
      <c r="AB171" s="48"/>
      <c r="AC171" s="48"/>
      <c r="AD171" s="48"/>
      <c r="AE171" s="51"/>
      <c r="AF171" s="65">
        <f t="shared" si="102"/>
        <v>0.3115</v>
      </c>
      <c r="AG171" s="48"/>
      <c r="AH171" s="86"/>
      <c r="AI171" s="73"/>
      <c r="AJ171" s="77"/>
      <c r="AK171" s="130">
        <f t="shared" si="97"/>
        <v>0.17800000000000002</v>
      </c>
      <c r="AL171" s="49"/>
      <c r="AM171" s="73"/>
      <c r="AN171" s="77"/>
      <c r="AO171" s="77"/>
      <c r="AP171" s="132">
        <f t="shared" si="98"/>
        <v>0.13350000000000001</v>
      </c>
      <c r="AQ171" s="73"/>
      <c r="AR171" s="77"/>
      <c r="AS171" s="77"/>
      <c r="AT171" s="49"/>
      <c r="AU171" s="73"/>
      <c r="AV171" s="77"/>
      <c r="AW171" s="77"/>
      <c r="AX171" s="49"/>
    </row>
    <row r="172" spans="1:50" ht="15.75" thickBot="1" x14ac:dyDescent="0.3">
      <c r="A172" s="24"/>
      <c r="B172" s="24"/>
      <c r="C172" s="24"/>
      <c r="D172" s="24"/>
      <c r="E172" s="24"/>
      <c r="F172" s="25" t="s">
        <v>42</v>
      </c>
      <c r="G172" s="25">
        <v>0.89</v>
      </c>
      <c r="H172" s="25">
        <v>0.89</v>
      </c>
      <c r="I172" s="25">
        <v>1</v>
      </c>
      <c r="J172" s="25" t="s">
        <v>33</v>
      </c>
      <c r="K172" s="25">
        <f t="shared" si="71"/>
        <v>10.68</v>
      </c>
      <c r="L172" s="25">
        <f t="shared" si="72"/>
        <v>12.459999999999999</v>
      </c>
      <c r="M172" s="25">
        <f t="shared" si="73"/>
        <v>7.120000000000001</v>
      </c>
      <c r="N172" s="25">
        <f t="shared" si="74"/>
        <v>5.34</v>
      </c>
      <c r="O172" s="26">
        <v>35.6</v>
      </c>
      <c r="P172" s="25" t="s">
        <v>43</v>
      </c>
      <c r="Q172" s="25">
        <v>71085</v>
      </c>
      <c r="R172" s="19" t="s">
        <v>35</v>
      </c>
      <c r="S172" s="15" t="s">
        <v>42</v>
      </c>
      <c r="T172" s="9">
        <v>4</v>
      </c>
      <c r="U172" s="16">
        <v>1.5004049830434576</v>
      </c>
      <c r="V172" s="43">
        <f t="shared" si="76"/>
        <v>15010.74</v>
      </c>
      <c r="W172" s="51"/>
      <c r="X172" s="48"/>
      <c r="Y172" s="48"/>
      <c r="Z172" s="49"/>
      <c r="AA172" s="47">
        <f t="shared" si="99"/>
        <v>0.26700000000000002</v>
      </c>
      <c r="AB172" s="48"/>
      <c r="AC172" s="48"/>
      <c r="AD172" s="48"/>
      <c r="AE172" s="51"/>
      <c r="AF172" s="65">
        <f t="shared" si="102"/>
        <v>0.3115</v>
      </c>
      <c r="AG172" s="48"/>
      <c r="AH172" s="86"/>
      <c r="AI172" s="73"/>
      <c r="AJ172" s="77"/>
      <c r="AK172" s="130">
        <f t="shared" si="97"/>
        <v>0.17800000000000002</v>
      </c>
      <c r="AL172" s="49"/>
      <c r="AM172" s="73"/>
      <c r="AN172" s="77"/>
      <c r="AO172" s="77"/>
      <c r="AP172" s="132">
        <f t="shared" si="98"/>
        <v>0.13350000000000001</v>
      </c>
      <c r="AQ172" s="73"/>
      <c r="AR172" s="77"/>
      <c r="AS172" s="77"/>
      <c r="AT172" s="49"/>
      <c r="AU172" s="73"/>
      <c r="AV172" s="77"/>
      <c r="AW172" s="77"/>
      <c r="AX172" s="49"/>
    </row>
    <row r="173" spans="1:50" ht="15.75" thickBot="1" x14ac:dyDescent="0.3">
      <c r="A173" s="24"/>
      <c r="B173" s="24"/>
      <c r="C173" s="24"/>
      <c r="D173" s="24"/>
      <c r="E173" s="24"/>
      <c r="F173" s="25" t="s">
        <v>42</v>
      </c>
      <c r="G173" s="25">
        <v>0.89</v>
      </c>
      <c r="H173" s="25">
        <v>0.89</v>
      </c>
      <c r="I173" s="25">
        <v>1</v>
      </c>
      <c r="J173" s="25" t="s">
        <v>33</v>
      </c>
      <c r="K173" s="25">
        <f t="shared" si="71"/>
        <v>10.68</v>
      </c>
      <c r="L173" s="25">
        <f t="shared" si="72"/>
        <v>12.459999999999999</v>
      </c>
      <c r="M173" s="25">
        <f t="shared" si="73"/>
        <v>7.120000000000001</v>
      </c>
      <c r="N173" s="25">
        <f t="shared" si="74"/>
        <v>5.34</v>
      </c>
      <c r="O173" s="26">
        <v>35.6</v>
      </c>
      <c r="P173" s="25" t="s">
        <v>43</v>
      </c>
      <c r="Q173" s="25">
        <v>71086</v>
      </c>
      <c r="R173" s="19" t="s">
        <v>35</v>
      </c>
      <c r="S173" s="15" t="s">
        <v>42</v>
      </c>
      <c r="T173" s="9">
        <v>1</v>
      </c>
      <c r="U173" s="16">
        <v>1.5004049830434576</v>
      </c>
      <c r="V173" s="43">
        <f t="shared" si="76"/>
        <v>15010.74</v>
      </c>
      <c r="W173" s="51"/>
      <c r="X173" s="48"/>
      <c r="Y173" s="48"/>
      <c r="Z173" s="49"/>
      <c r="AA173" s="47">
        <f t="shared" si="99"/>
        <v>0.26700000000000002</v>
      </c>
      <c r="AB173" s="48"/>
      <c r="AC173" s="48"/>
      <c r="AD173" s="48"/>
      <c r="AE173" s="51"/>
      <c r="AF173" s="65">
        <f t="shared" si="102"/>
        <v>0.3115</v>
      </c>
      <c r="AG173" s="48"/>
      <c r="AH173" s="86"/>
      <c r="AI173" s="73"/>
      <c r="AJ173" s="77"/>
      <c r="AK173" s="130">
        <f t="shared" si="97"/>
        <v>0.17800000000000002</v>
      </c>
      <c r="AL173" s="49"/>
      <c r="AM173" s="73"/>
      <c r="AN173" s="77"/>
      <c r="AO173" s="77"/>
      <c r="AP173" s="132">
        <f t="shared" si="98"/>
        <v>0.13350000000000001</v>
      </c>
      <c r="AQ173" s="73"/>
      <c r="AR173" s="77"/>
      <c r="AS173" s="77"/>
      <c r="AT173" s="49"/>
      <c r="AU173" s="73"/>
      <c r="AV173" s="77"/>
      <c r="AW173" s="77"/>
      <c r="AX173" s="49"/>
    </row>
    <row r="174" spans="1:50" ht="15.75" thickBot="1" x14ac:dyDescent="0.3">
      <c r="A174" s="24"/>
      <c r="B174" s="24"/>
      <c r="C174" s="24"/>
      <c r="D174" s="24"/>
      <c r="E174" s="24"/>
      <c r="F174" s="25" t="s">
        <v>42</v>
      </c>
      <c r="G174" s="25">
        <v>0.89</v>
      </c>
      <c r="H174" s="25">
        <v>0.89</v>
      </c>
      <c r="I174" s="25">
        <v>1</v>
      </c>
      <c r="J174" s="25" t="s">
        <v>33</v>
      </c>
      <c r="K174" s="25">
        <f t="shared" si="71"/>
        <v>10.68</v>
      </c>
      <c r="L174" s="25">
        <f t="shared" si="72"/>
        <v>12.459999999999999</v>
      </c>
      <c r="M174" s="25">
        <f t="shared" si="73"/>
        <v>7.120000000000001</v>
      </c>
      <c r="N174" s="25">
        <f t="shared" si="74"/>
        <v>5.34</v>
      </c>
      <c r="O174" s="26">
        <v>35.6</v>
      </c>
      <c r="P174" s="25" t="s">
        <v>43</v>
      </c>
      <c r="Q174" s="25">
        <v>71086</v>
      </c>
      <c r="R174" s="19" t="s">
        <v>35</v>
      </c>
      <c r="S174" s="15" t="s">
        <v>42</v>
      </c>
      <c r="T174" s="9">
        <v>2</v>
      </c>
      <c r="U174" s="16">
        <v>1.5004049830434576</v>
      </c>
      <c r="V174" s="43">
        <f t="shared" si="76"/>
        <v>15010.74</v>
      </c>
      <c r="W174" s="51"/>
      <c r="X174" s="48"/>
      <c r="Y174" s="48"/>
      <c r="Z174" s="49"/>
      <c r="AA174" s="47">
        <f t="shared" si="99"/>
        <v>0.26700000000000002</v>
      </c>
      <c r="AB174" s="48"/>
      <c r="AC174" s="48"/>
      <c r="AD174" s="48"/>
      <c r="AE174" s="51"/>
      <c r="AF174" s="65">
        <f t="shared" si="102"/>
        <v>0.3115</v>
      </c>
      <c r="AG174" s="48"/>
      <c r="AH174" s="86"/>
      <c r="AI174" s="73"/>
      <c r="AJ174" s="77"/>
      <c r="AK174" s="130">
        <f t="shared" si="97"/>
        <v>0.17800000000000002</v>
      </c>
      <c r="AL174" s="49"/>
      <c r="AM174" s="73"/>
      <c r="AN174" s="77"/>
      <c r="AO174" s="77"/>
      <c r="AP174" s="132">
        <f t="shared" si="98"/>
        <v>0.13350000000000001</v>
      </c>
      <c r="AQ174" s="73"/>
      <c r="AR174" s="77"/>
      <c r="AS174" s="77"/>
      <c r="AT174" s="49"/>
      <c r="AU174" s="73"/>
      <c r="AV174" s="77"/>
      <c r="AW174" s="77"/>
      <c r="AX174" s="49"/>
    </row>
    <row r="175" spans="1:50" ht="15.75" thickBot="1" x14ac:dyDescent="0.3">
      <c r="A175" s="24"/>
      <c r="B175" s="24"/>
      <c r="C175" s="24"/>
      <c r="D175" s="24"/>
      <c r="E175" s="24"/>
      <c r="F175" s="25" t="s">
        <v>42</v>
      </c>
      <c r="G175" s="25">
        <v>0.89</v>
      </c>
      <c r="H175" s="25">
        <v>0.89</v>
      </c>
      <c r="I175" s="25">
        <v>1</v>
      </c>
      <c r="J175" s="25" t="s">
        <v>33</v>
      </c>
      <c r="K175" s="25">
        <f t="shared" si="71"/>
        <v>10.68</v>
      </c>
      <c r="L175" s="25">
        <f t="shared" si="72"/>
        <v>12.459999999999999</v>
      </c>
      <c r="M175" s="25">
        <f t="shared" si="73"/>
        <v>7.120000000000001</v>
      </c>
      <c r="N175" s="25">
        <f t="shared" si="74"/>
        <v>5.34</v>
      </c>
      <c r="O175" s="26">
        <v>35.6</v>
      </c>
      <c r="P175" s="25" t="s">
        <v>43</v>
      </c>
      <c r="Q175" s="25">
        <v>71086</v>
      </c>
      <c r="R175" s="19" t="s">
        <v>35</v>
      </c>
      <c r="S175" s="15" t="s">
        <v>42</v>
      </c>
      <c r="T175" s="9">
        <v>3</v>
      </c>
      <c r="U175" s="16">
        <v>1.5004049830434576</v>
      </c>
      <c r="V175" s="43">
        <f t="shared" si="76"/>
        <v>15010.74</v>
      </c>
      <c r="W175" s="51"/>
      <c r="X175" s="48"/>
      <c r="Y175" s="48"/>
      <c r="Z175" s="49"/>
      <c r="AA175" s="47">
        <f t="shared" si="99"/>
        <v>0.26700000000000002</v>
      </c>
      <c r="AB175" s="48"/>
      <c r="AC175" s="48"/>
      <c r="AD175" s="48"/>
      <c r="AE175" s="51"/>
      <c r="AF175" s="65">
        <f t="shared" si="102"/>
        <v>0.3115</v>
      </c>
      <c r="AG175" s="48"/>
      <c r="AH175" s="86"/>
      <c r="AI175" s="73"/>
      <c r="AJ175" s="77"/>
      <c r="AK175" s="130">
        <f t="shared" si="97"/>
        <v>0.17800000000000002</v>
      </c>
      <c r="AL175" s="49"/>
      <c r="AM175" s="73"/>
      <c r="AN175" s="77"/>
      <c r="AO175" s="77"/>
      <c r="AP175" s="132">
        <f t="shared" si="98"/>
        <v>0.13350000000000001</v>
      </c>
      <c r="AQ175" s="73"/>
      <c r="AR175" s="77"/>
      <c r="AS175" s="77"/>
      <c r="AT175" s="49"/>
      <c r="AU175" s="73"/>
      <c r="AV175" s="77"/>
      <c r="AW175" s="77"/>
      <c r="AX175" s="49"/>
    </row>
    <row r="176" spans="1:50" x14ac:dyDescent="0.25">
      <c r="A176" s="24"/>
      <c r="B176" s="24"/>
      <c r="C176" s="24"/>
      <c r="D176" s="24"/>
      <c r="E176" s="24"/>
      <c r="F176" s="25" t="s">
        <v>42</v>
      </c>
      <c r="G176" s="25">
        <v>0.89</v>
      </c>
      <c r="H176" s="25">
        <v>0.89</v>
      </c>
      <c r="I176" s="25">
        <v>1</v>
      </c>
      <c r="J176" s="25" t="s">
        <v>33</v>
      </c>
      <c r="K176" s="25">
        <f t="shared" si="71"/>
        <v>10.68</v>
      </c>
      <c r="L176" s="25">
        <f t="shared" si="72"/>
        <v>12.459999999999999</v>
      </c>
      <c r="M176" s="25">
        <f t="shared" si="73"/>
        <v>7.120000000000001</v>
      </c>
      <c r="N176" s="25">
        <f t="shared" si="74"/>
        <v>5.34</v>
      </c>
      <c r="O176" s="26">
        <v>35.6</v>
      </c>
      <c r="P176" s="25" t="s">
        <v>43</v>
      </c>
      <c r="Q176" s="25">
        <v>71086</v>
      </c>
      <c r="R176" s="19" t="s">
        <v>35</v>
      </c>
      <c r="S176" s="15" t="s">
        <v>42</v>
      </c>
      <c r="T176" s="9">
        <v>4</v>
      </c>
      <c r="U176" s="16">
        <v>1.5004049830434576</v>
      </c>
      <c r="V176" s="43">
        <f t="shared" si="76"/>
        <v>15010.74</v>
      </c>
      <c r="W176" s="51"/>
      <c r="X176" s="48"/>
      <c r="Y176" s="48"/>
      <c r="Z176" s="49"/>
      <c r="AA176" s="47">
        <f t="shared" si="99"/>
        <v>0.26700000000000002</v>
      </c>
      <c r="AB176" s="48"/>
      <c r="AC176" s="48"/>
      <c r="AD176" s="48"/>
      <c r="AE176" s="51"/>
      <c r="AF176" s="56"/>
      <c r="AG176" s="48"/>
      <c r="AH176" s="86"/>
      <c r="AI176" s="73"/>
      <c r="AJ176" s="130">
        <f>H176*0.35</f>
        <v>0.3115</v>
      </c>
      <c r="AK176" s="130">
        <f t="shared" si="97"/>
        <v>0.17800000000000002</v>
      </c>
      <c r="AL176" s="49"/>
      <c r="AM176" s="73"/>
      <c r="AN176" s="77"/>
      <c r="AO176" s="77"/>
      <c r="AP176" s="132">
        <f t="shared" si="98"/>
        <v>0.13350000000000001</v>
      </c>
      <c r="AQ176" s="73"/>
      <c r="AR176" s="77"/>
      <c r="AS176" s="77"/>
      <c r="AT176" s="49"/>
      <c r="AU176" s="73"/>
      <c r="AV176" s="77"/>
      <c r="AW176" s="77"/>
      <c r="AX176" s="49"/>
    </row>
    <row r="177" spans="1:50" x14ac:dyDescent="0.25">
      <c r="A177" s="24"/>
      <c r="B177" s="24"/>
      <c r="C177" s="24"/>
      <c r="D177" s="24"/>
      <c r="E177" s="24"/>
      <c r="F177" s="25" t="s">
        <v>55</v>
      </c>
      <c r="G177" s="25">
        <v>1.1399999999999999</v>
      </c>
      <c r="H177" s="25">
        <v>1.1399999999999999</v>
      </c>
      <c r="I177" s="25">
        <v>1</v>
      </c>
      <c r="J177" s="25" t="s">
        <v>33</v>
      </c>
      <c r="K177" s="25">
        <f t="shared" si="71"/>
        <v>11.969999999999999</v>
      </c>
      <c r="L177" s="25">
        <f t="shared" si="72"/>
        <v>13.964999999999998</v>
      </c>
      <c r="M177" s="25">
        <f t="shared" si="73"/>
        <v>7.98</v>
      </c>
      <c r="N177" s="25">
        <f t="shared" si="74"/>
        <v>5.9849999999999994</v>
      </c>
      <c r="O177" s="26">
        <v>39.9</v>
      </c>
      <c r="P177" s="25" t="s">
        <v>76</v>
      </c>
      <c r="Q177" s="25">
        <v>71089</v>
      </c>
      <c r="R177" s="19" t="s">
        <v>35</v>
      </c>
      <c r="S177" s="15" t="s">
        <v>55</v>
      </c>
      <c r="T177" s="9">
        <v>1</v>
      </c>
      <c r="U177" s="16">
        <v>1.9218670569320691</v>
      </c>
      <c r="V177" s="43">
        <f t="shared" si="76"/>
        <v>16823.834999999999</v>
      </c>
      <c r="W177" s="51"/>
      <c r="X177" s="48"/>
      <c r="Y177" s="48"/>
      <c r="Z177" s="49"/>
      <c r="AA177" s="47">
        <f t="shared" si="99"/>
        <v>0.34199999999999997</v>
      </c>
      <c r="AB177" s="41">
        <f t="shared" ref="AB177:AB180" si="103">H177*0.35</f>
        <v>0.39899999999999997</v>
      </c>
      <c r="AC177" s="48"/>
      <c r="AD177" s="48"/>
      <c r="AE177" s="51"/>
      <c r="AF177" s="48"/>
      <c r="AG177" s="48"/>
      <c r="AH177" s="86"/>
      <c r="AI177" s="73"/>
      <c r="AJ177" s="77"/>
      <c r="AK177" s="130">
        <f t="shared" si="97"/>
        <v>0.22799999999999998</v>
      </c>
      <c r="AL177" s="159"/>
      <c r="AM177" s="73"/>
      <c r="AN177" s="77"/>
      <c r="AO177" s="77"/>
      <c r="AP177" s="132">
        <f t="shared" si="98"/>
        <v>0.17099999999999999</v>
      </c>
      <c r="AQ177" s="73"/>
      <c r="AR177" s="77"/>
      <c r="AS177" s="77"/>
      <c r="AT177" s="49"/>
      <c r="AU177" s="73"/>
      <c r="AV177" s="77"/>
      <c r="AW177" s="77"/>
      <c r="AX177" s="49"/>
    </row>
    <row r="178" spans="1:50" x14ac:dyDescent="0.25">
      <c r="A178" s="24"/>
      <c r="B178" s="24"/>
      <c r="C178" s="24"/>
      <c r="D178" s="24"/>
      <c r="E178" s="24"/>
      <c r="F178" s="25" t="s">
        <v>55</v>
      </c>
      <c r="G178" s="25">
        <v>1.1399999999999999</v>
      </c>
      <c r="H178" s="25">
        <v>1.1399999999999999</v>
      </c>
      <c r="I178" s="25">
        <v>1</v>
      </c>
      <c r="J178" s="25" t="s">
        <v>33</v>
      </c>
      <c r="K178" s="25">
        <f t="shared" si="71"/>
        <v>11.969999999999999</v>
      </c>
      <c r="L178" s="25">
        <f t="shared" si="72"/>
        <v>13.964999999999998</v>
      </c>
      <c r="M178" s="25">
        <f t="shared" si="73"/>
        <v>7.98</v>
      </c>
      <c r="N178" s="25">
        <f t="shared" si="74"/>
        <v>5.9849999999999994</v>
      </c>
      <c r="O178" s="26">
        <v>39.9</v>
      </c>
      <c r="P178" s="25" t="s">
        <v>76</v>
      </c>
      <c r="Q178" s="25">
        <v>71089</v>
      </c>
      <c r="R178" s="19" t="s">
        <v>35</v>
      </c>
      <c r="S178" s="15" t="s">
        <v>55</v>
      </c>
      <c r="T178" s="9">
        <v>2</v>
      </c>
      <c r="U178" s="16">
        <v>1.9218670569320691</v>
      </c>
      <c r="V178" s="43">
        <f t="shared" si="76"/>
        <v>16823.834999999999</v>
      </c>
      <c r="W178" s="51"/>
      <c r="X178" s="48"/>
      <c r="Y178" s="48"/>
      <c r="Z178" s="49"/>
      <c r="AA178" s="47">
        <f t="shared" si="99"/>
        <v>0.34199999999999997</v>
      </c>
      <c r="AB178" s="41">
        <f t="shared" si="103"/>
        <v>0.39899999999999997</v>
      </c>
      <c r="AC178" s="48"/>
      <c r="AD178" s="48"/>
      <c r="AE178" s="51"/>
      <c r="AF178" s="48"/>
      <c r="AG178" s="48"/>
      <c r="AH178" s="86"/>
      <c r="AI178" s="73"/>
      <c r="AJ178" s="77"/>
      <c r="AK178" s="130">
        <f t="shared" si="97"/>
        <v>0.22799999999999998</v>
      </c>
      <c r="AL178" s="159"/>
      <c r="AM178" s="73"/>
      <c r="AN178" s="77"/>
      <c r="AO178" s="77"/>
      <c r="AP178" s="132">
        <f t="shared" si="98"/>
        <v>0.17099999999999999</v>
      </c>
      <c r="AQ178" s="73"/>
      <c r="AR178" s="77"/>
      <c r="AS178" s="77"/>
      <c r="AT178" s="49"/>
      <c r="AU178" s="73"/>
      <c r="AV178" s="77"/>
      <c r="AW178" s="77"/>
      <c r="AX178" s="49"/>
    </row>
    <row r="179" spans="1:50" x14ac:dyDescent="0.25">
      <c r="A179" s="24"/>
      <c r="B179" s="24"/>
      <c r="C179" s="24"/>
      <c r="D179" s="24"/>
      <c r="E179" s="24"/>
      <c r="F179" s="25" t="s">
        <v>55</v>
      </c>
      <c r="G179" s="25">
        <v>1.1399999999999999</v>
      </c>
      <c r="H179" s="25">
        <v>1.1399999999999999</v>
      </c>
      <c r="I179" s="25">
        <v>1</v>
      </c>
      <c r="J179" s="25" t="s">
        <v>33</v>
      </c>
      <c r="K179" s="25">
        <f t="shared" si="71"/>
        <v>11.969999999999999</v>
      </c>
      <c r="L179" s="25">
        <f t="shared" si="72"/>
        <v>13.964999999999998</v>
      </c>
      <c r="M179" s="25">
        <f t="shared" si="73"/>
        <v>7.98</v>
      </c>
      <c r="N179" s="25">
        <f t="shared" si="74"/>
        <v>5.9849999999999994</v>
      </c>
      <c r="O179" s="26">
        <v>39.9</v>
      </c>
      <c r="P179" s="25" t="s">
        <v>76</v>
      </c>
      <c r="Q179" s="25">
        <v>71089</v>
      </c>
      <c r="R179" s="19" t="s">
        <v>35</v>
      </c>
      <c r="S179" s="15" t="s">
        <v>55</v>
      </c>
      <c r="T179" s="9">
        <v>3</v>
      </c>
      <c r="U179" s="16">
        <v>1.9218670569320691</v>
      </c>
      <c r="V179" s="43">
        <f t="shared" si="76"/>
        <v>16823.834999999999</v>
      </c>
      <c r="W179" s="51"/>
      <c r="X179" s="48"/>
      <c r="Y179" s="48"/>
      <c r="Z179" s="49"/>
      <c r="AA179" s="47">
        <f t="shared" si="99"/>
        <v>0.34199999999999997</v>
      </c>
      <c r="AB179" s="41">
        <f t="shared" si="103"/>
        <v>0.39899999999999997</v>
      </c>
      <c r="AC179" s="48"/>
      <c r="AD179" s="48"/>
      <c r="AE179" s="51"/>
      <c r="AF179" s="48"/>
      <c r="AG179" s="48"/>
      <c r="AH179" s="86"/>
      <c r="AI179" s="73"/>
      <c r="AJ179" s="77"/>
      <c r="AK179" s="130">
        <f t="shared" si="97"/>
        <v>0.22799999999999998</v>
      </c>
      <c r="AL179" s="159"/>
      <c r="AM179" s="73"/>
      <c r="AN179" s="77"/>
      <c r="AO179" s="77"/>
      <c r="AP179" s="132">
        <f t="shared" si="98"/>
        <v>0.17099999999999999</v>
      </c>
      <c r="AQ179" s="73"/>
      <c r="AR179" s="77"/>
      <c r="AS179" s="77"/>
      <c r="AT179" s="49"/>
      <c r="AU179" s="73"/>
      <c r="AV179" s="77"/>
      <c r="AW179" s="77"/>
      <c r="AX179" s="49"/>
    </row>
    <row r="180" spans="1:50" ht="30.75" thickBot="1" x14ac:dyDescent="0.3">
      <c r="A180" s="24"/>
      <c r="B180" s="24"/>
      <c r="C180" s="24"/>
      <c r="D180" s="24"/>
      <c r="E180" s="24"/>
      <c r="F180" s="25" t="s">
        <v>56</v>
      </c>
      <c r="G180" s="25">
        <v>1.1399999999999999</v>
      </c>
      <c r="H180" s="25">
        <v>1.1399999999999999</v>
      </c>
      <c r="I180" s="25">
        <v>1</v>
      </c>
      <c r="J180" s="25" t="s">
        <v>33</v>
      </c>
      <c r="K180" s="25">
        <f t="shared" si="71"/>
        <v>11.969999999999999</v>
      </c>
      <c r="L180" s="25">
        <f t="shared" si="72"/>
        <v>13.964999999999998</v>
      </c>
      <c r="M180" s="25">
        <f t="shared" si="73"/>
        <v>7.98</v>
      </c>
      <c r="N180" s="25">
        <f t="shared" si="74"/>
        <v>5.9849999999999994</v>
      </c>
      <c r="O180" s="26">
        <v>39.9</v>
      </c>
      <c r="P180" s="25" t="s">
        <v>72</v>
      </c>
      <c r="Q180" s="25">
        <v>71089</v>
      </c>
      <c r="R180" s="19" t="s">
        <v>35</v>
      </c>
      <c r="S180" s="15" t="s">
        <v>56</v>
      </c>
      <c r="T180" s="9">
        <v>4</v>
      </c>
      <c r="U180" s="16">
        <v>1.9218670569320691</v>
      </c>
      <c r="V180" s="43">
        <f t="shared" si="76"/>
        <v>16823.834999999999</v>
      </c>
      <c r="W180" s="51"/>
      <c r="X180" s="48"/>
      <c r="Y180" s="48"/>
      <c r="Z180" s="49"/>
      <c r="AA180" s="47">
        <f t="shared" si="99"/>
        <v>0.34199999999999997</v>
      </c>
      <c r="AB180" s="41">
        <f t="shared" si="103"/>
        <v>0.39899999999999997</v>
      </c>
      <c r="AC180" s="48"/>
      <c r="AD180" s="48"/>
      <c r="AE180" s="51"/>
      <c r="AF180" s="48"/>
      <c r="AG180" s="48"/>
      <c r="AH180" s="86"/>
      <c r="AI180" s="73"/>
      <c r="AJ180" s="77"/>
      <c r="AK180" s="130">
        <f t="shared" si="97"/>
        <v>0.22799999999999998</v>
      </c>
      <c r="AL180" s="159"/>
      <c r="AM180" s="73"/>
      <c r="AN180" s="77"/>
      <c r="AO180" s="77"/>
      <c r="AP180" s="132">
        <f t="shared" si="98"/>
        <v>0.17099999999999999</v>
      </c>
      <c r="AQ180" s="73"/>
      <c r="AR180" s="77"/>
      <c r="AS180" s="77"/>
      <c r="AT180" s="49"/>
      <c r="AU180" s="73"/>
      <c r="AV180" s="77"/>
      <c r="AW180" s="77"/>
      <c r="AX180" s="49"/>
    </row>
    <row r="181" spans="1:50" ht="15.75" thickBot="1" x14ac:dyDescent="0.3">
      <c r="A181" s="24"/>
      <c r="B181" s="24"/>
      <c r="C181" s="24"/>
      <c r="D181" s="24"/>
      <c r="E181" s="24"/>
      <c r="F181" s="25" t="s">
        <v>42</v>
      </c>
      <c r="G181" s="25">
        <v>1.85</v>
      </c>
      <c r="H181" s="25">
        <v>1.85</v>
      </c>
      <c r="I181" s="25">
        <v>1</v>
      </c>
      <c r="J181" s="25" t="s">
        <v>33</v>
      </c>
      <c r="K181" s="25">
        <f t="shared" si="71"/>
        <v>19.425000000000001</v>
      </c>
      <c r="L181" s="25">
        <f t="shared" si="72"/>
        <v>22.662499999999998</v>
      </c>
      <c r="M181" s="25">
        <f t="shared" si="73"/>
        <v>12.950000000000001</v>
      </c>
      <c r="N181" s="25">
        <f t="shared" si="74"/>
        <v>9.7125000000000004</v>
      </c>
      <c r="O181" s="26">
        <v>64.75</v>
      </c>
      <c r="P181" s="25" t="s">
        <v>43</v>
      </c>
      <c r="Q181" s="25">
        <v>71091</v>
      </c>
      <c r="R181" s="19" t="s">
        <v>35</v>
      </c>
      <c r="S181" s="15" t="s">
        <v>42</v>
      </c>
      <c r="T181" s="9">
        <v>1</v>
      </c>
      <c r="U181" s="16">
        <v>3.1188193467757266</v>
      </c>
      <c r="V181" s="43">
        <f t="shared" si="76"/>
        <v>27301.837499999998</v>
      </c>
      <c r="W181" s="51"/>
      <c r="X181" s="48"/>
      <c r="Y181" s="48"/>
      <c r="Z181" s="49"/>
      <c r="AA181" s="47">
        <f t="shared" si="99"/>
        <v>0.55500000000000005</v>
      </c>
      <c r="AB181" s="48"/>
      <c r="AC181" s="48"/>
      <c r="AD181" s="48"/>
      <c r="AE181" s="51"/>
      <c r="AF181" s="65">
        <f t="shared" ref="AF181:AF183" si="104">H181*0.35</f>
        <v>0.64749999999999996</v>
      </c>
      <c r="AG181" s="48"/>
      <c r="AH181" s="86"/>
      <c r="AI181" s="73"/>
      <c r="AJ181" s="77"/>
      <c r="AK181" s="130">
        <f t="shared" si="97"/>
        <v>0.37000000000000005</v>
      </c>
      <c r="AL181" s="49"/>
      <c r="AM181" s="73"/>
      <c r="AN181" s="77"/>
      <c r="AO181" s="77"/>
      <c r="AP181" s="132">
        <f t="shared" ref="AP181:AP187" si="105">H181*0.15</f>
        <v>0.27750000000000002</v>
      </c>
      <c r="AQ181" s="73"/>
      <c r="AR181" s="77"/>
      <c r="AS181" s="77"/>
      <c r="AT181" s="49"/>
      <c r="AU181" s="73"/>
      <c r="AV181" s="77"/>
      <c r="AW181" s="77"/>
      <c r="AX181" s="49"/>
    </row>
    <row r="182" spans="1:50" ht="15.75" thickBot="1" x14ac:dyDescent="0.3">
      <c r="A182" s="24"/>
      <c r="B182" s="24"/>
      <c r="C182" s="24"/>
      <c r="D182" s="24"/>
      <c r="E182" s="24"/>
      <c r="F182" s="25" t="s">
        <v>42</v>
      </c>
      <c r="G182" s="25">
        <v>1.85</v>
      </c>
      <c r="H182" s="25">
        <v>1.85</v>
      </c>
      <c r="I182" s="25">
        <v>1</v>
      </c>
      <c r="J182" s="25" t="s">
        <v>33</v>
      </c>
      <c r="K182" s="25">
        <f t="shared" si="71"/>
        <v>19.425000000000001</v>
      </c>
      <c r="L182" s="25">
        <f t="shared" si="72"/>
        <v>22.662499999999998</v>
      </c>
      <c r="M182" s="25">
        <f t="shared" si="73"/>
        <v>12.950000000000001</v>
      </c>
      <c r="N182" s="25">
        <f t="shared" si="74"/>
        <v>9.7125000000000004</v>
      </c>
      <c r="O182" s="26">
        <v>64.75</v>
      </c>
      <c r="P182" s="25" t="s">
        <v>43</v>
      </c>
      <c r="Q182" s="25">
        <v>71091</v>
      </c>
      <c r="R182" s="19" t="s">
        <v>35</v>
      </c>
      <c r="S182" s="15" t="s">
        <v>42</v>
      </c>
      <c r="T182" s="9">
        <v>2</v>
      </c>
      <c r="U182" s="16">
        <v>3.1188193467757266</v>
      </c>
      <c r="V182" s="43">
        <f t="shared" si="76"/>
        <v>27301.837499999998</v>
      </c>
      <c r="W182" s="51"/>
      <c r="X182" s="48"/>
      <c r="Y182" s="48"/>
      <c r="Z182" s="49"/>
      <c r="AA182" s="47">
        <f t="shared" si="99"/>
        <v>0.55500000000000005</v>
      </c>
      <c r="AB182" s="48"/>
      <c r="AC182" s="48"/>
      <c r="AD182" s="48"/>
      <c r="AE182" s="51"/>
      <c r="AF182" s="65">
        <f t="shared" si="104"/>
        <v>0.64749999999999996</v>
      </c>
      <c r="AG182" s="48"/>
      <c r="AH182" s="86"/>
      <c r="AI182" s="73"/>
      <c r="AJ182" s="77"/>
      <c r="AK182" s="130">
        <f t="shared" si="97"/>
        <v>0.37000000000000005</v>
      </c>
      <c r="AL182" s="49"/>
      <c r="AM182" s="73"/>
      <c r="AN182" s="77"/>
      <c r="AO182" s="77"/>
      <c r="AP182" s="132">
        <f t="shared" si="105"/>
        <v>0.27750000000000002</v>
      </c>
      <c r="AQ182" s="73"/>
      <c r="AR182" s="77"/>
      <c r="AS182" s="77"/>
      <c r="AT182" s="49"/>
      <c r="AU182" s="73"/>
      <c r="AV182" s="77"/>
      <c r="AW182" s="77"/>
      <c r="AX182" s="49"/>
    </row>
    <row r="183" spans="1:50" ht="15.75" thickBot="1" x14ac:dyDescent="0.3">
      <c r="A183" s="24"/>
      <c r="B183" s="24"/>
      <c r="C183" s="24"/>
      <c r="D183" s="24"/>
      <c r="E183" s="24"/>
      <c r="F183" s="25" t="s">
        <v>42</v>
      </c>
      <c r="G183" s="25">
        <v>1.85</v>
      </c>
      <c r="H183" s="25">
        <v>1.85</v>
      </c>
      <c r="I183" s="25">
        <v>1</v>
      </c>
      <c r="J183" s="25" t="s">
        <v>33</v>
      </c>
      <c r="K183" s="25">
        <f t="shared" si="71"/>
        <v>19.425000000000001</v>
      </c>
      <c r="L183" s="25">
        <f t="shared" si="72"/>
        <v>22.662499999999998</v>
      </c>
      <c r="M183" s="25">
        <f t="shared" si="73"/>
        <v>12.950000000000001</v>
      </c>
      <c r="N183" s="25">
        <f t="shared" si="74"/>
        <v>9.7125000000000004</v>
      </c>
      <c r="O183" s="26">
        <v>64.75</v>
      </c>
      <c r="P183" s="25" t="s">
        <v>43</v>
      </c>
      <c r="Q183" s="25">
        <v>71091</v>
      </c>
      <c r="R183" s="19" t="s">
        <v>35</v>
      </c>
      <c r="S183" s="15" t="s">
        <v>42</v>
      </c>
      <c r="T183" s="9">
        <v>3</v>
      </c>
      <c r="U183" s="16">
        <v>3.1188193467757266</v>
      </c>
      <c r="V183" s="43">
        <f t="shared" si="76"/>
        <v>27301.837499999998</v>
      </c>
      <c r="W183" s="51"/>
      <c r="X183" s="48"/>
      <c r="Y183" s="48"/>
      <c r="Z183" s="49"/>
      <c r="AA183" s="47">
        <f t="shared" si="99"/>
        <v>0.55500000000000005</v>
      </c>
      <c r="AB183" s="48"/>
      <c r="AC183" s="48"/>
      <c r="AD183" s="48"/>
      <c r="AE183" s="51"/>
      <c r="AF183" s="65">
        <f t="shared" si="104"/>
        <v>0.64749999999999996</v>
      </c>
      <c r="AG183" s="48"/>
      <c r="AH183" s="86"/>
      <c r="AI183" s="73"/>
      <c r="AJ183" s="77"/>
      <c r="AK183" s="130">
        <f t="shared" si="97"/>
        <v>0.37000000000000005</v>
      </c>
      <c r="AL183" s="49"/>
      <c r="AM183" s="73"/>
      <c r="AN183" s="77"/>
      <c r="AO183" s="77"/>
      <c r="AP183" s="132">
        <f t="shared" si="105"/>
        <v>0.27750000000000002</v>
      </c>
      <c r="AQ183" s="73"/>
      <c r="AR183" s="77"/>
      <c r="AS183" s="77"/>
      <c r="AT183" s="49"/>
      <c r="AU183" s="73"/>
      <c r="AV183" s="77"/>
      <c r="AW183" s="77"/>
      <c r="AX183" s="49"/>
    </row>
    <row r="184" spans="1:50" x14ac:dyDescent="0.25">
      <c r="A184" s="24"/>
      <c r="B184" s="24"/>
      <c r="C184" s="24"/>
      <c r="D184" s="24"/>
      <c r="E184" s="24"/>
      <c r="F184" s="25" t="s">
        <v>42</v>
      </c>
      <c r="G184" s="25">
        <v>1.85</v>
      </c>
      <c r="H184" s="25">
        <v>1.85</v>
      </c>
      <c r="I184" s="25">
        <v>1</v>
      </c>
      <c r="J184" s="25" t="s">
        <v>33</v>
      </c>
      <c r="K184" s="25">
        <f t="shared" si="71"/>
        <v>19.425000000000001</v>
      </c>
      <c r="L184" s="25">
        <f t="shared" si="72"/>
        <v>22.662499999999998</v>
      </c>
      <c r="M184" s="25">
        <f t="shared" si="73"/>
        <v>12.950000000000001</v>
      </c>
      <c r="N184" s="25">
        <f t="shared" si="74"/>
        <v>9.7125000000000004</v>
      </c>
      <c r="O184" s="26">
        <v>64.75</v>
      </c>
      <c r="P184" s="25" t="s">
        <v>43</v>
      </c>
      <c r="Q184" s="25">
        <v>71091</v>
      </c>
      <c r="R184" s="19" t="s">
        <v>35</v>
      </c>
      <c r="S184" s="15" t="s">
        <v>42</v>
      </c>
      <c r="T184" s="9">
        <v>4</v>
      </c>
      <c r="U184" s="16">
        <v>3.1188193467757266</v>
      </c>
      <c r="V184" s="43">
        <f t="shared" si="76"/>
        <v>27301.837499999998</v>
      </c>
      <c r="W184" s="51"/>
      <c r="X184" s="48"/>
      <c r="Y184" s="48"/>
      <c r="Z184" s="49"/>
      <c r="AA184" s="47">
        <f t="shared" si="99"/>
        <v>0.55500000000000005</v>
      </c>
      <c r="AB184" s="48"/>
      <c r="AC184" s="48"/>
      <c r="AD184" s="48"/>
      <c r="AE184" s="51"/>
      <c r="AF184" s="56"/>
      <c r="AG184" s="48"/>
      <c r="AH184" s="86"/>
      <c r="AI184" s="73"/>
      <c r="AJ184" s="130">
        <f>H184*0.35</f>
        <v>0.64749999999999996</v>
      </c>
      <c r="AK184" s="130">
        <f t="shared" si="97"/>
        <v>0.37000000000000005</v>
      </c>
      <c r="AL184" s="49"/>
      <c r="AM184" s="73"/>
      <c r="AN184" s="77"/>
      <c r="AO184" s="77"/>
      <c r="AP184" s="132">
        <f t="shared" si="105"/>
        <v>0.27750000000000002</v>
      </c>
      <c r="AQ184" s="73"/>
      <c r="AR184" s="77"/>
      <c r="AS184" s="77"/>
      <c r="AT184" s="49"/>
      <c r="AU184" s="73"/>
      <c r="AV184" s="77"/>
      <c r="AW184" s="77"/>
      <c r="AX184" s="49"/>
    </row>
    <row r="185" spans="1:50" x14ac:dyDescent="0.25">
      <c r="A185" s="24"/>
      <c r="B185" s="24"/>
      <c r="C185" s="8"/>
      <c r="D185" s="8"/>
      <c r="E185" s="8"/>
      <c r="F185" s="25" t="s">
        <v>60</v>
      </c>
      <c r="G185" s="25">
        <v>0.47</v>
      </c>
      <c r="H185" s="25">
        <v>0.94</v>
      </c>
      <c r="I185" s="25">
        <v>2</v>
      </c>
      <c r="J185" s="25" t="s">
        <v>33</v>
      </c>
      <c r="K185" s="25">
        <f t="shared" si="71"/>
        <v>15.792</v>
      </c>
      <c r="L185" s="25">
        <f t="shared" si="72"/>
        <v>18.423999999999999</v>
      </c>
      <c r="M185" s="25">
        <f t="shared" si="73"/>
        <v>10.528</v>
      </c>
      <c r="N185" s="25">
        <f t="shared" si="74"/>
        <v>7.8959999999999999</v>
      </c>
      <c r="O185" s="26">
        <v>52.64</v>
      </c>
      <c r="P185" s="25" t="s">
        <v>69</v>
      </c>
      <c r="Q185" s="25">
        <v>71044</v>
      </c>
      <c r="R185" s="27" t="s">
        <v>35</v>
      </c>
      <c r="S185" s="28" t="s">
        <v>60</v>
      </c>
      <c r="T185" s="25">
        <v>1</v>
      </c>
      <c r="U185" s="29">
        <v>1.5846973978211798</v>
      </c>
      <c r="V185" s="44">
        <f t="shared" si="76"/>
        <v>22195.655999999999</v>
      </c>
      <c r="W185" s="46">
        <f>H185*0.3</f>
        <v>0.28199999999999997</v>
      </c>
      <c r="X185" s="48"/>
      <c r="Y185" s="48"/>
      <c r="Z185" s="49"/>
      <c r="AA185" s="50"/>
      <c r="AB185" s="41">
        <f>H185*0.35</f>
        <v>0.32899999999999996</v>
      </c>
      <c r="AC185" s="41">
        <f>H185*0.2</f>
        <v>0.188</v>
      </c>
      <c r="AD185" s="48"/>
      <c r="AE185" s="51"/>
      <c r="AF185" s="48"/>
      <c r="AG185" s="48"/>
      <c r="AH185" s="86"/>
      <c r="AI185" s="73"/>
      <c r="AJ185" s="77"/>
      <c r="AK185" s="77"/>
      <c r="AL185" s="159"/>
      <c r="AM185" s="73"/>
      <c r="AN185" s="77"/>
      <c r="AO185" s="77"/>
      <c r="AP185" s="132">
        <f t="shared" si="105"/>
        <v>0.14099999999999999</v>
      </c>
      <c r="AQ185" s="73"/>
      <c r="AR185" s="77"/>
      <c r="AS185" s="77"/>
      <c r="AT185" s="49"/>
      <c r="AU185" s="73"/>
      <c r="AV185" s="77"/>
      <c r="AW185" s="77"/>
      <c r="AX185" s="49"/>
    </row>
    <row r="186" spans="1:50" x14ac:dyDescent="0.25">
      <c r="A186" s="24"/>
      <c r="B186" s="24"/>
      <c r="C186" s="8"/>
      <c r="D186" s="8"/>
      <c r="E186" s="8"/>
      <c r="F186" s="25" t="s">
        <v>60</v>
      </c>
      <c r="G186" s="25">
        <v>0.47</v>
      </c>
      <c r="H186" s="25">
        <v>0.94</v>
      </c>
      <c r="I186" s="25">
        <v>2</v>
      </c>
      <c r="J186" s="25" t="s">
        <v>33</v>
      </c>
      <c r="K186" s="25">
        <f t="shared" si="71"/>
        <v>15.792</v>
      </c>
      <c r="L186" s="25">
        <f t="shared" si="72"/>
        <v>18.423999999999999</v>
      </c>
      <c r="M186" s="25">
        <f t="shared" si="73"/>
        <v>10.528</v>
      </c>
      <c r="N186" s="25">
        <f t="shared" si="74"/>
        <v>7.8959999999999999</v>
      </c>
      <c r="O186" s="26">
        <v>52.64</v>
      </c>
      <c r="P186" s="25" t="s">
        <v>69</v>
      </c>
      <c r="Q186" s="25">
        <v>71045</v>
      </c>
      <c r="R186" s="27" t="s">
        <v>35</v>
      </c>
      <c r="S186" s="28" t="s">
        <v>60</v>
      </c>
      <c r="T186" s="25">
        <v>1</v>
      </c>
      <c r="U186" s="29">
        <v>1.5846973978211798</v>
      </c>
      <c r="V186" s="44">
        <f t="shared" si="76"/>
        <v>22195.655999999999</v>
      </c>
      <c r="W186" s="46">
        <f>H186*0.3</f>
        <v>0.28199999999999997</v>
      </c>
      <c r="X186" s="48"/>
      <c r="Y186" s="48"/>
      <c r="Z186" s="49"/>
      <c r="AA186" s="50"/>
      <c r="AB186" s="41">
        <f>H186*0.35</f>
        <v>0.32899999999999996</v>
      </c>
      <c r="AC186" s="41">
        <f t="shared" ref="AC186:AC187" si="106">H186*0.2</f>
        <v>0.188</v>
      </c>
      <c r="AD186" s="48"/>
      <c r="AE186" s="51"/>
      <c r="AF186" s="48"/>
      <c r="AG186" s="48"/>
      <c r="AH186" s="86"/>
      <c r="AI186" s="73"/>
      <c r="AJ186" s="77"/>
      <c r="AK186" s="77"/>
      <c r="AL186" s="159"/>
      <c r="AM186" s="73"/>
      <c r="AN186" s="77"/>
      <c r="AO186" s="77"/>
      <c r="AP186" s="132">
        <f t="shared" si="105"/>
        <v>0.14099999999999999</v>
      </c>
      <c r="AQ186" s="73"/>
      <c r="AR186" s="77"/>
      <c r="AS186" s="77"/>
      <c r="AT186" s="49"/>
      <c r="AU186" s="73"/>
      <c r="AV186" s="77"/>
      <c r="AW186" s="77"/>
      <c r="AX186" s="49"/>
    </row>
    <row r="187" spans="1:50" ht="15.75" thickBot="1" x14ac:dyDescent="0.3">
      <c r="A187" s="24"/>
      <c r="B187" s="24"/>
      <c r="C187" s="8"/>
      <c r="D187" s="8"/>
      <c r="E187" s="8"/>
      <c r="F187" s="25" t="s">
        <v>60</v>
      </c>
      <c r="G187" s="25">
        <v>0.47</v>
      </c>
      <c r="H187" s="25">
        <v>0.94</v>
      </c>
      <c r="I187" s="25">
        <v>2</v>
      </c>
      <c r="J187" s="25" t="s">
        <v>33</v>
      </c>
      <c r="K187" s="25">
        <f t="shared" si="71"/>
        <v>15.792</v>
      </c>
      <c r="L187" s="25">
        <f t="shared" si="72"/>
        <v>18.423999999999999</v>
      </c>
      <c r="M187" s="25">
        <f t="shared" si="73"/>
        <v>10.528</v>
      </c>
      <c r="N187" s="25">
        <f t="shared" si="74"/>
        <v>7.8959999999999999</v>
      </c>
      <c r="O187" s="26">
        <v>52.64</v>
      </c>
      <c r="P187" s="25" t="s">
        <v>69</v>
      </c>
      <c r="Q187" s="25">
        <v>71046</v>
      </c>
      <c r="R187" s="27" t="s">
        <v>35</v>
      </c>
      <c r="S187" s="28" t="s">
        <v>60</v>
      </c>
      <c r="T187" s="25">
        <v>1</v>
      </c>
      <c r="U187" s="29">
        <v>1.5846973978211798</v>
      </c>
      <c r="V187" s="44">
        <f t="shared" si="76"/>
        <v>22195.655999999999</v>
      </c>
      <c r="W187" s="46">
        <f>H187*0.3</f>
        <v>0.28199999999999997</v>
      </c>
      <c r="X187" s="48"/>
      <c r="Y187" s="48"/>
      <c r="Z187" s="49"/>
      <c r="AA187" s="50"/>
      <c r="AB187" s="41">
        <f>H187*0.35</f>
        <v>0.32899999999999996</v>
      </c>
      <c r="AC187" s="41">
        <f t="shared" si="106"/>
        <v>0.188</v>
      </c>
      <c r="AD187" s="48"/>
      <c r="AE187" s="51"/>
      <c r="AF187" s="48"/>
      <c r="AG187" s="48"/>
      <c r="AH187" s="86"/>
      <c r="AI187" s="73"/>
      <c r="AJ187" s="77"/>
      <c r="AK187" s="77"/>
      <c r="AL187" s="159"/>
      <c r="AM187" s="73"/>
      <c r="AN187" s="77"/>
      <c r="AO187" s="77"/>
      <c r="AP187" s="132">
        <f t="shared" si="105"/>
        <v>0.14099999999999999</v>
      </c>
      <c r="AQ187" s="73"/>
      <c r="AR187" s="77"/>
      <c r="AS187" s="77"/>
      <c r="AT187" s="49"/>
      <c r="AU187" s="73"/>
      <c r="AV187" s="77"/>
      <c r="AW187" s="77"/>
      <c r="AX187" s="49"/>
    </row>
    <row r="188" spans="1:50" ht="15.75" thickBot="1" x14ac:dyDescent="0.3">
      <c r="A188" s="24"/>
      <c r="B188" s="24"/>
      <c r="C188" s="24"/>
      <c r="D188" s="24"/>
      <c r="E188" s="24"/>
      <c r="F188" s="25" t="s">
        <v>73</v>
      </c>
      <c r="G188" s="25">
        <v>0.96</v>
      </c>
      <c r="H188" s="25">
        <v>0.96</v>
      </c>
      <c r="I188" s="25">
        <v>1</v>
      </c>
      <c r="J188" s="25" t="s">
        <v>33</v>
      </c>
      <c r="K188" s="25">
        <f t="shared" si="71"/>
        <v>11.52</v>
      </c>
      <c r="L188" s="25">
        <f t="shared" si="72"/>
        <v>13.44</v>
      </c>
      <c r="M188" s="25">
        <f t="shared" si="73"/>
        <v>7.68</v>
      </c>
      <c r="N188" s="25">
        <f t="shared" si="74"/>
        <v>5.76</v>
      </c>
      <c r="O188" s="26">
        <v>38.4</v>
      </c>
      <c r="P188" s="25" t="s">
        <v>74</v>
      </c>
      <c r="Q188" s="25">
        <v>71087</v>
      </c>
      <c r="R188" s="19" t="s">
        <v>35</v>
      </c>
      <c r="S188" s="15" t="s">
        <v>73</v>
      </c>
      <c r="T188" s="9">
        <v>1</v>
      </c>
      <c r="U188" s="16">
        <v>1.6184143637322688</v>
      </c>
      <c r="V188" s="43">
        <f t="shared" si="76"/>
        <v>16191.359999999999</v>
      </c>
      <c r="W188" s="51"/>
      <c r="X188" s="48"/>
      <c r="Y188" s="48"/>
      <c r="Z188" s="49"/>
      <c r="AA188" s="47">
        <f t="shared" ref="AA188:AA197" si="107">H188*0.3</f>
        <v>0.28799999999999998</v>
      </c>
      <c r="AB188" s="48"/>
      <c r="AC188" s="48"/>
      <c r="AD188" s="48"/>
      <c r="AE188" s="51"/>
      <c r="AF188" s="65">
        <f t="shared" ref="AF188:AF193" si="108">H188*0.35</f>
        <v>0.33599999999999997</v>
      </c>
      <c r="AG188" s="65">
        <f t="shared" ref="AG188:AG194" si="109">I188*0.35</f>
        <v>0.35</v>
      </c>
      <c r="AH188" s="86"/>
      <c r="AI188" s="73"/>
      <c r="AJ188" s="77"/>
      <c r="AK188" s="77"/>
      <c r="AL188" s="49"/>
      <c r="AM188" s="73"/>
      <c r="AN188" s="77"/>
      <c r="AO188" s="77"/>
      <c r="AP188" s="49"/>
      <c r="AQ188" s="73"/>
      <c r="AR188" s="77"/>
      <c r="AS188" s="77"/>
      <c r="AT188" s="132">
        <f>H188*0.15</f>
        <v>0.14399999999999999</v>
      </c>
      <c r="AU188" s="73"/>
      <c r="AV188" s="77"/>
      <c r="AW188" s="77"/>
      <c r="AX188" s="49"/>
    </row>
    <row r="189" spans="1:50" ht="15.75" thickBot="1" x14ac:dyDescent="0.3">
      <c r="A189" s="24"/>
      <c r="B189" s="24"/>
      <c r="C189" s="24"/>
      <c r="D189" s="24"/>
      <c r="E189" s="24"/>
      <c r="F189" s="25" t="s">
        <v>73</v>
      </c>
      <c r="G189" s="25">
        <v>0.96</v>
      </c>
      <c r="H189" s="25">
        <v>0.96</v>
      </c>
      <c r="I189" s="25">
        <v>1</v>
      </c>
      <c r="J189" s="25" t="s">
        <v>33</v>
      </c>
      <c r="K189" s="25">
        <f t="shared" si="71"/>
        <v>11.52</v>
      </c>
      <c r="L189" s="25">
        <f t="shared" si="72"/>
        <v>13.44</v>
      </c>
      <c r="M189" s="25">
        <f t="shared" si="73"/>
        <v>7.68</v>
      </c>
      <c r="N189" s="25">
        <f t="shared" si="74"/>
        <v>5.76</v>
      </c>
      <c r="O189" s="26">
        <v>38.4</v>
      </c>
      <c r="P189" s="25" t="s">
        <v>74</v>
      </c>
      <c r="Q189" s="25">
        <v>71087</v>
      </c>
      <c r="R189" s="19" t="s">
        <v>35</v>
      </c>
      <c r="S189" s="15" t="s">
        <v>73</v>
      </c>
      <c r="T189" s="9">
        <v>2</v>
      </c>
      <c r="U189" s="16">
        <v>1.6184143637322688</v>
      </c>
      <c r="V189" s="43">
        <f t="shared" si="76"/>
        <v>16191.359999999999</v>
      </c>
      <c r="W189" s="51"/>
      <c r="X189" s="48"/>
      <c r="Y189" s="48"/>
      <c r="Z189" s="49"/>
      <c r="AA189" s="47">
        <f t="shared" si="107"/>
        <v>0.28799999999999998</v>
      </c>
      <c r="AB189" s="48"/>
      <c r="AC189" s="48"/>
      <c r="AD189" s="48"/>
      <c r="AE189" s="51"/>
      <c r="AF189" s="65">
        <f t="shared" si="108"/>
        <v>0.33599999999999997</v>
      </c>
      <c r="AG189" s="65">
        <f t="shared" si="109"/>
        <v>0.35</v>
      </c>
      <c r="AH189" s="86"/>
      <c r="AI189" s="73"/>
      <c r="AJ189" s="77"/>
      <c r="AK189" s="77"/>
      <c r="AL189" s="49"/>
      <c r="AM189" s="73"/>
      <c r="AN189" s="77"/>
      <c r="AO189" s="77"/>
      <c r="AP189" s="49"/>
      <c r="AQ189" s="73"/>
      <c r="AR189" s="77"/>
      <c r="AS189" s="77"/>
      <c r="AT189" s="132">
        <f t="shared" ref="AT189:AT193" si="110">H189*0.15</f>
        <v>0.14399999999999999</v>
      </c>
      <c r="AU189" s="73"/>
      <c r="AV189" s="77"/>
      <c r="AW189" s="77"/>
      <c r="AX189" s="49"/>
    </row>
    <row r="190" spans="1:50" ht="15.75" thickBot="1" x14ac:dyDescent="0.3">
      <c r="A190" s="24"/>
      <c r="B190" s="24"/>
      <c r="C190" s="24"/>
      <c r="D190" s="24"/>
      <c r="E190" s="24"/>
      <c r="F190" s="25" t="s">
        <v>73</v>
      </c>
      <c r="G190" s="25">
        <v>0.96</v>
      </c>
      <c r="H190" s="25">
        <v>0.96</v>
      </c>
      <c r="I190" s="25">
        <v>1</v>
      </c>
      <c r="J190" s="25" t="s">
        <v>33</v>
      </c>
      <c r="K190" s="25">
        <f t="shared" si="71"/>
        <v>11.52</v>
      </c>
      <c r="L190" s="25">
        <f t="shared" si="72"/>
        <v>13.44</v>
      </c>
      <c r="M190" s="25">
        <f t="shared" si="73"/>
        <v>7.68</v>
      </c>
      <c r="N190" s="25">
        <f t="shared" si="74"/>
        <v>5.76</v>
      </c>
      <c r="O190" s="26">
        <v>38.4</v>
      </c>
      <c r="P190" s="25" t="s">
        <v>74</v>
      </c>
      <c r="Q190" s="25">
        <v>71087</v>
      </c>
      <c r="R190" s="19" t="s">
        <v>35</v>
      </c>
      <c r="S190" s="15" t="s">
        <v>73</v>
      </c>
      <c r="T190" s="9">
        <v>3</v>
      </c>
      <c r="U190" s="16">
        <v>1.6184143637322688</v>
      </c>
      <c r="V190" s="43">
        <f t="shared" si="76"/>
        <v>16191.359999999999</v>
      </c>
      <c r="W190" s="51"/>
      <c r="X190" s="48"/>
      <c r="Y190" s="48"/>
      <c r="Z190" s="49"/>
      <c r="AA190" s="47">
        <f t="shared" si="107"/>
        <v>0.28799999999999998</v>
      </c>
      <c r="AB190" s="48"/>
      <c r="AC190" s="48"/>
      <c r="AD190" s="48"/>
      <c r="AE190" s="51"/>
      <c r="AF190" s="65">
        <f t="shared" si="108"/>
        <v>0.33599999999999997</v>
      </c>
      <c r="AG190" s="65">
        <f t="shared" si="109"/>
        <v>0.35</v>
      </c>
      <c r="AH190" s="86"/>
      <c r="AI190" s="73"/>
      <c r="AJ190" s="77"/>
      <c r="AK190" s="77"/>
      <c r="AL190" s="49"/>
      <c r="AM190" s="73"/>
      <c r="AN190" s="77"/>
      <c r="AO190" s="77"/>
      <c r="AP190" s="49"/>
      <c r="AQ190" s="73"/>
      <c r="AR190" s="77"/>
      <c r="AS190" s="77"/>
      <c r="AT190" s="132">
        <f t="shared" si="110"/>
        <v>0.14399999999999999</v>
      </c>
      <c r="AU190" s="73"/>
      <c r="AV190" s="77"/>
      <c r="AW190" s="77"/>
      <c r="AX190" s="49"/>
    </row>
    <row r="191" spans="1:50" ht="15.75" thickBot="1" x14ac:dyDescent="0.3">
      <c r="A191" s="24"/>
      <c r="B191" s="24"/>
      <c r="C191" s="24"/>
      <c r="D191" s="24"/>
      <c r="E191" s="24"/>
      <c r="F191" s="25" t="s">
        <v>73</v>
      </c>
      <c r="G191" s="25">
        <v>0.96</v>
      </c>
      <c r="H191" s="25">
        <v>0.96</v>
      </c>
      <c r="I191" s="25">
        <v>1</v>
      </c>
      <c r="J191" s="25" t="s">
        <v>33</v>
      </c>
      <c r="K191" s="25">
        <f t="shared" si="71"/>
        <v>11.52</v>
      </c>
      <c r="L191" s="25">
        <f t="shared" si="72"/>
        <v>13.44</v>
      </c>
      <c r="M191" s="25">
        <f t="shared" si="73"/>
        <v>7.68</v>
      </c>
      <c r="N191" s="25">
        <f t="shared" si="74"/>
        <v>5.76</v>
      </c>
      <c r="O191" s="26">
        <v>38.4</v>
      </c>
      <c r="P191" s="25" t="s">
        <v>74</v>
      </c>
      <c r="Q191" s="25">
        <v>71087</v>
      </c>
      <c r="R191" s="19" t="s">
        <v>35</v>
      </c>
      <c r="S191" s="15" t="s">
        <v>73</v>
      </c>
      <c r="T191" s="9">
        <v>4</v>
      </c>
      <c r="U191" s="16">
        <v>1.6184143637322688</v>
      </c>
      <c r="V191" s="43">
        <f t="shared" si="76"/>
        <v>16191.359999999999</v>
      </c>
      <c r="W191" s="51"/>
      <c r="X191" s="48"/>
      <c r="Y191" s="48"/>
      <c r="Z191" s="49"/>
      <c r="AA191" s="47">
        <f t="shared" si="107"/>
        <v>0.28799999999999998</v>
      </c>
      <c r="AB191" s="48"/>
      <c r="AC191" s="48"/>
      <c r="AD191" s="48"/>
      <c r="AE191" s="51"/>
      <c r="AF191" s="65">
        <f t="shared" si="108"/>
        <v>0.33599999999999997</v>
      </c>
      <c r="AG191" s="65">
        <f t="shared" si="109"/>
        <v>0.35</v>
      </c>
      <c r="AH191" s="86"/>
      <c r="AI191" s="73"/>
      <c r="AJ191" s="77"/>
      <c r="AK191" s="77"/>
      <c r="AL191" s="49"/>
      <c r="AM191" s="73"/>
      <c r="AN191" s="77"/>
      <c r="AO191" s="77"/>
      <c r="AP191" s="49"/>
      <c r="AQ191" s="73"/>
      <c r="AR191" s="77"/>
      <c r="AS191" s="77"/>
      <c r="AT191" s="132">
        <f t="shared" si="110"/>
        <v>0.14399999999999999</v>
      </c>
      <c r="AU191" s="73"/>
      <c r="AV191" s="77"/>
      <c r="AW191" s="77"/>
      <c r="AX191" s="49"/>
    </row>
    <row r="192" spans="1:50" ht="15.75" thickBot="1" x14ac:dyDescent="0.3">
      <c r="A192" s="24"/>
      <c r="B192" s="24"/>
      <c r="C192" s="24"/>
      <c r="D192" s="24"/>
      <c r="E192" s="24"/>
      <c r="F192" s="25" t="s">
        <v>38</v>
      </c>
      <c r="G192" s="25">
        <v>0.96</v>
      </c>
      <c r="H192" s="25">
        <v>0.96</v>
      </c>
      <c r="I192" s="25">
        <v>1</v>
      </c>
      <c r="J192" s="25" t="s">
        <v>33</v>
      </c>
      <c r="K192" s="25">
        <f t="shared" si="71"/>
        <v>11.52</v>
      </c>
      <c r="L192" s="25">
        <f t="shared" si="72"/>
        <v>13.44</v>
      </c>
      <c r="M192" s="25">
        <f t="shared" si="73"/>
        <v>7.68</v>
      </c>
      <c r="N192" s="25">
        <f t="shared" si="74"/>
        <v>5.76</v>
      </c>
      <c r="O192" s="26">
        <v>38.4</v>
      </c>
      <c r="P192" s="25" t="s">
        <v>75</v>
      </c>
      <c r="Q192" s="25">
        <v>71087</v>
      </c>
      <c r="R192" s="19" t="s">
        <v>35</v>
      </c>
      <c r="S192" s="15" t="s">
        <v>38</v>
      </c>
      <c r="T192" s="9">
        <v>5</v>
      </c>
      <c r="U192" s="16">
        <v>1.6184143637322688</v>
      </c>
      <c r="V192" s="43">
        <f t="shared" si="76"/>
        <v>16191.359999999999</v>
      </c>
      <c r="W192" s="51"/>
      <c r="X192" s="48"/>
      <c r="Y192" s="48"/>
      <c r="Z192" s="49"/>
      <c r="AA192" s="47">
        <f t="shared" si="107"/>
        <v>0.28799999999999998</v>
      </c>
      <c r="AB192" s="48"/>
      <c r="AC192" s="48"/>
      <c r="AD192" s="48"/>
      <c r="AE192" s="51"/>
      <c r="AF192" s="65">
        <f t="shared" si="108"/>
        <v>0.33599999999999997</v>
      </c>
      <c r="AG192" s="65">
        <f t="shared" si="109"/>
        <v>0.35</v>
      </c>
      <c r="AH192" s="86"/>
      <c r="AI192" s="73"/>
      <c r="AJ192" s="77"/>
      <c r="AK192" s="77"/>
      <c r="AL192" s="49"/>
      <c r="AM192" s="73"/>
      <c r="AN192" s="77"/>
      <c r="AO192" s="77"/>
      <c r="AP192" s="49"/>
      <c r="AQ192" s="73"/>
      <c r="AR192" s="77"/>
      <c r="AS192" s="77"/>
      <c r="AT192" s="132">
        <f t="shared" si="110"/>
        <v>0.14399999999999999</v>
      </c>
      <c r="AU192" s="73"/>
      <c r="AV192" s="77"/>
      <c r="AW192" s="77"/>
      <c r="AX192" s="49"/>
    </row>
    <row r="193" spans="1:50" ht="15.75" thickBot="1" x14ac:dyDescent="0.3">
      <c r="A193" s="24"/>
      <c r="B193" s="24"/>
      <c r="C193" s="24"/>
      <c r="D193" s="24"/>
      <c r="E193" s="24"/>
      <c r="F193" s="25" t="s">
        <v>38</v>
      </c>
      <c r="G193" s="25">
        <v>0.96</v>
      </c>
      <c r="H193" s="25">
        <v>0.96</v>
      </c>
      <c r="I193" s="25">
        <v>1</v>
      </c>
      <c r="J193" s="25" t="s">
        <v>33</v>
      </c>
      <c r="K193" s="25">
        <f t="shared" si="71"/>
        <v>11.52</v>
      </c>
      <c r="L193" s="25">
        <f t="shared" si="72"/>
        <v>13.44</v>
      </c>
      <c r="M193" s="25">
        <f t="shared" si="73"/>
        <v>7.68</v>
      </c>
      <c r="N193" s="25">
        <f t="shared" si="74"/>
        <v>5.76</v>
      </c>
      <c r="O193" s="26">
        <v>38.4</v>
      </c>
      <c r="P193" s="25" t="s">
        <v>75</v>
      </c>
      <c r="Q193" s="25">
        <v>71087</v>
      </c>
      <c r="R193" s="19" t="s">
        <v>35</v>
      </c>
      <c r="S193" s="15" t="s">
        <v>38</v>
      </c>
      <c r="T193" s="9">
        <v>6</v>
      </c>
      <c r="U193" s="16">
        <v>1.6184143637322688</v>
      </c>
      <c r="V193" s="43">
        <f t="shared" si="76"/>
        <v>16191.359999999999</v>
      </c>
      <c r="W193" s="51"/>
      <c r="X193" s="48"/>
      <c r="Y193" s="48"/>
      <c r="Z193" s="49"/>
      <c r="AA193" s="47">
        <f t="shared" si="107"/>
        <v>0.28799999999999998</v>
      </c>
      <c r="AB193" s="48"/>
      <c r="AC193" s="48"/>
      <c r="AD193" s="48"/>
      <c r="AE193" s="51"/>
      <c r="AF193" s="65">
        <f t="shared" si="108"/>
        <v>0.33599999999999997</v>
      </c>
      <c r="AG193" s="65">
        <f t="shared" si="109"/>
        <v>0.35</v>
      </c>
      <c r="AH193" s="86"/>
      <c r="AI193" s="73"/>
      <c r="AJ193" s="77"/>
      <c r="AK193" s="77"/>
      <c r="AL193" s="49"/>
      <c r="AM193" s="73"/>
      <c r="AN193" s="77"/>
      <c r="AO193" s="77"/>
      <c r="AP193" s="49"/>
      <c r="AQ193" s="73"/>
      <c r="AR193" s="77"/>
      <c r="AS193" s="77"/>
      <c r="AT193" s="132">
        <f t="shared" si="110"/>
        <v>0.14399999999999999</v>
      </c>
      <c r="AU193" s="73"/>
      <c r="AV193" s="77"/>
      <c r="AW193" s="77"/>
      <c r="AX193" s="49"/>
    </row>
    <row r="194" spans="1:50" ht="15.75" thickBot="1" x14ac:dyDescent="0.3">
      <c r="A194" s="24"/>
      <c r="B194" s="24"/>
      <c r="C194" s="24"/>
      <c r="D194" s="24"/>
      <c r="E194" s="24"/>
      <c r="F194" s="25" t="s">
        <v>55</v>
      </c>
      <c r="G194" s="25">
        <v>0.96</v>
      </c>
      <c r="H194" s="25">
        <v>0.96</v>
      </c>
      <c r="I194" s="25">
        <v>1</v>
      </c>
      <c r="J194" s="25" t="s">
        <v>33</v>
      </c>
      <c r="K194" s="25">
        <f t="shared" si="71"/>
        <v>11.52</v>
      </c>
      <c r="L194" s="25">
        <f t="shared" si="72"/>
        <v>13.44</v>
      </c>
      <c r="M194" s="25">
        <f t="shared" si="73"/>
        <v>7.68</v>
      </c>
      <c r="N194" s="25">
        <f t="shared" si="74"/>
        <v>5.76</v>
      </c>
      <c r="O194" s="26">
        <v>38.4</v>
      </c>
      <c r="P194" s="25" t="s">
        <v>76</v>
      </c>
      <c r="Q194" s="25">
        <v>71087</v>
      </c>
      <c r="R194" s="19" t="s">
        <v>35</v>
      </c>
      <c r="S194" s="15" t="s">
        <v>55</v>
      </c>
      <c r="T194" s="9">
        <v>7</v>
      </c>
      <c r="U194" s="16">
        <v>1.6184143637322688</v>
      </c>
      <c r="V194" s="43">
        <f t="shared" si="76"/>
        <v>16191.359999999999</v>
      </c>
      <c r="W194" s="51"/>
      <c r="X194" s="48"/>
      <c r="Y194" s="48"/>
      <c r="Z194" s="49"/>
      <c r="AA194" s="47">
        <f t="shared" si="107"/>
        <v>0.28799999999999998</v>
      </c>
      <c r="AB194" s="41">
        <f t="shared" ref="AB194:AB197" si="111">H194*0.35</f>
        <v>0.33599999999999997</v>
      </c>
      <c r="AC194" s="48"/>
      <c r="AD194" s="48"/>
      <c r="AE194" s="51"/>
      <c r="AF194" s="48"/>
      <c r="AG194" s="65">
        <f t="shared" si="109"/>
        <v>0.35</v>
      </c>
      <c r="AH194" s="86"/>
      <c r="AI194" s="73"/>
      <c r="AJ194" s="77"/>
      <c r="AK194" s="77"/>
      <c r="AL194" s="159"/>
      <c r="AM194" s="73"/>
      <c r="AN194" s="77"/>
      <c r="AO194" s="77"/>
      <c r="AP194" s="132">
        <f t="shared" ref="AP194:AP196" si="112">H194*0.15</f>
        <v>0.14399999999999999</v>
      </c>
      <c r="AQ194" s="73"/>
      <c r="AR194" s="77"/>
      <c r="AS194" s="77"/>
      <c r="AT194" s="49"/>
      <c r="AU194" s="73"/>
      <c r="AV194" s="77"/>
      <c r="AW194" s="77"/>
      <c r="AX194" s="49"/>
    </row>
    <row r="195" spans="1:50" ht="15.75" thickBot="1" x14ac:dyDescent="0.3">
      <c r="A195" s="24"/>
      <c r="B195" s="24"/>
      <c r="C195" s="24"/>
      <c r="D195" s="24"/>
      <c r="E195" s="24"/>
      <c r="F195" s="25" t="s">
        <v>55</v>
      </c>
      <c r="G195" s="25">
        <v>0.96</v>
      </c>
      <c r="H195" s="25">
        <v>0.96</v>
      </c>
      <c r="I195" s="25">
        <v>1</v>
      </c>
      <c r="J195" s="25" t="s">
        <v>33</v>
      </c>
      <c r="K195" s="25">
        <f t="shared" si="71"/>
        <v>11.52</v>
      </c>
      <c r="L195" s="25">
        <f t="shared" si="72"/>
        <v>13.44</v>
      </c>
      <c r="M195" s="25">
        <f t="shared" si="73"/>
        <v>7.68</v>
      </c>
      <c r="N195" s="25">
        <f t="shared" si="74"/>
        <v>5.76</v>
      </c>
      <c r="O195" s="26">
        <v>38.4</v>
      </c>
      <c r="P195" s="25" t="s">
        <v>76</v>
      </c>
      <c r="Q195" s="25">
        <v>71087</v>
      </c>
      <c r="R195" s="19" t="s">
        <v>35</v>
      </c>
      <c r="S195" s="15" t="s">
        <v>55</v>
      </c>
      <c r="T195" s="9">
        <v>8</v>
      </c>
      <c r="U195" s="16">
        <v>1.6184143637322688</v>
      </c>
      <c r="V195" s="43">
        <f t="shared" si="76"/>
        <v>16191.359999999999</v>
      </c>
      <c r="W195" s="51"/>
      <c r="X195" s="48"/>
      <c r="Y195" s="48"/>
      <c r="Z195" s="49"/>
      <c r="AA195" s="47">
        <f t="shared" si="107"/>
        <v>0.28799999999999998</v>
      </c>
      <c r="AB195" s="41">
        <f t="shared" si="111"/>
        <v>0.33599999999999997</v>
      </c>
      <c r="AC195" s="48"/>
      <c r="AD195" s="48"/>
      <c r="AE195" s="51"/>
      <c r="AF195" s="48"/>
      <c r="AG195" s="56"/>
      <c r="AH195" s="86"/>
      <c r="AI195" s="73"/>
      <c r="AJ195" s="77"/>
      <c r="AK195" s="130">
        <f t="shared" ref="AK195:AK197" si="113">H195*0.2</f>
        <v>0.192</v>
      </c>
      <c r="AL195" s="159"/>
      <c r="AM195" s="73"/>
      <c r="AN195" s="77"/>
      <c r="AO195" s="77"/>
      <c r="AP195" s="132">
        <f t="shared" si="112"/>
        <v>0.14399999999999999</v>
      </c>
      <c r="AQ195" s="73"/>
      <c r="AR195" s="77"/>
      <c r="AS195" s="77"/>
      <c r="AT195" s="49"/>
      <c r="AU195" s="73"/>
      <c r="AV195" s="77"/>
      <c r="AW195" s="77"/>
      <c r="AX195" s="49"/>
    </row>
    <row r="196" spans="1:50" ht="15.75" thickBot="1" x14ac:dyDescent="0.3">
      <c r="A196" s="24"/>
      <c r="B196" s="24"/>
      <c r="C196" s="24"/>
      <c r="D196" s="24"/>
      <c r="E196" s="24"/>
      <c r="F196" s="25" t="s">
        <v>55</v>
      </c>
      <c r="G196" s="25">
        <v>0.96</v>
      </c>
      <c r="H196" s="25">
        <v>0.96</v>
      </c>
      <c r="I196" s="25">
        <v>1</v>
      </c>
      <c r="J196" s="25" t="s">
        <v>33</v>
      </c>
      <c r="K196" s="25">
        <f t="shared" si="71"/>
        <v>11.52</v>
      </c>
      <c r="L196" s="25">
        <f t="shared" si="72"/>
        <v>13.44</v>
      </c>
      <c r="M196" s="25">
        <f t="shared" si="73"/>
        <v>7.68</v>
      </c>
      <c r="N196" s="25">
        <f t="shared" si="74"/>
        <v>5.76</v>
      </c>
      <c r="O196" s="26">
        <v>38.4</v>
      </c>
      <c r="P196" s="25" t="s">
        <v>76</v>
      </c>
      <c r="Q196" s="25">
        <v>71087</v>
      </c>
      <c r="R196" s="19" t="s">
        <v>35</v>
      </c>
      <c r="S196" s="15" t="s">
        <v>55</v>
      </c>
      <c r="T196" s="9">
        <v>9</v>
      </c>
      <c r="U196" s="16">
        <v>1.6184143637322688</v>
      </c>
      <c r="V196" s="43">
        <f t="shared" si="76"/>
        <v>16191.359999999999</v>
      </c>
      <c r="W196" s="51"/>
      <c r="X196" s="48"/>
      <c r="Y196" s="48"/>
      <c r="Z196" s="49"/>
      <c r="AA196" s="47">
        <f t="shared" si="107"/>
        <v>0.28799999999999998</v>
      </c>
      <c r="AB196" s="41">
        <f t="shared" si="111"/>
        <v>0.33599999999999997</v>
      </c>
      <c r="AC196" s="48"/>
      <c r="AD196" s="48"/>
      <c r="AE196" s="51"/>
      <c r="AF196" s="48"/>
      <c r="AG196" s="56"/>
      <c r="AH196" s="86"/>
      <c r="AI196" s="73"/>
      <c r="AJ196" s="77"/>
      <c r="AK196" s="130">
        <f t="shared" si="113"/>
        <v>0.192</v>
      </c>
      <c r="AL196" s="159"/>
      <c r="AM196" s="73"/>
      <c r="AN196" s="77"/>
      <c r="AO196" s="77"/>
      <c r="AP196" s="132">
        <f t="shared" si="112"/>
        <v>0.14399999999999999</v>
      </c>
      <c r="AQ196" s="73"/>
      <c r="AR196" s="77"/>
      <c r="AS196" s="77"/>
      <c r="AT196" s="49"/>
      <c r="AU196" s="73"/>
      <c r="AV196" s="77"/>
      <c r="AW196" s="77"/>
      <c r="AX196" s="49"/>
    </row>
    <row r="197" spans="1:50" ht="30.75" thickBot="1" x14ac:dyDescent="0.3">
      <c r="A197" s="24"/>
      <c r="B197" s="24"/>
      <c r="C197" s="24"/>
      <c r="D197" s="24"/>
      <c r="E197" s="24"/>
      <c r="F197" s="25" t="s">
        <v>56</v>
      </c>
      <c r="G197" s="25">
        <v>0.96</v>
      </c>
      <c r="H197" s="25">
        <v>0.96</v>
      </c>
      <c r="I197" s="25">
        <v>1</v>
      </c>
      <c r="J197" s="25" t="s">
        <v>33</v>
      </c>
      <c r="K197" s="25">
        <f t="shared" ref="K197:K226" si="114">O197*0.3</f>
        <v>11.52</v>
      </c>
      <c r="L197" s="25">
        <f t="shared" ref="L197:L226" si="115">O197*0.35</f>
        <v>13.44</v>
      </c>
      <c r="M197" s="25">
        <f t="shared" ref="M197:M226" si="116">O197*0.2</f>
        <v>7.68</v>
      </c>
      <c r="N197" s="25">
        <f t="shared" ref="N197:N226" si="117">O197*0.15</f>
        <v>5.76</v>
      </c>
      <c r="O197" s="26">
        <v>38.4</v>
      </c>
      <c r="P197" s="25" t="s">
        <v>72</v>
      </c>
      <c r="Q197" s="25">
        <v>71087</v>
      </c>
      <c r="R197" s="19" t="s">
        <v>35</v>
      </c>
      <c r="S197" s="15" t="s">
        <v>56</v>
      </c>
      <c r="T197" s="9">
        <v>10</v>
      </c>
      <c r="U197" s="16">
        <v>1.6184143637322688</v>
      </c>
      <c r="V197" s="43">
        <f t="shared" si="76"/>
        <v>16191.359999999999</v>
      </c>
      <c r="W197" s="51"/>
      <c r="X197" s="48"/>
      <c r="Y197" s="48"/>
      <c r="Z197" s="49"/>
      <c r="AA197" s="47">
        <f t="shared" si="107"/>
        <v>0.28799999999999998</v>
      </c>
      <c r="AB197" s="41">
        <f t="shared" si="111"/>
        <v>0.33599999999999997</v>
      </c>
      <c r="AC197" s="48"/>
      <c r="AD197" s="48"/>
      <c r="AE197" s="51"/>
      <c r="AF197" s="48"/>
      <c r="AG197" s="56"/>
      <c r="AH197" s="86"/>
      <c r="AI197" s="73"/>
      <c r="AJ197" s="77"/>
      <c r="AK197" s="130">
        <f t="shared" si="113"/>
        <v>0.192</v>
      </c>
      <c r="AL197" s="159"/>
      <c r="AM197" s="73"/>
      <c r="AN197" s="77"/>
      <c r="AO197" s="77"/>
      <c r="AP197" s="132">
        <f t="shared" ref="AP197" si="118">H197*0.15</f>
        <v>0.14399999999999999</v>
      </c>
      <c r="AQ197" s="73"/>
      <c r="AR197" s="77"/>
      <c r="AS197" s="77"/>
      <c r="AT197" s="49"/>
      <c r="AU197" s="73"/>
      <c r="AV197" s="77"/>
      <c r="AW197" s="77"/>
      <c r="AX197" s="49"/>
    </row>
    <row r="198" spans="1:50" ht="60.75" hidden="1" thickBot="1" x14ac:dyDescent="0.3">
      <c r="A198" s="8"/>
      <c r="B198" s="8"/>
      <c r="C198" s="8"/>
      <c r="D198" s="8"/>
      <c r="E198" s="8"/>
      <c r="F198" s="15" t="s">
        <v>77</v>
      </c>
      <c r="G198" s="9">
        <v>1.8518518518518518E-4</v>
      </c>
      <c r="H198" s="9">
        <v>6.4814814814814813E-3</v>
      </c>
      <c r="I198" s="9">
        <v>35</v>
      </c>
      <c r="J198" s="9" t="s">
        <v>33</v>
      </c>
      <c r="K198" s="9">
        <f t="shared" si="114"/>
        <v>0.15555555555555553</v>
      </c>
      <c r="L198" s="9">
        <f t="shared" si="115"/>
        <v>0.18148148148148147</v>
      </c>
      <c r="M198" s="9">
        <f t="shared" si="116"/>
        <v>0.1037037037037037</v>
      </c>
      <c r="N198" s="9">
        <f t="shared" si="117"/>
        <v>7.7777777777777765E-2</v>
      </c>
      <c r="O198" s="18">
        <v>0.51851851851851849</v>
      </c>
      <c r="P198" s="9" t="s">
        <v>78</v>
      </c>
      <c r="Q198" s="9">
        <v>172644</v>
      </c>
      <c r="R198" s="19" t="s">
        <v>35</v>
      </c>
      <c r="S198" s="15" t="s">
        <v>77</v>
      </c>
      <c r="T198" s="9">
        <v>1</v>
      </c>
      <c r="U198" s="16">
        <v>1.0926794508223266E-2</v>
      </c>
      <c r="V198" s="43">
        <f t="shared" ref="V198:V226" si="119">421.65*O198</f>
        <v>218.6333333333333</v>
      </c>
      <c r="W198" s="51"/>
      <c r="X198" s="48"/>
      <c r="Y198" s="48"/>
      <c r="Z198" s="49"/>
      <c r="AA198" s="50"/>
      <c r="AB198" s="48"/>
      <c r="AC198" s="48"/>
      <c r="AD198" s="48"/>
      <c r="AE198" s="51"/>
      <c r="AF198" s="48"/>
      <c r="AG198" s="48"/>
      <c r="AH198" s="86"/>
      <c r="AI198" s="73"/>
      <c r="AJ198" s="77"/>
      <c r="AK198" s="77"/>
      <c r="AL198" s="159"/>
      <c r="AM198" s="73"/>
      <c r="AN198" s="77"/>
      <c r="AO198" s="77"/>
      <c r="AP198" s="159"/>
      <c r="AQ198" s="76"/>
      <c r="AR198" s="74"/>
      <c r="AS198" s="74"/>
      <c r="AT198" s="75"/>
      <c r="AU198" s="76"/>
      <c r="AV198" s="74"/>
      <c r="AW198" s="74"/>
      <c r="AX198" s="75"/>
    </row>
    <row r="199" spans="1:50" ht="60.75" hidden="1" thickBot="1" x14ac:dyDescent="0.3">
      <c r="A199" s="8"/>
      <c r="B199" s="8"/>
      <c r="C199" s="8"/>
      <c r="D199" s="8"/>
      <c r="E199" s="8"/>
      <c r="F199" s="15" t="s">
        <v>79</v>
      </c>
      <c r="G199" s="9">
        <v>1.8518518518518518E-4</v>
      </c>
      <c r="H199" s="9">
        <v>6.4814814814814813E-3</v>
      </c>
      <c r="I199" s="9">
        <v>35</v>
      </c>
      <c r="J199" s="9" t="s">
        <v>33</v>
      </c>
      <c r="K199" s="9">
        <f t="shared" si="114"/>
        <v>0.15555555555555553</v>
      </c>
      <c r="L199" s="9">
        <f t="shared" si="115"/>
        <v>0.18148148148148147</v>
      </c>
      <c r="M199" s="9">
        <f t="shared" si="116"/>
        <v>0.1037037037037037</v>
      </c>
      <c r="N199" s="9">
        <f t="shared" si="117"/>
        <v>7.7777777777777765E-2</v>
      </c>
      <c r="O199" s="18">
        <v>0.51851851851851849</v>
      </c>
      <c r="P199" s="9" t="s">
        <v>80</v>
      </c>
      <c r="Q199" s="9">
        <v>172644</v>
      </c>
      <c r="R199" s="19" t="s">
        <v>35</v>
      </c>
      <c r="S199" s="15" t="s">
        <v>79</v>
      </c>
      <c r="T199" s="9">
        <v>2</v>
      </c>
      <c r="U199" s="16">
        <v>1.0926794508223266E-2</v>
      </c>
      <c r="V199" s="43">
        <f t="shared" si="119"/>
        <v>218.6333333333333</v>
      </c>
      <c r="W199" s="51"/>
      <c r="X199" s="48"/>
      <c r="Y199" s="48"/>
      <c r="Z199" s="49"/>
      <c r="AA199" s="50"/>
      <c r="AB199" s="48"/>
      <c r="AC199" s="48"/>
      <c r="AD199" s="48"/>
      <c r="AE199" s="51"/>
      <c r="AF199" s="48"/>
      <c r="AG199" s="48"/>
      <c r="AH199" s="86"/>
      <c r="AI199" s="73"/>
      <c r="AJ199" s="77"/>
      <c r="AK199" s="77"/>
      <c r="AL199" s="159"/>
      <c r="AM199" s="73"/>
      <c r="AN199" s="77"/>
      <c r="AO199" s="77"/>
      <c r="AP199" s="159"/>
      <c r="AQ199" s="76"/>
      <c r="AR199" s="74"/>
      <c r="AS199" s="74"/>
      <c r="AT199" s="75"/>
      <c r="AU199" s="76"/>
      <c r="AV199" s="74"/>
      <c r="AW199" s="74"/>
      <c r="AX199" s="75"/>
    </row>
    <row r="200" spans="1:50" ht="60.75" hidden="1" thickBot="1" x14ac:dyDescent="0.3">
      <c r="A200" s="8"/>
      <c r="B200" s="8"/>
      <c r="C200" s="8"/>
      <c r="D200" s="8"/>
      <c r="E200" s="8"/>
      <c r="F200" s="15" t="s">
        <v>81</v>
      </c>
      <c r="G200" s="9">
        <v>1.8518518518518518E-4</v>
      </c>
      <c r="H200" s="9">
        <v>3.3333333333333331E-3</v>
      </c>
      <c r="I200" s="9">
        <v>18</v>
      </c>
      <c r="J200" s="9" t="s">
        <v>33</v>
      </c>
      <c r="K200" s="9">
        <f t="shared" si="114"/>
        <v>0.08</v>
      </c>
      <c r="L200" s="9">
        <f t="shared" si="115"/>
        <v>9.3333333333333324E-2</v>
      </c>
      <c r="M200" s="9">
        <f t="shared" si="116"/>
        <v>5.3333333333333337E-2</v>
      </c>
      <c r="N200" s="9">
        <f t="shared" si="117"/>
        <v>0.04</v>
      </c>
      <c r="O200" s="18">
        <v>0.26666666666666666</v>
      </c>
      <c r="P200" s="9" t="s">
        <v>82</v>
      </c>
      <c r="Q200" s="9">
        <v>172644</v>
      </c>
      <c r="R200" s="19" t="s">
        <v>35</v>
      </c>
      <c r="S200" s="15" t="s">
        <v>81</v>
      </c>
      <c r="T200" s="9">
        <v>3</v>
      </c>
      <c r="U200" s="16">
        <v>5.6194943185148222E-3</v>
      </c>
      <c r="V200" s="43">
        <f t="shared" si="119"/>
        <v>112.44</v>
      </c>
      <c r="W200" s="51"/>
      <c r="X200" s="48"/>
      <c r="Y200" s="48"/>
      <c r="Z200" s="49"/>
      <c r="AA200" s="50"/>
      <c r="AB200" s="48"/>
      <c r="AC200" s="48"/>
      <c r="AD200" s="48"/>
      <c r="AE200" s="51"/>
      <c r="AF200" s="48"/>
      <c r="AG200" s="48"/>
      <c r="AH200" s="86"/>
      <c r="AI200" s="73"/>
      <c r="AJ200" s="77"/>
      <c r="AK200" s="77"/>
      <c r="AL200" s="159"/>
      <c r="AM200" s="73"/>
      <c r="AN200" s="77"/>
      <c r="AO200" s="77"/>
      <c r="AP200" s="159"/>
      <c r="AQ200" s="76"/>
      <c r="AR200" s="74"/>
      <c r="AS200" s="74"/>
      <c r="AT200" s="75"/>
      <c r="AU200" s="76"/>
      <c r="AV200" s="74"/>
      <c r="AW200" s="74"/>
      <c r="AX200" s="75"/>
    </row>
    <row r="201" spans="1:50" ht="60.75" hidden="1" thickBot="1" x14ac:dyDescent="0.3">
      <c r="A201" s="8"/>
      <c r="B201" s="8"/>
      <c r="C201" s="8"/>
      <c r="D201" s="8"/>
      <c r="E201" s="8"/>
      <c r="F201" s="15" t="s">
        <v>83</v>
      </c>
      <c r="G201" s="9">
        <v>1.8518518518518518E-4</v>
      </c>
      <c r="H201" s="9">
        <v>3.7037037037037034E-3</v>
      </c>
      <c r="I201" s="9">
        <v>20</v>
      </c>
      <c r="J201" s="9" t="s">
        <v>33</v>
      </c>
      <c r="K201" s="9">
        <f t="shared" si="114"/>
        <v>8.8888888888888878E-2</v>
      </c>
      <c r="L201" s="9">
        <f t="shared" si="115"/>
        <v>0.10370370370370369</v>
      </c>
      <c r="M201" s="9">
        <f t="shared" si="116"/>
        <v>5.9259259259259262E-2</v>
      </c>
      <c r="N201" s="9">
        <f t="shared" si="117"/>
        <v>4.4444444444444439E-2</v>
      </c>
      <c r="O201" s="18">
        <v>0.29629629629629628</v>
      </c>
      <c r="P201" s="9" t="s">
        <v>84</v>
      </c>
      <c r="Q201" s="9">
        <v>172644</v>
      </c>
      <c r="R201" s="19" t="s">
        <v>35</v>
      </c>
      <c r="S201" s="15" t="s">
        <v>83</v>
      </c>
      <c r="T201" s="9">
        <v>4</v>
      </c>
      <c r="U201" s="16">
        <v>6.2438825761275797E-3</v>
      </c>
      <c r="V201" s="43">
        <f t="shared" si="119"/>
        <v>124.93333333333332</v>
      </c>
      <c r="W201" s="51"/>
      <c r="X201" s="48"/>
      <c r="Y201" s="48"/>
      <c r="Z201" s="49"/>
      <c r="AA201" s="50"/>
      <c r="AB201" s="48"/>
      <c r="AC201" s="48"/>
      <c r="AD201" s="48"/>
      <c r="AE201" s="51"/>
      <c r="AF201" s="48"/>
      <c r="AG201" s="48"/>
      <c r="AH201" s="86"/>
      <c r="AI201" s="73"/>
      <c r="AJ201" s="77"/>
      <c r="AK201" s="77"/>
      <c r="AL201" s="159"/>
      <c r="AM201" s="73"/>
      <c r="AN201" s="77"/>
      <c r="AO201" s="77"/>
      <c r="AP201" s="159"/>
      <c r="AQ201" s="76"/>
      <c r="AR201" s="74"/>
      <c r="AS201" s="74"/>
      <c r="AT201" s="75"/>
      <c r="AU201" s="76"/>
      <c r="AV201" s="74"/>
      <c r="AW201" s="74"/>
      <c r="AX201" s="75"/>
    </row>
    <row r="202" spans="1:50" x14ac:dyDescent="0.25">
      <c r="A202" s="24"/>
      <c r="B202" s="24"/>
      <c r="C202" s="24"/>
      <c r="D202" s="24"/>
      <c r="E202" s="24"/>
      <c r="F202" s="25" t="s">
        <v>85</v>
      </c>
      <c r="G202" s="25">
        <v>0.22380952380952382</v>
      </c>
      <c r="H202" s="25">
        <v>0.22380952380952382</v>
      </c>
      <c r="I202" s="25">
        <v>1</v>
      </c>
      <c r="J202" s="25" t="s">
        <v>33</v>
      </c>
      <c r="K202" s="25">
        <f t="shared" si="114"/>
        <v>3.76</v>
      </c>
      <c r="L202" s="25">
        <f t="shared" si="115"/>
        <v>4.3866666666666667</v>
      </c>
      <c r="M202" s="25">
        <f t="shared" si="116"/>
        <v>2.5066666666666668</v>
      </c>
      <c r="N202" s="25">
        <f t="shared" si="117"/>
        <v>1.88</v>
      </c>
      <c r="O202" s="26">
        <v>12.533333333333333</v>
      </c>
      <c r="P202" s="25" t="s">
        <v>86</v>
      </c>
      <c r="Q202" s="25">
        <v>71083</v>
      </c>
      <c r="R202" s="19" t="s">
        <v>35</v>
      </c>
      <c r="S202" s="15" t="s">
        <v>85</v>
      </c>
      <c r="T202" s="9">
        <v>1</v>
      </c>
      <c r="U202" s="16">
        <v>0.37730890424313807</v>
      </c>
      <c r="V202" s="43">
        <f t="shared" si="119"/>
        <v>5284.6799999999994</v>
      </c>
      <c r="W202" s="51"/>
      <c r="X202" s="48"/>
      <c r="Y202" s="48"/>
      <c r="Z202" s="49"/>
      <c r="AA202" s="63">
        <f t="shared" ref="AA202:AA203" si="120">H202*0.3</f>
        <v>6.7142857142857143E-2</v>
      </c>
      <c r="AB202" s="48"/>
      <c r="AC202" s="48"/>
      <c r="AD202" s="48"/>
      <c r="AE202" s="51"/>
      <c r="AF202" s="65">
        <f t="shared" ref="AF202" si="121">H202*0.35</f>
        <v>7.8333333333333338E-2</v>
      </c>
      <c r="AG202" s="48"/>
      <c r="AH202" s="86"/>
      <c r="AI202" s="73"/>
      <c r="AJ202" s="77"/>
      <c r="AK202" s="130">
        <f t="shared" ref="AK202" si="122">H202*0.2</f>
        <v>4.4761904761904767E-2</v>
      </c>
      <c r="AL202" s="159"/>
      <c r="AM202" s="73"/>
      <c r="AN202" s="77"/>
      <c r="AO202" s="77"/>
      <c r="AP202" s="159"/>
      <c r="AQ202" s="73"/>
      <c r="AR202" s="77"/>
      <c r="AS202" s="77"/>
      <c r="AT202" s="159"/>
      <c r="AU202" s="73"/>
      <c r="AV202" s="77"/>
      <c r="AW202" s="77"/>
      <c r="AX202" s="159"/>
    </row>
    <row r="203" spans="1:50" ht="30" x14ac:dyDescent="0.25">
      <c r="A203" s="24"/>
      <c r="B203" s="24"/>
      <c r="C203" s="24"/>
      <c r="D203" s="24"/>
      <c r="E203" s="24"/>
      <c r="F203" s="25" t="s">
        <v>87</v>
      </c>
      <c r="G203" s="25">
        <v>5.5952380952380955E-2</v>
      </c>
      <c r="H203" s="25">
        <v>0.22380952380952382</v>
      </c>
      <c r="I203" s="25">
        <v>4</v>
      </c>
      <c r="J203" s="25" t="s">
        <v>33</v>
      </c>
      <c r="K203" s="25">
        <f t="shared" si="114"/>
        <v>4.0285714285714285</v>
      </c>
      <c r="L203" s="25">
        <f t="shared" si="115"/>
        <v>4.7</v>
      </c>
      <c r="M203" s="25">
        <f t="shared" si="116"/>
        <v>2.6857142857142859</v>
      </c>
      <c r="N203" s="25">
        <f t="shared" si="117"/>
        <v>2.0142857142857142</v>
      </c>
      <c r="O203" s="26">
        <v>13.428571428571429</v>
      </c>
      <c r="P203" s="25" t="s">
        <v>88</v>
      </c>
      <c r="Q203" s="25">
        <v>71083</v>
      </c>
      <c r="R203" s="19" t="s">
        <v>35</v>
      </c>
      <c r="S203" s="15" t="s">
        <v>87</v>
      </c>
      <c r="T203" s="9">
        <v>2</v>
      </c>
      <c r="U203" s="16">
        <v>0.37730890424313807</v>
      </c>
      <c r="V203" s="43">
        <f t="shared" si="119"/>
        <v>5662.1571428571424</v>
      </c>
      <c r="W203" s="51"/>
      <c r="X203" s="48"/>
      <c r="Y203" s="48"/>
      <c r="Z203" s="49"/>
      <c r="AA203" s="63">
        <f t="shared" si="120"/>
        <v>6.7142857142857143E-2</v>
      </c>
      <c r="AB203" s="48"/>
      <c r="AC203" s="48"/>
      <c r="AD203" s="48"/>
      <c r="AE203" s="51"/>
      <c r="AF203" s="48"/>
      <c r="AG203" s="48"/>
      <c r="AH203" s="86"/>
      <c r="AI203" s="73"/>
      <c r="AJ203" s="77"/>
      <c r="AK203" s="77"/>
      <c r="AL203" s="159"/>
      <c r="AM203" s="73"/>
      <c r="AN203" s="77"/>
      <c r="AO203" s="77"/>
      <c r="AP203" s="159"/>
      <c r="AQ203" s="73"/>
      <c r="AR203" s="74"/>
      <c r="AS203" s="74"/>
      <c r="AT203" s="75"/>
      <c r="AU203" s="73"/>
      <c r="AV203" s="77"/>
      <c r="AW203" s="77"/>
      <c r="AX203" s="159"/>
    </row>
    <row r="204" spans="1:50" x14ac:dyDescent="0.25">
      <c r="A204" s="24"/>
      <c r="B204" s="24"/>
      <c r="C204" s="24"/>
      <c r="D204" s="24"/>
      <c r="E204" s="24"/>
      <c r="F204" s="25" t="s">
        <v>40</v>
      </c>
      <c r="G204" s="25">
        <v>5.5952380952380955E-2</v>
      </c>
      <c r="H204" s="25">
        <v>0.22380952380952382</v>
      </c>
      <c r="I204" s="25">
        <v>4</v>
      </c>
      <c r="J204" s="25" t="s">
        <v>33</v>
      </c>
      <c r="K204" s="25">
        <f t="shared" si="114"/>
        <v>4.0285714285714285</v>
      </c>
      <c r="L204" s="25">
        <f t="shared" si="115"/>
        <v>4.7</v>
      </c>
      <c r="M204" s="25">
        <f t="shared" si="116"/>
        <v>2.6857142857142859</v>
      </c>
      <c r="N204" s="25">
        <f t="shared" si="117"/>
        <v>2.0142857142857142</v>
      </c>
      <c r="O204" s="26">
        <v>13.428571428571429</v>
      </c>
      <c r="P204" s="25" t="s">
        <v>89</v>
      </c>
      <c r="Q204" s="25">
        <v>71083</v>
      </c>
      <c r="R204" s="19" t="s">
        <v>35</v>
      </c>
      <c r="S204" s="15" t="s">
        <v>40</v>
      </c>
      <c r="T204" s="9">
        <v>3</v>
      </c>
      <c r="U204" s="16">
        <v>0.37730890424313807</v>
      </c>
      <c r="V204" s="43">
        <f t="shared" si="119"/>
        <v>5662.1571428571424</v>
      </c>
      <c r="W204" s="51"/>
      <c r="X204" s="48"/>
      <c r="Y204" s="48"/>
      <c r="Z204" s="49"/>
      <c r="AA204" s="63">
        <f t="shared" ref="AA204:AA222" si="123">H204*0.3</f>
        <v>6.7142857142857143E-2</v>
      </c>
      <c r="AB204" s="48"/>
      <c r="AC204" s="48"/>
      <c r="AD204" s="48"/>
      <c r="AE204" s="51"/>
      <c r="AF204" s="48"/>
      <c r="AG204" s="48"/>
      <c r="AH204" s="86"/>
      <c r="AI204" s="73"/>
      <c r="AJ204" s="77"/>
      <c r="AK204" s="77"/>
      <c r="AL204" s="159"/>
      <c r="AM204" s="73"/>
      <c r="AN204" s="77"/>
      <c r="AO204" s="77"/>
      <c r="AP204" s="159"/>
      <c r="AQ204" s="73"/>
      <c r="AR204" s="77"/>
      <c r="AS204" s="77"/>
      <c r="AT204" s="159"/>
      <c r="AU204" s="73"/>
      <c r="AV204" s="77"/>
      <c r="AW204" s="77"/>
      <c r="AX204" s="159"/>
    </row>
    <row r="205" spans="1:50" x14ac:dyDescent="0.25">
      <c r="A205" s="24"/>
      <c r="B205" s="24"/>
      <c r="C205" s="24"/>
      <c r="D205" s="24"/>
      <c r="E205" s="24"/>
      <c r="F205" s="25" t="s">
        <v>90</v>
      </c>
      <c r="G205" s="25">
        <v>0.22380952380952382</v>
      </c>
      <c r="H205" s="25">
        <v>0.22380952380952382</v>
      </c>
      <c r="I205" s="25">
        <v>1</v>
      </c>
      <c r="J205" s="25" t="s">
        <v>33</v>
      </c>
      <c r="K205" s="25">
        <f t="shared" si="114"/>
        <v>3.76</v>
      </c>
      <c r="L205" s="25">
        <f t="shared" si="115"/>
        <v>4.3866666666666667</v>
      </c>
      <c r="M205" s="25">
        <f t="shared" si="116"/>
        <v>2.5066666666666668</v>
      </c>
      <c r="N205" s="25">
        <f t="shared" si="117"/>
        <v>1.88</v>
      </c>
      <c r="O205" s="26">
        <v>12.533333333333333</v>
      </c>
      <c r="P205" s="25" t="s">
        <v>91</v>
      </c>
      <c r="Q205" s="25">
        <v>71083</v>
      </c>
      <c r="R205" s="19" t="s">
        <v>35</v>
      </c>
      <c r="S205" s="15" t="s">
        <v>90</v>
      </c>
      <c r="T205" s="9">
        <v>4</v>
      </c>
      <c r="U205" s="16">
        <v>0.37730890424313807</v>
      </c>
      <c r="V205" s="43">
        <f t="shared" si="119"/>
        <v>5284.6799999999994</v>
      </c>
      <c r="W205" s="51"/>
      <c r="X205" s="48"/>
      <c r="Y205" s="48"/>
      <c r="Z205" s="49"/>
      <c r="AA205" s="63">
        <f t="shared" si="123"/>
        <v>6.7142857142857143E-2</v>
      </c>
      <c r="AB205" s="48"/>
      <c r="AC205" s="48"/>
      <c r="AD205" s="48"/>
      <c r="AE205" s="51"/>
      <c r="AF205" s="48"/>
      <c r="AG205" s="48"/>
      <c r="AH205" s="86"/>
      <c r="AI205" s="73"/>
      <c r="AJ205" s="77"/>
      <c r="AK205" s="77"/>
      <c r="AL205" s="159"/>
      <c r="AM205" s="73"/>
      <c r="AN205" s="77"/>
      <c r="AO205" s="77"/>
      <c r="AP205" s="159"/>
      <c r="AQ205" s="73"/>
      <c r="AR205" s="74"/>
      <c r="AS205" s="74"/>
      <c r="AT205" s="75"/>
      <c r="AU205" s="73"/>
      <c r="AV205" s="74"/>
      <c r="AW205" s="74"/>
      <c r="AX205" s="75"/>
    </row>
    <row r="206" spans="1:50" x14ac:dyDescent="0.25">
      <c r="A206" s="24"/>
      <c r="B206" s="24"/>
      <c r="C206" s="24"/>
      <c r="D206" s="24"/>
      <c r="E206" s="24"/>
      <c r="F206" s="25" t="s">
        <v>90</v>
      </c>
      <c r="G206" s="25">
        <v>0.22380952380952382</v>
      </c>
      <c r="H206" s="25">
        <v>0.22380952380952382</v>
      </c>
      <c r="I206" s="25">
        <v>1</v>
      </c>
      <c r="J206" s="25" t="s">
        <v>33</v>
      </c>
      <c r="K206" s="25">
        <f t="shared" si="114"/>
        <v>3.76</v>
      </c>
      <c r="L206" s="25">
        <f t="shared" si="115"/>
        <v>4.3866666666666667</v>
      </c>
      <c r="M206" s="25">
        <f t="shared" si="116"/>
        <v>2.5066666666666668</v>
      </c>
      <c r="N206" s="25">
        <f t="shared" si="117"/>
        <v>1.88</v>
      </c>
      <c r="O206" s="26">
        <v>12.533333333333333</v>
      </c>
      <c r="P206" s="25" t="s">
        <v>91</v>
      </c>
      <c r="Q206" s="25">
        <v>71083</v>
      </c>
      <c r="R206" s="19" t="s">
        <v>35</v>
      </c>
      <c r="S206" s="15" t="s">
        <v>90</v>
      </c>
      <c r="T206" s="9">
        <v>5</v>
      </c>
      <c r="U206" s="16">
        <v>0.37730890424313807</v>
      </c>
      <c r="V206" s="43">
        <f t="shared" si="119"/>
        <v>5284.6799999999994</v>
      </c>
      <c r="W206" s="51"/>
      <c r="X206" s="48"/>
      <c r="Y206" s="48"/>
      <c r="Z206" s="49"/>
      <c r="AA206" s="63">
        <f t="shared" si="123"/>
        <v>6.7142857142857143E-2</v>
      </c>
      <c r="AB206" s="48"/>
      <c r="AC206" s="48"/>
      <c r="AD206" s="48"/>
      <c r="AE206" s="51"/>
      <c r="AF206" s="48"/>
      <c r="AG206" s="48"/>
      <c r="AH206" s="86"/>
      <c r="AI206" s="73"/>
      <c r="AJ206" s="77"/>
      <c r="AK206" s="77"/>
      <c r="AL206" s="159"/>
      <c r="AM206" s="73"/>
      <c r="AN206" s="77"/>
      <c r="AO206" s="77"/>
      <c r="AP206" s="159"/>
      <c r="AQ206" s="73"/>
      <c r="AR206" s="74"/>
      <c r="AS206" s="74"/>
      <c r="AT206" s="75"/>
      <c r="AU206" s="73"/>
      <c r="AV206" s="74"/>
      <c r="AW206" s="74"/>
      <c r="AX206" s="75"/>
    </row>
    <row r="207" spans="1:50" x14ac:dyDescent="0.25">
      <c r="A207" s="24"/>
      <c r="B207" s="24"/>
      <c r="C207" s="24"/>
      <c r="D207" s="24"/>
      <c r="E207" s="24"/>
      <c r="F207" s="25" t="s">
        <v>63</v>
      </c>
      <c r="G207" s="25">
        <v>0.22380952380952382</v>
      </c>
      <c r="H207" s="25">
        <v>0.22380952380952382</v>
      </c>
      <c r="I207" s="25">
        <v>1</v>
      </c>
      <c r="J207" s="25" t="s">
        <v>33</v>
      </c>
      <c r="K207" s="25">
        <f t="shared" si="114"/>
        <v>3.76</v>
      </c>
      <c r="L207" s="25">
        <f t="shared" si="115"/>
        <v>4.3866666666666667</v>
      </c>
      <c r="M207" s="25">
        <f t="shared" si="116"/>
        <v>2.5066666666666668</v>
      </c>
      <c r="N207" s="25">
        <f t="shared" si="117"/>
        <v>1.88</v>
      </c>
      <c r="O207" s="26">
        <v>12.533333333333333</v>
      </c>
      <c r="P207" s="25" t="s">
        <v>92</v>
      </c>
      <c r="Q207" s="25">
        <v>71083</v>
      </c>
      <c r="R207" s="19" t="s">
        <v>35</v>
      </c>
      <c r="S207" s="15" t="s">
        <v>63</v>
      </c>
      <c r="T207" s="9">
        <v>6</v>
      </c>
      <c r="U207" s="16">
        <v>0.37730890424313807</v>
      </c>
      <c r="V207" s="43">
        <f t="shared" si="119"/>
        <v>5284.6799999999994</v>
      </c>
      <c r="W207" s="51"/>
      <c r="X207" s="48"/>
      <c r="Y207" s="48"/>
      <c r="Z207" s="49"/>
      <c r="AA207" s="63">
        <f t="shared" si="123"/>
        <v>6.7142857142857143E-2</v>
      </c>
      <c r="AB207" s="48"/>
      <c r="AC207" s="48"/>
      <c r="AD207" s="48"/>
      <c r="AE207" s="51"/>
      <c r="AF207" s="48"/>
      <c r="AG207" s="48"/>
      <c r="AH207" s="86"/>
      <c r="AI207" s="73"/>
      <c r="AJ207" s="130">
        <f>H207*0.35</f>
        <v>7.8333333333333338E-2</v>
      </c>
      <c r="AK207" s="130">
        <f t="shared" ref="AK207:AK208" si="124">H207*0.2</f>
        <v>4.4761904761904767E-2</v>
      </c>
      <c r="AL207" s="159"/>
      <c r="AM207" s="73"/>
      <c r="AN207" s="77"/>
      <c r="AO207" s="77"/>
      <c r="AP207" s="159"/>
      <c r="AQ207" s="73"/>
      <c r="AR207" s="77"/>
      <c r="AS207" s="77"/>
      <c r="AT207" s="159"/>
      <c r="AU207" s="73"/>
      <c r="AV207" s="77"/>
      <c r="AW207" s="77"/>
      <c r="AX207" s="159"/>
    </row>
    <row r="208" spans="1:50" x14ac:dyDescent="0.25">
      <c r="A208" s="24"/>
      <c r="B208" s="24"/>
      <c r="C208" s="24"/>
      <c r="D208" s="24"/>
      <c r="E208" s="24"/>
      <c r="F208" s="25" t="s">
        <v>63</v>
      </c>
      <c r="G208" s="25">
        <v>0.22380952380952382</v>
      </c>
      <c r="H208" s="25">
        <v>0.22380952380952382</v>
      </c>
      <c r="I208" s="25">
        <v>1</v>
      </c>
      <c r="J208" s="25" t="s">
        <v>33</v>
      </c>
      <c r="K208" s="25">
        <f t="shared" si="114"/>
        <v>3.76</v>
      </c>
      <c r="L208" s="25">
        <f t="shared" si="115"/>
        <v>4.3866666666666667</v>
      </c>
      <c r="M208" s="25">
        <f t="shared" si="116"/>
        <v>2.5066666666666668</v>
      </c>
      <c r="N208" s="25">
        <f t="shared" si="117"/>
        <v>1.88</v>
      </c>
      <c r="O208" s="26">
        <v>12.533333333333333</v>
      </c>
      <c r="P208" s="25" t="s">
        <v>93</v>
      </c>
      <c r="Q208" s="25">
        <v>71083</v>
      </c>
      <c r="R208" s="19" t="s">
        <v>35</v>
      </c>
      <c r="S208" s="15" t="s">
        <v>63</v>
      </c>
      <c r="T208" s="9">
        <v>7</v>
      </c>
      <c r="U208" s="16">
        <v>0.37730890424313807</v>
      </c>
      <c r="V208" s="43">
        <f t="shared" si="119"/>
        <v>5284.6799999999994</v>
      </c>
      <c r="W208" s="51"/>
      <c r="X208" s="48"/>
      <c r="Y208" s="48"/>
      <c r="Z208" s="49"/>
      <c r="AA208" s="63">
        <f t="shared" si="123"/>
        <v>6.7142857142857143E-2</v>
      </c>
      <c r="AB208" s="48"/>
      <c r="AC208" s="48"/>
      <c r="AD208" s="48"/>
      <c r="AE208" s="51"/>
      <c r="AF208" s="48"/>
      <c r="AG208" s="48"/>
      <c r="AH208" s="86"/>
      <c r="AI208" s="73"/>
      <c r="AJ208" s="130">
        <f>H208*0.35</f>
        <v>7.8333333333333338E-2</v>
      </c>
      <c r="AK208" s="130">
        <f t="shared" si="124"/>
        <v>4.4761904761904767E-2</v>
      </c>
      <c r="AL208" s="159"/>
      <c r="AM208" s="73"/>
      <c r="AN208" s="77"/>
      <c r="AO208" s="77"/>
      <c r="AP208" s="159"/>
      <c r="AQ208" s="73"/>
      <c r="AR208" s="77"/>
      <c r="AS208" s="77"/>
      <c r="AT208" s="159"/>
      <c r="AU208" s="73"/>
      <c r="AV208" s="77"/>
      <c r="AW208" s="77"/>
      <c r="AX208" s="159"/>
    </row>
    <row r="209" spans="1:50" x14ac:dyDescent="0.25">
      <c r="A209" s="24"/>
      <c r="B209" s="24"/>
      <c r="C209" s="24"/>
      <c r="D209" s="24"/>
      <c r="E209" s="24"/>
      <c r="F209" s="25" t="s">
        <v>94</v>
      </c>
      <c r="G209" s="25">
        <v>2.2380952380952383E-2</v>
      </c>
      <c r="H209" s="25">
        <v>0.22380952380952382</v>
      </c>
      <c r="I209" s="25">
        <v>10</v>
      </c>
      <c r="J209" s="25" t="s">
        <v>33</v>
      </c>
      <c r="K209" s="25">
        <f t="shared" si="114"/>
        <v>5.371428571428571</v>
      </c>
      <c r="L209" s="25">
        <f t="shared" si="115"/>
        <v>6.2666666666666666</v>
      </c>
      <c r="M209" s="25">
        <f t="shared" si="116"/>
        <v>3.5809523809523811</v>
      </c>
      <c r="N209" s="25">
        <f t="shared" si="117"/>
        <v>2.6857142857142855</v>
      </c>
      <c r="O209" s="26">
        <v>17.904761904761905</v>
      </c>
      <c r="P209" s="25" t="s">
        <v>95</v>
      </c>
      <c r="Q209" s="25">
        <v>71083</v>
      </c>
      <c r="R209" s="19" t="s">
        <v>35</v>
      </c>
      <c r="S209" s="15" t="s">
        <v>94</v>
      </c>
      <c r="T209" s="9">
        <v>8</v>
      </c>
      <c r="U209" s="16">
        <v>0.37730890424313807</v>
      </c>
      <c r="V209" s="43">
        <f t="shared" si="119"/>
        <v>7549.5428571428565</v>
      </c>
      <c r="W209" s="51"/>
      <c r="X209" s="48"/>
      <c r="Y209" s="48"/>
      <c r="Z209" s="49"/>
      <c r="AA209" s="63">
        <f t="shared" si="123"/>
        <v>6.7142857142857143E-2</v>
      </c>
      <c r="AB209" s="48"/>
      <c r="AC209" s="48"/>
      <c r="AD209" s="48"/>
      <c r="AE209" s="51"/>
      <c r="AF209" s="48"/>
      <c r="AG209" s="48"/>
      <c r="AH209" s="86"/>
      <c r="AI209" s="73"/>
      <c r="AJ209" s="77"/>
      <c r="AK209" s="77"/>
      <c r="AL209" s="159"/>
      <c r="AM209" s="73"/>
      <c r="AN209" s="77"/>
      <c r="AO209" s="77"/>
      <c r="AP209" s="159"/>
      <c r="AQ209" s="73"/>
      <c r="AR209" s="74"/>
      <c r="AS209" s="74"/>
      <c r="AT209" s="75"/>
      <c r="AU209" s="73"/>
      <c r="AV209" s="74"/>
      <c r="AW209" s="74"/>
      <c r="AX209" s="75"/>
    </row>
    <row r="210" spans="1:50" x14ac:dyDescent="0.25">
      <c r="A210" s="24"/>
      <c r="B210" s="24"/>
      <c r="C210" s="24"/>
      <c r="D210" s="24"/>
      <c r="E210" s="24"/>
      <c r="F210" s="25" t="s">
        <v>94</v>
      </c>
      <c r="G210" s="25">
        <v>2.2380952380952383E-2</v>
      </c>
      <c r="H210" s="25">
        <v>0.22380952380952382</v>
      </c>
      <c r="I210" s="25">
        <v>10</v>
      </c>
      <c r="J210" s="25" t="s">
        <v>33</v>
      </c>
      <c r="K210" s="25">
        <f t="shared" si="114"/>
        <v>5.371428571428571</v>
      </c>
      <c r="L210" s="25">
        <f t="shared" si="115"/>
        <v>6.2666666666666666</v>
      </c>
      <c r="M210" s="25">
        <f t="shared" si="116"/>
        <v>3.5809523809523811</v>
      </c>
      <c r="N210" s="25">
        <f t="shared" si="117"/>
        <v>2.6857142857142855</v>
      </c>
      <c r="O210" s="26">
        <v>17.904761904761905</v>
      </c>
      <c r="P210" s="25" t="s">
        <v>96</v>
      </c>
      <c r="Q210" s="25">
        <v>71083</v>
      </c>
      <c r="R210" s="19" t="s">
        <v>35</v>
      </c>
      <c r="S210" s="15" t="s">
        <v>94</v>
      </c>
      <c r="T210" s="9">
        <v>9</v>
      </c>
      <c r="U210" s="16">
        <v>0.37730890424313807</v>
      </c>
      <c r="V210" s="43">
        <f t="shared" si="119"/>
        <v>7549.5428571428565</v>
      </c>
      <c r="W210" s="51"/>
      <c r="X210" s="48"/>
      <c r="Y210" s="48"/>
      <c r="Z210" s="49"/>
      <c r="AA210" s="63">
        <f t="shared" si="123"/>
        <v>6.7142857142857143E-2</v>
      </c>
      <c r="AB210" s="48"/>
      <c r="AC210" s="48"/>
      <c r="AD210" s="48"/>
      <c r="AE210" s="51"/>
      <c r="AF210" s="48"/>
      <c r="AG210" s="48"/>
      <c r="AH210" s="86"/>
      <c r="AI210" s="73"/>
      <c r="AJ210" s="77"/>
      <c r="AK210" s="77"/>
      <c r="AL210" s="159"/>
      <c r="AM210" s="73"/>
      <c r="AN210" s="77"/>
      <c r="AO210" s="77"/>
      <c r="AP210" s="159"/>
      <c r="AQ210" s="73"/>
      <c r="AR210" s="74"/>
      <c r="AS210" s="74"/>
      <c r="AT210" s="75"/>
      <c r="AU210" s="73"/>
      <c r="AV210" s="74"/>
      <c r="AW210" s="74"/>
      <c r="AX210" s="75"/>
    </row>
    <row r="211" spans="1:50" x14ac:dyDescent="0.25">
      <c r="A211" s="24"/>
      <c r="B211" s="24"/>
      <c r="C211" s="24"/>
      <c r="D211" s="24"/>
      <c r="E211" s="24"/>
      <c r="F211" s="25" t="s">
        <v>94</v>
      </c>
      <c r="G211" s="25">
        <v>2.2380952380952383E-2</v>
      </c>
      <c r="H211" s="25">
        <v>0.22380952380952382</v>
      </c>
      <c r="I211" s="25">
        <v>10</v>
      </c>
      <c r="J211" s="25" t="s">
        <v>33</v>
      </c>
      <c r="K211" s="25">
        <f t="shared" si="114"/>
        <v>5.371428571428571</v>
      </c>
      <c r="L211" s="25">
        <f t="shared" si="115"/>
        <v>6.2666666666666666</v>
      </c>
      <c r="M211" s="25">
        <f t="shared" si="116"/>
        <v>3.5809523809523811</v>
      </c>
      <c r="N211" s="25">
        <f t="shared" si="117"/>
        <v>2.6857142857142855</v>
      </c>
      <c r="O211" s="26">
        <v>17.904761904761905</v>
      </c>
      <c r="P211" s="25" t="s">
        <v>97</v>
      </c>
      <c r="Q211" s="25">
        <v>71083</v>
      </c>
      <c r="R211" s="19" t="s">
        <v>35</v>
      </c>
      <c r="S211" s="15" t="s">
        <v>94</v>
      </c>
      <c r="T211" s="9">
        <v>10</v>
      </c>
      <c r="U211" s="16">
        <v>0.37730890424313807</v>
      </c>
      <c r="V211" s="43">
        <f t="shared" si="119"/>
        <v>7549.5428571428565</v>
      </c>
      <c r="W211" s="51"/>
      <c r="X211" s="48"/>
      <c r="Y211" s="48"/>
      <c r="Z211" s="49"/>
      <c r="AA211" s="63">
        <f t="shared" si="123"/>
        <v>6.7142857142857143E-2</v>
      </c>
      <c r="AB211" s="48"/>
      <c r="AC211" s="48"/>
      <c r="AD211" s="48"/>
      <c r="AE211" s="51"/>
      <c r="AF211" s="48"/>
      <c r="AG211" s="48"/>
      <c r="AH211" s="86"/>
      <c r="AI211" s="73"/>
      <c r="AJ211" s="77"/>
      <c r="AK211" s="77"/>
      <c r="AL211" s="159"/>
      <c r="AM211" s="73"/>
      <c r="AN211" s="77"/>
      <c r="AO211" s="77"/>
      <c r="AP211" s="159"/>
      <c r="AQ211" s="73"/>
      <c r="AR211" s="74"/>
      <c r="AS211" s="74"/>
      <c r="AT211" s="75"/>
      <c r="AU211" s="73"/>
      <c r="AV211" s="74"/>
      <c r="AW211" s="74"/>
      <c r="AX211" s="75"/>
    </row>
    <row r="212" spans="1:50" x14ac:dyDescent="0.25">
      <c r="A212" s="24"/>
      <c r="B212" s="24"/>
      <c r="C212" s="24"/>
      <c r="D212" s="24"/>
      <c r="E212" s="24"/>
      <c r="F212" s="25" t="s">
        <v>63</v>
      </c>
      <c r="G212" s="25">
        <v>0.22380952380952382</v>
      </c>
      <c r="H212" s="25">
        <v>0.22380952380952382</v>
      </c>
      <c r="I212" s="25">
        <v>1</v>
      </c>
      <c r="J212" s="25" t="s">
        <v>33</v>
      </c>
      <c r="K212" s="25">
        <f t="shared" si="114"/>
        <v>3.76</v>
      </c>
      <c r="L212" s="25">
        <f t="shared" si="115"/>
        <v>4.3866666666666667</v>
      </c>
      <c r="M212" s="25">
        <f t="shared" si="116"/>
        <v>2.5066666666666668</v>
      </c>
      <c r="N212" s="25">
        <f t="shared" si="117"/>
        <v>1.88</v>
      </c>
      <c r="O212" s="26">
        <v>12.533333333333333</v>
      </c>
      <c r="P212" s="25" t="s">
        <v>98</v>
      </c>
      <c r="Q212" s="25">
        <v>71083</v>
      </c>
      <c r="R212" s="19" t="s">
        <v>35</v>
      </c>
      <c r="S212" s="15" t="s">
        <v>63</v>
      </c>
      <c r="T212" s="9">
        <v>11</v>
      </c>
      <c r="U212" s="16">
        <v>0.37730890424313807</v>
      </c>
      <c r="V212" s="43">
        <f t="shared" si="119"/>
        <v>5284.6799999999994</v>
      </c>
      <c r="W212" s="51"/>
      <c r="X212" s="48"/>
      <c r="Y212" s="48"/>
      <c r="Z212" s="49"/>
      <c r="AA212" s="63">
        <f t="shared" si="123"/>
        <v>6.7142857142857143E-2</v>
      </c>
      <c r="AB212" s="48"/>
      <c r="AC212" s="48"/>
      <c r="AD212" s="48"/>
      <c r="AE212" s="51"/>
      <c r="AF212" s="48"/>
      <c r="AG212" s="48"/>
      <c r="AH212" s="86"/>
      <c r="AI212" s="73"/>
      <c r="AJ212" s="130">
        <f t="shared" ref="AJ212:AJ215" si="125">H212*0.35</f>
        <v>7.8333333333333338E-2</v>
      </c>
      <c r="AK212" s="130">
        <f t="shared" ref="AK212:AK215" si="126">H212*0.2</f>
        <v>4.4761904761904767E-2</v>
      </c>
      <c r="AL212" s="159"/>
      <c r="AM212" s="73"/>
      <c r="AN212" s="77"/>
      <c r="AO212" s="77"/>
      <c r="AP212" s="159"/>
      <c r="AQ212" s="73"/>
      <c r="AR212" s="77"/>
      <c r="AS212" s="77"/>
      <c r="AT212" s="159"/>
      <c r="AU212" s="73"/>
      <c r="AV212" s="77"/>
      <c r="AW212" s="77"/>
      <c r="AX212" s="159"/>
    </row>
    <row r="213" spans="1:50" x14ac:dyDescent="0.25">
      <c r="A213" s="24"/>
      <c r="B213" s="24"/>
      <c r="C213" s="24"/>
      <c r="D213" s="24"/>
      <c r="E213" s="24"/>
      <c r="F213" s="25" t="s">
        <v>63</v>
      </c>
      <c r="G213" s="25">
        <v>0.22380952380952382</v>
      </c>
      <c r="H213" s="25">
        <v>0.22380952380952382</v>
      </c>
      <c r="I213" s="25">
        <v>1</v>
      </c>
      <c r="J213" s="25" t="s">
        <v>33</v>
      </c>
      <c r="K213" s="25">
        <f t="shared" si="114"/>
        <v>3.76</v>
      </c>
      <c r="L213" s="25">
        <f t="shared" si="115"/>
        <v>4.3866666666666667</v>
      </c>
      <c r="M213" s="25">
        <f t="shared" si="116"/>
        <v>2.5066666666666668</v>
      </c>
      <c r="N213" s="25">
        <f t="shared" si="117"/>
        <v>1.88</v>
      </c>
      <c r="O213" s="26">
        <v>12.533333333333333</v>
      </c>
      <c r="P213" s="25" t="s">
        <v>98</v>
      </c>
      <c r="Q213" s="25">
        <v>71083</v>
      </c>
      <c r="R213" s="19" t="s">
        <v>35</v>
      </c>
      <c r="S213" s="15" t="s">
        <v>63</v>
      </c>
      <c r="T213" s="9">
        <v>12</v>
      </c>
      <c r="U213" s="16">
        <v>0.37730890424313807</v>
      </c>
      <c r="V213" s="43">
        <f t="shared" si="119"/>
        <v>5284.6799999999994</v>
      </c>
      <c r="W213" s="51"/>
      <c r="X213" s="48"/>
      <c r="Y213" s="48"/>
      <c r="Z213" s="49"/>
      <c r="AA213" s="63">
        <f t="shared" si="123"/>
        <v>6.7142857142857143E-2</v>
      </c>
      <c r="AB213" s="48"/>
      <c r="AC213" s="48"/>
      <c r="AD213" s="48"/>
      <c r="AE213" s="51"/>
      <c r="AF213" s="48"/>
      <c r="AG213" s="48"/>
      <c r="AH213" s="86"/>
      <c r="AI213" s="73"/>
      <c r="AJ213" s="130">
        <f t="shared" si="125"/>
        <v>7.8333333333333338E-2</v>
      </c>
      <c r="AK213" s="130">
        <f t="shared" si="126"/>
        <v>4.4761904761904767E-2</v>
      </c>
      <c r="AL213" s="159"/>
      <c r="AM213" s="73"/>
      <c r="AN213" s="77"/>
      <c r="AO213" s="77"/>
      <c r="AP213" s="159"/>
      <c r="AQ213" s="73"/>
      <c r="AR213" s="77"/>
      <c r="AS213" s="77"/>
      <c r="AT213" s="159"/>
      <c r="AU213" s="73"/>
      <c r="AV213" s="77"/>
      <c r="AW213" s="77"/>
      <c r="AX213" s="159"/>
    </row>
    <row r="214" spans="1:50" x14ac:dyDescent="0.25">
      <c r="A214" s="24"/>
      <c r="B214" s="24"/>
      <c r="C214" s="24"/>
      <c r="D214" s="24"/>
      <c r="E214" s="24"/>
      <c r="F214" s="25" t="s">
        <v>63</v>
      </c>
      <c r="G214" s="25">
        <v>0.22380952380952382</v>
      </c>
      <c r="H214" s="25">
        <v>0.22380952380952382</v>
      </c>
      <c r="I214" s="25">
        <v>1</v>
      </c>
      <c r="J214" s="25" t="s">
        <v>33</v>
      </c>
      <c r="K214" s="25">
        <f t="shared" si="114"/>
        <v>3.76</v>
      </c>
      <c r="L214" s="25">
        <f t="shared" si="115"/>
        <v>4.3866666666666667</v>
      </c>
      <c r="M214" s="25">
        <f t="shared" si="116"/>
        <v>2.5066666666666668</v>
      </c>
      <c r="N214" s="25">
        <f t="shared" si="117"/>
        <v>1.88</v>
      </c>
      <c r="O214" s="26">
        <v>12.533333333333333</v>
      </c>
      <c r="P214" s="25" t="s">
        <v>99</v>
      </c>
      <c r="Q214" s="25">
        <v>71083</v>
      </c>
      <c r="R214" s="19" t="s">
        <v>35</v>
      </c>
      <c r="S214" s="15" t="s">
        <v>63</v>
      </c>
      <c r="T214" s="9">
        <v>13</v>
      </c>
      <c r="U214" s="16">
        <v>0.37730890424313807</v>
      </c>
      <c r="V214" s="43">
        <f t="shared" si="119"/>
        <v>5284.6799999999994</v>
      </c>
      <c r="W214" s="51"/>
      <c r="X214" s="48"/>
      <c r="Y214" s="48"/>
      <c r="Z214" s="49"/>
      <c r="AA214" s="63">
        <f t="shared" si="123"/>
        <v>6.7142857142857143E-2</v>
      </c>
      <c r="AB214" s="48"/>
      <c r="AC214" s="48"/>
      <c r="AD214" s="48"/>
      <c r="AE214" s="51"/>
      <c r="AF214" s="48"/>
      <c r="AG214" s="48"/>
      <c r="AH214" s="86"/>
      <c r="AI214" s="73"/>
      <c r="AJ214" s="130">
        <f t="shared" si="125"/>
        <v>7.8333333333333338E-2</v>
      </c>
      <c r="AK214" s="130">
        <f t="shared" si="126"/>
        <v>4.4761904761904767E-2</v>
      </c>
      <c r="AL214" s="159"/>
      <c r="AM214" s="73"/>
      <c r="AN214" s="77"/>
      <c r="AO214" s="77"/>
      <c r="AP214" s="159"/>
      <c r="AQ214" s="73"/>
      <c r="AR214" s="77"/>
      <c r="AS214" s="77"/>
      <c r="AT214" s="159"/>
      <c r="AU214" s="73"/>
      <c r="AV214" s="77"/>
      <c r="AW214" s="77"/>
      <c r="AX214" s="159"/>
    </row>
    <row r="215" spans="1:50" x14ac:dyDescent="0.25">
      <c r="A215" s="24"/>
      <c r="B215" s="24"/>
      <c r="C215" s="24"/>
      <c r="D215" s="24"/>
      <c r="E215" s="24"/>
      <c r="F215" s="25" t="s">
        <v>63</v>
      </c>
      <c r="G215" s="25">
        <v>0.22380952380952382</v>
      </c>
      <c r="H215" s="25">
        <v>0.22380952380952382</v>
      </c>
      <c r="I215" s="25">
        <v>1</v>
      </c>
      <c r="J215" s="25" t="s">
        <v>33</v>
      </c>
      <c r="K215" s="25">
        <f t="shared" si="114"/>
        <v>3.76</v>
      </c>
      <c r="L215" s="25">
        <f t="shared" si="115"/>
        <v>4.3866666666666667</v>
      </c>
      <c r="M215" s="25">
        <f t="shared" si="116"/>
        <v>2.5066666666666668</v>
      </c>
      <c r="N215" s="25">
        <f t="shared" si="117"/>
        <v>1.88</v>
      </c>
      <c r="O215" s="26">
        <v>12.533333333333333</v>
      </c>
      <c r="P215" s="25" t="s">
        <v>99</v>
      </c>
      <c r="Q215" s="25">
        <v>71083</v>
      </c>
      <c r="R215" s="19" t="s">
        <v>35</v>
      </c>
      <c r="S215" s="15" t="s">
        <v>63</v>
      </c>
      <c r="T215" s="9">
        <v>14</v>
      </c>
      <c r="U215" s="16">
        <v>0.37730890424313807</v>
      </c>
      <c r="V215" s="43">
        <f t="shared" si="119"/>
        <v>5284.6799999999994</v>
      </c>
      <c r="W215" s="51"/>
      <c r="X215" s="48"/>
      <c r="Y215" s="48"/>
      <c r="Z215" s="49"/>
      <c r="AA215" s="63">
        <f t="shared" si="123"/>
        <v>6.7142857142857143E-2</v>
      </c>
      <c r="AB215" s="48"/>
      <c r="AC215" s="48"/>
      <c r="AD215" s="48"/>
      <c r="AE215" s="51"/>
      <c r="AF215" s="48"/>
      <c r="AG215" s="48"/>
      <c r="AH215" s="86"/>
      <c r="AI215" s="73"/>
      <c r="AJ215" s="130">
        <f t="shared" si="125"/>
        <v>7.8333333333333338E-2</v>
      </c>
      <c r="AK215" s="130">
        <f t="shared" si="126"/>
        <v>4.4761904761904767E-2</v>
      </c>
      <c r="AL215" s="159"/>
      <c r="AM215" s="73"/>
      <c r="AN215" s="77"/>
      <c r="AO215" s="77"/>
      <c r="AP215" s="159"/>
      <c r="AQ215" s="73"/>
      <c r="AR215" s="77"/>
      <c r="AS215" s="77"/>
      <c r="AT215" s="159"/>
      <c r="AU215" s="73"/>
      <c r="AV215" s="77"/>
      <c r="AW215" s="77"/>
      <c r="AX215" s="159"/>
    </row>
    <row r="216" spans="1:50" x14ac:dyDescent="0.25">
      <c r="A216" s="24"/>
      <c r="B216" s="24"/>
      <c r="C216" s="24"/>
      <c r="D216" s="24"/>
      <c r="E216" s="24"/>
      <c r="F216" s="25" t="s">
        <v>63</v>
      </c>
      <c r="G216" s="25">
        <v>0.22380952380952382</v>
      </c>
      <c r="H216" s="25">
        <v>0.22380952380952382</v>
      </c>
      <c r="I216" s="25">
        <v>1</v>
      </c>
      <c r="J216" s="25" t="s">
        <v>33</v>
      </c>
      <c r="K216" s="25">
        <f t="shared" si="114"/>
        <v>3.76</v>
      </c>
      <c r="L216" s="25">
        <f t="shared" si="115"/>
        <v>4.3866666666666667</v>
      </c>
      <c r="M216" s="25">
        <f t="shared" si="116"/>
        <v>2.5066666666666668</v>
      </c>
      <c r="N216" s="25">
        <f t="shared" si="117"/>
        <v>1.88</v>
      </c>
      <c r="O216" s="26">
        <v>12.533333333333333</v>
      </c>
      <c r="P216" s="25" t="s">
        <v>100</v>
      </c>
      <c r="Q216" s="25">
        <v>71083</v>
      </c>
      <c r="R216" s="19" t="s">
        <v>35</v>
      </c>
      <c r="S216" s="15" t="s">
        <v>63</v>
      </c>
      <c r="T216" s="9">
        <v>15</v>
      </c>
      <c r="U216" s="16">
        <v>0.37730890424313807</v>
      </c>
      <c r="V216" s="43">
        <f t="shared" si="119"/>
        <v>5284.6799999999994</v>
      </c>
      <c r="W216" s="51"/>
      <c r="X216" s="48"/>
      <c r="Y216" s="48"/>
      <c r="Z216" s="49"/>
      <c r="AA216" s="63">
        <f t="shared" si="123"/>
        <v>6.7142857142857143E-2</v>
      </c>
      <c r="AB216" s="48"/>
      <c r="AC216" s="48"/>
      <c r="AD216" s="48"/>
      <c r="AE216" s="51"/>
      <c r="AF216" s="48"/>
      <c r="AG216" s="48"/>
      <c r="AH216" s="86"/>
      <c r="AI216" s="73"/>
      <c r="AJ216" s="130">
        <f t="shared" ref="AJ216:AJ219" si="127">H216*0.35</f>
        <v>7.8333333333333338E-2</v>
      </c>
      <c r="AK216" s="130">
        <f t="shared" ref="AK216:AK219" si="128">H216*0.2</f>
        <v>4.4761904761904767E-2</v>
      </c>
      <c r="AL216" s="159"/>
      <c r="AM216" s="73"/>
      <c r="AN216" s="77"/>
      <c r="AO216" s="77"/>
      <c r="AP216" s="159"/>
      <c r="AQ216" s="73"/>
      <c r="AR216" s="77"/>
      <c r="AS216" s="77"/>
      <c r="AT216" s="159"/>
      <c r="AU216" s="73"/>
      <c r="AV216" s="77"/>
      <c r="AW216" s="77"/>
      <c r="AX216" s="159"/>
    </row>
    <row r="217" spans="1:50" x14ac:dyDescent="0.25">
      <c r="A217" s="24"/>
      <c r="B217" s="24"/>
      <c r="C217" s="24"/>
      <c r="D217" s="24"/>
      <c r="E217" s="24"/>
      <c r="F217" s="25" t="s">
        <v>63</v>
      </c>
      <c r="G217" s="25">
        <v>0.22380952380952382</v>
      </c>
      <c r="H217" s="25">
        <v>0.22380952380952382</v>
      </c>
      <c r="I217" s="25">
        <v>1</v>
      </c>
      <c r="J217" s="25" t="s">
        <v>33</v>
      </c>
      <c r="K217" s="25">
        <f t="shared" si="114"/>
        <v>3.76</v>
      </c>
      <c r="L217" s="25">
        <f t="shared" si="115"/>
        <v>4.3866666666666667</v>
      </c>
      <c r="M217" s="25">
        <f t="shared" si="116"/>
        <v>2.5066666666666668</v>
      </c>
      <c r="N217" s="25">
        <f t="shared" si="117"/>
        <v>1.88</v>
      </c>
      <c r="O217" s="26">
        <v>12.533333333333333</v>
      </c>
      <c r="P217" s="25" t="s">
        <v>100</v>
      </c>
      <c r="Q217" s="25">
        <v>71083</v>
      </c>
      <c r="R217" s="19" t="s">
        <v>35</v>
      </c>
      <c r="S217" s="15" t="s">
        <v>63</v>
      </c>
      <c r="T217" s="9">
        <v>16</v>
      </c>
      <c r="U217" s="16">
        <v>0.37730890424313807</v>
      </c>
      <c r="V217" s="43">
        <f t="shared" si="119"/>
        <v>5284.6799999999994</v>
      </c>
      <c r="W217" s="51"/>
      <c r="X217" s="48"/>
      <c r="Y217" s="48"/>
      <c r="Z217" s="49"/>
      <c r="AA217" s="63">
        <f t="shared" si="123"/>
        <v>6.7142857142857143E-2</v>
      </c>
      <c r="AB217" s="48"/>
      <c r="AC217" s="48"/>
      <c r="AD217" s="48"/>
      <c r="AE217" s="51"/>
      <c r="AF217" s="48"/>
      <c r="AG217" s="48"/>
      <c r="AH217" s="86"/>
      <c r="AI217" s="73"/>
      <c r="AJ217" s="130">
        <f t="shared" si="127"/>
        <v>7.8333333333333338E-2</v>
      </c>
      <c r="AK217" s="130">
        <f t="shared" si="128"/>
        <v>4.4761904761904767E-2</v>
      </c>
      <c r="AL217" s="159"/>
      <c r="AM217" s="73"/>
      <c r="AN217" s="77"/>
      <c r="AO217" s="77"/>
      <c r="AP217" s="159"/>
      <c r="AQ217" s="73"/>
      <c r="AR217" s="77"/>
      <c r="AS217" s="77"/>
      <c r="AT217" s="159"/>
      <c r="AU217" s="73"/>
      <c r="AV217" s="77"/>
      <c r="AW217" s="77"/>
      <c r="AX217" s="159"/>
    </row>
    <row r="218" spans="1:50" x14ac:dyDescent="0.25">
      <c r="A218" s="24"/>
      <c r="B218" s="24"/>
      <c r="C218" s="24"/>
      <c r="D218" s="24"/>
      <c r="E218" s="24"/>
      <c r="F218" s="25" t="s">
        <v>63</v>
      </c>
      <c r="G218" s="25">
        <v>0.22380952380952382</v>
      </c>
      <c r="H218" s="25">
        <v>0.22380952380952382</v>
      </c>
      <c r="I218" s="25">
        <v>1</v>
      </c>
      <c r="J218" s="25" t="s">
        <v>33</v>
      </c>
      <c r="K218" s="25">
        <f t="shared" si="114"/>
        <v>3.76</v>
      </c>
      <c r="L218" s="25">
        <f t="shared" si="115"/>
        <v>4.3866666666666667</v>
      </c>
      <c r="M218" s="25">
        <f t="shared" si="116"/>
        <v>2.5066666666666668</v>
      </c>
      <c r="N218" s="25">
        <f t="shared" si="117"/>
        <v>1.88</v>
      </c>
      <c r="O218" s="26">
        <v>12.533333333333333</v>
      </c>
      <c r="P218" s="25" t="s">
        <v>100</v>
      </c>
      <c r="Q218" s="25">
        <v>71083</v>
      </c>
      <c r="R218" s="19" t="s">
        <v>35</v>
      </c>
      <c r="S218" s="15" t="s">
        <v>63</v>
      </c>
      <c r="T218" s="9">
        <v>17</v>
      </c>
      <c r="U218" s="16">
        <v>0.37730890424313807</v>
      </c>
      <c r="V218" s="43">
        <f t="shared" si="119"/>
        <v>5284.6799999999994</v>
      </c>
      <c r="W218" s="51"/>
      <c r="X218" s="48"/>
      <c r="Y218" s="48"/>
      <c r="Z218" s="49"/>
      <c r="AA218" s="63">
        <f t="shared" si="123"/>
        <v>6.7142857142857143E-2</v>
      </c>
      <c r="AB218" s="48"/>
      <c r="AC218" s="48"/>
      <c r="AD218" s="48"/>
      <c r="AE218" s="51"/>
      <c r="AF218" s="48"/>
      <c r="AG218" s="48"/>
      <c r="AH218" s="86"/>
      <c r="AI218" s="73"/>
      <c r="AJ218" s="130">
        <f t="shared" si="127"/>
        <v>7.8333333333333338E-2</v>
      </c>
      <c r="AK218" s="130">
        <f t="shared" si="128"/>
        <v>4.4761904761904767E-2</v>
      </c>
      <c r="AL218" s="159"/>
      <c r="AM218" s="73"/>
      <c r="AN218" s="77"/>
      <c r="AO218" s="77"/>
      <c r="AP218" s="159"/>
      <c r="AQ218" s="73"/>
      <c r="AR218" s="77"/>
      <c r="AS218" s="77"/>
      <c r="AT218" s="159"/>
      <c r="AU218" s="73"/>
      <c r="AV218" s="77"/>
      <c r="AW218" s="77"/>
      <c r="AX218" s="159"/>
    </row>
    <row r="219" spans="1:50" x14ac:dyDescent="0.25">
      <c r="A219" s="24"/>
      <c r="B219" s="24"/>
      <c r="C219" s="24"/>
      <c r="D219" s="24"/>
      <c r="E219" s="24"/>
      <c r="F219" s="25" t="s">
        <v>63</v>
      </c>
      <c r="G219" s="25">
        <v>0.22380952380952382</v>
      </c>
      <c r="H219" s="25">
        <v>0.22380952380952382</v>
      </c>
      <c r="I219" s="25">
        <v>1</v>
      </c>
      <c r="J219" s="25" t="s">
        <v>33</v>
      </c>
      <c r="K219" s="25">
        <f t="shared" si="114"/>
        <v>3.76</v>
      </c>
      <c r="L219" s="25">
        <f t="shared" si="115"/>
        <v>4.3866666666666667</v>
      </c>
      <c r="M219" s="25">
        <f t="shared" si="116"/>
        <v>2.5066666666666668</v>
      </c>
      <c r="N219" s="25">
        <f t="shared" si="117"/>
        <v>1.88</v>
      </c>
      <c r="O219" s="26">
        <v>12.533333333333333</v>
      </c>
      <c r="P219" s="25" t="s">
        <v>100</v>
      </c>
      <c r="Q219" s="25">
        <v>71083</v>
      </c>
      <c r="R219" s="19" t="s">
        <v>35</v>
      </c>
      <c r="S219" s="15" t="s">
        <v>63</v>
      </c>
      <c r="T219" s="9">
        <v>18</v>
      </c>
      <c r="U219" s="16">
        <v>0.37730890424313807</v>
      </c>
      <c r="V219" s="43">
        <f t="shared" si="119"/>
        <v>5284.6799999999994</v>
      </c>
      <c r="W219" s="51"/>
      <c r="X219" s="48"/>
      <c r="Y219" s="48"/>
      <c r="Z219" s="49"/>
      <c r="AA219" s="63">
        <f t="shared" si="123"/>
        <v>6.7142857142857143E-2</v>
      </c>
      <c r="AB219" s="48"/>
      <c r="AC219" s="48"/>
      <c r="AD219" s="48"/>
      <c r="AE219" s="51"/>
      <c r="AF219" s="48"/>
      <c r="AG219" s="48"/>
      <c r="AH219" s="86"/>
      <c r="AI219" s="73"/>
      <c r="AJ219" s="130">
        <f t="shared" si="127"/>
        <v>7.8333333333333338E-2</v>
      </c>
      <c r="AK219" s="130">
        <f t="shared" si="128"/>
        <v>4.4761904761904767E-2</v>
      </c>
      <c r="AL219" s="159"/>
      <c r="AM219" s="73"/>
      <c r="AN219" s="77"/>
      <c r="AO219" s="77"/>
      <c r="AP219" s="159"/>
      <c r="AQ219" s="73"/>
      <c r="AR219" s="77"/>
      <c r="AS219" s="77"/>
      <c r="AT219" s="159"/>
      <c r="AU219" s="73"/>
      <c r="AV219" s="77"/>
      <c r="AW219" s="77"/>
      <c r="AX219" s="159"/>
    </row>
    <row r="220" spans="1:50" x14ac:dyDescent="0.25">
      <c r="A220" s="24"/>
      <c r="B220" s="24"/>
      <c r="C220" s="24"/>
      <c r="D220" s="24"/>
      <c r="E220" s="24"/>
      <c r="F220" s="25" t="s">
        <v>101</v>
      </c>
      <c r="G220" s="25">
        <v>0.22380952380952382</v>
      </c>
      <c r="H220" s="25">
        <v>0.22380952380952382</v>
      </c>
      <c r="I220" s="25">
        <v>1</v>
      </c>
      <c r="J220" s="25" t="s">
        <v>33</v>
      </c>
      <c r="K220" s="25">
        <f t="shared" si="114"/>
        <v>3.76</v>
      </c>
      <c r="L220" s="25">
        <f t="shared" si="115"/>
        <v>4.3866666666666667</v>
      </c>
      <c r="M220" s="25">
        <f t="shared" si="116"/>
        <v>2.5066666666666668</v>
      </c>
      <c r="N220" s="25">
        <f t="shared" si="117"/>
        <v>1.88</v>
      </c>
      <c r="O220" s="26">
        <v>12.533333333333333</v>
      </c>
      <c r="P220" s="25" t="s">
        <v>102</v>
      </c>
      <c r="Q220" s="25">
        <v>71083</v>
      </c>
      <c r="R220" s="19" t="s">
        <v>35</v>
      </c>
      <c r="S220" s="15" t="s">
        <v>101</v>
      </c>
      <c r="T220" s="9">
        <v>19</v>
      </c>
      <c r="U220" s="16">
        <v>0.37730890424313807</v>
      </c>
      <c r="V220" s="43">
        <f t="shared" si="119"/>
        <v>5284.6799999999994</v>
      </c>
      <c r="W220" s="51"/>
      <c r="X220" s="48"/>
      <c r="Y220" s="48"/>
      <c r="Z220" s="49"/>
      <c r="AA220" s="63">
        <f t="shared" si="123"/>
        <v>6.7142857142857143E-2</v>
      </c>
      <c r="AB220" s="48"/>
      <c r="AC220" s="48"/>
      <c r="AD220" s="48"/>
      <c r="AE220" s="51"/>
      <c r="AF220" s="48"/>
      <c r="AG220" s="48"/>
      <c r="AH220" s="86"/>
      <c r="AI220" s="73"/>
      <c r="AJ220" s="130">
        <f t="shared" ref="AJ220:AJ221" si="129">H220*0.35</f>
        <v>7.8333333333333338E-2</v>
      </c>
      <c r="AK220" s="130">
        <f t="shared" ref="AK220:AK224" si="130">H220*0.2</f>
        <v>4.4761904761904767E-2</v>
      </c>
      <c r="AL220" s="159"/>
      <c r="AM220" s="73"/>
      <c r="AN220" s="77"/>
      <c r="AO220" s="77"/>
      <c r="AP220" s="159"/>
      <c r="AQ220" s="73"/>
      <c r="AR220" s="77"/>
      <c r="AS220" s="77"/>
      <c r="AT220" s="159"/>
      <c r="AU220" s="73"/>
      <c r="AV220" s="77"/>
      <c r="AW220" s="77"/>
      <c r="AX220" s="159"/>
    </row>
    <row r="221" spans="1:50" x14ac:dyDescent="0.25">
      <c r="A221" s="24"/>
      <c r="B221" s="24"/>
      <c r="C221" s="24"/>
      <c r="D221" s="24"/>
      <c r="E221" s="24"/>
      <c r="F221" s="25" t="s">
        <v>101</v>
      </c>
      <c r="G221" s="25">
        <v>0.22380952380952382</v>
      </c>
      <c r="H221" s="25">
        <v>0.22380952380952382</v>
      </c>
      <c r="I221" s="25">
        <v>1</v>
      </c>
      <c r="J221" s="25" t="s">
        <v>33</v>
      </c>
      <c r="K221" s="25">
        <f t="shared" si="114"/>
        <v>3.76</v>
      </c>
      <c r="L221" s="25">
        <f t="shared" si="115"/>
        <v>4.3866666666666667</v>
      </c>
      <c r="M221" s="25">
        <f t="shared" si="116"/>
        <v>2.5066666666666668</v>
      </c>
      <c r="N221" s="25">
        <f t="shared" si="117"/>
        <v>1.88</v>
      </c>
      <c r="O221" s="26">
        <v>12.533333333333333</v>
      </c>
      <c r="P221" s="25" t="s">
        <v>102</v>
      </c>
      <c r="Q221" s="25">
        <v>71083</v>
      </c>
      <c r="R221" s="19" t="s">
        <v>35</v>
      </c>
      <c r="S221" s="15" t="s">
        <v>101</v>
      </c>
      <c r="T221" s="9">
        <v>20</v>
      </c>
      <c r="U221" s="16">
        <v>0.37730890424313807</v>
      </c>
      <c r="V221" s="43">
        <f t="shared" si="119"/>
        <v>5284.6799999999994</v>
      </c>
      <c r="W221" s="51"/>
      <c r="X221" s="48"/>
      <c r="Y221" s="48"/>
      <c r="Z221" s="49"/>
      <c r="AA221" s="63">
        <f t="shared" si="123"/>
        <v>6.7142857142857143E-2</v>
      </c>
      <c r="AB221" s="48"/>
      <c r="AC221" s="48"/>
      <c r="AD221" s="48"/>
      <c r="AE221" s="51"/>
      <c r="AF221" s="48"/>
      <c r="AG221" s="48"/>
      <c r="AH221" s="86"/>
      <c r="AI221" s="73"/>
      <c r="AJ221" s="130">
        <f t="shared" si="129"/>
        <v>7.8333333333333338E-2</v>
      </c>
      <c r="AK221" s="130">
        <f t="shared" si="130"/>
        <v>4.4761904761904767E-2</v>
      </c>
      <c r="AL221" s="159"/>
      <c r="AM221" s="73"/>
      <c r="AN221" s="77"/>
      <c r="AO221" s="77"/>
      <c r="AP221" s="159"/>
      <c r="AQ221" s="73"/>
      <c r="AR221" s="77"/>
      <c r="AS221" s="77"/>
      <c r="AT221" s="159"/>
      <c r="AU221" s="73"/>
      <c r="AV221" s="77"/>
      <c r="AW221" s="77"/>
      <c r="AX221" s="159"/>
    </row>
    <row r="222" spans="1:50" ht="15.75" thickBot="1" x14ac:dyDescent="0.3">
      <c r="A222" s="24"/>
      <c r="B222" s="24"/>
      <c r="C222" s="24"/>
      <c r="D222" s="24"/>
      <c r="E222" s="24"/>
      <c r="F222" s="25" t="s">
        <v>40</v>
      </c>
      <c r="G222" s="25">
        <v>0.22380952380952382</v>
      </c>
      <c r="H222" s="25">
        <v>0.22380952380952382</v>
      </c>
      <c r="I222" s="25">
        <v>1</v>
      </c>
      <c r="J222" s="25" t="s">
        <v>33</v>
      </c>
      <c r="K222" s="25">
        <f t="shared" si="114"/>
        <v>3.76</v>
      </c>
      <c r="L222" s="25">
        <f t="shared" si="115"/>
        <v>4.3866666666666667</v>
      </c>
      <c r="M222" s="25">
        <f t="shared" si="116"/>
        <v>2.5066666666666668</v>
      </c>
      <c r="N222" s="25">
        <f t="shared" si="117"/>
        <v>1.88</v>
      </c>
      <c r="O222" s="26">
        <v>12.533333333333333</v>
      </c>
      <c r="P222" s="25" t="s">
        <v>103</v>
      </c>
      <c r="Q222" s="25">
        <v>71083</v>
      </c>
      <c r="R222" s="19" t="s">
        <v>35</v>
      </c>
      <c r="S222" s="15" t="s">
        <v>40</v>
      </c>
      <c r="T222" s="9">
        <v>21</v>
      </c>
      <c r="U222" s="16">
        <v>0.37730890424313807</v>
      </c>
      <c r="V222" s="43">
        <f t="shared" si="119"/>
        <v>5284.6799999999994</v>
      </c>
      <c r="W222" s="51"/>
      <c r="X222" s="48"/>
      <c r="Y222" s="48"/>
      <c r="Z222" s="49"/>
      <c r="AA222" s="63">
        <f t="shared" si="123"/>
        <v>6.7142857142857143E-2</v>
      </c>
      <c r="AB222" s="48"/>
      <c r="AC222" s="48"/>
      <c r="AD222" s="48"/>
      <c r="AE222" s="51"/>
      <c r="AF222" s="48"/>
      <c r="AG222" s="48"/>
      <c r="AH222" s="86"/>
      <c r="AI222" s="73"/>
      <c r="AJ222" s="77"/>
      <c r="AK222" s="77"/>
      <c r="AL222" s="159"/>
      <c r="AM222" s="73"/>
      <c r="AN222" s="77"/>
      <c r="AO222" s="77"/>
      <c r="AP222" s="159"/>
      <c r="AQ222" s="73"/>
      <c r="AR222" s="77"/>
      <c r="AS222" s="77"/>
      <c r="AT222" s="159"/>
      <c r="AU222" s="73"/>
      <c r="AV222" s="77"/>
      <c r="AW222" s="77"/>
      <c r="AX222" s="159"/>
    </row>
    <row r="223" spans="1:50" ht="15.75" thickBot="1" x14ac:dyDescent="0.3">
      <c r="A223" s="24"/>
      <c r="B223" s="8"/>
      <c r="C223" s="8"/>
      <c r="D223" s="8"/>
      <c r="E223" s="8"/>
      <c r="F223" s="25" t="s">
        <v>36</v>
      </c>
      <c r="G223" s="25">
        <v>0.45</v>
      </c>
      <c r="H223" s="25">
        <v>4.5</v>
      </c>
      <c r="I223" s="25">
        <v>10</v>
      </c>
      <c r="J223" s="25" t="s">
        <v>33</v>
      </c>
      <c r="K223" s="25">
        <f t="shared" si="114"/>
        <v>75.599999999999994</v>
      </c>
      <c r="L223" s="25">
        <f t="shared" si="115"/>
        <v>88.199999999999989</v>
      </c>
      <c r="M223" s="25">
        <f t="shared" si="116"/>
        <v>50.400000000000006</v>
      </c>
      <c r="N223" s="25">
        <f t="shared" si="117"/>
        <v>37.799999999999997</v>
      </c>
      <c r="O223" s="26">
        <v>252</v>
      </c>
      <c r="P223" s="25" t="s">
        <v>37</v>
      </c>
      <c r="Q223" s="25">
        <v>71036</v>
      </c>
      <c r="R223" s="19" t="s">
        <v>35</v>
      </c>
      <c r="S223" s="15" t="s">
        <v>36</v>
      </c>
      <c r="T223" s="9">
        <v>1</v>
      </c>
      <c r="U223" s="16">
        <v>7.5863173299950102</v>
      </c>
      <c r="V223" s="43">
        <f t="shared" si="119"/>
        <v>106255.79999999999</v>
      </c>
      <c r="W223" s="51"/>
      <c r="X223" s="48"/>
      <c r="Y223" s="48"/>
      <c r="Z223" s="49"/>
      <c r="AA223" s="50"/>
      <c r="AB223" s="48"/>
      <c r="AC223" s="48"/>
      <c r="AD223" s="48"/>
      <c r="AE223" s="55"/>
      <c r="AF223" s="56"/>
      <c r="AG223" s="48"/>
      <c r="AH223" s="86"/>
      <c r="AI223" s="131">
        <f>H223*0.3</f>
        <v>1.3499999999999999</v>
      </c>
      <c r="AJ223" s="130">
        <f>H223*0.35</f>
        <v>1.575</v>
      </c>
      <c r="AK223" s="130">
        <f t="shared" si="130"/>
        <v>0.9</v>
      </c>
      <c r="AL223" s="132">
        <f t="shared" ref="AL223:AL224" si="131">H223*0.15</f>
        <v>0.67499999999999993</v>
      </c>
      <c r="AM223" s="73"/>
      <c r="AN223" s="77"/>
      <c r="AO223" s="77"/>
      <c r="AP223" s="49"/>
      <c r="AQ223" s="73"/>
      <c r="AR223" s="77"/>
      <c r="AS223" s="77"/>
      <c r="AT223" s="49"/>
      <c r="AU223" s="73"/>
      <c r="AV223" s="77"/>
      <c r="AW223" s="77"/>
      <c r="AX223" s="49"/>
    </row>
    <row r="224" spans="1:50" ht="15.75" thickBot="1" x14ac:dyDescent="0.3">
      <c r="A224" s="24"/>
      <c r="B224" s="8"/>
      <c r="C224" s="8"/>
      <c r="D224" s="8"/>
      <c r="E224" s="8"/>
      <c r="F224" s="25" t="s">
        <v>36</v>
      </c>
      <c r="G224" s="25">
        <v>0.45</v>
      </c>
      <c r="H224" s="25">
        <v>4.5</v>
      </c>
      <c r="I224" s="25">
        <v>10</v>
      </c>
      <c r="J224" s="25" t="s">
        <v>33</v>
      </c>
      <c r="K224" s="25">
        <f t="shared" si="114"/>
        <v>75.599999999999994</v>
      </c>
      <c r="L224" s="25">
        <f t="shared" si="115"/>
        <v>88.199999999999989</v>
      </c>
      <c r="M224" s="25">
        <f t="shared" si="116"/>
        <v>50.400000000000006</v>
      </c>
      <c r="N224" s="25">
        <f t="shared" si="117"/>
        <v>37.799999999999997</v>
      </c>
      <c r="O224" s="26">
        <v>252</v>
      </c>
      <c r="P224" s="25" t="s">
        <v>37</v>
      </c>
      <c r="Q224" s="25">
        <v>71037</v>
      </c>
      <c r="R224" s="19" t="s">
        <v>35</v>
      </c>
      <c r="S224" s="15" t="s">
        <v>36</v>
      </c>
      <c r="T224" s="9">
        <v>1</v>
      </c>
      <c r="U224" s="16">
        <v>7.5863173299950102</v>
      </c>
      <c r="V224" s="43">
        <f t="shared" si="119"/>
        <v>106255.79999999999</v>
      </c>
      <c r="W224" s="51"/>
      <c r="X224" s="48"/>
      <c r="Y224" s="48"/>
      <c r="Z224" s="49"/>
      <c r="AA224" s="50"/>
      <c r="AB224" s="48"/>
      <c r="AC224" s="48"/>
      <c r="AD224" s="48"/>
      <c r="AE224" s="55"/>
      <c r="AF224" s="56"/>
      <c r="AG224" s="48"/>
      <c r="AH224" s="86"/>
      <c r="AI224" s="131">
        <f>H224*0.3</f>
        <v>1.3499999999999999</v>
      </c>
      <c r="AJ224" s="130">
        <f>H224*0.35</f>
        <v>1.575</v>
      </c>
      <c r="AK224" s="130">
        <f t="shared" si="130"/>
        <v>0.9</v>
      </c>
      <c r="AL224" s="132">
        <f t="shared" si="131"/>
        <v>0.67499999999999993</v>
      </c>
      <c r="AM224" s="73"/>
      <c r="AN224" s="77"/>
      <c r="AO224" s="77"/>
      <c r="AP224" s="49"/>
      <c r="AQ224" s="73"/>
      <c r="AR224" s="77"/>
      <c r="AS224" s="77"/>
      <c r="AT224" s="49"/>
      <c r="AU224" s="73"/>
      <c r="AV224" s="77"/>
      <c r="AW224" s="77"/>
      <c r="AX224" s="49"/>
    </row>
    <row r="225" spans="1:50" ht="15.75" thickBot="1" x14ac:dyDescent="0.3">
      <c r="A225" s="24"/>
      <c r="B225" s="8"/>
      <c r="C225" s="8"/>
      <c r="D225" s="8"/>
      <c r="E225" s="8"/>
      <c r="F225" s="25" t="s">
        <v>32</v>
      </c>
      <c r="G225" s="25">
        <v>0.4405</v>
      </c>
      <c r="H225" s="25">
        <v>4.4050000000000002</v>
      </c>
      <c r="I225" s="25">
        <v>10</v>
      </c>
      <c r="J225" s="25" t="s">
        <v>33</v>
      </c>
      <c r="K225" s="25">
        <f t="shared" si="114"/>
        <v>74.004000000000005</v>
      </c>
      <c r="L225" s="25">
        <f t="shared" si="115"/>
        <v>86.337999999999994</v>
      </c>
      <c r="M225" s="25">
        <f t="shared" si="116"/>
        <v>49.336000000000006</v>
      </c>
      <c r="N225" s="25">
        <f t="shared" si="117"/>
        <v>37.002000000000002</v>
      </c>
      <c r="O225" s="26">
        <v>246.68</v>
      </c>
      <c r="P225" s="25" t="s">
        <v>34</v>
      </c>
      <c r="Q225" s="25">
        <v>71038</v>
      </c>
      <c r="R225" s="19" t="s">
        <v>35</v>
      </c>
      <c r="S225" s="15" t="s">
        <v>32</v>
      </c>
      <c r="T225" s="9">
        <v>1</v>
      </c>
      <c r="U225" s="16">
        <v>7.4261617419173378</v>
      </c>
      <c r="V225" s="43">
        <f t="shared" si="119"/>
        <v>104012.622</v>
      </c>
      <c r="W225" s="51"/>
      <c r="X225" s="48"/>
      <c r="Y225" s="48"/>
      <c r="Z225" s="49"/>
      <c r="AA225" s="50"/>
      <c r="AB225" s="48"/>
      <c r="AC225" s="48"/>
      <c r="AD225" s="48"/>
      <c r="AE225" s="68">
        <f t="shared" ref="AE225" si="132">H225*0.3</f>
        <v>1.3215000000000001</v>
      </c>
      <c r="AF225" s="56"/>
      <c r="AG225" s="48"/>
      <c r="AH225" s="86"/>
      <c r="AI225" s="73"/>
      <c r="AJ225" s="130">
        <f>H225*0.35</f>
        <v>1.54175</v>
      </c>
      <c r="AK225" s="130">
        <f>H225*0.2</f>
        <v>0.88100000000000012</v>
      </c>
      <c r="AL225" s="132">
        <f>H225*0.15</f>
        <v>0.66075000000000006</v>
      </c>
      <c r="AM225" s="73"/>
      <c r="AN225" s="77"/>
      <c r="AO225" s="77"/>
      <c r="AP225" s="49"/>
      <c r="AQ225" s="73"/>
      <c r="AR225" s="77"/>
      <c r="AS225" s="77"/>
      <c r="AT225" s="49"/>
      <c r="AU225" s="73"/>
      <c r="AV225" s="77"/>
      <c r="AW225" s="77"/>
      <c r="AX225" s="49"/>
    </row>
    <row r="226" spans="1:50" ht="15.75" thickBot="1" x14ac:dyDescent="0.3">
      <c r="A226" s="24"/>
      <c r="B226" s="8"/>
      <c r="C226" s="8"/>
      <c r="D226" s="8"/>
      <c r="E226" s="8"/>
      <c r="F226" s="25" t="s">
        <v>36</v>
      </c>
      <c r="G226" s="25">
        <v>0.45</v>
      </c>
      <c r="H226" s="25">
        <v>4.5</v>
      </c>
      <c r="I226" s="25">
        <v>10</v>
      </c>
      <c r="J226" s="25" t="s">
        <v>33</v>
      </c>
      <c r="K226" s="25">
        <f t="shared" si="114"/>
        <v>75.599999999999994</v>
      </c>
      <c r="L226" s="25">
        <f t="shared" si="115"/>
        <v>88.199999999999989</v>
      </c>
      <c r="M226" s="25">
        <f t="shared" si="116"/>
        <v>50.400000000000006</v>
      </c>
      <c r="N226" s="25">
        <f t="shared" si="117"/>
        <v>37.799999999999997</v>
      </c>
      <c r="O226" s="26">
        <v>252</v>
      </c>
      <c r="P226" s="25" t="s">
        <v>37</v>
      </c>
      <c r="Q226" s="25">
        <v>71040</v>
      </c>
      <c r="R226" s="19" t="s">
        <v>35</v>
      </c>
      <c r="S226" s="15" t="s">
        <v>36</v>
      </c>
      <c r="T226" s="9">
        <v>1</v>
      </c>
      <c r="U226" s="16">
        <v>7.5863173299950102</v>
      </c>
      <c r="V226" s="43">
        <f t="shared" si="119"/>
        <v>106255.79999999999</v>
      </c>
      <c r="W226" s="52"/>
      <c r="X226" s="53"/>
      <c r="Y226" s="53"/>
      <c r="Z226" s="54"/>
      <c r="AA226" s="50"/>
      <c r="AB226" s="48"/>
      <c r="AC226" s="48"/>
      <c r="AD226" s="48"/>
      <c r="AE226" s="55"/>
      <c r="AF226" s="56"/>
      <c r="AG226" s="53"/>
      <c r="AH226" s="119"/>
      <c r="AI226" s="131">
        <f>H226*0.3</f>
        <v>1.3499999999999999</v>
      </c>
      <c r="AJ226" s="130">
        <f>H226*0.35</f>
        <v>1.575</v>
      </c>
      <c r="AK226" s="130">
        <f>H226*0.2</f>
        <v>0.9</v>
      </c>
      <c r="AL226" s="132">
        <f>H226*0.15</f>
        <v>0.67499999999999993</v>
      </c>
      <c r="AM226" s="73"/>
      <c r="AN226" s="77"/>
      <c r="AO226" s="77"/>
      <c r="AP226" s="49"/>
      <c r="AQ226" s="73"/>
      <c r="AR226" s="77"/>
      <c r="AS226" s="77"/>
      <c r="AT226" s="49"/>
      <c r="AU226" s="73"/>
      <c r="AV226" s="77"/>
      <c r="AW226" s="77"/>
      <c r="AX226" s="49"/>
    </row>
    <row r="227" spans="1:50" ht="15.75" thickBot="1" x14ac:dyDescent="0.3">
      <c r="A227" s="24"/>
      <c r="B227" s="24"/>
      <c r="C227" s="24"/>
      <c r="D227" s="24"/>
      <c r="E227" s="24"/>
      <c r="F227" s="25" t="s">
        <v>158</v>
      </c>
      <c r="G227" s="25">
        <v>3.0000000000000001E-3</v>
      </c>
      <c r="H227" s="25">
        <f>G227*I227</f>
        <v>3.3000000000000003</v>
      </c>
      <c r="I227" s="25">
        <v>1100</v>
      </c>
      <c r="J227" s="25" t="s">
        <v>33</v>
      </c>
      <c r="K227" s="25"/>
      <c r="L227" s="25"/>
      <c r="M227" s="25"/>
      <c r="N227" s="25"/>
      <c r="O227" s="26">
        <v>252</v>
      </c>
      <c r="P227" s="25">
        <f>I227-224</f>
        <v>876</v>
      </c>
      <c r="Q227" s="25">
        <v>5064</v>
      </c>
      <c r="R227" s="19" t="s">
        <v>35</v>
      </c>
      <c r="S227" s="15" t="s">
        <v>36</v>
      </c>
      <c r="T227" s="9">
        <v>1</v>
      </c>
      <c r="U227" s="16">
        <v>7.5863173299950102</v>
      </c>
      <c r="V227" s="43">
        <f t="shared" ref="V227" si="133">421.65*O227</f>
        <v>106255.79999999999</v>
      </c>
      <c r="W227" s="52"/>
      <c r="X227" s="53"/>
      <c r="Y227" s="53"/>
      <c r="Z227" s="54"/>
      <c r="AA227" s="47">
        <f>H227*0.3</f>
        <v>0.99</v>
      </c>
      <c r="AB227" s="41">
        <f>G227*224*0.35</f>
        <v>0.23519999999999999</v>
      </c>
      <c r="AC227" s="48"/>
      <c r="AD227" s="48"/>
      <c r="AE227" s="52"/>
      <c r="AF227" s="53"/>
      <c r="AG227" s="53"/>
      <c r="AH227" s="119"/>
      <c r="AI227" s="73"/>
      <c r="AJ227" s="77"/>
      <c r="AK227" s="77"/>
      <c r="AL227" s="159"/>
      <c r="AM227" s="73"/>
      <c r="AN227" s="77"/>
      <c r="AO227" s="77"/>
      <c r="AP227" s="159"/>
      <c r="AQ227" s="73"/>
      <c r="AR227" s="77"/>
      <c r="AS227" s="74"/>
      <c r="AT227" s="75"/>
      <c r="AU227" s="73"/>
      <c r="AV227" s="77"/>
      <c r="AW227" s="77"/>
      <c r="AX227" s="159"/>
    </row>
    <row r="228" spans="1:50" ht="15.75" thickBot="1" x14ac:dyDescent="0.3">
      <c r="A228" s="8"/>
      <c r="B228" s="8"/>
      <c r="C228" s="8"/>
      <c r="D228" s="8"/>
      <c r="E228" s="8"/>
      <c r="F228" s="9" t="s">
        <v>159</v>
      </c>
      <c r="G228" s="9"/>
      <c r="H228" s="9"/>
      <c r="I228" s="9"/>
      <c r="J228" s="9" t="s">
        <v>33</v>
      </c>
      <c r="K228" s="9"/>
      <c r="L228" s="9"/>
      <c r="M228" s="9"/>
      <c r="N228" s="9"/>
      <c r="O228" s="18">
        <v>252</v>
      </c>
      <c r="P228" s="9"/>
      <c r="Q228" s="9"/>
      <c r="R228" s="19" t="s">
        <v>35</v>
      </c>
      <c r="S228" s="15" t="s">
        <v>36</v>
      </c>
      <c r="T228" s="9">
        <v>1</v>
      </c>
      <c r="U228" s="16">
        <v>7.5863173299950102</v>
      </c>
      <c r="V228" s="43">
        <f t="shared" ref="V228" si="134">421.65*O228</f>
        <v>106255.79999999999</v>
      </c>
      <c r="W228" s="52"/>
      <c r="X228" s="53"/>
      <c r="Y228" s="53"/>
      <c r="Z228" s="54"/>
      <c r="AA228" s="45"/>
      <c r="AB228" s="40"/>
      <c r="AC228" s="40"/>
      <c r="AD228" s="40"/>
      <c r="AE228" s="60"/>
      <c r="AF228" s="61"/>
      <c r="AG228" s="61"/>
      <c r="AH228" s="81"/>
      <c r="AI228" s="80"/>
      <c r="AJ228" s="78"/>
      <c r="AK228" s="78"/>
      <c r="AL228" s="79"/>
      <c r="AM228" s="80"/>
      <c r="AN228" s="78"/>
      <c r="AO228" s="78"/>
      <c r="AP228" s="79"/>
      <c r="AQ228" s="80"/>
      <c r="AR228" s="78"/>
      <c r="AS228" s="78"/>
      <c r="AT228" s="79"/>
      <c r="AU228" s="80"/>
      <c r="AV228" s="78"/>
      <c r="AW228" s="78"/>
      <c r="AX228" s="79"/>
    </row>
  </sheetData>
  <autoFilter ref="A1:Z226" xr:uid="{00000000-0009-0000-0000-000000000000}">
    <filterColumn colId="16">
      <colorFilter dxfId="10"/>
    </filterColumn>
    <filterColumn colId="22" showButton="0"/>
    <filterColumn colId="23" showButton="0"/>
    <filterColumn colId="24" showButton="0"/>
  </autoFilter>
  <mergeCells count="7">
    <mergeCell ref="AU1:AX1"/>
    <mergeCell ref="AQ1:AT1"/>
    <mergeCell ref="W1:Z1"/>
    <mergeCell ref="AA1:AD1"/>
    <mergeCell ref="AE1:AH1"/>
    <mergeCell ref="AI1:AL1"/>
    <mergeCell ref="AM1:AP1"/>
  </mergeCells>
  <conditionalFormatting sqref="F1">
    <cfRule type="duplicateValues" dxfId="50" priority="1"/>
  </conditionalFormatting>
  <conditionalFormatting sqref="E1">
    <cfRule type="duplicateValues" dxfId="49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J185"/>
  <sheetViews>
    <sheetView zoomScale="85" zoomScaleNormal="85" workbookViewId="0">
      <pane ySplit="3" topLeftCell="A20" activePane="bottomLeft" state="frozen"/>
      <selection activeCell="F1" sqref="F1"/>
      <selection pane="bottomLeft" activeCell="N4" sqref="N4:N56"/>
    </sheetView>
  </sheetViews>
  <sheetFormatPr defaultRowHeight="15" x14ac:dyDescent="0.25"/>
  <cols>
    <col min="1" max="1" width="8.85546875" customWidth="1"/>
    <col min="2" max="2" width="12.85546875" style="17" customWidth="1"/>
    <col min="3" max="3" width="12.140625" style="17" customWidth="1"/>
    <col min="4" max="4" width="6.140625" style="17" customWidth="1"/>
    <col min="5" max="9" width="5.7109375" style="17" customWidth="1"/>
    <col min="10" max="10" width="10.28515625" style="35" customWidth="1"/>
    <col min="11" max="12" width="21.28515625" style="17" hidden="1" customWidth="1"/>
    <col min="13" max="13" width="15" style="17" hidden="1" customWidth="1"/>
    <col min="14" max="14" width="9" style="17" customWidth="1"/>
    <col min="15" max="15" width="11.140625" style="17" customWidth="1"/>
    <col min="16" max="16" width="35.42578125" style="23" customWidth="1"/>
    <col min="17" max="17" width="6.42578125" style="32" hidden="1" customWidth="1"/>
    <col min="18" max="18" width="6.7109375" style="32" hidden="1" customWidth="1"/>
    <col min="19" max="19" width="6.42578125" style="32" hidden="1" customWidth="1"/>
    <col min="20" max="20" width="6.7109375" style="32" hidden="1" customWidth="1"/>
    <col min="21" max="21" width="6.42578125" style="32" hidden="1" customWidth="1"/>
    <col min="22" max="22" width="6.7109375" style="32" hidden="1" customWidth="1"/>
    <col min="23" max="23" width="6.42578125" style="32" hidden="1" customWidth="1"/>
    <col min="24" max="24" width="6.28515625" style="32" hidden="1" customWidth="1"/>
    <col min="25" max="25" width="6.42578125" style="32" hidden="1" customWidth="1"/>
    <col min="26" max="26" width="6.7109375" style="32" hidden="1" customWidth="1"/>
    <col min="27" max="27" width="6.42578125" style="32" hidden="1" customWidth="1"/>
    <col min="28" max="28" width="6.28515625" style="32" hidden="1" customWidth="1"/>
    <col min="29" max="29" width="6.42578125" style="32" customWidth="1"/>
    <col min="30" max="30" width="6.7109375" style="32" customWidth="1"/>
    <col min="31" max="31" width="6.42578125" style="32" customWidth="1"/>
    <col min="32" max="32" width="6.28515625" style="32" customWidth="1"/>
    <col min="33" max="33" width="6.42578125" style="32" customWidth="1"/>
    <col min="34" max="34" width="6.7109375" style="32" customWidth="1"/>
    <col min="35" max="35" width="6.42578125" style="32" customWidth="1"/>
    <col min="36" max="36" width="6.28515625" style="32" customWidth="1"/>
  </cols>
  <sheetData>
    <row r="1" spans="1:36" ht="60" x14ac:dyDescent="0.25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33" t="s">
        <v>503</v>
      </c>
      <c r="G1" s="133" t="s">
        <v>504</v>
      </c>
      <c r="H1" s="133" t="s">
        <v>505</v>
      </c>
      <c r="I1" s="133" t="s">
        <v>506</v>
      </c>
      <c r="J1" s="33" t="s">
        <v>13</v>
      </c>
      <c r="K1" s="1" t="s">
        <v>14</v>
      </c>
      <c r="L1" s="1" t="s">
        <v>15</v>
      </c>
      <c r="M1" s="3" t="s">
        <v>18</v>
      </c>
      <c r="N1" s="1" t="s">
        <v>19</v>
      </c>
      <c r="O1" s="1" t="s">
        <v>20</v>
      </c>
      <c r="P1" s="4" t="s">
        <v>21</v>
      </c>
      <c r="Q1" s="452" t="s">
        <v>156</v>
      </c>
      <c r="R1" s="453"/>
      <c r="S1" s="453"/>
      <c r="T1" s="454"/>
      <c r="U1" s="452" t="s">
        <v>160</v>
      </c>
      <c r="V1" s="453"/>
      <c r="W1" s="453"/>
      <c r="X1" s="454"/>
      <c r="Y1" s="452" t="s">
        <v>258</v>
      </c>
      <c r="Z1" s="453"/>
      <c r="AA1" s="453"/>
      <c r="AB1" s="454"/>
      <c r="AC1" s="452" t="s">
        <v>646</v>
      </c>
      <c r="AD1" s="453"/>
      <c r="AE1" s="453"/>
      <c r="AF1" s="454"/>
      <c r="AG1" s="452" t="s">
        <v>979</v>
      </c>
      <c r="AH1" s="453"/>
      <c r="AI1" s="453"/>
      <c r="AJ1" s="454"/>
    </row>
    <row r="2" spans="1:36" x14ac:dyDescent="0.25">
      <c r="A2" s="1"/>
      <c r="B2" s="1"/>
      <c r="C2" s="1"/>
      <c r="D2" s="1"/>
      <c r="E2" s="1"/>
      <c r="F2" s="1"/>
      <c r="G2" s="1"/>
      <c r="H2" s="1"/>
      <c r="I2" s="1"/>
      <c r="J2" s="33"/>
      <c r="K2" s="1"/>
      <c r="L2" s="1"/>
      <c r="M2" s="3"/>
      <c r="N2" s="1"/>
      <c r="O2" s="1"/>
      <c r="P2" s="4"/>
      <c r="Q2" s="36">
        <v>0.3</v>
      </c>
      <c r="R2" s="36">
        <v>0.35</v>
      </c>
      <c r="S2" s="36">
        <v>0.2</v>
      </c>
      <c r="T2" s="36">
        <v>0.15</v>
      </c>
      <c r="U2" s="36">
        <v>0.3</v>
      </c>
      <c r="V2" s="36">
        <v>0.35</v>
      </c>
      <c r="W2" s="36">
        <v>0.2</v>
      </c>
      <c r="X2" s="36">
        <v>0.15</v>
      </c>
      <c r="Y2" s="36">
        <v>0.3</v>
      </c>
      <c r="Z2" s="36">
        <v>0.35</v>
      </c>
      <c r="AA2" s="36">
        <v>0.2</v>
      </c>
      <c r="AB2" s="36">
        <v>0.15</v>
      </c>
      <c r="AC2" s="36">
        <v>0.3</v>
      </c>
      <c r="AD2" s="36">
        <v>0.35</v>
      </c>
      <c r="AE2" s="36">
        <v>0.2</v>
      </c>
      <c r="AF2" s="36">
        <v>0.15</v>
      </c>
      <c r="AG2" s="36">
        <v>0.3</v>
      </c>
      <c r="AH2" s="36">
        <v>0.35</v>
      </c>
      <c r="AI2" s="36">
        <v>0.2</v>
      </c>
      <c r="AJ2" s="36">
        <v>0.15</v>
      </c>
    </row>
    <row r="3" spans="1:36" ht="15.75" thickBot="1" x14ac:dyDescent="0.3">
      <c r="A3" s="1"/>
      <c r="B3" s="1"/>
      <c r="C3" s="1"/>
      <c r="D3" s="1"/>
      <c r="E3" s="1"/>
      <c r="F3" s="1"/>
      <c r="G3" s="1"/>
      <c r="H3" s="1"/>
      <c r="I3" s="1"/>
      <c r="J3" s="33"/>
      <c r="K3" s="1"/>
      <c r="L3" s="1"/>
      <c r="M3" s="3"/>
      <c r="N3" s="1"/>
      <c r="O3" s="1"/>
      <c r="P3" s="4"/>
      <c r="Q3" s="91">
        <f t="shared" ref="Q3:U3" si="0">SUM(Q4:Q37)</f>
        <v>14.856642857142857</v>
      </c>
      <c r="R3" s="91">
        <f t="shared" si="0"/>
        <v>8.8452629999999992</v>
      </c>
      <c r="S3" s="91">
        <f t="shared" si="0"/>
        <v>2.0680000000000001</v>
      </c>
      <c r="T3" s="91">
        <f t="shared" si="0"/>
        <v>0</v>
      </c>
      <c r="U3" s="91">
        <f t="shared" si="0"/>
        <v>0</v>
      </c>
      <c r="V3" s="91">
        <f>SUM(V4:V56)</f>
        <v>3.7484999999999999</v>
      </c>
      <c r="W3" s="91">
        <f>SUM(W4:W56)</f>
        <v>1.7012360000000002</v>
      </c>
      <c r="X3" s="91">
        <f>SUM(X4:X56)</f>
        <v>0</v>
      </c>
      <c r="Y3" s="91">
        <f t="shared" ref="Y3" si="1">SUM(Y4:Y37)</f>
        <v>0</v>
      </c>
      <c r="Z3" s="91">
        <f>SUM(Z4:Z56)</f>
        <v>0</v>
      </c>
      <c r="AA3" s="91">
        <f>SUM(AA4:AA56)</f>
        <v>0</v>
      </c>
      <c r="AB3" s="91">
        <f>SUM(AB4:AB56)</f>
        <v>0</v>
      </c>
      <c r="AC3" s="91">
        <f t="shared" ref="AC3" si="2">SUM(AC4:AC37)</f>
        <v>0</v>
      </c>
      <c r="AD3" s="91">
        <f>SUM(AD4:AD56)</f>
        <v>0</v>
      </c>
      <c r="AE3" s="91">
        <f>SUM(AE4:AE56)</f>
        <v>0</v>
      </c>
      <c r="AF3" s="91">
        <f>SUM(AF4:AF56)</f>
        <v>0</v>
      </c>
      <c r="AG3" s="91">
        <f t="shared" ref="AG3" si="3">SUM(AG4:AG37)</f>
        <v>0</v>
      </c>
      <c r="AH3" s="91">
        <f>SUM(AH4:AH56)</f>
        <v>0</v>
      </c>
      <c r="AI3" s="91">
        <f>SUM(AI4:AI56)</f>
        <v>0</v>
      </c>
      <c r="AJ3" s="91">
        <f>SUM(AJ4:AJ56)</f>
        <v>0</v>
      </c>
    </row>
    <row r="4" spans="1:36" ht="15.75" thickBot="1" x14ac:dyDescent="0.3">
      <c r="A4" s="25">
        <v>226</v>
      </c>
      <c r="B4" s="25">
        <v>4.7861799999999999</v>
      </c>
      <c r="C4" s="25">
        <v>4.7861799999999999</v>
      </c>
      <c r="D4" s="25">
        <v>1</v>
      </c>
      <c r="E4" s="25" t="s">
        <v>33</v>
      </c>
      <c r="F4" s="25">
        <f>J4*0.3</f>
        <v>54.562452</v>
      </c>
      <c r="G4" s="25">
        <f>J4*0.35</f>
        <v>63.656193999999999</v>
      </c>
      <c r="H4" s="25">
        <f>J4*0.2</f>
        <v>36.374968000000003</v>
      </c>
      <c r="I4" s="25">
        <f>J4*0.15</f>
        <v>27.281226</v>
      </c>
      <c r="J4" s="39">
        <v>181.87484000000001</v>
      </c>
      <c r="K4" s="66">
        <v>105991.94</v>
      </c>
      <c r="L4" s="66">
        <f t="shared" ref="L4:L19" si="4">K4*C4</f>
        <v>507296.50338920002</v>
      </c>
      <c r="M4" s="67" t="s">
        <v>107</v>
      </c>
      <c r="N4" s="25">
        <v>70200</v>
      </c>
      <c r="O4" s="27" t="s">
        <v>108</v>
      </c>
      <c r="P4" s="97" t="s">
        <v>106</v>
      </c>
      <c r="Q4" s="98">
        <f t="shared" ref="Q4:Q16" si="5">C4*0.3</f>
        <v>1.435854</v>
      </c>
      <c r="R4" s="64">
        <f>C4*0.35</f>
        <v>1.675163</v>
      </c>
      <c r="S4" s="100"/>
      <c r="T4" s="111"/>
      <c r="U4" s="92"/>
      <c r="V4" s="100"/>
      <c r="W4" s="174">
        <f>C4*0.2</f>
        <v>0.95723599999999998</v>
      </c>
      <c r="X4" s="111"/>
      <c r="Y4" s="92"/>
      <c r="Z4" s="100"/>
      <c r="AA4" s="175"/>
      <c r="AB4" s="111"/>
      <c r="AC4" s="92"/>
      <c r="AD4" s="100"/>
      <c r="AE4" s="175"/>
      <c r="AF4" s="93"/>
      <c r="AG4" s="92"/>
      <c r="AH4" s="100"/>
      <c r="AI4" s="175"/>
      <c r="AJ4" s="93"/>
    </row>
    <row r="5" spans="1:36" x14ac:dyDescent="0.25">
      <c r="A5" s="25">
        <v>227</v>
      </c>
      <c r="B5" s="25">
        <v>1.5</v>
      </c>
      <c r="C5" s="25">
        <v>1.5</v>
      </c>
      <c r="D5" s="25">
        <v>1</v>
      </c>
      <c r="E5" s="25" t="s">
        <v>33</v>
      </c>
      <c r="F5" s="25">
        <f t="shared" ref="F5:F37" si="6">J5*0.3</f>
        <v>17.099999999999998</v>
      </c>
      <c r="G5" s="25">
        <f t="shared" ref="G5:G37" si="7">J5*0.35</f>
        <v>19.95</v>
      </c>
      <c r="H5" s="25">
        <f t="shared" ref="H5:H37" si="8">J5*0.2</f>
        <v>11.4</v>
      </c>
      <c r="I5" s="25">
        <f t="shared" ref="I5:I37" si="9">J5*0.15</f>
        <v>8.5499999999999989</v>
      </c>
      <c r="J5" s="39">
        <v>57</v>
      </c>
      <c r="K5" s="66">
        <v>105991.94</v>
      </c>
      <c r="L5" s="66">
        <f t="shared" si="4"/>
        <v>158987.91</v>
      </c>
      <c r="M5" s="67" t="s">
        <v>110</v>
      </c>
      <c r="N5" s="25">
        <v>70200</v>
      </c>
      <c r="O5" s="27" t="s">
        <v>108</v>
      </c>
      <c r="P5" s="97" t="s">
        <v>109</v>
      </c>
      <c r="Q5" s="99">
        <f t="shared" si="5"/>
        <v>0.44999999999999996</v>
      </c>
      <c r="R5" s="64">
        <f>C5*0.35</f>
        <v>0.52499999999999991</v>
      </c>
      <c r="S5" s="90"/>
      <c r="T5" s="112"/>
      <c r="U5" s="94"/>
      <c r="V5" s="90"/>
      <c r="W5" s="175"/>
      <c r="X5" s="112"/>
      <c r="Y5" s="94"/>
      <c r="Z5" s="90"/>
      <c r="AA5" s="175"/>
      <c r="AB5" s="112"/>
      <c r="AC5" s="94"/>
      <c r="AD5" s="90"/>
      <c r="AE5" s="101"/>
      <c r="AF5" s="95"/>
      <c r="AG5" s="94"/>
      <c r="AH5" s="90"/>
      <c r="AI5" s="101"/>
      <c r="AJ5" s="95"/>
    </row>
    <row r="6" spans="1:36" x14ac:dyDescent="0.25">
      <c r="A6" s="25">
        <v>228</v>
      </c>
      <c r="B6" s="25">
        <v>6.4999999999999997E-3</v>
      </c>
      <c r="C6" s="25">
        <f t="shared" ref="C6:C14" si="10">D6*B6</f>
        <v>0.20799999999999999</v>
      </c>
      <c r="D6" s="25">
        <v>32</v>
      </c>
      <c r="E6" s="25" t="s">
        <v>33</v>
      </c>
      <c r="F6" s="25">
        <f t="shared" si="6"/>
        <v>5.1168000000000005</v>
      </c>
      <c r="G6" s="25">
        <f t="shared" si="7"/>
        <v>5.9695999999999998</v>
      </c>
      <c r="H6" s="25">
        <f t="shared" si="8"/>
        <v>3.4112000000000005</v>
      </c>
      <c r="I6" s="25">
        <f t="shared" si="9"/>
        <v>2.5584000000000002</v>
      </c>
      <c r="J6" s="39">
        <v>17.056000000000001</v>
      </c>
      <c r="K6" s="66">
        <v>105991.94</v>
      </c>
      <c r="L6" s="66">
        <f t="shared" si="4"/>
        <v>22046.323519999998</v>
      </c>
      <c r="M6" s="67" t="s">
        <v>112</v>
      </c>
      <c r="N6" s="25">
        <v>70200</v>
      </c>
      <c r="O6" s="27" t="s">
        <v>108</v>
      </c>
      <c r="P6" s="97" t="s">
        <v>111</v>
      </c>
      <c r="Q6" s="99">
        <f t="shared" si="5"/>
        <v>6.2399999999999997E-2</v>
      </c>
      <c r="R6" s="48"/>
      <c r="S6" s="48"/>
      <c r="T6" s="49"/>
      <c r="U6" s="51"/>
      <c r="V6" s="48"/>
      <c r="W6" s="48"/>
      <c r="X6" s="49"/>
      <c r="Y6" s="51"/>
      <c r="Z6" s="48"/>
      <c r="AA6" s="48"/>
      <c r="AB6" s="49"/>
      <c r="AC6" s="51"/>
      <c r="AD6" s="42"/>
      <c r="AE6" s="42"/>
      <c r="AF6" s="59"/>
      <c r="AG6" s="51"/>
      <c r="AH6" s="42"/>
      <c r="AI6" s="42"/>
      <c r="AJ6" s="59"/>
    </row>
    <row r="7" spans="1:36" x14ac:dyDescent="0.25">
      <c r="A7" s="25">
        <v>229</v>
      </c>
      <c r="B7" s="25">
        <v>3.1E-2</v>
      </c>
      <c r="C7" s="25">
        <f t="shared" si="10"/>
        <v>3.1E-2</v>
      </c>
      <c r="D7" s="25">
        <v>1</v>
      </c>
      <c r="E7" s="25" t="s">
        <v>33</v>
      </c>
      <c r="F7" s="25">
        <f t="shared" si="6"/>
        <v>0.76259999999999994</v>
      </c>
      <c r="G7" s="25">
        <f t="shared" si="7"/>
        <v>0.88969999999999982</v>
      </c>
      <c r="H7" s="25">
        <f t="shared" si="8"/>
        <v>0.50839999999999996</v>
      </c>
      <c r="I7" s="25">
        <f t="shared" si="9"/>
        <v>0.38129999999999997</v>
      </c>
      <c r="J7" s="39">
        <v>2.5419999999999998</v>
      </c>
      <c r="K7" s="66">
        <v>105991.94</v>
      </c>
      <c r="L7" s="66">
        <f t="shared" si="4"/>
        <v>3285.7501400000001</v>
      </c>
      <c r="M7" s="67" t="s">
        <v>113</v>
      </c>
      <c r="N7" s="25">
        <v>70200</v>
      </c>
      <c r="O7" s="27" t="s">
        <v>108</v>
      </c>
      <c r="P7" s="97" t="s">
        <v>90</v>
      </c>
      <c r="Q7" s="99">
        <f t="shared" si="5"/>
        <v>9.2999999999999992E-3</v>
      </c>
      <c r="R7" s="48"/>
      <c r="S7" s="48"/>
      <c r="T7" s="49"/>
      <c r="U7" s="51"/>
      <c r="V7" s="48"/>
      <c r="W7" s="48"/>
      <c r="X7" s="49"/>
      <c r="Y7" s="51"/>
      <c r="Z7" s="48"/>
      <c r="AA7" s="48"/>
      <c r="AB7" s="49"/>
      <c r="AC7" s="51"/>
      <c r="AD7" s="42"/>
      <c r="AE7" s="42"/>
      <c r="AF7" s="59"/>
      <c r="AG7" s="51"/>
      <c r="AH7" s="42"/>
      <c r="AI7" s="42"/>
      <c r="AJ7" s="59"/>
    </row>
    <row r="8" spans="1:36" x14ac:dyDescent="0.25">
      <c r="A8" s="25">
        <v>230</v>
      </c>
      <c r="B8" s="39">
        <v>3.8E-3</v>
      </c>
      <c r="C8" s="25">
        <f t="shared" si="10"/>
        <v>6.08E-2</v>
      </c>
      <c r="D8" s="25">
        <v>16</v>
      </c>
      <c r="E8" s="25" t="s">
        <v>33</v>
      </c>
      <c r="F8" s="25">
        <f t="shared" si="6"/>
        <v>1.4956799999999999</v>
      </c>
      <c r="G8" s="25">
        <f t="shared" si="7"/>
        <v>1.7449599999999998</v>
      </c>
      <c r="H8" s="25">
        <f t="shared" si="8"/>
        <v>0.99712000000000001</v>
      </c>
      <c r="I8" s="25">
        <f t="shared" si="9"/>
        <v>0.74783999999999995</v>
      </c>
      <c r="J8" s="39">
        <v>4.9855999999999998</v>
      </c>
      <c r="K8" s="66">
        <v>105991.94</v>
      </c>
      <c r="L8" s="66">
        <f t="shared" si="4"/>
        <v>6444.3099520000005</v>
      </c>
      <c r="M8" s="25" t="s">
        <v>114</v>
      </c>
      <c r="N8" s="25">
        <v>70200</v>
      </c>
      <c r="O8" s="27" t="s">
        <v>108</v>
      </c>
      <c r="P8" s="97" t="s">
        <v>111</v>
      </c>
      <c r="Q8" s="99">
        <f t="shared" si="5"/>
        <v>1.8239999999999999E-2</v>
      </c>
      <c r="R8" s="48"/>
      <c r="S8" s="48"/>
      <c r="T8" s="49"/>
      <c r="U8" s="51"/>
      <c r="V8" s="48"/>
      <c r="W8" s="48"/>
      <c r="X8" s="49"/>
      <c r="Y8" s="51"/>
      <c r="Z8" s="48"/>
      <c r="AA8" s="48"/>
      <c r="AB8" s="49"/>
      <c r="AC8" s="51"/>
      <c r="AD8" s="42"/>
      <c r="AE8" s="42"/>
      <c r="AF8" s="59"/>
      <c r="AG8" s="51"/>
      <c r="AH8" s="42"/>
      <c r="AI8" s="42"/>
      <c r="AJ8" s="59"/>
    </row>
    <row r="9" spans="1:36" ht="30" x14ac:dyDescent="0.25">
      <c r="A9" s="25">
        <v>231</v>
      </c>
      <c r="B9" s="39">
        <v>1.2999999999999999E-4</v>
      </c>
      <c r="C9" s="25">
        <f t="shared" si="10"/>
        <v>5.1999999999999995E-4</v>
      </c>
      <c r="D9" s="25">
        <v>4</v>
      </c>
      <c r="E9" s="25" t="s">
        <v>33</v>
      </c>
      <c r="F9" s="25">
        <f t="shared" si="6"/>
        <v>1.2792E-2</v>
      </c>
      <c r="G9" s="25">
        <f t="shared" si="7"/>
        <v>1.4923999999999998E-2</v>
      </c>
      <c r="H9" s="25">
        <f t="shared" si="8"/>
        <v>8.5279999999999991E-3</v>
      </c>
      <c r="I9" s="25">
        <f t="shared" si="9"/>
        <v>6.3959999999999998E-3</v>
      </c>
      <c r="J9" s="39">
        <v>4.2639999999999997E-2</v>
      </c>
      <c r="K9" s="66">
        <v>105991.94</v>
      </c>
      <c r="L9" s="66">
        <f t="shared" si="4"/>
        <v>55.115808799999996</v>
      </c>
      <c r="M9" s="25" t="s">
        <v>116</v>
      </c>
      <c r="N9" s="25">
        <v>70200</v>
      </c>
      <c r="O9" s="27" t="s">
        <v>108</v>
      </c>
      <c r="P9" s="97" t="s">
        <v>115</v>
      </c>
      <c r="Q9" s="99">
        <f t="shared" si="5"/>
        <v>1.5599999999999997E-4</v>
      </c>
      <c r="R9" s="48"/>
      <c r="S9" s="48"/>
      <c r="T9" s="49"/>
      <c r="U9" s="51"/>
      <c r="V9" s="48"/>
      <c r="W9" s="48"/>
      <c r="X9" s="49"/>
      <c r="Y9" s="51"/>
      <c r="Z9" s="48"/>
      <c r="AA9" s="48"/>
      <c r="AB9" s="49"/>
      <c r="AC9" s="51"/>
      <c r="AD9" s="42"/>
      <c r="AE9" s="42"/>
      <c r="AF9" s="59"/>
      <c r="AG9" s="51"/>
      <c r="AH9" s="42"/>
      <c r="AI9" s="42"/>
      <c r="AJ9" s="59"/>
    </row>
    <row r="10" spans="1:36" x14ac:dyDescent="0.25">
      <c r="A10" s="25">
        <v>232</v>
      </c>
      <c r="B10" s="39">
        <v>1.18E-2</v>
      </c>
      <c r="C10" s="39">
        <f t="shared" si="10"/>
        <v>9.4399999999999998E-2</v>
      </c>
      <c r="D10" s="25">
        <v>8</v>
      </c>
      <c r="E10" s="25" t="s">
        <v>33</v>
      </c>
      <c r="F10" s="25">
        <f t="shared" si="6"/>
        <v>2.3222399999999999</v>
      </c>
      <c r="G10" s="25">
        <f t="shared" si="7"/>
        <v>2.7092799999999997</v>
      </c>
      <c r="H10" s="25">
        <f t="shared" si="8"/>
        <v>1.5481600000000002</v>
      </c>
      <c r="I10" s="25">
        <f t="shared" si="9"/>
        <v>1.1611199999999999</v>
      </c>
      <c r="J10" s="39">
        <v>7.7408000000000001</v>
      </c>
      <c r="K10" s="66">
        <v>105991.94</v>
      </c>
      <c r="L10" s="66">
        <f t="shared" si="4"/>
        <v>10005.639136</v>
      </c>
      <c r="M10" s="25" t="s">
        <v>118</v>
      </c>
      <c r="N10" s="25">
        <v>70200</v>
      </c>
      <c r="O10" s="27" t="s">
        <v>108</v>
      </c>
      <c r="P10" s="97" t="s">
        <v>117</v>
      </c>
      <c r="Q10" s="99">
        <f t="shared" si="5"/>
        <v>2.8319999999999998E-2</v>
      </c>
      <c r="R10" s="48"/>
      <c r="S10" s="48"/>
      <c r="T10" s="49"/>
      <c r="U10" s="51"/>
      <c r="V10" s="48"/>
      <c r="W10" s="48"/>
      <c r="X10" s="49"/>
      <c r="Y10" s="51"/>
      <c r="Z10" s="48"/>
      <c r="AA10" s="48"/>
      <c r="AB10" s="49"/>
      <c r="AC10" s="51"/>
      <c r="AD10" s="42"/>
      <c r="AE10" s="42"/>
      <c r="AF10" s="59"/>
      <c r="AG10" s="51"/>
      <c r="AH10" s="42"/>
      <c r="AI10" s="42"/>
      <c r="AJ10" s="59"/>
    </row>
    <row r="11" spans="1:36" x14ac:dyDescent="0.25">
      <c r="A11" s="25">
        <v>233</v>
      </c>
      <c r="B11" s="39">
        <v>4.0000000000000002E-4</v>
      </c>
      <c r="C11" s="39">
        <f t="shared" si="10"/>
        <v>1.2800000000000001E-2</v>
      </c>
      <c r="D11" s="25">
        <v>32</v>
      </c>
      <c r="E11" s="25" t="s">
        <v>33</v>
      </c>
      <c r="F11" s="25">
        <f t="shared" si="6"/>
        <v>0.31487999999999999</v>
      </c>
      <c r="G11" s="25">
        <f t="shared" si="7"/>
        <v>0.36736000000000002</v>
      </c>
      <c r="H11" s="25">
        <f t="shared" si="8"/>
        <v>0.20992000000000002</v>
      </c>
      <c r="I11" s="25">
        <f t="shared" si="9"/>
        <v>0.15744</v>
      </c>
      <c r="J11" s="39">
        <v>1.0496000000000001</v>
      </c>
      <c r="K11" s="66">
        <v>105991.94</v>
      </c>
      <c r="L11" s="66">
        <f t="shared" si="4"/>
        <v>1356.6968320000001</v>
      </c>
      <c r="M11" s="67" t="s">
        <v>119</v>
      </c>
      <c r="N11" s="25">
        <v>70200</v>
      </c>
      <c r="O11" s="27" t="s">
        <v>108</v>
      </c>
      <c r="P11" s="97" t="s">
        <v>111</v>
      </c>
      <c r="Q11" s="99">
        <f t="shared" si="5"/>
        <v>3.8400000000000001E-3</v>
      </c>
      <c r="R11" s="48"/>
      <c r="S11" s="48"/>
      <c r="T11" s="49"/>
      <c r="U11" s="51"/>
      <c r="V11" s="48"/>
      <c r="W11" s="48"/>
      <c r="X11" s="49"/>
      <c r="Y11" s="51"/>
      <c r="Z11" s="48"/>
      <c r="AA11" s="48"/>
      <c r="AB11" s="49"/>
      <c r="AC11" s="51"/>
      <c r="AD11" s="42"/>
      <c r="AE11" s="42"/>
      <c r="AF11" s="59"/>
      <c r="AG11" s="51"/>
      <c r="AH11" s="42"/>
      <c r="AI11" s="42"/>
      <c r="AJ11" s="59"/>
    </row>
    <row r="12" spans="1:36" x14ac:dyDescent="0.25">
      <c r="A12" s="25">
        <v>234</v>
      </c>
      <c r="B12" s="39">
        <v>3.8000000000000002E-4</v>
      </c>
      <c r="C12" s="39">
        <f t="shared" si="10"/>
        <v>7.6000000000000004E-4</v>
      </c>
      <c r="D12" s="25">
        <v>2</v>
      </c>
      <c r="E12" s="25" t="s">
        <v>33</v>
      </c>
      <c r="F12" s="25">
        <f t="shared" si="6"/>
        <v>1.8696000000000001E-2</v>
      </c>
      <c r="G12" s="25">
        <f t="shared" si="7"/>
        <v>2.1811999999999998E-2</v>
      </c>
      <c r="H12" s="25">
        <f t="shared" si="8"/>
        <v>1.2464000000000001E-2</v>
      </c>
      <c r="I12" s="25">
        <f t="shared" si="9"/>
        <v>9.3480000000000004E-3</v>
      </c>
      <c r="J12" s="39">
        <v>6.232E-2</v>
      </c>
      <c r="K12" s="66">
        <v>105991.94</v>
      </c>
      <c r="L12" s="66">
        <f t="shared" si="4"/>
        <v>80.553874400000012</v>
      </c>
      <c r="M12" s="25" t="s">
        <v>121</v>
      </c>
      <c r="N12" s="25">
        <v>70200</v>
      </c>
      <c r="O12" s="27" t="s">
        <v>108</v>
      </c>
      <c r="P12" s="97" t="s">
        <v>120</v>
      </c>
      <c r="Q12" s="99">
        <f t="shared" si="5"/>
        <v>2.2800000000000001E-4</v>
      </c>
      <c r="R12" s="48"/>
      <c r="S12" s="48"/>
      <c r="T12" s="49"/>
      <c r="U12" s="51"/>
      <c r="V12" s="48"/>
      <c r="W12" s="48"/>
      <c r="X12" s="49"/>
      <c r="Y12" s="51"/>
      <c r="Z12" s="48"/>
      <c r="AA12" s="48"/>
      <c r="AB12" s="49"/>
      <c r="AC12" s="51"/>
      <c r="AD12" s="42"/>
      <c r="AE12" s="42"/>
      <c r="AF12" s="59"/>
      <c r="AG12" s="51"/>
      <c r="AH12" s="42"/>
      <c r="AI12" s="42"/>
      <c r="AJ12" s="59"/>
    </row>
    <row r="13" spans="1:36" ht="30" x14ac:dyDescent="0.25">
      <c r="A13" s="25">
        <v>235</v>
      </c>
      <c r="B13" s="39">
        <v>3.14E-3</v>
      </c>
      <c r="C13" s="39">
        <f t="shared" si="10"/>
        <v>3.14E-3</v>
      </c>
      <c r="D13" s="25">
        <v>1</v>
      </c>
      <c r="E13" s="25" t="s">
        <v>33</v>
      </c>
      <c r="F13" s="25">
        <f t="shared" si="6"/>
        <v>7.7243999999999993E-2</v>
      </c>
      <c r="G13" s="25">
        <f t="shared" si="7"/>
        <v>9.011799999999999E-2</v>
      </c>
      <c r="H13" s="25">
        <f t="shared" si="8"/>
        <v>5.1496E-2</v>
      </c>
      <c r="I13" s="25">
        <f t="shared" si="9"/>
        <v>3.8621999999999997E-2</v>
      </c>
      <c r="J13" s="39">
        <v>0.25747999999999999</v>
      </c>
      <c r="K13" s="66">
        <v>105991.94</v>
      </c>
      <c r="L13" s="66">
        <f t="shared" si="4"/>
        <v>332.8146916</v>
      </c>
      <c r="M13" s="25" t="s">
        <v>123</v>
      </c>
      <c r="N13" s="25">
        <v>70200</v>
      </c>
      <c r="O13" s="27" t="s">
        <v>108</v>
      </c>
      <c r="P13" s="97" t="s">
        <v>122</v>
      </c>
      <c r="Q13" s="99">
        <f t="shared" si="5"/>
        <v>9.4199999999999991E-4</v>
      </c>
      <c r="R13" s="48"/>
      <c r="S13" s="48"/>
      <c r="T13" s="49"/>
      <c r="U13" s="51"/>
      <c r="V13" s="48"/>
      <c r="W13" s="48"/>
      <c r="X13" s="49"/>
      <c r="Y13" s="51"/>
      <c r="Z13" s="48"/>
      <c r="AA13" s="48"/>
      <c r="AB13" s="49"/>
      <c r="AC13" s="51"/>
      <c r="AD13" s="42"/>
      <c r="AE13" s="42"/>
      <c r="AF13" s="59"/>
      <c r="AG13" s="51"/>
      <c r="AH13" s="42"/>
      <c r="AI13" s="42"/>
      <c r="AJ13" s="59"/>
    </row>
    <row r="14" spans="1:36" ht="30" x14ac:dyDescent="0.25">
      <c r="A14" s="25">
        <v>236</v>
      </c>
      <c r="B14" s="39">
        <v>1.31E-3</v>
      </c>
      <c r="C14" s="39">
        <f t="shared" si="10"/>
        <v>5.2400000000000002E-2</v>
      </c>
      <c r="D14" s="25">
        <v>40</v>
      </c>
      <c r="E14" s="25" t="s">
        <v>33</v>
      </c>
      <c r="F14" s="25">
        <f t="shared" si="6"/>
        <v>1.28904</v>
      </c>
      <c r="G14" s="25">
        <f t="shared" si="7"/>
        <v>1.5038799999999999</v>
      </c>
      <c r="H14" s="25">
        <f t="shared" si="8"/>
        <v>0.85936000000000012</v>
      </c>
      <c r="I14" s="25">
        <f t="shared" si="9"/>
        <v>0.64451999999999998</v>
      </c>
      <c r="J14" s="39">
        <v>4.2968000000000002</v>
      </c>
      <c r="K14" s="66">
        <v>105991.94</v>
      </c>
      <c r="L14" s="66">
        <f t="shared" si="4"/>
        <v>5553.977656</v>
      </c>
      <c r="M14" s="25" t="s">
        <v>125</v>
      </c>
      <c r="N14" s="25">
        <v>70200</v>
      </c>
      <c r="O14" s="27" t="s">
        <v>108</v>
      </c>
      <c r="P14" s="97" t="s">
        <v>124</v>
      </c>
      <c r="Q14" s="99">
        <f t="shared" si="5"/>
        <v>1.5720000000000001E-2</v>
      </c>
      <c r="R14" s="48"/>
      <c r="S14" s="48"/>
      <c r="T14" s="49"/>
      <c r="U14" s="51"/>
      <c r="V14" s="48"/>
      <c r="W14" s="48"/>
      <c r="X14" s="49"/>
      <c r="Y14" s="51"/>
      <c r="Z14" s="48"/>
      <c r="AA14" s="48"/>
      <c r="AB14" s="49"/>
      <c r="AC14" s="51"/>
      <c r="AD14" s="42"/>
      <c r="AE14" s="42"/>
      <c r="AF14" s="59"/>
      <c r="AG14" s="51"/>
      <c r="AH14" s="42"/>
      <c r="AI14" s="42"/>
      <c r="AJ14" s="59"/>
    </row>
    <row r="15" spans="1:36" x14ac:dyDescent="0.25">
      <c r="A15" s="25">
        <v>237</v>
      </c>
      <c r="B15" s="39">
        <v>0.96250000000000002</v>
      </c>
      <c r="C15" s="39">
        <v>3.85</v>
      </c>
      <c r="D15" s="25">
        <v>4</v>
      </c>
      <c r="E15" s="25" t="s">
        <v>33</v>
      </c>
      <c r="F15" s="25">
        <f t="shared" si="6"/>
        <v>53.129999999999995</v>
      </c>
      <c r="G15" s="25">
        <f t="shared" si="7"/>
        <v>61.984999999999992</v>
      </c>
      <c r="H15" s="25">
        <f t="shared" si="8"/>
        <v>35.42</v>
      </c>
      <c r="I15" s="25">
        <f t="shared" si="9"/>
        <v>26.564999999999998</v>
      </c>
      <c r="J15" s="39">
        <v>177.1</v>
      </c>
      <c r="K15" s="66">
        <v>105991.94</v>
      </c>
      <c r="L15" s="66">
        <f t="shared" si="4"/>
        <v>408068.96900000004</v>
      </c>
      <c r="M15" s="25" t="s">
        <v>127</v>
      </c>
      <c r="N15" s="25">
        <v>70203</v>
      </c>
      <c r="O15" s="27" t="s">
        <v>108</v>
      </c>
      <c r="P15" s="97" t="s">
        <v>126</v>
      </c>
      <c r="Q15" s="99">
        <f t="shared" si="5"/>
        <v>1.155</v>
      </c>
      <c r="R15" s="48"/>
      <c r="S15" s="48"/>
      <c r="T15" s="49"/>
      <c r="U15" s="51"/>
      <c r="V15" s="173">
        <f>C15*0.35</f>
        <v>1.3474999999999999</v>
      </c>
      <c r="W15" s="145"/>
      <c r="X15" s="49"/>
      <c r="Y15" s="51"/>
      <c r="Z15" s="146"/>
      <c r="AA15" s="145"/>
      <c r="AB15" s="49"/>
      <c r="AC15" s="51"/>
      <c r="AD15" s="146"/>
      <c r="AE15" s="144"/>
      <c r="AF15" s="59"/>
      <c r="AG15" s="51"/>
      <c r="AH15" s="146"/>
      <c r="AI15" s="144"/>
      <c r="AJ15" s="59"/>
    </row>
    <row r="16" spans="1:36" x14ac:dyDescent="0.25">
      <c r="A16" s="25">
        <v>238</v>
      </c>
      <c r="B16" s="39">
        <v>1.7150000000000001</v>
      </c>
      <c r="C16" s="89">
        <v>6.86</v>
      </c>
      <c r="D16" s="25">
        <v>4</v>
      </c>
      <c r="E16" s="25" t="s">
        <v>33</v>
      </c>
      <c r="F16" s="25">
        <f t="shared" si="6"/>
        <v>78.203999999999994</v>
      </c>
      <c r="G16" s="25">
        <f t="shared" si="7"/>
        <v>91.238</v>
      </c>
      <c r="H16" s="25">
        <f t="shared" si="8"/>
        <v>52.136000000000003</v>
      </c>
      <c r="I16" s="25">
        <f t="shared" si="9"/>
        <v>39.101999999999997</v>
      </c>
      <c r="J16" s="39">
        <v>260.68</v>
      </c>
      <c r="K16" s="66">
        <v>105991.94</v>
      </c>
      <c r="L16" s="66">
        <f t="shared" si="4"/>
        <v>727104.7084</v>
      </c>
      <c r="M16" s="25" t="s">
        <v>128</v>
      </c>
      <c r="N16" s="25">
        <v>70202</v>
      </c>
      <c r="O16" s="27" t="s">
        <v>108</v>
      </c>
      <c r="P16" s="97" t="s">
        <v>126</v>
      </c>
      <c r="Q16" s="99">
        <f t="shared" si="5"/>
        <v>2.0579999999999998</v>
      </c>
      <c r="R16" s="48"/>
      <c r="S16" s="48"/>
      <c r="T16" s="49"/>
      <c r="U16" s="51"/>
      <c r="V16" s="173">
        <f>C16*0.35</f>
        <v>2.4009999999999998</v>
      </c>
      <c r="W16" s="145"/>
      <c r="X16" s="49"/>
      <c r="Y16" s="51"/>
      <c r="Z16" s="146"/>
      <c r="AA16" s="145"/>
      <c r="AB16" s="49"/>
      <c r="AC16" s="51"/>
      <c r="AD16" s="146"/>
      <c r="AE16" s="144"/>
      <c r="AF16" s="59"/>
      <c r="AG16" s="51"/>
      <c r="AH16" s="146"/>
      <c r="AI16" s="144"/>
      <c r="AJ16" s="59"/>
    </row>
    <row r="17" spans="1:36" x14ac:dyDescent="0.25">
      <c r="A17" s="25">
        <v>239</v>
      </c>
      <c r="B17" s="39">
        <v>1</v>
      </c>
      <c r="C17" s="39">
        <v>4</v>
      </c>
      <c r="D17" s="25">
        <v>4</v>
      </c>
      <c r="E17" s="25" t="s">
        <v>33</v>
      </c>
      <c r="F17" s="25">
        <f t="shared" si="6"/>
        <v>55.199999999999996</v>
      </c>
      <c r="G17" s="25">
        <f t="shared" si="7"/>
        <v>64.399999999999991</v>
      </c>
      <c r="H17" s="25">
        <f t="shared" si="8"/>
        <v>36.800000000000004</v>
      </c>
      <c r="I17" s="25">
        <f t="shared" si="9"/>
        <v>27.599999999999998</v>
      </c>
      <c r="J17" s="39">
        <v>184</v>
      </c>
      <c r="K17" s="66">
        <v>105991.94</v>
      </c>
      <c r="L17" s="66">
        <f t="shared" si="4"/>
        <v>423967.76</v>
      </c>
      <c r="M17" s="69" t="s">
        <v>129</v>
      </c>
      <c r="N17" s="25">
        <v>70204</v>
      </c>
      <c r="O17" s="27" t="s">
        <v>108</v>
      </c>
      <c r="P17" s="97" t="s">
        <v>126</v>
      </c>
      <c r="Q17" s="99">
        <f t="shared" ref="Q17:Q19" si="11">C17*0.3</f>
        <v>1.2</v>
      </c>
      <c r="R17" s="48"/>
      <c r="S17" s="48"/>
      <c r="T17" s="49"/>
      <c r="U17" s="51"/>
      <c r="V17" s="146"/>
      <c r="W17" s="145"/>
      <c r="X17" s="49"/>
      <c r="Y17" s="51"/>
      <c r="Z17" s="146"/>
      <c r="AA17" s="145"/>
      <c r="AB17" s="49"/>
      <c r="AC17" s="51"/>
      <c r="AD17" s="102"/>
      <c r="AE17" s="144"/>
      <c r="AF17" s="59"/>
      <c r="AG17" s="51"/>
      <c r="AH17" s="102"/>
      <c r="AI17" s="144"/>
      <c r="AJ17" s="59"/>
    </row>
    <row r="18" spans="1:36" x14ac:dyDescent="0.25">
      <c r="A18" s="25">
        <v>240</v>
      </c>
      <c r="B18" s="39">
        <v>1.2875000000000001</v>
      </c>
      <c r="C18" s="39">
        <v>5.15</v>
      </c>
      <c r="D18" s="25">
        <v>4</v>
      </c>
      <c r="E18" s="25" t="s">
        <v>33</v>
      </c>
      <c r="F18" s="25">
        <f t="shared" si="6"/>
        <v>58.71</v>
      </c>
      <c r="G18" s="25">
        <f t="shared" si="7"/>
        <v>68.495000000000005</v>
      </c>
      <c r="H18" s="25">
        <f t="shared" si="8"/>
        <v>39.140000000000008</v>
      </c>
      <c r="I18" s="25">
        <f t="shared" si="9"/>
        <v>29.355</v>
      </c>
      <c r="J18" s="39">
        <v>195.70000000000002</v>
      </c>
      <c r="K18" s="66">
        <v>105991.94</v>
      </c>
      <c r="L18" s="66">
        <f t="shared" si="4"/>
        <v>545858.49100000004</v>
      </c>
      <c r="M18" s="25" t="s">
        <v>131</v>
      </c>
      <c r="N18" s="25">
        <v>70205</v>
      </c>
      <c r="O18" s="27" t="s">
        <v>108</v>
      </c>
      <c r="P18" s="97" t="s">
        <v>130</v>
      </c>
      <c r="Q18" s="99">
        <f t="shared" si="11"/>
        <v>1.5450000000000002</v>
      </c>
      <c r="R18" s="48"/>
      <c r="S18" s="48"/>
      <c r="T18" s="49"/>
      <c r="U18" s="51"/>
      <c r="V18" s="48"/>
      <c r="W18" s="48"/>
      <c r="X18" s="49"/>
      <c r="Y18" s="51"/>
      <c r="Z18" s="48"/>
      <c r="AA18" s="48"/>
      <c r="AB18" s="49"/>
      <c r="AC18" s="51"/>
      <c r="AD18" s="42"/>
      <c r="AE18" s="42"/>
      <c r="AF18" s="59"/>
      <c r="AG18" s="51"/>
      <c r="AH18" s="42"/>
      <c r="AI18" s="42"/>
      <c r="AJ18" s="59"/>
    </row>
    <row r="19" spans="1:36" x14ac:dyDescent="0.25">
      <c r="A19" s="25">
        <v>241</v>
      </c>
      <c r="B19" s="39">
        <v>1.05</v>
      </c>
      <c r="C19" s="39">
        <v>2.1</v>
      </c>
      <c r="D19" s="25">
        <v>2</v>
      </c>
      <c r="E19" s="25" t="s">
        <v>33</v>
      </c>
      <c r="F19" s="25">
        <f t="shared" si="6"/>
        <v>23.939999999999998</v>
      </c>
      <c r="G19" s="25">
        <f t="shared" si="7"/>
        <v>27.929999999999996</v>
      </c>
      <c r="H19" s="25">
        <f t="shared" si="8"/>
        <v>15.96</v>
      </c>
      <c r="I19" s="25">
        <f t="shared" si="9"/>
        <v>11.969999999999999</v>
      </c>
      <c r="J19" s="39">
        <v>79.8</v>
      </c>
      <c r="K19" s="66">
        <v>105991.94</v>
      </c>
      <c r="L19" s="66">
        <f t="shared" si="4"/>
        <v>222583.07400000002</v>
      </c>
      <c r="M19" s="25" t="s">
        <v>132</v>
      </c>
      <c r="N19" s="25">
        <v>70201</v>
      </c>
      <c r="O19" s="27" t="s">
        <v>108</v>
      </c>
      <c r="P19" s="97" t="s">
        <v>38</v>
      </c>
      <c r="Q19" s="99">
        <f t="shared" si="11"/>
        <v>0.63</v>
      </c>
      <c r="R19" s="48"/>
      <c r="S19" s="48"/>
      <c r="T19" s="49"/>
      <c r="U19" s="51"/>
      <c r="V19" s="48"/>
      <c r="W19" s="48"/>
      <c r="X19" s="49"/>
      <c r="Y19" s="51"/>
      <c r="Z19" s="48"/>
      <c r="AA19" s="48"/>
      <c r="AB19" s="48"/>
      <c r="AC19" s="51"/>
      <c r="AD19" s="42"/>
      <c r="AE19" s="42"/>
      <c r="AF19" s="42"/>
      <c r="AG19" s="51"/>
      <c r="AH19" s="42"/>
      <c r="AI19" s="42"/>
      <c r="AJ19" s="42"/>
    </row>
    <row r="20" spans="1:36" ht="15.75" thickBot="1" x14ac:dyDescent="0.3">
      <c r="A20" s="25">
        <v>243</v>
      </c>
      <c r="B20" s="25">
        <v>3.66</v>
      </c>
      <c r="C20" s="25">
        <v>3.66</v>
      </c>
      <c r="D20" s="25">
        <v>1</v>
      </c>
      <c r="E20" s="25" t="s">
        <v>33</v>
      </c>
      <c r="F20" s="25">
        <f t="shared" si="6"/>
        <v>55.997999999999998</v>
      </c>
      <c r="G20" s="25">
        <f t="shared" si="7"/>
        <v>65.330999999999989</v>
      </c>
      <c r="H20" s="25">
        <f t="shared" si="8"/>
        <v>37.332000000000001</v>
      </c>
      <c r="I20" s="25">
        <f t="shared" si="9"/>
        <v>27.998999999999999</v>
      </c>
      <c r="J20" s="155">
        <v>186.66</v>
      </c>
      <c r="K20" s="66">
        <v>105991.94</v>
      </c>
      <c r="L20" s="66">
        <v>387930.50040000002</v>
      </c>
      <c r="M20" s="67" t="s">
        <v>133</v>
      </c>
      <c r="N20" s="25">
        <v>68207</v>
      </c>
      <c r="O20" s="27" t="s">
        <v>134</v>
      </c>
      <c r="P20" s="97" t="s">
        <v>126</v>
      </c>
      <c r="Q20" s="99">
        <f>C20*0.3</f>
        <v>1.0980000000000001</v>
      </c>
      <c r="R20" s="41">
        <f>C20*0.35</f>
        <v>1.2809999999999999</v>
      </c>
      <c r="S20" s="41">
        <f>C20*0.2</f>
        <v>0.7320000000000001</v>
      </c>
      <c r="T20" s="49"/>
      <c r="U20" s="51"/>
      <c r="V20" s="48"/>
      <c r="W20" s="48"/>
      <c r="X20" s="49"/>
      <c r="Y20" s="51"/>
      <c r="Z20" s="48"/>
      <c r="AA20" s="48"/>
      <c r="AB20" s="48"/>
      <c r="AC20" s="51"/>
      <c r="AD20" s="48"/>
      <c r="AE20" s="48"/>
      <c r="AF20" s="42"/>
      <c r="AG20" s="51"/>
      <c r="AH20" s="48"/>
      <c r="AI20" s="48"/>
      <c r="AJ20" s="42"/>
    </row>
    <row r="21" spans="1:36" x14ac:dyDescent="0.25">
      <c r="A21" s="25">
        <v>244</v>
      </c>
      <c r="B21" s="25">
        <v>3.72</v>
      </c>
      <c r="C21" s="25">
        <v>3.72</v>
      </c>
      <c r="D21" s="25">
        <v>1</v>
      </c>
      <c r="E21" s="25" t="s">
        <v>33</v>
      </c>
      <c r="F21" s="25">
        <f t="shared" si="6"/>
        <v>56.915999999999997</v>
      </c>
      <c r="G21" s="25">
        <f t="shared" si="7"/>
        <v>66.402000000000001</v>
      </c>
      <c r="H21" s="25">
        <f t="shared" si="8"/>
        <v>37.944000000000003</v>
      </c>
      <c r="I21" s="25">
        <f t="shared" si="9"/>
        <v>28.457999999999998</v>
      </c>
      <c r="J21" s="155">
        <v>189.72</v>
      </c>
      <c r="K21" s="66">
        <v>105991.94</v>
      </c>
      <c r="L21" s="66">
        <v>394290.01680000004</v>
      </c>
      <c r="M21" s="67" t="s">
        <v>135</v>
      </c>
      <c r="N21" s="25">
        <v>68208</v>
      </c>
      <c r="O21" s="27" t="s">
        <v>134</v>
      </c>
      <c r="P21" s="97" t="s">
        <v>126</v>
      </c>
      <c r="Q21" s="99">
        <f>C21*0.3</f>
        <v>1.1160000000000001</v>
      </c>
      <c r="R21" s="41">
        <f>C21*0.35</f>
        <v>1.302</v>
      </c>
      <c r="S21" s="48"/>
      <c r="T21" s="49"/>
      <c r="U21" s="51"/>
      <c r="V21" s="48"/>
      <c r="W21" s="174">
        <f>C21*0.2</f>
        <v>0.74400000000000011</v>
      </c>
      <c r="X21" s="49"/>
      <c r="Y21" s="51"/>
      <c r="Z21" s="48"/>
      <c r="AA21" s="145"/>
      <c r="AB21" s="48"/>
      <c r="AC21" s="51"/>
      <c r="AD21" s="48"/>
      <c r="AE21" s="145"/>
      <c r="AF21" s="42"/>
      <c r="AG21" s="51"/>
      <c r="AH21" s="48"/>
      <c r="AI21" s="145"/>
      <c r="AJ21" s="42"/>
    </row>
    <row r="22" spans="1:36" ht="15.75" thickBot="1" x14ac:dyDescent="0.3">
      <c r="A22" s="25">
        <v>245</v>
      </c>
      <c r="B22" s="25">
        <v>6.68</v>
      </c>
      <c r="C22" s="25">
        <v>6.68</v>
      </c>
      <c r="D22" s="25">
        <v>1</v>
      </c>
      <c r="E22" s="25" t="s">
        <v>33</v>
      </c>
      <c r="F22" s="25">
        <f t="shared" si="6"/>
        <v>82.164000000000001</v>
      </c>
      <c r="G22" s="25">
        <f t="shared" si="7"/>
        <v>95.85799999999999</v>
      </c>
      <c r="H22" s="25">
        <f t="shared" si="8"/>
        <v>54.776000000000003</v>
      </c>
      <c r="I22" s="25">
        <f t="shared" si="9"/>
        <v>41.082000000000001</v>
      </c>
      <c r="J22" s="155">
        <v>273.88</v>
      </c>
      <c r="K22" s="66">
        <v>105991.94</v>
      </c>
      <c r="L22" s="66">
        <v>708026.15919999999</v>
      </c>
      <c r="M22" s="67" t="s">
        <v>136</v>
      </c>
      <c r="N22" s="25">
        <v>68209</v>
      </c>
      <c r="O22" s="27" t="s">
        <v>134</v>
      </c>
      <c r="P22" s="97" t="s">
        <v>126</v>
      </c>
      <c r="Q22" s="99">
        <f>C22*0.3</f>
        <v>2.004</v>
      </c>
      <c r="R22" s="41">
        <f>C22*0.35</f>
        <v>2.3379999999999996</v>
      </c>
      <c r="S22" s="41">
        <f>C22*0.2</f>
        <v>1.3360000000000001</v>
      </c>
      <c r="T22" s="49"/>
      <c r="U22" s="51"/>
      <c r="V22" s="48"/>
      <c r="W22" s="48"/>
      <c r="X22" s="49"/>
      <c r="Y22" s="51"/>
      <c r="Z22" s="48"/>
      <c r="AA22" s="48"/>
      <c r="AB22" s="48"/>
      <c r="AC22" s="51"/>
      <c r="AD22" s="48"/>
      <c r="AE22" s="48"/>
      <c r="AF22" s="42"/>
      <c r="AG22" s="51"/>
      <c r="AH22" s="48"/>
      <c r="AI22" s="48"/>
      <c r="AJ22" s="42"/>
    </row>
    <row r="23" spans="1:36" x14ac:dyDescent="0.25">
      <c r="A23" s="25">
        <v>246</v>
      </c>
      <c r="B23" s="25">
        <v>1.92</v>
      </c>
      <c r="C23" s="25">
        <v>4.9260000000000002</v>
      </c>
      <c r="D23" s="25">
        <v>1</v>
      </c>
      <c r="E23" s="25" t="s">
        <v>33</v>
      </c>
      <c r="F23" s="25">
        <f t="shared" si="6"/>
        <v>29.375999999999998</v>
      </c>
      <c r="G23" s="25">
        <f t="shared" si="7"/>
        <v>34.271999999999998</v>
      </c>
      <c r="H23" s="25">
        <f t="shared" si="8"/>
        <v>19.584000000000003</v>
      </c>
      <c r="I23" s="25">
        <f t="shared" si="9"/>
        <v>14.687999999999999</v>
      </c>
      <c r="J23" s="155">
        <v>97.92</v>
      </c>
      <c r="K23" s="66">
        <v>105991.94</v>
      </c>
      <c r="L23" s="66">
        <v>203504.52479999998</v>
      </c>
      <c r="M23" s="67" t="s">
        <v>137</v>
      </c>
      <c r="N23" s="25">
        <v>68206</v>
      </c>
      <c r="O23" s="27" t="s">
        <v>134</v>
      </c>
      <c r="P23" s="97" t="s">
        <v>126</v>
      </c>
      <c r="Q23" s="99">
        <f t="shared" ref="Q23:Q47" si="12">C23*0.3</f>
        <v>1.4778</v>
      </c>
      <c r="R23" s="41">
        <f>C23*0.35</f>
        <v>1.7241</v>
      </c>
      <c r="S23" s="48"/>
      <c r="T23" s="49"/>
      <c r="U23" s="51"/>
      <c r="V23" s="48"/>
      <c r="W23" s="175"/>
      <c r="X23" s="49"/>
      <c r="Y23" s="51"/>
      <c r="Z23" s="48"/>
      <c r="AA23" s="145"/>
      <c r="AB23" s="48"/>
      <c r="AC23" s="51"/>
      <c r="AD23" s="48"/>
      <c r="AE23" s="144"/>
      <c r="AF23" s="42"/>
      <c r="AG23" s="51"/>
      <c r="AH23" s="48"/>
      <c r="AI23" s="144"/>
      <c r="AJ23" s="42"/>
    </row>
    <row r="24" spans="1:36" x14ac:dyDescent="0.25">
      <c r="A24" s="25">
        <v>247</v>
      </c>
      <c r="B24" s="39">
        <v>1.5674603174603174E-2</v>
      </c>
      <c r="C24" s="39">
        <v>0.23</v>
      </c>
      <c r="D24" s="25">
        <v>18</v>
      </c>
      <c r="E24" s="25" t="s">
        <v>33</v>
      </c>
      <c r="F24" s="25">
        <f t="shared" si="6"/>
        <v>7.1946428571428571</v>
      </c>
      <c r="G24" s="25">
        <f t="shared" si="7"/>
        <v>8.3937499999999989</v>
      </c>
      <c r="H24" s="25">
        <f t="shared" si="8"/>
        <v>4.7964285714285717</v>
      </c>
      <c r="I24" s="25">
        <f t="shared" si="9"/>
        <v>3.5973214285714286</v>
      </c>
      <c r="J24" s="155">
        <v>23.982142857142858</v>
      </c>
      <c r="K24" s="66">
        <v>105991.94</v>
      </c>
      <c r="L24" s="66">
        <v>29904.868785714287</v>
      </c>
      <c r="M24" s="25" t="s">
        <v>139</v>
      </c>
      <c r="N24" s="25">
        <v>68206</v>
      </c>
      <c r="O24" s="27" t="s">
        <v>134</v>
      </c>
      <c r="P24" s="97" t="s">
        <v>138</v>
      </c>
      <c r="Q24" s="99">
        <f t="shared" si="12"/>
        <v>6.9000000000000006E-2</v>
      </c>
      <c r="R24" s="48"/>
      <c r="S24" s="48"/>
      <c r="T24" s="49"/>
      <c r="U24" s="51"/>
      <c r="V24" s="48"/>
      <c r="W24" s="48"/>
      <c r="X24" s="49"/>
      <c r="Y24" s="51"/>
      <c r="Z24" s="48"/>
      <c r="AA24" s="48"/>
      <c r="AB24" s="48"/>
      <c r="AC24" s="51"/>
      <c r="AD24" s="42"/>
      <c r="AE24" s="42"/>
      <c r="AF24" s="42"/>
      <c r="AG24" s="51"/>
      <c r="AH24" s="42"/>
      <c r="AI24" s="42"/>
      <c r="AJ24" s="42"/>
    </row>
    <row r="25" spans="1:36" x14ac:dyDescent="0.25">
      <c r="A25" s="25">
        <v>248</v>
      </c>
      <c r="B25" s="39">
        <v>0.28214285714285714</v>
      </c>
      <c r="C25" s="39">
        <v>0.28214285714285714</v>
      </c>
      <c r="D25" s="25">
        <v>1</v>
      </c>
      <c r="E25" s="25" t="s">
        <v>33</v>
      </c>
      <c r="F25" s="25">
        <f t="shared" si="6"/>
        <v>5.0785714285714283</v>
      </c>
      <c r="G25" s="25">
        <f t="shared" si="7"/>
        <v>5.9249999999999989</v>
      </c>
      <c r="H25" s="25">
        <f t="shared" si="8"/>
        <v>3.3857142857142857</v>
      </c>
      <c r="I25" s="25">
        <f t="shared" si="9"/>
        <v>2.5392857142857141</v>
      </c>
      <c r="J25" s="155">
        <v>16.928571428571427</v>
      </c>
      <c r="K25" s="66">
        <v>105991.94</v>
      </c>
      <c r="L25" s="66">
        <v>29904.868785714287</v>
      </c>
      <c r="M25" s="25" t="s">
        <v>140</v>
      </c>
      <c r="N25" s="25">
        <v>68206</v>
      </c>
      <c r="O25" s="27" t="s">
        <v>134</v>
      </c>
      <c r="P25" s="97" t="s">
        <v>90</v>
      </c>
      <c r="Q25" s="99">
        <f t="shared" si="12"/>
        <v>8.4642857142857145E-2</v>
      </c>
      <c r="R25" s="48"/>
      <c r="S25" s="48"/>
      <c r="T25" s="49"/>
      <c r="U25" s="51"/>
      <c r="V25" s="48"/>
      <c r="W25" s="48"/>
      <c r="X25" s="49"/>
      <c r="Y25" s="51"/>
      <c r="Z25" s="48"/>
      <c r="AA25" s="48"/>
      <c r="AB25" s="48"/>
      <c r="AC25" s="51"/>
      <c r="AD25" s="42"/>
      <c r="AE25" s="42"/>
      <c r="AF25" s="42"/>
      <c r="AG25" s="51"/>
      <c r="AH25" s="42"/>
      <c r="AI25" s="42"/>
      <c r="AJ25" s="42"/>
    </row>
    <row r="26" spans="1:36" x14ac:dyDescent="0.25">
      <c r="A26" s="25">
        <v>249</v>
      </c>
      <c r="B26" s="39">
        <v>0.28214285714285714</v>
      </c>
      <c r="C26" s="39">
        <v>0.37</v>
      </c>
      <c r="D26" s="25">
        <v>1</v>
      </c>
      <c r="E26" s="25" t="s">
        <v>33</v>
      </c>
      <c r="F26" s="25">
        <f t="shared" si="6"/>
        <v>5.0785714285714283</v>
      </c>
      <c r="G26" s="25">
        <f t="shared" si="7"/>
        <v>5.9249999999999989</v>
      </c>
      <c r="H26" s="25">
        <f t="shared" si="8"/>
        <v>3.3857142857142857</v>
      </c>
      <c r="I26" s="25">
        <f t="shared" si="9"/>
        <v>2.5392857142857141</v>
      </c>
      <c r="J26" s="155">
        <v>16.928571428571427</v>
      </c>
      <c r="K26" s="66">
        <v>105991.94</v>
      </c>
      <c r="L26" s="66">
        <v>29904.868785714287</v>
      </c>
      <c r="M26" s="25" t="s">
        <v>141</v>
      </c>
      <c r="N26" s="25">
        <v>68206</v>
      </c>
      <c r="O26" s="27" t="s">
        <v>134</v>
      </c>
      <c r="P26" s="97" t="s">
        <v>90</v>
      </c>
      <c r="Q26" s="99">
        <f t="shared" si="12"/>
        <v>0.111</v>
      </c>
      <c r="R26" s="48"/>
      <c r="S26" s="48"/>
      <c r="T26" s="49"/>
      <c r="U26" s="51"/>
      <c r="V26" s="48"/>
      <c r="W26" s="48"/>
      <c r="X26" s="49"/>
      <c r="Y26" s="51"/>
      <c r="Z26" s="48"/>
      <c r="AA26" s="48"/>
      <c r="AB26" s="48"/>
      <c r="AC26" s="51"/>
      <c r="AD26" s="42"/>
      <c r="AE26" s="42"/>
      <c r="AF26" s="42"/>
      <c r="AG26" s="51"/>
      <c r="AH26" s="42"/>
      <c r="AI26" s="42"/>
      <c r="AJ26" s="42"/>
    </row>
    <row r="27" spans="1:36" x14ac:dyDescent="0.25">
      <c r="A27" s="25">
        <v>250</v>
      </c>
      <c r="B27" s="39">
        <v>1.7633928571428571E-2</v>
      </c>
      <c r="C27" s="39">
        <v>0.37</v>
      </c>
      <c r="D27" s="25">
        <v>16</v>
      </c>
      <c r="E27" s="25" t="s">
        <v>33</v>
      </c>
      <c r="F27" s="25">
        <f t="shared" si="6"/>
        <v>7.1946428571428571</v>
      </c>
      <c r="G27" s="25">
        <f t="shared" si="7"/>
        <v>8.3937499999999989</v>
      </c>
      <c r="H27" s="25">
        <f t="shared" si="8"/>
        <v>4.7964285714285717</v>
      </c>
      <c r="I27" s="25">
        <f t="shared" si="9"/>
        <v>3.5973214285714286</v>
      </c>
      <c r="J27" s="155">
        <v>23.982142857142858</v>
      </c>
      <c r="K27" s="66">
        <v>105991.94</v>
      </c>
      <c r="L27" s="66">
        <v>29904.868785714287</v>
      </c>
      <c r="M27" s="67" t="s">
        <v>142</v>
      </c>
      <c r="N27" s="25">
        <v>68206</v>
      </c>
      <c r="O27" s="27" t="s">
        <v>134</v>
      </c>
      <c r="P27" s="97" t="s">
        <v>111</v>
      </c>
      <c r="Q27" s="99">
        <f t="shared" si="12"/>
        <v>0.111</v>
      </c>
      <c r="R27" s="48"/>
      <c r="S27" s="48"/>
      <c r="T27" s="49"/>
      <c r="U27" s="51"/>
      <c r="V27" s="48"/>
      <c r="W27" s="48"/>
      <c r="X27" s="49"/>
      <c r="Y27" s="51"/>
      <c r="Z27" s="48"/>
      <c r="AA27" s="48"/>
      <c r="AB27" s="49"/>
      <c r="AC27" s="51"/>
      <c r="AD27" s="42"/>
      <c r="AE27" s="42"/>
      <c r="AF27" s="59"/>
      <c r="AG27" s="51"/>
      <c r="AH27" s="42"/>
      <c r="AI27" s="42"/>
      <c r="AJ27" s="59"/>
    </row>
    <row r="28" spans="1:36" x14ac:dyDescent="0.25">
      <c r="A28" s="25">
        <v>251</v>
      </c>
      <c r="B28" s="39">
        <v>7.8373015873015872E-3</v>
      </c>
      <c r="C28" s="39">
        <v>1.0999999999999999E-2</v>
      </c>
      <c r="D28" s="25">
        <v>36</v>
      </c>
      <c r="E28" s="25" t="s">
        <v>33</v>
      </c>
      <c r="F28" s="25">
        <f t="shared" si="6"/>
        <v>7.1946428571428571</v>
      </c>
      <c r="G28" s="25">
        <f t="shared" si="7"/>
        <v>8.3937499999999989</v>
      </c>
      <c r="H28" s="25">
        <f t="shared" si="8"/>
        <v>4.7964285714285717</v>
      </c>
      <c r="I28" s="25">
        <f t="shared" si="9"/>
        <v>3.5973214285714286</v>
      </c>
      <c r="J28" s="155">
        <v>23.982142857142858</v>
      </c>
      <c r="K28" s="66">
        <v>105991.94</v>
      </c>
      <c r="L28" s="66">
        <v>29904.868785714287</v>
      </c>
      <c r="M28" s="25" t="s">
        <v>144</v>
      </c>
      <c r="N28" s="25">
        <v>68206</v>
      </c>
      <c r="O28" s="27" t="s">
        <v>134</v>
      </c>
      <c r="P28" s="97" t="s">
        <v>143</v>
      </c>
      <c r="Q28" s="99">
        <f t="shared" si="12"/>
        <v>3.2999999999999995E-3</v>
      </c>
      <c r="R28" s="48"/>
      <c r="S28" s="48"/>
      <c r="T28" s="49"/>
      <c r="U28" s="51"/>
      <c r="V28" s="48"/>
      <c r="W28" s="48"/>
      <c r="X28" s="49"/>
      <c r="Y28" s="51"/>
      <c r="Z28" s="48"/>
      <c r="AA28" s="48"/>
      <c r="AB28" s="49"/>
      <c r="AC28" s="51"/>
      <c r="AD28" s="42"/>
      <c r="AE28" s="42"/>
      <c r="AF28" s="59"/>
      <c r="AG28" s="51"/>
      <c r="AH28" s="42"/>
      <c r="AI28" s="42"/>
      <c r="AJ28" s="59"/>
    </row>
    <row r="29" spans="1:36" x14ac:dyDescent="0.25">
      <c r="A29" s="25">
        <v>252</v>
      </c>
      <c r="B29" s="39">
        <v>1.5674603174603174E-2</v>
      </c>
      <c r="C29" s="39">
        <v>0.216</v>
      </c>
      <c r="D29" s="25">
        <v>18</v>
      </c>
      <c r="E29" s="25" t="s">
        <v>33</v>
      </c>
      <c r="F29" s="25">
        <f t="shared" si="6"/>
        <v>7.1946428571428571</v>
      </c>
      <c r="G29" s="25">
        <f t="shared" si="7"/>
        <v>8.3937499999999989</v>
      </c>
      <c r="H29" s="25">
        <f t="shared" si="8"/>
        <v>4.7964285714285717</v>
      </c>
      <c r="I29" s="25">
        <f t="shared" si="9"/>
        <v>3.5973214285714286</v>
      </c>
      <c r="J29" s="155">
        <v>23.982142857142858</v>
      </c>
      <c r="K29" s="66">
        <v>105991.94</v>
      </c>
      <c r="L29" s="66">
        <v>29904.868785714287</v>
      </c>
      <c r="M29" s="25" t="s">
        <v>146</v>
      </c>
      <c r="N29" s="25">
        <v>68206</v>
      </c>
      <c r="O29" s="27" t="s">
        <v>134</v>
      </c>
      <c r="P29" s="97" t="s">
        <v>145</v>
      </c>
      <c r="Q29" s="99">
        <f t="shared" si="12"/>
        <v>6.4799999999999996E-2</v>
      </c>
      <c r="R29" s="48"/>
      <c r="S29" s="48"/>
      <c r="T29" s="49"/>
      <c r="U29" s="51"/>
      <c r="V29" s="48"/>
      <c r="W29" s="48"/>
      <c r="X29" s="49"/>
      <c r="Y29" s="51"/>
      <c r="Z29" s="48"/>
      <c r="AA29" s="48"/>
      <c r="AB29" s="49"/>
      <c r="AC29" s="51"/>
      <c r="AD29" s="42"/>
      <c r="AE29" s="42"/>
      <c r="AF29" s="59"/>
      <c r="AG29" s="51"/>
      <c r="AH29" s="42"/>
      <c r="AI29" s="42"/>
      <c r="AJ29" s="59"/>
    </row>
    <row r="30" spans="1:36" x14ac:dyDescent="0.25">
      <c r="A30" s="25">
        <v>253</v>
      </c>
      <c r="B30" s="39">
        <v>2.0153061224489795E-2</v>
      </c>
      <c r="C30" s="39">
        <v>3.5000000000000003E-2</v>
      </c>
      <c r="D30" s="25">
        <v>14</v>
      </c>
      <c r="E30" s="25" t="s">
        <v>33</v>
      </c>
      <c r="F30" s="25">
        <f t="shared" si="6"/>
        <v>7.1946428571428571</v>
      </c>
      <c r="G30" s="25">
        <f t="shared" si="7"/>
        <v>8.3937499999999989</v>
      </c>
      <c r="H30" s="25">
        <f t="shared" si="8"/>
        <v>4.7964285714285717</v>
      </c>
      <c r="I30" s="25">
        <f t="shared" si="9"/>
        <v>3.5973214285714286</v>
      </c>
      <c r="J30" s="155">
        <v>23.982142857142858</v>
      </c>
      <c r="K30" s="66">
        <v>105991.94</v>
      </c>
      <c r="L30" s="66">
        <v>29904.868785714287</v>
      </c>
      <c r="M30" s="25" t="s">
        <v>147</v>
      </c>
      <c r="N30" s="25">
        <v>68206</v>
      </c>
      <c r="O30" s="27" t="s">
        <v>134</v>
      </c>
      <c r="P30" s="97" t="s">
        <v>145</v>
      </c>
      <c r="Q30" s="99">
        <f t="shared" si="12"/>
        <v>1.0500000000000001E-2</v>
      </c>
      <c r="R30" s="48"/>
      <c r="S30" s="48"/>
      <c r="T30" s="49"/>
      <c r="U30" s="51"/>
      <c r="V30" s="48"/>
      <c r="W30" s="48"/>
      <c r="X30" s="49"/>
      <c r="Y30" s="51"/>
      <c r="Z30" s="48"/>
      <c r="AA30" s="48"/>
      <c r="AB30" s="49"/>
      <c r="AC30" s="51"/>
      <c r="AD30" s="42"/>
      <c r="AE30" s="42"/>
      <c r="AF30" s="59"/>
      <c r="AG30" s="51"/>
      <c r="AH30" s="42"/>
      <c r="AI30" s="42"/>
      <c r="AJ30" s="59"/>
    </row>
    <row r="31" spans="1:36" x14ac:dyDescent="0.25">
      <c r="A31" s="25">
        <v>254</v>
      </c>
      <c r="B31" s="39">
        <v>9.4047619047619047E-2</v>
      </c>
      <c r="C31" s="39">
        <v>8.0000000000000002E-3</v>
      </c>
      <c r="D31" s="25">
        <v>3</v>
      </c>
      <c r="E31" s="25" t="s">
        <v>33</v>
      </c>
      <c r="F31" s="25">
        <f t="shared" si="6"/>
        <v>5.5864285714285709</v>
      </c>
      <c r="G31" s="25">
        <f t="shared" si="7"/>
        <v>6.5174999999999992</v>
      </c>
      <c r="H31" s="25">
        <f t="shared" si="8"/>
        <v>3.7242857142857142</v>
      </c>
      <c r="I31" s="25">
        <f t="shared" si="9"/>
        <v>2.7932142857142854</v>
      </c>
      <c r="J31" s="155">
        <v>18.62142857142857</v>
      </c>
      <c r="K31" s="66">
        <v>105991.94</v>
      </c>
      <c r="L31" s="66">
        <v>29904.868785714287</v>
      </c>
      <c r="M31" s="25" t="s">
        <v>148</v>
      </c>
      <c r="N31" s="25">
        <v>68206</v>
      </c>
      <c r="O31" s="27" t="s">
        <v>134</v>
      </c>
      <c r="P31" s="97" t="s">
        <v>145</v>
      </c>
      <c r="Q31" s="99">
        <f t="shared" si="12"/>
        <v>2.3999999999999998E-3</v>
      </c>
      <c r="R31" s="48"/>
      <c r="S31" s="48"/>
      <c r="T31" s="49"/>
      <c r="U31" s="51"/>
      <c r="V31" s="48"/>
      <c r="W31" s="48"/>
      <c r="X31" s="49"/>
      <c r="Y31" s="51"/>
      <c r="Z31" s="48"/>
      <c r="AA31" s="48"/>
      <c r="AB31" s="49"/>
      <c r="AC31" s="51"/>
      <c r="AD31" s="42"/>
      <c r="AE31" s="42"/>
      <c r="AF31" s="59"/>
      <c r="AG31" s="51"/>
      <c r="AH31" s="42"/>
      <c r="AI31" s="42"/>
      <c r="AJ31" s="59"/>
    </row>
    <row r="32" spans="1:36" x14ac:dyDescent="0.25">
      <c r="A32" s="25">
        <v>255</v>
      </c>
      <c r="B32" s="39">
        <v>0.28214285714285714</v>
      </c>
      <c r="C32" s="39">
        <v>0.01</v>
      </c>
      <c r="D32" s="25">
        <v>1</v>
      </c>
      <c r="E32" s="25" t="s">
        <v>33</v>
      </c>
      <c r="F32" s="25">
        <f t="shared" si="6"/>
        <v>5.0785714285714283</v>
      </c>
      <c r="G32" s="25">
        <f t="shared" si="7"/>
        <v>5.9249999999999989</v>
      </c>
      <c r="H32" s="25">
        <f t="shared" si="8"/>
        <v>3.3857142857142857</v>
      </c>
      <c r="I32" s="25">
        <f t="shared" si="9"/>
        <v>2.5392857142857141</v>
      </c>
      <c r="J32" s="155">
        <v>16.928571428571427</v>
      </c>
      <c r="K32" s="66">
        <v>105991.94</v>
      </c>
      <c r="L32" s="66">
        <v>29904.868785714287</v>
      </c>
      <c r="M32" s="25" t="s">
        <v>149</v>
      </c>
      <c r="N32" s="25">
        <v>68206</v>
      </c>
      <c r="O32" s="27" t="s">
        <v>134</v>
      </c>
      <c r="P32" s="97" t="s">
        <v>145</v>
      </c>
      <c r="Q32" s="99">
        <f t="shared" si="12"/>
        <v>3.0000000000000001E-3</v>
      </c>
      <c r="R32" s="48"/>
      <c r="S32" s="48"/>
      <c r="T32" s="49"/>
      <c r="U32" s="51"/>
      <c r="V32" s="48"/>
      <c r="W32" s="48"/>
      <c r="X32" s="49"/>
      <c r="Y32" s="51"/>
      <c r="Z32" s="48"/>
      <c r="AA32" s="48"/>
      <c r="AB32" s="49"/>
      <c r="AC32" s="51"/>
      <c r="AD32" s="42"/>
      <c r="AE32" s="42"/>
      <c r="AF32" s="59"/>
      <c r="AG32" s="51"/>
      <c r="AH32" s="42"/>
      <c r="AI32" s="42"/>
      <c r="AJ32" s="59"/>
    </row>
    <row r="33" spans="1:36" x14ac:dyDescent="0.25">
      <c r="A33" s="25">
        <v>256</v>
      </c>
      <c r="B33" s="39">
        <v>7.0535714285714285E-2</v>
      </c>
      <c r="C33" s="39">
        <v>3.2000000000000001E-2</v>
      </c>
      <c r="D33" s="25">
        <v>4</v>
      </c>
      <c r="E33" s="25" t="s">
        <v>33</v>
      </c>
      <c r="F33" s="25">
        <f t="shared" si="6"/>
        <v>5.5864285714285709</v>
      </c>
      <c r="G33" s="25">
        <f t="shared" si="7"/>
        <v>6.5174999999999992</v>
      </c>
      <c r="H33" s="25">
        <f t="shared" si="8"/>
        <v>3.7242857142857142</v>
      </c>
      <c r="I33" s="25">
        <f t="shared" si="9"/>
        <v>2.7932142857142854</v>
      </c>
      <c r="J33" s="155">
        <v>18.62142857142857</v>
      </c>
      <c r="K33" s="66">
        <v>105991.94</v>
      </c>
      <c r="L33" s="66">
        <v>29904.868785714287</v>
      </c>
      <c r="M33" s="67" t="s">
        <v>151</v>
      </c>
      <c r="N33" s="25">
        <v>68206</v>
      </c>
      <c r="O33" s="27" t="s">
        <v>134</v>
      </c>
      <c r="P33" s="97" t="s">
        <v>150</v>
      </c>
      <c r="Q33" s="99">
        <f t="shared" si="12"/>
        <v>9.5999999999999992E-3</v>
      </c>
      <c r="R33" s="48"/>
      <c r="S33" s="48"/>
      <c r="T33" s="49"/>
      <c r="U33" s="51"/>
      <c r="V33" s="48"/>
      <c r="W33" s="48"/>
      <c r="X33" s="49"/>
      <c r="Y33" s="51"/>
      <c r="Z33" s="48"/>
      <c r="AA33" s="48"/>
      <c r="AB33" s="49"/>
      <c r="AC33" s="51"/>
      <c r="AD33" s="42"/>
      <c r="AE33" s="42"/>
      <c r="AF33" s="59"/>
      <c r="AG33" s="51"/>
      <c r="AH33" s="42"/>
      <c r="AI33" s="42"/>
      <c r="AJ33" s="59"/>
    </row>
    <row r="34" spans="1:36" ht="30" x14ac:dyDescent="0.25">
      <c r="A34" s="25">
        <v>257</v>
      </c>
      <c r="B34" s="39">
        <v>7.0535714285714285E-2</v>
      </c>
      <c r="C34" s="39">
        <v>1E-3</v>
      </c>
      <c r="D34" s="25">
        <v>4</v>
      </c>
      <c r="E34" s="25" t="s">
        <v>33</v>
      </c>
      <c r="F34" s="25">
        <f t="shared" si="6"/>
        <v>5.5864285714285709</v>
      </c>
      <c r="G34" s="25">
        <f t="shared" si="7"/>
        <v>6.5174999999999992</v>
      </c>
      <c r="H34" s="25">
        <f t="shared" si="8"/>
        <v>3.7242857142857142</v>
      </c>
      <c r="I34" s="25">
        <f t="shared" si="9"/>
        <v>2.7932142857142854</v>
      </c>
      <c r="J34" s="155">
        <v>18.62142857142857</v>
      </c>
      <c r="K34" s="66">
        <v>105991.94</v>
      </c>
      <c r="L34" s="66">
        <v>29904.868785714287</v>
      </c>
      <c r="M34" s="25" t="s">
        <v>116</v>
      </c>
      <c r="N34" s="25">
        <v>68206</v>
      </c>
      <c r="O34" s="27" t="s">
        <v>134</v>
      </c>
      <c r="P34" s="97" t="s">
        <v>152</v>
      </c>
      <c r="Q34" s="99">
        <f t="shared" si="12"/>
        <v>2.9999999999999997E-4</v>
      </c>
      <c r="R34" s="48"/>
      <c r="S34" s="48"/>
      <c r="T34" s="49"/>
      <c r="U34" s="51"/>
      <c r="V34" s="48"/>
      <c r="W34" s="48"/>
      <c r="X34" s="49"/>
      <c r="Y34" s="51"/>
      <c r="Z34" s="48"/>
      <c r="AA34" s="48"/>
      <c r="AB34" s="49"/>
      <c r="AC34" s="51"/>
      <c r="AD34" s="42"/>
      <c r="AE34" s="42"/>
      <c r="AF34" s="59"/>
      <c r="AG34" s="51"/>
      <c r="AH34" s="42"/>
      <c r="AI34" s="42"/>
      <c r="AJ34" s="59"/>
    </row>
    <row r="35" spans="1:36" ht="30" x14ac:dyDescent="0.25">
      <c r="A35" s="25">
        <v>258</v>
      </c>
      <c r="B35" s="39">
        <v>7.0535714285714285E-2</v>
      </c>
      <c r="C35" s="39">
        <v>1E-3</v>
      </c>
      <c r="D35" s="25">
        <v>4</v>
      </c>
      <c r="E35" s="25" t="s">
        <v>33</v>
      </c>
      <c r="F35" s="25">
        <f t="shared" si="6"/>
        <v>5.5864285714285709</v>
      </c>
      <c r="G35" s="25">
        <f t="shared" si="7"/>
        <v>6.5174999999999992</v>
      </c>
      <c r="H35" s="25">
        <f t="shared" si="8"/>
        <v>3.7242857142857142</v>
      </c>
      <c r="I35" s="25">
        <f t="shared" si="9"/>
        <v>2.7932142857142854</v>
      </c>
      <c r="J35" s="155">
        <v>18.62142857142857</v>
      </c>
      <c r="K35" s="66">
        <v>105991.94</v>
      </c>
      <c r="L35" s="66">
        <v>29904.868785714287</v>
      </c>
      <c r="M35" s="25" t="s">
        <v>116</v>
      </c>
      <c r="N35" s="25">
        <v>68206</v>
      </c>
      <c r="O35" s="27" t="s">
        <v>134</v>
      </c>
      <c r="P35" s="97" t="s">
        <v>152</v>
      </c>
      <c r="Q35" s="99">
        <f t="shared" si="12"/>
        <v>2.9999999999999997E-4</v>
      </c>
      <c r="R35" s="48"/>
      <c r="S35" s="48"/>
      <c r="T35" s="49"/>
      <c r="U35" s="51"/>
      <c r="V35" s="48"/>
      <c r="W35" s="48"/>
      <c r="X35" s="49"/>
      <c r="Y35" s="51"/>
      <c r="Z35" s="48"/>
      <c r="AA35" s="48"/>
      <c r="AB35" s="49"/>
      <c r="AC35" s="51"/>
      <c r="AD35" s="42"/>
      <c r="AE35" s="42"/>
      <c r="AF35" s="59"/>
      <c r="AG35" s="51"/>
      <c r="AH35" s="42"/>
      <c r="AI35" s="42"/>
      <c r="AJ35" s="59"/>
    </row>
    <row r="36" spans="1:36" x14ac:dyDescent="0.25">
      <c r="A36" s="25">
        <v>259</v>
      </c>
      <c r="B36" s="39">
        <v>0.28214285714285714</v>
      </c>
      <c r="C36" s="39">
        <v>0.16300000000000001</v>
      </c>
      <c r="D36" s="25">
        <v>1</v>
      </c>
      <c r="E36" s="25" t="s">
        <v>33</v>
      </c>
      <c r="F36" s="25">
        <f t="shared" si="6"/>
        <v>5.0785714285714283</v>
      </c>
      <c r="G36" s="25">
        <f t="shared" si="7"/>
        <v>5.9249999999999989</v>
      </c>
      <c r="H36" s="25">
        <f t="shared" si="8"/>
        <v>3.3857142857142857</v>
      </c>
      <c r="I36" s="25">
        <f t="shared" si="9"/>
        <v>2.5392857142857141</v>
      </c>
      <c r="J36" s="155">
        <v>16.928571428571427</v>
      </c>
      <c r="K36" s="66">
        <v>105991.94</v>
      </c>
      <c r="L36" s="66">
        <v>29904.868785714287</v>
      </c>
      <c r="M36" s="25" t="s">
        <v>154</v>
      </c>
      <c r="N36" s="25">
        <v>68206</v>
      </c>
      <c r="O36" s="27" t="s">
        <v>134</v>
      </c>
      <c r="P36" s="97" t="s">
        <v>153</v>
      </c>
      <c r="Q36" s="99">
        <f t="shared" si="12"/>
        <v>4.8899999999999999E-2</v>
      </c>
      <c r="R36" s="48"/>
      <c r="S36" s="48"/>
      <c r="T36" s="49"/>
      <c r="U36" s="51"/>
      <c r="V36" s="48"/>
      <c r="W36" s="48"/>
      <c r="X36" s="49"/>
      <c r="Y36" s="51"/>
      <c r="Z36" s="48"/>
      <c r="AA36" s="48"/>
      <c r="AB36" s="49"/>
      <c r="AC36" s="51"/>
      <c r="AD36" s="42"/>
      <c r="AE36" s="42"/>
      <c r="AF36" s="59"/>
      <c r="AG36" s="51"/>
      <c r="AH36" s="42"/>
      <c r="AI36" s="42"/>
      <c r="AJ36" s="59"/>
    </row>
    <row r="37" spans="1:36" x14ac:dyDescent="0.25">
      <c r="A37" s="25">
        <v>260</v>
      </c>
      <c r="B37" s="39">
        <v>6.4123376623376619E-3</v>
      </c>
      <c r="C37" s="39">
        <v>9.7000000000000003E-2</v>
      </c>
      <c r="D37" s="25">
        <v>44</v>
      </c>
      <c r="E37" s="25" t="s">
        <v>33</v>
      </c>
      <c r="F37" s="25">
        <f t="shared" si="6"/>
        <v>7.1946428571428571</v>
      </c>
      <c r="G37" s="25">
        <f t="shared" si="7"/>
        <v>8.3937499999999989</v>
      </c>
      <c r="H37" s="25">
        <f t="shared" si="8"/>
        <v>4.7964285714285717</v>
      </c>
      <c r="I37" s="25">
        <f t="shared" si="9"/>
        <v>3.5973214285714286</v>
      </c>
      <c r="J37" s="155">
        <v>23.982142857142858</v>
      </c>
      <c r="K37" s="66">
        <v>105991.94</v>
      </c>
      <c r="L37" s="66">
        <v>29904.868785714287</v>
      </c>
      <c r="M37" s="25" t="s">
        <v>155</v>
      </c>
      <c r="N37" s="25">
        <v>68206</v>
      </c>
      <c r="O37" s="27" t="s">
        <v>134</v>
      </c>
      <c r="P37" s="97" t="s">
        <v>111</v>
      </c>
      <c r="Q37" s="99">
        <f t="shared" si="12"/>
        <v>2.9100000000000001E-2</v>
      </c>
      <c r="R37" s="48"/>
      <c r="S37" s="48"/>
      <c r="T37" s="49"/>
      <c r="U37" s="51"/>
      <c r="V37" s="48"/>
      <c r="W37" s="48"/>
      <c r="X37" s="49"/>
      <c r="Y37" s="51"/>
      <c r="Z37" s="48"/>
      <c r="AA37" s="48"/>
      <c r="AB37" s="49"/>
      <c r="AC37" s="51"/>
      <c r="AD37" s="42"/>
      <c r="AE37" s="42"/>
      <c r="AF37" s="59"/>
      <c r="AG37" s="51"/>
      <c r="AH37" s="42"/>
      <c r="AI37" s="42"/>
      <c r="AJ37" s="59"/>
    </row>
    <row r="38" spans="1:36" hidden="1" x14ac:dyDescent="0.25">
      <c r="A38" s="71"/>
      <c r="B38" s="87"/>
      <c r="C38" s="87"/>
      <c r="D38" s="87"/>
      <c r="E38" s="87"/>
      <c r="F38" s="87"/>
      <c r="G38" s="87"/>
      <c r="H38" s="87"/>
      <c r="I38" s="87"/>
      <c r="J38" s="156"/>
      <c r="K38" s="87"/>
      <c r="L38" s="87"/>
      <c r="M38" s="87"/>
      <c r="N38" s="87">
        <v>72355</v>
      </c>
      <c r="O38" s="87"/>
      <c r="P38" s="88"/>
      <c r="Q38" s="20"/>
      <c r="R38" s="8"/>
      <c r="S38" s="8"/>
      <c r="T38" s="21"/>
      <c r="U38" s="113"/>
      <c r="V38" s="109"/>
      <c r="W38" s="145"/>
      <c r="X38" s="110"/>
      <c r="Y38" s="113"/>
      <c r="Z38" s="109"/>
      <c r="AA38" s="145"/>
      <c r="AB38" s="110"/>
      <c r="AC38" s="113"/>
      <c r="AD38" s="109"/>
      <c r="AE38" s="145"/>
      <c r="AF38" s="110"/>
      <c r="AG38" s="113"/>
      <c r="AH38" s="109"/>
      <c r="AI38" s="145"/>
      <c r="AJ38" s="110"/>
    </row>
    <row r="39" spans="1:36" x14ac:dyDescent="0.25">
      <c r="A39" s="25">
        <v>262</v>
      </c>
      <c r="B39" s="25">
        <v>3.51</v>
      </c>
      <c r="C39" s="25">
        <f>B39*D39</f>
        <v>3.51</v>
      </c>
      <c r="D39" s="25">
        <v>1</v>
      </c>
      <c r="E39" s="25" t="s">
        <v>33</v>
      </c>
      <c r="F39" s="25">
        <f t="shared" ref="F39:F56" si="13">J39*0.3</f>
        <v>36.854999999999997</v>
      </c>
      <c r="G39" s="25">
        <f t="shared" ref="G39:G56" si="14">J39*0.35</f>
        <v>42.997499999999995</v>
      </c>
      <c r="H39" s="25">
        <f t="shared" ref="H39:H56" si="15">J39*0.2</f>
        <v>24.57</v>
      </c>
      <c r="I39" s="25">
        <f t="shared" ref="I39:I56" si="16">J39*0.15</f>
        <v>18.427499999999998</v>
      </c>
      <c r="J39" s="39">
        <v>122.85</v>
      </c>
      <c r="K39" s="157">
        <v>105991.94</v>
      </c>
      <c r="L39" s="157">
        <v>372031.70939999999</v>
      </c>
      <c r="M39" s="25"/>
      <c r="N39" s="25">
        <v>72355</v>
      </c>
      <c r="O39" s="27" t="s">
        <v>216</v>
      </c>
      <c r="P39" s="29" t="s">
        <v>215</v>
      </c>
      <c r="Q39" s="99">
        <f t="shared" si="12"/>
        <v>1.0529999999999999</v>
      </c>
      <c r="R39" s="109"/>
      <c r="S39" s="109"/>
      <c r="T39" s="110"/>
      <c r="U39" s="103"/>
      <c r="V39" s="146"/>
      <c r="W39" s="145"/>
      <c r="X39" s="110"/>
      <c r="Y39" s="103"/>
      <c r="Z39" s="146"/>
      <c r="AA39" s="145"/>
      <c r="AB39" s="110"/>
      <c r="AC39" s="103"/>
      <c r="AD39" s="102"/>
      <c r="AE39" s="144"/>
      <c r="AF39" s="21"/>
      <c r="AG39" s="103"/>
      <c r="AH39" s="102"/>
      <c r="AI39" s="144"/>
      <c r="AJ39" s="21"/>
    </row>
    <row r="40" spans="1:36" x14ac:dyDescent="0.25">
      <c r="A40" s="25">
        <v>263</v>
      </c>
      <c r="B40" s="25">
        <v>1E-3</v>
      </c>
      <c r="C40" s="25">
        <f t="shared" ref="C40:C56" si="17">B40*D40</f>
        <v>1E-3</v>
      </c>
      <c r="D40" s="25">
        <v>1</v>
      </c>
      <c r="E40" s="25" t="s">
        <v>33</v>
      </c>
      <c r="F40" s="25">
        <f t="shared" si="13"/>
        <v>1.7999999999999999E-2</v>
      </c>
      <c r="G40" s="25">
        <f t="shared" si="14"/>
        <v>2.0999999999999998E-2</v>
      </c>
      <c r="H40" s="25">
        <f t="shared" si="15"/>
        <v>1.2E-2</v>
      </c>
      <c r="I40" s="25">
        <f t="shared" si="16"/>
        <v>8.9999999999999993E-3</v>
      </c>
      <c r="J40" s="39">
        <v>0.06</v>
      </c>
      <c r="K40" s="157">
        <v>105991.94</v>
      </c>
      <c r="L40" s="157">
        <v>105.99194</v>
      </c>
      <c r="M40" s="25"/>
      <c r="N40" s="25">
        <v>72355</v>
      </c>
      <c r="O40" s="27" t="s">
        <v>216</v>
      </c>
      <c r="P40" s="29" t="s">
        <v>217</v>
      </c>
      <c r="Q40" s="99">
        <f t="shared" si="12"/>
        <v>2.9999999999999997E-4</v>
      </c>
      <c r="R40" s="109"/>
      <c r="S40" s="109"/>
      <c r="T40" s="110"/>
      <c r="U40" s="113"/>
      <c r="V40" s="109"/>
      <c r="W40" s="109"/>
      <c r="X40" s="110"/>
      <c r="Y40" s="113"/>
      <c r="Z40" s="109"/>
      <c r="AA40" s="109"/>
      <c r="AB40" s="110"/>
      <c r="AC40" s="113"/>
      <c r="AD40" s="8"/>
      <c r="AE40" s="8"/>
      <c r="AF40" s="21"/>
      <c r="AG40" s="113"/>
      <c r="AH40" s="8"/>
      <c r="AI40" s="8"/>
      <c r="AJ40" s="21"/>
    </row>
    <row r="41" spans="1:36" x14ac:dyDescent="0.25">
      <c r="A41" s="25">
        <v>264</v>
      </c>
      <c r="B41" s="25">
        <v>1E-3</v>
      </c>
      <c r="C41" s="25">
        <f t="shared" si="17"/>
        <v>1E-3</v>
      </c>
      <c r="D41" s="25">
        <v>1</v>
      </c>
      <c r="E41" s="25" t="s">
        <v>33</v>
      </c>
      <c r="F41" s="25">
        <f t="shared" si="13"/>
        <v>1.7999999999999999E-2</v>
      </c>
      <c r="G41" s="25">
        <f t="shared" si="14"/>
        <v>2.0999999999999998E-2</v>
      </c>
      <c r="H41" s="25">
        <f t="shared" si="15"/>
        <v>1.2E-2</v>
      </c>
      <c r="I41" s="25">
        <f t="shared" si="16"/>
        <v>8.9999999999999993E-3</v>
      </c>
      <c r="J41" s="39">
        <v>0.06</v>
      </c>
      <c r="K41" s="157">
        <v>105991.94</v>
      </c>
      <c r="L41" s="157">
        <v>105.99194</v>
      </c>
      <c r="M41" s="25"/>
      <c r="N41" s="25">
        <v>72355</v>
      </c>
      <c r="O41" s="27" t="s">
        <v>216</v>
      </c>
      <c r="P41" s="29" t="s">
        <v>218</v>
      </c>
      <c r="Q41" s="99">
        <f t="shared" si="12"/>
        <v>2.9999999999999997E-4</v>
      </c>
      <c r="R41" s="109"/>
      <c r="S41" s="109"/>
      <c r="T41" s="110"/>
      <c r="U41" s="113"/>
      <c r="V41" s="109"/>
      <c r="W41" s="109"/>
      <c r="X41" s="110"/>
      <c r="Y41" s="113"/>
      <c r="Z41" s="109"/>
      <c r="AA41" s="109"/>
      <c r="AB41" s="110"/>
      <c r="AC41" s="113"/>
      <c r="AD41" s="8"/>
      <c r="AE41" s="8"/>
      <c r="AF41" s="21"/>
      <c r="AG41" s="113"/>
      <c r="AH41" s="8"/>
      <c r="AI41" s="8"/>
      <c r="AJ41" s="21"/>
    </row>
    <row r="42" spans="1:36" x14ac:dyDescent="0.25">
      <c r="A42" s="25">
        <v>265</v>
      </c>
      <c r="B42" s="25">
        <v>3.0000000000000001E-3</v>
      </c>
      <c r="C42" s="25">
        <f t="shared" si="17"/>
        <v>3.0000000000000001E-3</v>
      </c>
      <c r="D42" s="25">
        <v>1</v>
      </c>
      <c r="E42" s="25" t="s">
        <v>33</v>
      </c>
      <c r="F42" s="25">
        <f t="shared" si="13"/>
        <v>5.3999999999999999E-2</v>
      </c>
      <c r="G42" s="25">
        <f t="shared" si="14"/>
        <v>6.3E-2</v>
      </c>
      <c r="H42" s="25">
        <f t="shared" si="15"/>
        <v>3.5999999999999997E-2</v>
      </c>
      <c r="I42" s="25">
        <f t="shared" si="16"/>
        <v>2.7E-2</v>
      </c>
      <c r="J42" s="39">
        <v>0.18</v>
      </c>
      <c r="K42" s="157">
        <v>105991.94</v>
      </c>
      <c r="L42" s="157">
        <v>317.97582</v>
      </c>
      <c r="M42" s="25"/>
      <c r="N42" s="25">
        <v>72355</v>
      </c>
      <c r="O42" s="27" t="s">
        <v>216</v>
      </c>
      <c r="P42" s="97" t="s">
        <v>219</v>
      </c>
      <c r="Q42" s="99">
        <f t="shared" si="12"/>
        <v>8.9999999999999998E-4</v>
      </c>
      <c r="R42" s="109"/>
      <c r="S42" s="109"/>
      <c r="T42" s="110"/>
      <c r="U42" s="113"/>
      <c r="V42" s="109"/>
      <c r="W42" s="109"/>
      <c r="X42" s="110"/>
      <c r="Y42" s="113"/>
      <c r="Z42" s="109"/>
      <c r="AA42" s="109"/>
      <c r="AB42" s="110"/>
      <c r="AC42" s="113"/>
      <c r="AD42" s="8"/>
      <c r="AE42" s="8"/>
      <c r="AF42" s="21"/>
      <c r="AG42" s="113"/>
      <c r="AH42" s="8"/>
      <c r="AI42" s="8"/>
      <c r="AJ42" s="21"/>
    </row>
    <row r="43" spans="1:36" x14ac:dyDescent="0.25">
      <c r="A43" s="25">
        <v>266</v>
      </c>
      <c r="B43" s="25">
        <v>3.0000000000000001E-3</v>
      </c>
      <c r="C43" s="25">
        <f t="shared" si="17"/>
        <v>3.0000000000000001E-3</v>
      </c>
      <c r="D43" s="25">
        <v>1</v>
      </c>
      <c r="E43" s="25" t="s">
        <v>33</v>
      </c>
      <c r="F43" s="25">
        <f t="shared" si="13"/>
        <v>5.3999999999999999E-2</v>
      </c>
      <c r="G43" s="25">
        <f t="shared" si="14"/>
        <v>6.3E-2</v>
      </c>
      <c r="H43" s="25">
        <f t="shared" si="15"/>
        <v>3.5999999999999997E-2</v>
      </c>
      <c r="I43" s="25">
        <f t="shared" si="16"/>
        <v>2.7E-2</v>
      </c>
      <c r="J43" s="39">
        <v>0.18</v>
      </c>
      <c r="K43" s="157">
        <v>105991.94</v>
      </c>
      <c r="L43" s="157">
        <v>317.97582</v>
      </c>
      <c r="M43" s="25"/>
      <c r="N43" s="25">
        <v>72355</v>
      </c>
      <c r="O43" s="27" t="s">
        <v>216</v>
      </c>
      <c r="P43" s="97" t="s">
        <v>220</v>
      </c>
      <c r="Q43" s="99">
        <f t="shared" si="12"/>
        <v>8.9999999999999998E-4</v>
      </c>
      <c r="R43" s="109"/>
      <c r="S43" s="109"/>
      <c r="T43" s="110"/>
      <c r="U43" s="113"/>
      <c r="V43" s="109"/>
      <c r="W43" s="109"/>
      <c r="X43" s="110"/>
      <c r="Y43" s="113"/>
      <c r="Z43" s="109"/>
      <c r="AA43" s="109"/>
      <c r="AB43" s="110"/>
      <c r="AC43" s="113"/>
      <c r="AD43" s="8"/>
      <c r="AE43" s="8"/>
      <c r="AF43" s="21"/>
      <c r="AG43" s="113"/>
      <c r="AH43" s="8"/>
      <c r="AI43" s="8"/>
      <c r="AJ43" s="21"/>
    </row>
    <row r="44" spans="1:36" x14ac:dyDescent="0.25">
      <c r="A44" s="25">
        <v>267</v>
      </c>
      <c r="B44" s="25">
        <v>1E-3</v>
      </c>
      <c r="C44" s="25">
        <f t="shared" si="17"/>
        <v>1.6E-2</v>
      </c>
      <c r="D44" s="25">
        <v>16</v>
      </c>
      <c r="E44" s="25" t="s">
        <v>33</v>
      </c>
      <c r="F44" s="25">
        <f t="shared" si="13"/>
        <v>0.28799999999999998</v>
      </c>
      <c r="G44" s="25">
        <f t="shared" si="14"/>
        <v>0.33599999999999997</v>
      </c>
      <c r="H44" s="25">
        <f t="shared" si="15"/>
        <v>0.192</v>
      </c>
      <c r="I44" s="25">
        <f t="shared" si="16"/>
        <v>0.14399999999999999</v>
      </c>
      <c r="J44" s="39">
        <v>0.96</v>
      </c>
      <c r="K44" s="157">
        <v>105991.94</v>
      </c>
      <c r="L44" s="157">
        <v>1695.87104</v>
      </c>
      <c r="M44" s="25"/>
      <c r="N44" s="25">
        <v>72355</v>
      </c>
      <c r="O44" s="27" t="s">
        <v>216</v>
      </c>
      <c r="P44" s="97" t="s">
        <v>221</v>
      </c>
      <c r="Q44" s="99">
        <f t="shared" si="12"/>
        <v>4.7999999999999996E-3</v>
      </c>
      <c r="R44" s="109"/>
      <c r="S44" s="109"/>
      <c r="T44" s="110"/>
      <c r="U44" s="113"/>
      <c r="V44" s="109"/>
      <c r="W44" s="109"/>
      <c r="X44" s="110"/>
      <c r="Y44" s="113"/>
      <c r="Z44" s="109"/>
      <c r="AA44" s="109"/>
      <c r="AB44" s="110"/>
      <c r="AC44" s="113"/>
      <c r="AD44" s="8"/>
      <c r="AE44" s="8"/>
      <c r="AF44" s="21"/>
      <c r="AG44" s="113"/>
      <c r="AH44" s="8"/>
      <c r="AI44" s="8"/>
      <c r="AJ44" s="21"/>
    </row>
    <row r="45" spans="1:36" x14ac:dyDescent="0.25">
      <c r="A45" s="25">
        <v>268</v>
      </c>
      <c r="B45" s="25">
        <v>1E-3</v>
      </c>
      <c r="C45" s="25">
        <f t="shared" si="17"/>
        <v>0.02</v>
      </c>
      <c r="D45" s="25">
        <v>20</v>
      </c>
      <c r="E45" s="25" t="s">
        <v>33</v>
      </c>
      <c r="F45" s="25">
        <f t="shared" si="13"/>
        <v>0.36</v>
      </c>
      <c r="G45" s="25">
        <f t="shared" si="14"/>
        <v>0.42</v>
      </c>
      <c r="H45" s="25">
        <f t="shared" si="15"/>
        <v>0.24</v>
      </c>
      <c r="I45" s="25">
        <f t="shared" si="16"/>
        <v>0.18</v>
      </c>
      <c r="J45" s="39">
        <v>1.2</v>
      </c>
      <c r="K45" s="157">
        <v>105991.94</v>
      </c>
      <c r="L45" s="157">
        <v>2119.8388</v>
      </c>
      <c r="M45" s="25"/>
      <c r="N45" s="25">
        <v>72355</v>
      </c>
      <c r="O45" s="27" t="s">
        <v>216</v>
      </c>
      <c r="P45" s="97" t="s">
        <v>222</v>
      </c>
      <c r="Q45" s="99">
        <f t="shared" si="12"/>
        <v>6.0000000000000001E-3</v>
      </c>
      <c r="R45" s="109"/>
      <c r="S45" s="109"/>
      <c r="T45" s="110"/>
      <c r="U45" s="113"/>
      <c r="V45" s="109"/>
      <c r="W45" s="109"/>
      <c r="X45" s="110"/>
      <c r="Y45" s="113"/>
      <c r="Z45" s="109"/>
      <c r="AA45" s="109"/>
      <c r="AB45" s="110"/>
      <c r="AC45" s="113"/>
      <c r="AD45" s="8"/>
      <c r="AE45" s="8"/>
      <c r="AF45" s="21"/>
      <c r="AG45" s="113"/>
      <c r="AH45" s="8"/>
      <c r="AI45" s="8"/>
      <c r="AJ45" s="21"/>
    </row>
    <row r="46" spans="1:36" x14ac:dyDescent="0.25">
      <c r="A46" s="25">
        <v>269</v>
      </c>
      <c r="B46" s="25">
        <v>1E-4</v>
      </c>
      <c r="C46" s="25">
        <f t="shared" si="17"/>
        <v>1.4E-2</v>
      </c>
      <c r="D46" s="25">
        <v>140</v>
      </c>
      <c r="E46" s="25" t="s">
        <v>33</v>
      </c>
      <c r="F46" s="25">
        <f t="shared" si="13"/>
        <v>0.252</v>
      </c>
      <c r="G46" s="25">
        <f t="shared" si="14"/>
        <v>0.29399999999999998</v>
      </c>
      <c r="H46" s="25">
        <f t="shared" si="15"/>
        <v>0.16800000000000001</v>
      </c>
      <c r="I46" s="25">
        <f t="shared" si="16"/>
        <v>0.126</v>
      </c>
      <c r="J46" s="39">
        <v>0.84</v>
      </c>
      <c r="K46" s="157">
        <v>105991.94</v>
      </c>
      <c r="L46" s="157">
        <v>1483.88716</v>
      </c>
      <c r="M46" s="25"/>
      <c r="N46" s="25">
        <v>72355</v>
      </c>
      <c r="O46" s="27" t="s">
        <v>216</v>
      </c>
      <c r="P46" s="97" t="s">
        <v>223</v>
      </c>
      <c r="Q46" s="99">
        <f t="shared" si="12"/>
        <v>4.1999999999999997E-3</v>
      </c>
      <c r="R46" s="109"/>
      <c r="S46" s="109"/>
      <c r="T46" s="110"/>
      <c r="U46" s="113"/>
      <c r="V46" s="109"/>
      <c r="W46" s="109"/>
      <c r="X46" s="110"/>
      <c r="Y46" s="113"/>
      <c r="Z46" s="109"/>
      <c r="AA46" s="109"/>
      <c r="AB46" s="110"/>
      <c r="AC46" s="113"/>
      <c r="AD46" s="8"/>
      <c r="AE46" s="8"/>
      <c r="AF46" s="21"/>
      <c r="AG46" s="113"/>
      <c r="AH46" s="8"/>
      <c r="AI46" s="8"/>
      <c r="AJ46" s="21"/>
    </row>
    <row r="47" spans="1:36" x14ac:dyDescent="0.25">
      <c r="A47" s="25">
        <v>270</v>
      </c>
      <c r="B47" s="25">
        <v>1E-3</v>
      </c>
      <c r="C47" s="25">
        <f t="shared" si="17"/>
        <v>3.2000000000000001E-2</v>
      </c>
      <c r="D47" s="25">
        <v>32</v>
      </c>
      <c r="E47" s="25" t="s">
        <v>33</v>
      </c>
      <c r="F47" s="25">
        <f t="shared" si="13"/>
        <v>0.57599999999999996</v>
      </c>
      <c r="G47" s="25">
        <f t="shared" si="14"/>
        <v>0.67199999999999993</v>
      </c>
      <c r="H47" s="25">
        <f t="shared" si="15"/>
        <v>0.38400000000000001</v>
      </c>
      <c r="I47" s="25">
        <f t="shared" si="16"/>
        <v>0.28799999999999998</v>
      </c>
      <c r="J47" s="39">
        <v>1.92</v>
      </c>
      <c r="K47" s="157">
        <v>105991.94</v>
      </c>
      <c r="L47" s="157">
        <v>3391.74208</v>
      </c>
      <c r="M47" s="25"/>
      <c r="N47" s="25">
        <v>72355</v>
      </c>
      <c r="O47" s="27" t="s">
        <v>216</v>
      </c>
      <c r="P47" s="97" t="s">
        <v>224</v>
      </c>
      <c r="Q47" s="99">
        <f t="shared" si="12"/>
        <v>9.5999999999999992E-3</v>
      </c>
      <c r="R47" s="109"/>
      <c r="S47" s="109"/>
      <c r="T47" s="110"/>
      <c r="U47" s="113"/>
      <c r="V47" s="109"/>
      <c r="W47" s="109"/>
      <c r="X47" s="110"/>
      <c r="Y47" s="113"/>
      <c r="Z47" s="109"/>
      <c r="AA47" s="109"/>
      <c r="AB47" s="110"/>
      <c r="AC47" s="113"/>
      <c r="AD47" s="8"/>
      <c r="AE47" s="8"/>
      <c r="AF47" s="21"/>
      <c r="AG47" s="113"/>
      <c r="AH47" s="8"/>
      <c r="AI47" s="8"/>
      <c r="AJ47" s="21"/>
    </row>
    <row r="48" spans="1:36" x14ac:dyDescent="0.25">
      <c r="A48" s="25">
        <v>271</v>
      </c>
      <c r="B48" s="25">
        <v>3.51</v>
      </c>
      <c r="C48" s="25">
        <f>B48*D48</f>
        <v>3.51</v>
      </c>
      <c r="D48" s="25">
        <v>1</v>
      </c>
      <c r="E48" s="25" t="s">
        <v>33</v>
      </c>
      <c r="F48" s="25">
        <f t="shared" si="13"/>
        <v>36.854999999999997</v>
      </c>
      <c r="G48" s="25">
        <f t="shared" si="14"/>
        <v>42.997499999999995</v>
      </c>
      <c r="H48" s="25">
        <f t="shared" si="15"/>
        <v>24.57</v>
      </c>
      <c r="I48" s="25">
        <f t="shared" si="16"/>
        <v>18.427499999999998</v>
      </c>
      <c r="J48" s="39">
        <v>122.85</v>
      </c>
      <c r="K48" s="157">
        <v>105991.94</v>
      </c>
      <c r="L48" s="157">
        <v>372031.70939999999</v>
      </c>
      <c r="M48" s="25"/>
      <c r="N48" s="25">
        <v>72354</v>
      </c>
      <c r="O48" s="27" t="s">
        <v>216</v>
      </c>
      <c r="P48" s="29" t="s">
        <v>215</v>
      </c>
      <c r="Q48" s="99">
        <f t="shared" ref="Q48:Q56" si="18">C48*0.3</f>
        <v>1.0529999999999999</v>
      </c>
      <c r="R48" s="109"/>
      <c r="S48" s="109"/>
      <c r="T48" s="110"/>
      <c r="U48" s="103"/>
      <c r="V48" s="146"/>
      <c r="W48" s="145"/>
      <c r="X48" s="110"/>
      <c r="Y48" s="103"/>
      <c r="Z48" s="146"/>
      <c r="AA48" s="145"/>
      <c r="AB48" s="110"/>
      <c r="AC48" s="103"/>
      <c r="AD48" s="102"/>
      <c r="AE48" s="144"/>
      <c r="AF48" s="21"/>
      <c r="AG48" s="103"/>
      <c r="AH48" s="102"/>
      <c r="AI48" s="144"/>
      <c r="AJ48" s="21"/>
    </row>
    <row r="49" spans="1:36" x14ac:dyDescent="0.25">
      <c r="A49" s="25">
        <v>272</v>
      </c>
      <c r="B49" s="25">
        <v>1E-3</v>
      </c>
      <c r="C49" s="25">
        <f t="shared" si="17"/>
        <v>1E-3</v>
      </c>
      <c r="D49" s="25">
        <v>1</v>
      </c>
      <c r="E49" s="25" t="s">
        <v>33</v>
      </c>
      <c r="F49" s="25">
        <f t="shared" si="13"/>
        <v>1.7999999999999999E-2</v>
      </c>
      <c r="G49" s="25">
        <f t="shared" si="14"/>
        <v>2.0999999999999998E-2</v>
      </c>
      <c r="H49" s="25">
        <f t="shared" si="15"/>
        <v>1.2E-2</v>
      </c>
      <c r="I49" s="25">
        <f t="shared" si="16"/>
        <v>8.9999999999999993E-3</v>
      </c>
      <c r="J49" s="39">
        <v>0.06</v>
      </c>
      <c r="K49" s="157">
        <v>105991.94</v>
      </c>
      <c r="L49" s="157">
        <v>105.99194</v>
      </c>
      <c r="M49" s="25"/>
      <c r="N49" s="25">
        <v>72354</v>
      </c>
      <c r="O49" s="27" t="s">
        <v>216</v>
      </c>
      <c r="P49" s="29" t="s">
        <v>217</v>
      </c>
      <c r="Q49" s="99">
        <f t="shared" si="18"/>
        <v>2.9999999999999997E-4</v>
      </c>
      <c r="R49" s="109"/>
      <c r="S49" s="109"/>
      <c r="T49" s="110"/>
      <c r="U49" s="113"/>
      <c r="V49" s="109"/>
      <c r="W49" s="109"/>
      <c r="X49" s="110"/>
      <c r="Y49" s="113"/>
      <c r="Z49" s="109"/>
      <c r="AA49" s="109"/>
      <c r="AB49" s="110"/>
      <c r="AC49" s="113"/>
      <c r="AD49" s="8"/>
      <c r="AE49" s="8"/>
      <c r="AF49" s="21"/>
      <c r="AG49" s="113"/>
      <c r="AH49" s="8"/>
      <c r="AI49" s="8"/>
      <c r="AJ49" s="21"/>
    </row>
    <row r="50" spans="1:36" x14ac:dyDescent="0.25">
      <c r="A50" s="25">
        <v>273</v>
      </c>
      <c r="B50" s="25">
        <v>1E-3</v>
      </c>
      <c r="C50" s="25">
        <f t="shared" si="17"/>
        <v>1E-3</v>
      </c>
      <c r="D50" s="25">
        <v>1</v>
      </c>
      <c r="E50" s="25" t="s">
        <v>33</v>
      </c>
      <c r="F50" s="25">
        <f t="shared" si="13"/>
        <v>1.7999999999999999E-2</v>
      </c>
      <c r="G50" s="25">
        <f t="shared" si="14"/>
        <v>2.0999999999999998E-2</v>
      </c>
      <c r="H50" s="25">
        <f t="shared" si="15"/>
        <v>1.2E-2</v>
      </c>
      <c r="I50" s="25">
        <f t="shared" si="16"/>
        <v>8.9999999999999993E-3</v>
      </c>
      <c r="J50" s="39">
        <v>0.06</v>
      </c>
      <c r="K50" s="157">
        <v>105991.94</v>
      </c>
      <c r="L50" s="157">
        <v>105.99194</v>
      </c>
      <c r="M50" s="25"/>
      <c r="N50" s="25">
        <v>72354</v>
      </c>
      <c r="O50" s="27" t="s">
        <v>216</v>
      </c>
      <c r="P50" s="29" t="s">
        <v>218</v>
      </c>
      <c r="Q50" s="99">
        <f t="shared" si="18"/>
        <v>2.9999999999999997E-4</v>
      </c>
      <c r="R50" s="109"/>
      <c r="S50" s="109"/>
      <c r="T50" s="110"/>
      <c r="U50" s="113"/>
      <c r="V50" s="109"/>
      <c r="W50" s="109"/>
      <c r="X50" s="110"/>
      <c r="Y50" s="113"/>
      <c r="Z50" s="109"/>
      <c r="AA50" s="109"/>
      <c r="AB50" s="110"/>
      <c r="AC50" s="113"/>
      <c r="AD50" s="8"/>
      <c r="AE50" s="8"/>
      <c r="AF50" s="21"/>
      <c r="AG50" s="113"/>
      <c r="AH50" s="8"/>
      <c r="AI50" s="8"/>
      <c r="AJ50" s="21"/>
    </row>
    <row r="51" spans="1:36" x14ac:dyDescent="0.25">
      <c r="A51" s="25">
        <v>274</v>
      </c>
      <c r="B51" s="25">
        <v>3.0000000000000001E-3</v>
      </c>
      <c r="C51" s="25">
        <f t="shared" si="17"/>
        <v>3.0000000000000001E-3</v>
      </c>
      <c r="D51" s="25">
        <v>1</v>
      </c>
      <c r="E51" s="25" t="s">
        <v>33</v>
      </c>
      <c r="F51" s="25">
        <f t="shared" si="13"/>
        <v>5.3999999999999999E-2</v>
      </c>
      <c r="G51" s="25">
        <f t="shared" si="14"/>
        <v>6.3E-2</v>
      </c>
      <c r="H51" s="25">
        <f t="shared" si="15"/>
        <v>3.5999999999999997E-2</v>
      </c>
      <c r="I51" s="25">
        <f t="shared" si="16"/>
        <v>2.7E-2</v>
      </c>
      <c r="J51" s="39">
        <v>0.18</v>
      </c>
      <c r="K51" s="157">
        <v>105991.94</v>
      </c>
      <c r="L51" s="157">
        <v>317.97582</v>
      </c>
      <c r="M51" s="25"/>
      <c r="N51" s="25">
        <v>72354</v>
      </c>
      <c r="O51" s="27" t="s">
        <v>216</v>
      </c>
      <c r="P51" s="97" t="s">
        <v>219</v>
      </c>
      <c r="Q51" s="99">
        <f t="shared" si="18"/>
        <v>8.9999999999999998E-4</v>
      </c>
      <c r="R51" s="109"/>
      <c r="S51" s="109"/>
      <c r="T51" s="110"/>
      <c r="U51" s="113"/>
      <c r="V51" s="109"/>
      <c r="W51" s="109"/>
      <c r="X51" s="110"/>
      <c r="Y51" s="113"/>
      <c r="Z51" s="109"/>
      <c r="AA51" s="109"/>
      <c r="AB51" s="110"/>
      <c r="AC51" s="113"/>
      <c r="AD51" s="8"/>
      <c r="AE51" s="8"/>
      <c r="AF51" s="21"/>
      <c r="AG51" s="113"/>
      <c r="AH51" s="8"/>
      <c r="AI51" s="8"/>
      <c r="AJ51" s="21"/>
    </row>
    <row r="52" spans="1:36" x14ac:dyDescent="0.25">
      <c r="A52" s="25">
        <v>275</v>
      </c>
      <c r="B52" s="25">
        <v>3.0000000000000001E-3</v>
      </c>
      <c r="C52" s="25">
        <f t="shared" si="17"/>
        <v>3.0000000000000001E-3</v>
      </c>
      <c r="D52" s="25">
        <v>1</v>
      </c>
      <c r="E52" s="25" t="s">
        <v>33</v>
      </c>
      <c r="F52" s="25">
        <f t="shared" si="13"/>
        <v>5.3999999999999999E-2</v>
      </c>
      <c r="G52" s="25">
        <f t="shared" si="14"/>
        <v>6.3E-2</v>
      </c>
      <c r="H52" s="25">
        <f t="shared" si="15"/>
        <v>3.5999999999999997E-2</v>
      </c>
      <c r="I52" s="25">
        <f t="shared" si="16"/>
        <v>2.7E-2</v>
      </c>
      <c r="J52" s="39">
        <v>0.18</v>
      </c>
      <c r="K52" s="157">
        <v>105991.94</v>
      </c>
      <c r="L52" s="157">
        <v>317.97582</v>
      </c>
      <c r="M52" s="25"/>
      <c r="N52" s="25">
        <v>72354</v>
      </c>
      <c r="O52" s="27" t="s">
        <v>216</v>
      </c>
      <c r="P52" s="97" t="s">
        <v>220</v>
      </c>
      <c r="Q52" s="99">
        <f t="shared" si="18"/>
        <v>8.9999999999999998E-4</v>
      </c>
      <c r="R52" s="109"/>
      <c r="S52" s="109"/>
      <c r="T52" s="110"/>
      <c r="U52" s="113"/>
      <c r="V52" s="109"/>
      <c r="W52" s="109"/>
      <c r="X52" s="110"/>
      <c r="Y52" s="113"/>
      <c r="Z52" s="109"/>
      <c r="AA52" s="109"/>
      <c r="AB52" s="110"/>
      <c r="AC52" s="113"/>
      <c r="AD52" s="8"/>
      <c r="AE52" s="8"/>
      <c r="AF52" s="21"/>
      <c r="AG52" s="113"/>
      <c r="AH52" s="8"/>
      <c r="AI52" s="8"/>
      <c r="AJ52" s="21"/>
    </row>
    <row r="53" spans="1:36" x14ac:dyDescent="0.25">
      <c r="A53" s="25">
        <v>276</v>
      </c>
      <c r="B53" s="25">
        <v>1E-3</v>
      </c>
      <c r="C53" s="25">
        <f t="shared" si="17"/>
        <v>1.6E-2</v>
      </c>
      <c r="D53" s="25">
        <v>16</v>
      </c>
      <c r="E53" s="25" t="s">
        <v>33</v>
      </c>
      <c r="F53" s="25">
        <f t="shared" si="13"/>
        <v>0.28799999999999998</v>
      </c>
      <c r="G53" s="25">
        <f t="shared" si="14"/>
        <v>0.33599999999999997</v>
      </c>
      <c r="H53" s="25">
        <f t="shared" si="15"/>
        <v>0.192</v>
      </c>
      <c r="I53" s="25">
        <f t="shared" si="16"/>
        <v>0.14399999999999999</v>
      </c>
      <c r="J53" s="39">
        <v>0.96</v>
      </c>
      <c r="K53" s="157">
        <v>105991.94</v>
      </c>
      <c r="L53" s="157">
        <v>1695.87104</v>
      </c>
      <c r="M53" s="25"/>
      <c r="N53" s="25">
        <v>72354</v>
      </c>
      <c r="O53" s="27" t="s">
        <v>216</v>
      </c>
      <c r="P53" s="97" t="s">
        <v>221</v>
      </c>
      <c r="Q53" s="99">
        <f t="shared" si="18"/>
        <v>4.7999999999999996E-3</v>
      </c>
      <c r="R53" s="109"/>
      <c r="S53" s="109"/>
      <c r="T53" s="110"/>
      <c r="U53" s="113"/>
      <c r="V53" s="109"/>
      <c r="W53" s="109"/>
      <c r="X53" s="110"/>
      <c r="Y53" s="113"/>
      <c r="Z53" s="109"/>
      <c r="AA53" s="109"/>
      <c r="AB53" s="110"/>
      <c r="AC53" s="113"/>
      <c r="AD53" s="8"/>
      <c r="AE53" s="8"/>
      <c r="AF53" s="21"/>
      <c r="AG53" s="113"/>
      <c r="AH53" s="8"/>
      <c r="AI53" s="8"/>
      <c r="AJ53" s="21"/>
    </row>
    <row r="54" spans="1:36" x14ac:dyDescent="0.25">
      <c r="A54" s="25">
        <v>277</v>
      </c>
      <c r="B54" s="25">
        <v>1E-3</v>
      </c>
      <c r="C54" s="25">
        <f t="shared" si="17"/>
        <v>0.02</v>
      </c>
      <c r="D54" s="25">
        <v>20</v>
      </c>
      <c r="E54" s="25" t="s">
        <v>33</v>
      </c>
      <c r="F54" s="25">
        <f t="shared" si="13"/>
        <v>0.36</v>
      </c>
      <c r="G54" s="25">
        <f t="shared" si="14"/>
        <v>0.42</v>
      </c>
      <c r="H54" s="25">
        <f t="shared" si="15"/>
        <v>0.24</v>
      </c>
      <c r="I54" s="25">
        <f t="shared" si="16"/>
        <v>0.18</v>
      </c>
      <c r="J54" s="39">
        <v>1.2</v>
      </c>
      <c r="K54" s="157">
        <v>105991.94</v>
      </c>
      <c r="L54" s="157">
        <v>2119.8388</v>
      </c>
      <c r="M54" s="25"/>
      <c r="N54" s="25">
        <v>72354</v>
      </c>
      <c r="O54" s="27" t="s">
        <v>216</v>
      </c>
      <c r="P54" s="97" t="s">
        <v>222</v>
      </c>
      <c r="Q54" s="99">
        <f t="shared" si="18"/>
        <v>6.0000000000000001E-3</v>
      </c>
      <c r="R54" s="109"/>
      <c r="S54" s="109"/>
      <c r="T54" s="110"/>
      <c r="U54" s="113"/>
      <c r="V54" s="109"/>
      <c r="W54" s="109"/>
      <c r="X54" s="110"/>
      <c r="Y54" s="113"/>
      <c r="Z54" s="109"/>
      <c r="AA54" s="109"/>
      <c r="AB54" s="110"/>
      <c r="AC54" s="113"/>
      <c r="AD54" s="8"/>
      <c r="AE54" s="8"/>
      <c r="AF54" s="21"/>
      <c r="AG54" s="113"/>
      <c r="AH54" s="8"/>
      <c r="AI54" s="8"/>
      <c r="AJ54" s="21"/>
    </row>
    <row r="55" spans="1:36" x14ac:dyDescent="0.25">
      <c r="A55" s="25">
        <v>278</v>
      </c>
      <c r="B55" s="25">
        <v>1E-4</v>
      </c>
      <c r="C55" s="25">
        <f t="shared" si="17"/>
        <v>1.4E-2</v>
      </c>
      <c r="D55" s="25">
        <v>140</v>
      </c>
      <c r="E55" s="25" t="s">
        <v>33</v>
      </c>
      <c r="F55" s="25">
        <f t="shared" si="13"/>
        <v>0.252</v>
      </c>
      <c r="G55" s="25">
        <f t="shared" si="14"/>
        <v>0.29399999999999998</v>
      </c>
      <c r="H55" s="25">
        <f t="shared" si="15"/>
        <v>0.16800000000000001</v>
      </c>
      <c r="I55" s="25">
        <f t="shared" si="16"/>
        <v>0.126</v>
      </c>
      <c r="J55" s="39">
        <v>0.84</v>
      </c>
      <c r="K55" s="157">
        <v>105991.94</v>
      </c>
      <c r="L55" s="157">
        <v>1483.88716</v>
      </c>
      <c r="M55" s="25"/>
      <c r="N55" s="25">
        <v>72354</v>
      </c>
      <c r="O55" s="27" t="s">
        <v>216</v>
      </c>
      <c r="P55" s="97" t="s">
        <v>223</v>
      </c>
      <c r="Q55" s="99">
        <f t="shared" si="18"/>
        <v>4.1999999999999997E-3</v>
      </c>
      <c r="R55" s="109"/>
      <c r="S55" s="109"/>
      <c r="T55" s="110"/>
      <c r="U55" s="113"/>
      <c r="V55" s="109"/>
      <c r="W55" s="109"/>
      <c r="X55" s="110"/>
      <c r="Y55" s="113"/>
      <c r="Z55" s="109"/>
      <c r="AA55" s="109"/>
      <c r="AB55" s="110"/>
      <c r="AC55" s="113"/>
      <c r="AD55" s="8"/>
      <c r="AE55" s="8"/>
      <c r="AF55" s="21"/>
      <c r="AG55" s="113"/>
      <c r="AH55" s="8"/>
      <c r="AI55" s="8"/>
      <c r="AJ55" s="21"/>
    </row>
    <row r="56" spans="1:36" ht="15.75" thickBot="1" x14ac:dyDescent="0.3">
      <c r="A56" s="25">
        <v>279</v>
      </c>
      <c r="B56" s="25">
        <v>1E-3</v>
      </c>
      <c r="C56" s="25">
        <f t="shared" si="17"/>
        <v>3.2000000000000001E-2</v>
      </c>
      <c r="D56" s="25">
        <v>32</v>
      </c>
      <c r="E56" s="25" t="s">
        <v>33</v>
      </c>
      <c r="F56" s="25">
        <f t="shared" si="13"/>
        <v>0.57599999999999996</v>
      </c>
      <c r="G56" s="25">
        <f t="shared" si="14"/>
        <v>0.67199999999999993</v>
      </c>
      <c r="H56" s="25">
        <f t="shared" si="15"/>
        <v>0.38400000000000001</v>
      </c>
      <c r="I56" s="25">
        <f t="shared" si="16"/>
        <v>0.28799999999999998</v>
      </c>
      <c r="J56" s="39">
        <v>1.92</v>
      </c>
      <c r="K56" s="157">
        <v>105991.94</v>
      </c>
      <c r="L56" s="157">
        <v>3391.74208</v>
      </c>
      <c r="M56" s="25"/>
      <c r="N56" s="25">
        <v>72354</v>
      </c>
      <c r="O56" s="27" t="s">
        <v>216</v>
      </c>
      <c r="P56" s="97" t="s">
        <v>224</v>
      </c>
      <c r="Q56" s="99">
        <f t="shared" si="18"/>
        <v>9.5999999999999992E-3</v>
      </c>
      <c r="R56" s="115"/>
      <c r="S56" s="115"/>
      <c r="T56" s="116"/>
      <c r="U56" s="114"/>
      <c r="V56" s="115"/>
      <c r="W56" s="115"/>
      <c r="X56" s="116"/>
      <c r="Y56" s="114"/>
      <c r="Z56" s="115"/>
      <c r="AA56" s="115"/>
      <c r="AB56" s="116"/>
      <c r="AC56" s="114"/>
      <c r="AD56" s="96"/>
      <c r="AE56" s="96"/>
      <c r="AF56" s="22"/>
      <c r="AG56" s="114"/>
      <c r="AH56" s="96"/>
      <c r="AI56" s="96"/>
      <c r="AJ56" s="22"/>
    </row>
    <row r="57" spans="1:36" x14ac:dyDescent="0.25"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</row>
    <row r="58" spans="1:36" x14ac:dyDescent="0.25"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</row>
    <row r="59" spans="1:36" x14ac:dyDescent="0.25"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</row>
    <row r="60" spans="1:36" x14ac:dyDescent="0.25"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</row>
    <row r="61" spans="1:36" x14ac:dyDescent="0.25"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</row>
    <row r="62" spans="1:36" x14ac:dyDescent="0.25"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</row>
    <row r="63" spans="1:36" x14ac:dyDescent="0.25"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</row>
    <row r="64" spans="1:36" x14ac:dyDescent="0.25"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</row>
    <row r="65" spans="17:36" x14ac:dyDescent="0.25"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</row>
    <row r="66" spans="17:36" x14ac:dyDescent="0.25"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</row>
    <row r="67" spans="17:36" x14ac:dyDescent="0.25"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</row>
    <row r="68" spans="17:36" x14ac:dyDescent="0.25"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</row>
    <row r="69" spans="17:36" x14ac:dyDescent="0.25"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</row>
    <row r="70" spans="17:36" x14ac:dyDescent="0.25"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</row>
    <row r="71" spans="17:36" x14ac:dyDescent="0.25"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</row>
    <row r="72" spans="17:36" x14ac:dyDescent="0.25"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</row>
    <row r="73" spans="17:36" x14ac:dyDescent="0.25"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</row>
    <row r="74" spans="17:36" x14ac:dyDescent="0.25"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</row>
    <row r="75" spans="17:36" x14ac:dyDescent="0.25"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</row>
    <row r="76" spans="17:36" x14ac:dyDescent="0.25"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</row>
    <row r="77" spans="17:36" x14ac:dyDescent="0.25"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</row>
    <row r="78" spans="17:36" x14ac:dyDescent="0.25"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</row>
    <row r="79" spans="17:36" x14ac:dyDescent="0.25"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</row>
    <row r="80" spans="17:36" x14ac:dyDescent="0.25"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</row>
    <row r="81" spans="17:36" x14ac:dyDescent="0.25"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</row>
    <row r="82" spans="17:36" x14ac:dyDescent="0.25"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</row>
    <row r="83" spans="17:36" x14ac:dyDescent="0.25"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</row>
    <row r="84" spans="17:36" x14ac:dyDescent="0.25"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</row>
    <row r="85" spans="17:36" x14ac:dyDescent="0.25"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</row>
    <row r="86" spans="17:36" x14ac:dyDescent="0.25"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</row>
    <row r="87" spans="17:36" x14ac:dyDescent="0.25"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</row>
    <row r="88" spans="17:36" x14ac:dyDescent="0.25"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</row>
    <row r="89" spans="17:36" x14ac:dyDescent="0.25"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</row>
    <row r="90" spans="17:36" x14ac:dyDescent="0.25"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</row>
    <row r="91" spans="17:36" x14ac:dyDescent="0.25"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</row>
    <row r="92" spans="17:36" x14ac:dyDescent="0.25"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</row>
    <row r="93" spans="17:36" x14ac:dyDescent="0.25"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</row>
    <row r="94" spans="17:36" x14ac:dyDescent="0.25"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</row>
    <row r="95" spans="17:36" x14ac:dyDescent="0.25"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</row>
    <row r="96" spans="17:36" x14ac:dyDescent="0.25"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</row>
    <row r="97" spans="17:36" x14ac:dyDescent="0.25"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</row>
    <row r="98" spans="17:36" x14ac:dyDescent="0.25"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</row>
    <row r="99" spans="17:36" x14ac:dyDescent="0.25"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</row>
    <row r="100" spans="17:36" x14ac:dyDescent="0.25"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</row>
    <row r="101" spans="17:36" x14ac:dyDescent="0.25"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</row>
    <row r="102" spans="17:36" x14ac:dyDescent="0.25"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</row>
    <row r="103" spans="17:36" x14ac:dyDescent="0.25"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</row>
    <row r="104" spans="17:36" x14ac:dyDescent="0.25"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</row>
    <row r="105" spans="17:36" x14ac:dyDescent="0.25"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</row>
    <row r="106" spans="17:36" x14ac:dyDescent="0.25"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</row>
    <row r="107" spans="17:36" x14ac:dyDescent="0.25"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</row>
    <row r="108" spans="17:36" x14ac:dyDescent="0.25"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</row>
    <row r="109" spans="17:36" x14ac:dyDescent="0.25"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</row>
    <row r="110" spans="17:36" x14ac:dyDescent="0.25"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</row>
    <row r="111" spans="17:36" x14ac:dyDescent="0.25"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</row>
    <row r="112" spans="17:36" x14ac:dyDescent="0.25"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</row>
    <row r="113" spans="17:36" x14ac:dyDescent="0.25"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</row>
    <row r="114" spans="17:36" x14ac:dyDescent="0.25"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</row>
    <row r="115" spans="17:36" x14ac:dyDescent="0.25"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</row>
    <row r="116" spans="17:36" x14ac:dyDescent="0.25"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</row>
    <row r="117" spans="17:36" x14ac:dyDescent="0.25"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</row>
    <row r="118" spans="17:36" x14ac:dyDescent="0.25"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</row>
    <row r="119" spans="17:36" x14ac:dyDescent="0.25"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</row>
    <row r="120" spans="17:36" x14ac:dyDescent="0.25"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</row>
    <row r="121" spans="17:36" x14ac:dyDescent="0.25"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</row>
    <row r="122" spans="17:36" x14ac:dyDescent="0.25"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</row>
    <row r="123" spans="17:36" x14ac:dyDescent="0.25"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</row>
    <row r="124" spans="17:36" x14ac:dyDescent="0.25"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</row>
    <row r="125" spans="17:36" x14ac:dyDescent="0.25"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</row>
    <row r="126" spans="17:36" x14ac:dyDescent="0.25"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</row>
    <row r="127" spans="17:36" x14ac:dyDescent="0.25"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</row>
    <row r="128" spans="17:36" x14ac:dyDescent="0.25"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</row>
    <row r="129" spans="17:36" x14ac:dyDescent="0.25"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</row>
    <row r="130" spans="17:36" x14ac:dyDescent="0.25"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</row>
    <row r="131" spans="17:36" x14ac:dyDescent="0.25"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</row>
    <row r="132" spans="17:36" x14ac:dyDescent="0.25"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</row>
    <row r="133" spans="17:36" x14ac:dyDescent="0.25"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</row>
    <row r="134" spans="17:36" x14ac:dyDescent="0.25"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</row>
    <row r="135" spans="17:36" x14ac:dyDescent="0.25"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</row>
    <row r="136" spans="17:36" x14ac:dyDescent="0.25"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</row>
    <row r="137" spans="17:36" x14ac:dyDescent="0.25"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</row>
    <row r="138" spans="17:36" x14ac:dyDescent="0.25"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</row>
    <row r="139" spans="17:36" x14ac:dyDescent="0.25"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</row>
    <row r="140" spans="17:36" x14ac:dyDescent="0.25"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</row>
    <row r="141" spans="17:36" x14ac:dyDescent="0.25"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</row>
    <row r="142" spans="17:36" x14ac:dyDescent="0.25"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</row>
    <row r="143" spans="17:36" x14ac:dyDescent="0.25"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</row>
    <row r="144" spans="17:36" x14ac:dyDescent="0.25"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</row>
    <row r="145" spans="17:36" x14ac:dyDescent="0.25"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</row>
    <row r="146" spans="17:36" x14ac:dyDescent="0.25"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</row>
    <row r="147" spans="17:36" x14ac:dyDescent="0.25"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</row>
    <row r="148" spans="17:36" x14ac:dyDescent="0.25"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</row>
    <row r="149" spans="17:36" x14ac:dyDescent="0.25"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</row>
    <row r="150" spans="17:36" x14ac:dyDescent="0.25"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</row>
    <row r="151" spans="17:36" x14ac:dyDescent="0.25"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</row>
    <row r="152" spans="17:36" x14ac:dyDescent="0.25"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</row>
    <row r="153" spans="17:36" x14ac:dyDescent="0.25"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</row>
    <row r="154" spans="17:36" x14ac:dyDescent="0.25"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</row>
    <row r="155" spans="17:36" x14ac:dyDescent="0.25"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</row>
    <row r="156" spans="17:36" x14ac:dyDescent="0.25"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</row>
    <row r="157" spans="17:36" x14ac:dyDescent="0.25"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</row>
    <row r="158" spans="17:36" x14ac:dyDescent="0.25"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</row>
    <row r="159" spans="17:36" x14ac:dyDescent="0.25"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</row>
    <row r="160" spans="17:36" x14ac:dyDescent="0.25"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</row>
    <row r="161" spans="17:36" x14ac:dyDescent="0.25"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</row>
    <row r="162" spans="17:36" x14ac:dyDescent="0.25"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</row>
    <row r="163" spans="17:36" x14ac:dyDescent="0.25"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</row>
    <row r="164" spans="17:36" x14ac:dyDescent="0.25"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</row>
    <row r="165" spans="17:36" x14ac:dyDescent="0.25"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</row>
    <row r="166" spans="17:36" x14ac:dyDescent="0.25"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</row>
    <row r="167" spans="17:36" x14ac:dyDescent="0.25"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</row>
    <row r="168" spans="17:36" x14ac:dyDescent="0.25"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</row>
    <row r="169" spans="17:36" x14ac:dyDescent="0.25"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</row>
    <row r="170" spans="17:36" x14ac:dyDescent="0.25"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</row>
    <row r="171" spans="17:36" x14ac:dyDescent="0.25"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</row>
    <row r="172" spans="17:36" x14ac:dyDescent="0.25"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</row>
    <row r="173" spans="17:36" x14ac:dyDescent="0.25"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</row>
    <row r="174" spans="17:36" x14ac:dyDescent="0.25"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</row>
    <row r="175" spans="17:36" x14ac:dyDescent="0.25"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</row>
    <row r="176" spans="17:36" x14ac:dyDescent="0.25"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</row>
    <row r="177" spans="17:36" x14ac:dyDescent="0.25"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</row>
    <row r="178" spans="17:36" x14ac:dyDescent="0.25"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</row>
    <row r="179" spans="17:36" x14ac:dyDescent="0.25"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</row>
    <row r="180" spans="17:36" x14ac:dyDescent="0.25"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</row>
    <row r="181" spans="17:36" x14ac:dyDescent="0.25"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</row>
    <row r="182" spans="17:36" x14ac:dyDescent="0.25"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</row>
    <row r="183" spans="17:36" x14ac:dyDescent="0.25"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</row>
    <row r="184" spans="17:36" x14ac:dyDescent="0.25"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</row>
    <row r="185" spans="17:36" x14ac:dyDescent="0.25"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</row>
  </sheetData>
  <autoFilter ref="B3:O56" xr:uid="{00000000-0009-0000-0000-000001000000}">
    <filterColumn colId="12">
      <colorFilter dxfId="11"/>
    </filterColumn>
  </autoFilter>
  <mergeCells count="5">
    <mergeCell ref="Q1:T1"/>
    <mergeCell ref="U1:X1"/>
    <mergeCell ref="Y1:AB1"/>
    <mergeCell ref="AC1:AF1"/>
    <mergeCell ref="AG1:AJ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V249"/>
  <sheetViews>
    <sheetView zoomScale="70" zoomScaleNormal="70" workbookViewId="0">
      <pane ySplit="3" topLeftCell="A58" activePane="bottomLeft" state="frozen"/>
      <selection pane="bottomLeft" activeCell="X4" sqref="X4:X64"/>
    </sheetView>
  </sheetViews>
  <sheetFormatPr defaultRowHeight="15" x14ac:dyDescent="0.25"/>
  <cols>
    <col min="2" max="2" width="28.28515625" hidden="1" customWidth="1"/>
    <col min="3" max="3" width="39.7109375" hidden="1" customWidth="1"/>
    <col min="4" max="4" width="39.5703125" customWidth="1"/>
    <col min="5" max="5" width="25.85546875" hidden="1" customWidth="1"/>
    <col min="6" max="6" width="31.28515625" style="17" customWidth="1"/>
    <col min="7" max="7" width="18.7109375" style="17" hidden="1" customWidth="1"/>
    <col min="8" max="9" width="21.28515625" style="17" hidden="1" customWidth="1"/>
    <col min="10" max="10" width="10.5703125" style="17" customWidth="1"/>
    <col min="11" max="11" width="10.28515625" style="17" customWidth="1"/>
    <col min="12" max="12" width="6.85546875" style="17" customWidth="1"/>
    <col min="13" max="13" width="6.7109375" style="17" customWidth="1"/>
    <col min="14" max="14" width="6.85546875" style="17" customWidth="1"/>
    <col min="15" max="15" width="7.5703125" style="17" customWidth="1"/>
    <col min="16" max="16" width="7" style="17" customWidth="1"/>
    <col min="17" max="17" width="7.28515625" style="17" customWidth="1"/>
    <col min="18" max="18" width="12.140625" style="17" customWidth="1"/>
    <col min="19" max="20" width="21.28515625" style="17" hidden="1" customWidth="1"/>
    <col min="21" max="21" width="12.28515625" style="17" hidden="1" customWidth="1"/>
    <col min="22" max="22" width="21.28515625" style="17" hidden="1" customWidth="1"/>
    <col min="23" max="23" width="15" style="17" customWidth="1"/>
    <col min="24" max="24" width="10" style="17" customWidth="1"/>
    <col min="25" max="25" width="10.28515625" style="17" hidden="1" customWidth="1"/>
    <col min="26" max="26" width="35.42578125" style="23" hidden="1" customWidth="1"/>
    <col min="27" max="27" width="11.7109375" hidden="1" customWidth="1"/>
    <col min="28" max="28" width="10.28515625" style="180" hidden="1" customWidth="1"/>
    <col min="29" max="29" width="8" style="32" hidden="1" customWidth="1"/>
    <col min="30" max="30" width="6.7109375" style="32" hidden="1" customWidth="1"/>
    <col min="31" max="31" width="6.42578125" style="32" hidden="1" customWidth="1"/>
    <col min="32" max="32" width="6.28515625" style="32" hidden="1" customWidth="1"/>
    <col min="33" max="33" width="6.42578125" style="32" hidden="1" customWidth="1"/>
    <col min="34" max="34" width="6.7109375" style="32" hidden="1" customWidth="1"/>
    <col min="35" max="35" width="6.42578125" style="32" hidden="1" customWidth="1"/>
    <col min="36" max="36" width="6.28515625" style="32" hidden="1" customWidth="1"/>
    <col min="37" max="37" width="6.42578125" style="32" hidden="1" customWidth="1"/>
    <col min="38" max="38" width="8.28515625" style="32" hidden="1" customWidth="1"/>
    <col min="39" max="39" width="6.42578125" style="32" hidden="1" customWidth="1"/>
    <col min="40" max="40" width="6.28515625" style="32" hidden="1" customWidth="1"/>
    <col min="41" max="41" width="6.42578125" style="32" customWidth="1"/>
    <col min="42" max="42" width="7.7109375" style="32" customWidth="1"/>
    <col min="43" max="43" width="6.42578125" style="32" customWidth="1"/>
    <col min="44" max="44" width="6.28515625" style="32" customWidth="1"/>
    <col min="45" max="45" width="6.42578125" style="32" customWidth="1"/>
    <col min="46" max="46" width="7.7109375" style="32" customWidth="1"/>
    <col min="47" max="47" width="6.42578125" style="32" customWidth="1"/>
    <col min="48" max="48" width="6.28515625" style="32" customWidth="1"/>
  </cols>
  <sheetData>
    <row r="1" spans="1:48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33" t="s">
        <v>503</v>
      </c>
      <c r="O1" s="133" t="s">
        <v>504</v>
      </c>
      <c r="P1" s="133" t="s">
        <v>505</v>
      </c>
      <c r="Q1" s="133" t="s">
        <v>506</v>
      </c>
      <c r="R1" s="107" t="s">
        <v>13</v>
      </c>
      <c r="S1" s="1" t="s">
        <v>14</v>
      </c>
      <c r="T1" s="1" t="s">
        <v>15</v>
      </c>
      <c r="U1" s="2" t="s">
        <v>16</v>
      </c>
      <c r="V1" s="2" t="s">
        <v>17</v>
      </c>
      <c r="W1" s="3" t="s">
        <v>18</v>
      </c>
      <c r="X1" s="1" t="s">
        <v>19</v>
      </c>
      <c r="Y1" s="1" t="s">
        <v>20</v>
      </c>
      <c r="Z1" s="4" t="s">
        <v>21</v>
      </c>
      <c r="AA1" s="5" t="s">
        <v>22</v>
      </c>
      <c r="AB1" s="179" t="s">
        <v>23</v>
      </c>
      <c r="AC1" s="452" t="s">
        <v>160</v>
      </c>
      <c r="AD1" s="453"/>
      <c r="AE1" s="453"/>
      <c r="AF1" s="454"/>
      <c r="AG1" s="452" t="s">
        <v>258</v>
      </c>
      <c r="AH1" s="453"/>
      <c r="AI1" s="453"/>
      <c r="AJ1" s="454"/>
      <c r="AK1" s="452" t="s">
        <v>646</v>
      </c>
      <c r="AL1" s="453"/>
      <c r="AM1" s="453"/>
      <c r="AN1" s="454"/>
      <c r="AO1" s="452" t="s">
        <v>979</v>
      </c>
      <c r="AP1" s="453"/>
      <c r="AQ1" s="453"/>
      <c r="AR1" s="454"/>
      <c r="AS1" s="452" t="s">
        <v>1145</v>
      </c>
      <c r="AT1" s="453"/>
      <c r="AU1" s="453"/>
      <c r="AV1" s="454"/>
    </row>
    <row r="2" spans="1:48" x14ac:dyDescent="0.25">
      <c r="A2" s="1"/>
      <c r="B2" s="1"/>
      <c r="C2" s="1"/>
      <c r="D2" s="1"/>
      <c r="E2" s="2"/>
      <c r="F2" s="1"/>
      <c r="G2" s="1"/>
      <c r="H2" s="1"/>
      <c r="I2" s="1"/>
      <c r="J2" s="1"/>
      <c r="K2" s="1"/>
      <c r="L2" s="1"/>
      <c r="M2" s="1"/>
      <c r="N2" s="133"/>
      <c r="O2" s="133"/>
      <c r="P2" s="133"/>
      <c r="Q2" s="133"/>
      <c r="R2" s="107"/>
      <c r="S2" s="1"/>
      <c r="T2" s="1"/>
      <c r="U2" s="2"/>
      <c r="V2" s="2"/>
      <c r="W2" s="3"/>
      <c r="X2" s="1"/>
      <c r="Y2" s="1"/>
      <c r="Z2" s="4"/>
      <c r="AA2" s="5"/>
      <c r="AB2" s="179"/>
      <c r="AC2" s="36">
        <v>0.3</v>
      </c>
      <c r="AD2" s="36">
        <v>0.35</v>
      </c>
      <c r="AE2" s="36">
        <v>0.2</v>
      </c>
      <c r="AF2" s="36">
        <v>0.15</v>
      </c>
      <c r="AG2" s="36">
        <v>0.3</v>
      </c>
      <c r="AH2" s="36">
        <v>0.35</v>
      </c>
      <c r="AI2" s="36">
        <v>0.2</v>
      </c>
      <c r="AJ2" s="36">
        <v>0.15</v>
      </c>
      <c r="AK2" s="36">
        <v>0.3</v>
      </c>
      <c r="AL2" s="36">
        <v>0.35</v>
      </c>
      <c r="AM2" s="36">
        <v>0.2</v>
      </c>
      <c r="AN2" s="36">
        <v>0.15</v>
      </c>
      <c r="AO2" s="36">
        <v>0.3</v>
      </c>
      <c r="AP2" s="36">
        <v>0.35</v>
      </c>
      <c r="AQ2" s="36">
        <v>0.2</v>
      </c>
      <c r="AR2" s="36">
        <v>0.15</v>
      </c>
      <c r="AS2" s="36">
        <v>0.3</v>
      </c>
      <c r="AT2" s="36">
        <v>0.35</v>
      </c>
      <c r="AU2" s="36">
        <v>0.2</v>
      </c>
      <c r="AV2" s="36">
        <v>0.15</v>
      </c>
    </row>
    <row r="3" spans="1:48" x14ac:dyDescent="0.25">
      <c r="A3" s="1"/>
      <c r="B3" s="1"/>
      <c r="C3" s="1"/>
      <c r="D3" s="1"/>
      <c r="E3" s="2"/>
      <c r="F3" s="1"/>
      <c r="G3" s="1"/>
      <c r="H3" s="1"/>
      <c r="I3" s="1"/>
      <c r="J3" s="1"/>
      <c r="K3" s="1"/>
      <c r="L3" s="1"/>
      <c r="M3" s="1"/>
      <c r="N3" s="133"/>
      <c r="O3" s="133"/>
      <c r="P3" s="133"/>
      <c r="Q3" s="133"/>
      <c r="R3" s="107"/>
      <c r="S3" s="1"/>
      <c r="T3" s="1"/>
      <c r="U3" s="2"/>
      <c r="V3" s="2"/>
      <c r="W3" s="3"/>
      <c r="X3" s="1"/>
      <c r="Y3" s="1"/>
      <c r="Z3" s="4"/>
      <c r="AA3" s="5"/>
      <c r="AB3" s="179"/>
      <c r="AC3" s="91">
        <f t="shared" ref="AC3:AJ3" si="0">SUM(AC4:AC64)</f>
        <v>12.428999999999998</v>
      </c>
      <c r="AD3" s="91">
        <f t="shared" si="0"/>
        <v>0</v>
      </c>
      <c r="AE3" s="91">
        <f t="shared" si="0"/>
        <v>0</v>
      </c>
      <c r="AF3" s="91">
        <f t="shared" si="0"/>
        <v>0</v>
      </c>
      <c r="AG3" s="91">
        <f t="shared" si="0"/>
        <v>4.7699999999999996</v>
      </c>
      <c r="AH3" s="91">
        <f t="shared" si="0"/>
        <v>0</v>
      </c>
      <c r="AI3" s="91">
        <f t="shared" si="0"/>
        <v>0</v>
      </c>
      <c r="AJ3" s="91">
        <f t="shared" si="0"/>
        <v>0</v>
      </c>
      <c r="AK3" s="91">
        <f>SUM(AK4:AK64)</f>
        <v>0</v>
      </c>
      <c r="AL3" s="91">
        <f t="shared" ref="AL3:AN3" si="1">SUM(AL4:AL64)</f>
        <v>19.314106000000002</v>
      </c>
      <c r="AM3" s="91">
        <f t="shared" si="1"/>
        <v>0</v>
      </c>
      <c r="AN3" s="91">
        <f t="shared" si="1"/>
        <v>0</v>
      </c>
      <c r="AO3" s="91">
        <f>SUM(AO4:AO64)</f>
        <v>0</v>
      </c>
      <c r="AP3" s="91">
        <f t="shared" ref="AP3:AR3" si="2">SUM(AP4:AP64)</f>
        <v>0</v>
      </c>
      <c r="AQ3" s="91">
        <f t="shared" si="2"/>
        <v>4.6924000000000001</v>
      </c>
      <c r="AR3" s="91">
        <f t="shared" si="2"/>
        <v>0</v>
      </c>
      <c r="AS3" s="91">
        <f>SUM(AS4:AS64)</f>
        <v>0</v>
      </c>
      <c r="AT3" s="91">
        <f t="shared" ref="AT3:AV3" si="3">SUM(AT4:AT64)</f>
        <v>0</v>
      </c>
      <c r="AU3" s="91">
        <f t="shared" si="3"/>
        <v>0</v>
      </c>
      <c r="AV3" s="91">
        <f t="shared" si="3"/>
        <v>0</v>
      </c>
    </row>
    <row r="4" spans="1:48" ht="45" x14ac:dyDescent="0.25">
      <c r="A4" s="28">
        <v>380</v>
      </c>
      <c r="B4" s="15" t="s">
        <v>28</v>
      </c>
      <c r="C4" s="176" t="s">
        <v>507</v>
      </c>
      <c r="D4" s="147" t="s">
        <v>508</v>
      </c>
      <c r="E4" s="30"/>
      <c r="F4" s="28" t="s">
        <v>164</v>
      </c>
      <c r="G4" s="15"/>
      <c r="H4" s="171" t="s">
        <v>31</v>
      </c>
      <c r="I4" s="15"/>
      <c r="J4" s="149">
        <v>0.5</v>
      </c>
      <c r="K4" s="28">
        <v>0.5</v>
      </c>
      <c r="L4" s="28">
        <v>1</v>
      </c>
      <c r="M4" s="28" t="s">
        <v>33</v>
      </c>
      <c r="N4" s="28">
        <f>R4*0.3</f>
        <v>9.4499999999999993</v>
      </c>
      <c r="O4" s="28">
        <f>R4*0.35</f>
        <v>11.024999999999999</v>
      </c>
      <c r="P4" s="28">
        <f>R4*0.2</f>
        <v>6.3000000000000007</v>
      </c>
      <c r="Q4" s="28">
        <f>R4*0.15</f>
        <v>4.7249999999999996</v>
      </c>
      <c r="R4" s="143">
        <v>31.5</v>
      </c>
      <c r="S4" s="170">
        <v>105991.94</v>
      </c>
      <c r="T4" s="170">
        <v>52995.97</v>
      </c>
      <c r="U4" s="15"/>
      <c r="V4" s="15"/>
      <c r="W4" s="28" t="s">
        <v>165</v>
      </c>
      <c r="X4" s="28">
        <v>70195</v>
      </c>
      <c r="Y4" s="28">
        <v>6.34</v>
      </c>
      <c r="Z4" s="15" t="s">
        <v>164</v>
      </c>
      <c r="AA4" s="178">
        <v>1</v>
      </c>
      <c r="AB4" s="28">
        <v>3735</v>
      </c>
      <c r="AC4" s="94"/>
      <c r="AD4" s="90"/>
      <c r="AE4" s="90"/>
      <c r="AF4" s="112"/>
      <c r="AG4" s="46">
        <f t="shared" ref="AG4:AG9" si="4">K4*0.3</f>
        <v>0.15</v>
      </c>
      <c r="AH4" s="90"/>
      <c r="AI4" s="90"/>
      <c r="AJ4" s="112"/>
      <c r="AK4" s="51"/>
      <c r="AL4" s="41">
        <f>K4*0.35</f>
        <v>0.17499999999999999</v>
      </c>
      <c r="AM4" s="90"/>
      <c r="AN4" s="112"/>
      <c r="AO4" s="51"/>
      <c r="AP4" s="90"/>
      <c r="AQ4" s="266"/>
      <c r="AR4" s="370"/>
      <c r="AS4" s="58"/>
      <c r="AT4" s="34"/>
      <c r="AU4" s="34"/>
      <c r="AV4" s="95"/>
    </row>
    <row r="5" spans="1:48" ht="45" x14ac:dyDescent="0.25">
      <c r="A5" s="28">
        <v>381</v>
      </c>
      <c r="B5" s="15" t="s">
        <v>28</v>
      </c>
      <c r="C5" s="176" t="s">
        <v>507</v>
      </c>
      <c r="D5" s="147" t="s">
        <v>508</v>
      </c>
      <c r="E5" s="30"/>
      <c r="F5" s="28" t="s">
        <v>166</v>
      </c>
      <c r="G5" s="15"/>
      <c r="H5" s="171" t="s">
        <v>31</v>
      </c>
      <c r="I5" s="15"/>
      <c r="J5" s="149">
        <v>1.2</v>
      </c>
      <c r="K5" s="28">
        <v>2.4</v>
      </c>
      <c r="L5" s="28">
        <v>2</v>
      </c>
      <c r="M5" s="28" t="s">
        <v>33</v>
      </c>
      <c r="N5" s="28">
        <f t="shared" ref="N5:N64" si="5">R5*0.3</f>
        <v>28.799999999999997</v>
      </c>
      <c r="O5" s="28">
        <f t="shared" ref="O5:O64" si="6">R5*0.35</f>
        <v>33.599999999999994</v>
      </c>
      <c r="P5" s="28">
        <f t="shared" ref="P5:P64" si="7">R5*0.2</f>
        <v>19.200000000000003</v>
      </c>
      <c r="Q5" s="28">
        <f t="shared" ref="Q5:Q64" si="8">R5*0.15</f>
        <v>14.399999999999999</v>
      </c>
      <c r="R5" s="143">
        <v>96</v>
      </c>
      <c r="S5" s="170">
        <v>105991.94</v>
      </c>
      <c r="T5" s="170">
        <v>254380.65599999999</v>
      </c>
      <c r="U5" s="15"/>
      <c r="V5" s="15"/>
      <c r="W5" s="28" t="s">
        <v>167</v>
      </c>
      <c r="X5" s="28">
        <v>70196</v>
      </c>
      <c r="Y5" s="28">
        <v>6.34</v>
      </c>
      <c r="Z5" s="15" t="s">
        <v>166</v>
      </c>
      <c r="AA5" s="178">
        <v>1</v>
      </c>
      <c r="AB5" s="28">
        <v>3735</v>
      </c>
      <c r="AC5" s="51"/>
      <c r="AD5" s="48"/>
      <c r="AE5" s="48"/>
      <c r="AF5" s="49"/>
      <c r="AG5" s="46">
        <f t="shared" si="4"/>
        <v>0.72</v>
      </c>
      <c r="AH5" s="48"/>
      <c r="AI5" s="48"/>
      <c r="AJ5" s="49"/>
      <c r="AK5" s="51"/>
      <c r="AL5" s="41">
        <f>K5*0.35</f>
        <v>0.84</v>
      </c>
      <c r="AM5" s="48"/>
      <c r="AN5" s="49"/>
      <c r="AO5" s="51"/>
      <c r="AP5" s="48"/>
      <c r="AQ5" s="41">
        <f>K5*0.2</f>
        <v>0.48</v>
      </c>
      <c r="AR5" s="262"/>
      <c r="AS5" s="58"/>
      <c r="AT5" s="42"/>
      <c r="AU5" s="42"/>
      <c r="AV5" s="59"/>
    </row>
    <row r="6" spans="1:48" ht="45" x14ac:dyDescent="0.25">
      <c r="A6" s="28">
        <v>382</v>
      </c>
      <c r="B6" s="15" t="s">
        <v>28</v>
      </c>
      <c r="C6" s="176" t="s">
        <v>507</v>
      </c>
      <c r="D6" s="147" t="s">
        <v>508</v>
      </c>
      <c r="E6" s="30"/>
      <c r="F6" s="28" t="s">
        <v>168</v>
      </c>
      <c r="G6" s="15"/>
      <c r="H6" s="171" t="s">
        <v>31</v>
      </c>
      <c r="I6" s="15"/>
      <c r="J6" s="149">
        <v>0.1525</v>
      </c>
      <c r="K6" s="28">
        <v>0.30499999999999999</v>
      </c>
      <c r="L6" s="28">
        <v>2</v>
      </c>
      <c r="M6" s="28" t="s">
        <v>33</v>
      </c>
      <c r="N6" s="28">
        <f t="shared" si="5"/>
        <v>5.7645</v>
      </c>
      <c r="O6" s="28">
        <f t="shared" si="6"/>
        <v>6.72525</v>
      </c>
      <c r="P6" s="28">
        <f t="shared" si="7"/>
        <v>3.843</v>
      </c>
      <c r="Q6" s="28">
        <f t="shared" si="8"/>
        <v>2.88225</v>
      </c>
      <c r="R6" s="143">
        <v>19.215</v>
      </c>
      <c r="S6" s="170">
        <v>105991.94</v>
      </c>
      <c r="T6" s="170">
        <v>32327.541700000002</v>
      </c>
      <c r="U6" s="15"/>
      <c r="V6" s="15"/>
      <c r="W6" s="28" t="s">
        <v>169</v>
      </c>
      <c r="X6" s="28">
        <v>68155</v>
      </c>
      <c r="Y6" s="28">
        <v>6.34</v>
      </c>
      <c r="Z6" s="15" t="s">
        <v>168</v>
      </c>
      <c r="AA6" s="178">
        <v>1</v>
      </c>
      <c r="AB6" s="28">
        <v>3514</v>
      </c>
      <c r="AC6" s="51"/>
      <c r="AD6" s="48"/>
      <c r="AE6" s="48"/>
      <c r="AF6" s="49"/>
      <c r="AG6" s="46">
        <f t="shared" si="4"/>
        <v>9.1499999999999998E-2</v>
      </c>
      <c r="AH6" s="48"/>
      <c r="AI6" s="48"/>
      <c r="AJ6" s="49"/>
      <c r="AK6" s="51"/>
      <c r="AL6" s="41">
        <f t="shared" ref="AL6:AL10" si="9">K6*0.35</f>
        <v>0.10675</v>
      </c>
      <c r="AM6" s="48"/>
      <c r="AN6" s="49"/>
      <c r="AO6" s="51"/>
      <c r="AP6" s="48"/>
      <c r="AQ6" s="263"/>
      <c r="AR6" s="262"/>
      <c r="AS6" s="58"/>
      <c r="AT6" s="42"/>
      <c r="AU6" s="42"/>
      <c r="AV6" s="59"/>
    </row>
    <row r="7" spans="1:48" ht="45" x14ac:dyDescent="0.25">
      <c r="A7" s="28">
        <v>383</v>
      </c>
      <c r="B7" s="15" t="s">
        <v>28</v>
      </c>
      <c r="C7" s="176" t="s">
        <v>507</v>
      </c>
      <c r="D7" s="147" t="s">
        <v>508</v>
      </c>
      <c r="E7" s="30"/>
      <c r="F7" s="28" t="s">
        <v>111</v>
      </c>
      <c r="G7" s="15"/>
      <c r="H7" s="171" t="s">
        <v>31</v>
      </c>
      <c r="I7" s="15"/>
      <c r="J7" s="149">
        <v>5.7999999999999996E-3</v>
      </c>
      <c r="K7" s="181">
        <v>4.6399999999999997E-2</v>
      </c>
      <c r="L7" s="28">
        <v>8</v>
      </c>
      <c r="M7" s="28" t="s">
        <v>33</v>
      </c>
      <c r="N7" s="28">
        <f t="shared" si="5"/>
        <v>1.1135999999999999</v>
      </c>
      <c r="O7" s="28">
        <f t="shared" si="6"/>
        <v>1.2991999999999999</v>
      </c>
      <c r="P7" s="28">
        <f t="shared" si="7"/>
        <v>0.74239999999999995</v>
      </c>
      <c r="Q7" s="28">
        <f t="shared" si="8"/>
        <v>0.55679999999999996</v>
      </c>
      <c r="R7" s="143">
        <v>3.7119999999999997</v>
      </c>
      <c r="S7" s="170">
        <v>105991.94</v>
      </c>
      <c r="T7" s="170">
        <v>4918.0260159999998</v>
      </c>
      <c r="U7" s="15"/>
      <c r="V7" s="15"/>
      <c r="W7" s="28" t="s">
        <v>170</v>
      </c>
      <c r="X7" s="28">
        <v>68155</v>
      </c>
      <c r="Y7" s="28">
        <v>6.34</v>
      </c>
      <c r="Z7" s="15" t="s">
        <v>111</v>
      </c>
      <c r="AA7" s="178">
        <v>2</v>
      </c>
      <c r="AB7" s="28">
        <v>3514</v>
      </c>
      <c r="AC7" s="51"/>
      <c r="AD7" s="48"/>
      <c r="AE7" s="48"/>
      <c r="AF7" s="49"/>
      <c r="AG7" s="46">
        <f t="shared" si="4"/>
        <v>1.3919999999999998E-2</v>
      </c>
      <c r="AH7" s="48"/>
      <c r="AI7" s="48"/>
      <c r="AJ7" s="49"/>
      <c r="AK7" s="51"/>
      <c r="AL7" s="41">
        <f t="shared" si="9"/>
        <v>1.6239999999999997E-2</v>
      </c>
      <c r="AM7" s="48"/>
      <c r="AN7" s="49"/>
      <c r="AO7" s="51"/>
      <c r="AP7" s="48"/>
      <c r="AQ7" s="263"/>
      <c r="AR7" s="59"/>
      <c r="AS7" s="58"/>
      <c r="AT7" s="42"/>
      <c r="AU7" s="42"/>
      <c r="AV7" s="59"/>
    </row>
    <row r="8" spans="1:48" ht="45" x14ac:dyDescent="0.25">
      <c r="A8" s="28">
        <v>384</v>
      </c>
      <c r="B8" s="15" t="s">
        <v>28</v>
      </c>
      <c r="C8" s="176" t="s">
        <v>507</v>
      </c>
      <c r="D8" s="147" t="s">
        <v>508</v>
      </c>
      <c r="E8" s="30"/>
      <c r="F8" s="28" t="s">
        <v>111</v>
      </c>
      <c r="G8" s="15"/>
      <c r="H8" s="171" t="s">
        <v>31</v>
      </c>
      <c r="I8" s="15"/>
      <c r="J8" s="149">
        <v>1.9E-3</v>
      </c>
      <c r="K8" s="28">
        <v>3.8E-3</v>
      </c>
      <c r="L8" s="28">
        <v>2</v>
      </c>
      <c r="M8" s="28" t="s">
        <v>33</v>
      </c>
      <c r="N8" s="28">
        <f t="shared" si="5"/>
        <v>9.1199999999999989E-2</v>
      </c>
      <c r="O8" s="28">
        <f t="shared" si="6"/>
        <v>0.10639999999999999</v>
      </c>
      <c r="P8" s="28">
        <f t="shared" si="7"/>
        <v>6.08E-2</v>
      </c>
      <c r="Q8" s="28">
        <f t="shared" si="8"/>
        <v>4.5599999999999995E-2</v>
      </c>
      <c r="R8" s="143">
        <v>0.30399999999999999</v>
      </c>
      <c r="S8" s="170">
        <v>105991.94</v>
      </c>
      <c r="T8" s="170">
        <v>402.76937200000003</v>
      </c>
      <c r="U8" s="15"/>
      <c r="V8" s="15"/>
      <c r="W8" s="28" t="s">
        <v>171</v>
      </c>
      <c r="X8" s="28">
        <v>68155</v>
      </c>
      <c r="Y8" s="28">
        <v>6.34</v>
      </c>
      <c r="Z8" s="15" t="s">
        <v>111</v>
      </c>
      <c r="AA8" s="178">
        <v>3</v>
      </c>
      <c r="AB8" s="28">
        <v>3514</v>
      </c>
      <c r="AC8" s="51"/>
      <c r="AD8" s="48"/>
      <c r="AE8" s="48"/>
      <c r="AF8" s="49"/>
      <c r="AG8" s="46">
        <f t="shared" si="4"/>
        <v>1.14E-3</v>
      </c>
      <c r="AH8" s="48"/>
      <c r="AI8" s="48"/>
      <c r="AJ8" s="49"/>
      <c r="AK8" s="51"/>
      <c r="AL8" s="41">
        <f t="shared" si="9"/>
        <v>1.33E-3</v>
      </c>
      <c r="AM8" s="48"/>
      <c r="AN8" s="49"/>
      <c r="AO8" s="51"/>
      <c r="AP8" s="48"/>
      <c r="AQ8" s="263"/>
      <c r="AR8" s="59"/>
      <c r="AS8" s="58"/>
      <c r="AT8" s="42"/>
      <c r="AU8" s="42"/>
      <c r="AV8" s="59"/>
    </row>
    <row r="9" spans="1:48" ht="45" x14ac:dyDescent="0.25">
      <c r="A9" s="28">
        <v>385</v>
      </c>
      <c r="B9" s="15" t="s">
        <v>28</v>
      </c>
      <c r="C9" s="176" t="s">
        <v>507</v>
      </c>
      <c r="D9" s="147" t="s">
        <v>508</v>
      </c>
      <c r="E9" s="30"/>
      <c r="F9" s="28" t="s">
        <v>172</v>
      </c>
      <c r="G9" s="15"/>
      <c r="H9" s="171" t="s">
        <v>31</v>
      </c>
      <c r="I9" s="15"/>
      <c r="J9" s="149">
        <v>2.5700000000000001E-2</v>
      </c>
      <c r="K9" s="28">
        <v>0.1028</v>
      </c>
      <c r="L9" s="28">
        <v>4</v>
      </c>
      <c r="M9" s="28" t="s">
        <v>33</v>
      </c>
      <c r="N9" s="28">
        <f t="shared" si="5"/>
        <v>2.4672000000000001</v>
      </c>
      <c r="O9" s="28">
        <f t="shared" si="6"/>
        <v>2.8784000000000001</v>
      </c>
      <c r="P9" s="28">
        <f t="shared" si="7"/>
        <v>1.6448</v>
      </c>
      <c r="Q9" s="28">
        <f t="shared" si="8"/>
        <v>1.2336</v>
      </c>
      <c r="R9" s="143">
        <v>8.2240000000000002</v>
      </c>
      <c r="S9" s="170">
        <v>105991.94</v>
      </c>
      <c r="T9" s="170">
        <v>10895.971432</v>
      </c>
      <c r="U9" s="15"/>
      <c r="V9" s="15"/>
      <c r="W9" s="28" t="s">
        <v>173</v>
      </c>
      <c r="X9" s="28">
        <v>68155</v>
      </c>
      <c r="Y9" s="28">
        <v>6.34</v>
      </c>
      <c r="Z9" s="15" t="s">
        <v>172</v>
      </c>
      <c r="AA9" s="178">
        <v>4</v>
      </c>
      <c r="AB9" s="28">
        <v>3514</v>
      </c>
      <c r="AC9" s="51"/>
      <c r="AD9" s="48"/>
      <c r="AE9" s="48"/>
      <c r="AF9" s="49"/>
      <c r="AG9" s="46">
        <f t="shared" si="4"/>
        <v>3.0839999999999999E-2</v>
      </c>
      <c r="AH9" s="48"/>
      <c r="AI9" s="48"/>
      <c r="AJ9" s="49"/>
      <c r="AK9" s="51"/>
      <c r="AL9" s="41">
        <f t="shared" si="9"/>
        <v>3.5979999999999998E-2</v>
      </c>
      <c r="AM9" s="48"/>
      <c r="AN9" s="49"/>
      <c r="AO9" s="51"/>
      <c r="AP9" s="48"/>
      <c r="AQ9" s="263"/>
      <c r="AR9" s="59"/>
      <c r="AS9" s="58"/>
      <c r="AT9" s="42"/>
      <c r="AU9" s="42"/>
      <c r="AV9" s="59"/>
    </row>
    <row r="10" spans="1:48" ht="45" x14ac:dyDescent="0.25">
      <c r="A10" s="28">
        <v>386</v>
      </c>
      <c r="B10" s="15" t="s">
        <v>28</v>
      </c>
      <c r="C10" s="176" t="s">
        <v>507</v>
      </c>
      <c r="D10" s="147" t="s">
        <v>508</v>
      </c>
      <c r="E10" s="30"/>
      <c r="F10" s="28" t="s">
        <v>109</v>
      </c>
      <c r="G10" s="15"/>
      <c r="H10" s="171" t="s">
        <v>31</v>
      </c>
      <c r="I10" s="15"/>
      <c r="J10" s="149">
        <v>1.121</v>
      </c>
      <c r="K10" s="28">
        <v>2.242</v>
      </c>
      <c r="L10" s="28">
        <v>2</v>
      </c>
      <c r="M10" s="28" t="s">
        <v>33</v>
      </c>
      <c r="N10" s="28">
        <f t="shared" si="5"/>
        <v>26.904</v>
      </c>
      <c r="O10" s="28">
        <f t="shared" si="6"/>
        <v>31.388000000000002</v>
      </c>
      <c r="P10" s="28">
        <f t="shared" si="7"/>
        <v>17.936000000000003</v>
      </c>
      <c r="Q10" s="28">
        <f t="shared" si="8"/>
        <v>13.452</v>
      </c>
      <c r="R10" s="143">
        <v>89.68</v>
      </c>
      <c r="S10" s="170">
        <v>105991.94</v>
      </c>
      <c r="T10" s="170">
        <v>237633.92947999999</v>
      </c>
      <c r="U10" s="15"/>
      <c r="V10" s="15"/>
      <c r="W10" s="28" t="s">
        <v>174</v>
      </c>
      <c r="X10" s="28">
        <v>68155</v>
      </c>
      <c r="Y10" s="28">
        <v>6.34</v>
      </c>
      <c r="Z10" s="15" t="s">
        <v>109</v>
      </c>
      <c r="AA10" s="178">
        <v>5</v>
      </c>
      <c r="AB10" s="28">
        <v>3514</v>
      </c>
      <c r="AC10" s="51"/>
      <c r="AD10" s="48"/>
      <c r="AE10" s="48"/>
      <c r="AF10" s="49"/>
      <c r="AG10" s="46">
        <f>K10*0.3</f>
        <v>0.67259999999999998</v>
      </c>
      <c r="AH10" s="48"/>
      <c r="AI10" s="48"/>
      <c r="AJ10" s="49"/>
      <c r="AK10" s="51"/>
      <c r="AL10" s="41">
        <f t="shared" si="9"/>
        <v>0.78469999999999995</v>
      </c>
      <c r="AM10" s="48"/>
      <c r="AN10" s="49"/>
      <c r="AO10" s="51"/>
      <c r="AP10" s="48"/>
      <c r="AQ10" s="41">
        <f t="shared" ref="AQ10:AQ17" si="10">K10*0.2</f>
        <v>0.44840000000000002</v>
      </c>
      <c r="AR10" s="262"/>
      <c r="AS10" s="58"/>
      <c r="AT10" s="42"/>
      <c r="AU10" s="42"/>
      <c r="AV10" s="59"/>
    </row>
    <row r="11" spans="1:48" ht="45" x14ac:dyDescent="0.25">
      <c r="A11" s="28">
        <v>387</v>
      </c>
      <c r="B11" s="15" t="s">
        <v>28</v>
      </c>
      <c r="C11" s="176" t="s">
        <v>507</v>
      </c>
      <c r="D11" s="147" t="s">
        <v>508</v>
      </c>
      <c r="E11" s="30"/>
      <c r="F11" s="28" t="s">
        <v>126</v>
      </c>
      <c r="G11" s="15"/>
      <c r="H11" s="171" t="s">
        <v>31</v>
      </c>
      <c r="I11" s="15"/>
      <c r="J11" s="149">
        <v>0.80500000000000005</v>
      </c>
      <c r="K11" s="28">
        <v>1.61</v>
      </c>
      <c r="L11" s="28">
        <v>2</v>
      </c>
      <c r="M11" s="28" t="s">
        <v>33</v>
      </c>
      <c r="N11" s="28">
        <f t="shared" si="5"/>
        <v>24.15</v>
      </c>
      <c r="O11" s="28">
        <f t="shared" si="6"/>
        <v>28.174999999999997</v>
      </c>
      <c r="P11" s="28">
        <f t="shared" si="7"/>
        <v>16.100000000000001</v>
      </c>
      <c r="Q11" s="28">
        <f t="shared" si="8"/>
        <v>12.074999999999999</v>
      </c>
      <c r="R11" s="143">
        <v>80.5</v>
      </c>
      <c r="S11" s="170">
        <v>105991.94</v>
      </c>
      <c r="T11" s="170">
        <v>170647.02340000001</v>
      </c>
      <c r="U11" s="15"/>
      <c r="V11" s="15"/>
      <c r="W11" s="28" t="s">
        <v>178</v>
      </c>
      <c r="X11" s="28">
        <v>70191</v>
      </c>
      <c r="Y11" s="28">
        <v>6.34</v>
      </c>
      <c r="Z11" s="15" t="s">
        <v>126</v>
      </c>
      <c r="AA11" s="178">
        <v>1</v>
      </c>
      <c r="AB11" s="28">
        <v>3735</v>
      </c>
      <c r="AC11" s="51"/>
      <c r="AD11" s="48"/>
      <c r="AE11" s="48"/>
      <c r="AF11" s="49"/>
      <c r="AG11" s="46">
        <f t="shared" ref="AG11:AG14" si="11">K11*0.3</f>
        <v>0.48299999999999998</v>
      </c>
      <c r="AH11" s="48"/>
      <c r="AI11" s="48"/>
      <c r="AJ11" s="49"/>
      <c r="AK11" s="51"/>
      <c r="AL11" s="41">
        <f t="shared" ref="AL11:AL17" si="12">K11*0.35</f>
        <v>0.5635</v>
      </c>
      <c r="AM11" s="48"/>
      <c r="AN11" s="49"/>
      <c r="AO11" s="51"/>
      <c r="AP11" s="48"/>
      <c r="AQ11" s="41">
        <f t="shared" si="10"/>
        <v>0.32200000000000006</v>
      </c>
      <c r="AR11" s="262"/>
      <c r="AS11" s="58"/>
      <c r="AT11" s="42"/>
      <c r="AU11" s="42"/>
      <c r="AV11" s="59"/>
    </row>
    <row r="12" spans="1:48" ht="45" x14ac:dyDescent="0.25">
      <c r="A12" s="28">
        <v>388</v>
      </c>
      <c r="B12" s="15" t="s">
        <v>28</v>
      </c>
      <c r="C12" s="176" t="s">
        <v>507</v>
      </c>
      <c r="D12" s="147" t="s">
        <v>508</v>
      </c>
      <c r="E12" s="30"/>
      <c r="F12" s="28" t="s">
        <v>126</v>
      </c>
      <c r="G12" s="15"/>
      <c r="H12" s="171" t="s">
        <v>31</v>
      </c>
      <c r="I12" s="15"/>
      <c r="J12" s="149">
        <v>0.80500000000000005</v>
      </c>
      <c r="K12" s="28">
        <v>1.61</v>
      </c>
      <c r="L12" s="28">
        <v>2</v>
      </c>
      <c r="M12" s="28" t="s">
        <v>33</v>
      </c>
      <c r="N12" s="28">
        <f t="shared" si="5"/>
        <v>24.15</v>
      </c>
      <c r="O12" s="28">
        <f t="shared" si="6"/>
        <v>28.174999999999997</v>
      </c>
      <c r="P12" s="28">
        <f t="shared" si="7"/>
        <v>16.100000000000001</v>
      </c>
      <c r="Q12" s="28">
        <f t="shared" si="8"/>
        <v>12.074999999999999</v>
      </c>
      <c r="R12" s="143">
        <v>80.5</v>
      </c>
      <c r="S12" s="170">
        <v>105991.94</v>
      </c>
      <c r="T12" s="170">
        <v>170647.02340000001</v>
      </c>
      <c r="U12" s="15"/>
      <c r="V12" s="15"/>
      <c r="W12" s="28" t="s">
        <v>178</v>
      </c>
      <c r="X12" s="28">
        <v>70192</v>
      </c>
      <c r="Y12" s="28">
        <v>6.34</v>
      </c>
      <c r="Z12" s="15" t="s">
        <v>126</v>
      </c>
      <c r="AA12" s="178">
        <v>1</v>
      </c>
      <c r="AB12" s="28">
        <v>3735</v>
      </c>
      <c r="AC12" s="51"/>
      <c r="AD12" s="48"/>
      <c r="AE12" s="48"/>
      <c r="AF12" s="49"/>
      <c r="AG12" s="46">
        <f t="shared" si="11"/>
        <v>0.48299999999999998</v>
      </c>
      <c r="AH12" s="48"/>
      <c r="AI12" s="48"/>
      <c r="AJ12" s="49"/>
      <c r="AK12" s="51"/>
      <c r="AL12" s="41">
        <f t="shared" si="12"/>
        <v>0.5635</v>
      </c>
      <c r="AM12" s="48"/>
      <c r="AN12" s="49"/>
      <c r="AO12" s="51"/>
      <c r="AP12" s="48"/>
      <c r="AQ12" s="41">
        <f t="shared" si="10"/>
        <v>0.32200000000000006</v>
      </c>
      <c r="AR12" s="262"/>
      <c r="AS12" s="58"/>
      <c r="AT12" s="42"/>
      <c r="AU12" s="42"/>
      <c r="AV12" s="59"/>
    </row>
    <row r="13" spans="1:48" ht="45" x14ac:dyDescent="0.25">
      <c r="A13" s="28">
        <v>389</v>
      </c>
      <c r="B13" s="15" t="s">
        <v>28</v>
      </c>
      <c r="C13" s="176" t="s">
        <v>507</v>
      </c>
      <c r="D13" s="147" t="s">
        <v>508</v>
      </c>
      <c r="E13" s="30"/>
      <c r="F13" s="28" t="s">
        <v>126</v>
      </c>
      <c r="G13" s="15"/>
      <c r="H13" s="171" t="s">
        <v>31</v>
      </c>
      <c r="I13" s="15"/>
      <c r="J13" s="149">
        <v>0.83</v>
      </c>
      <c r="K13" s="28">
        <v>1.66</v>
      </c>
      <c r="L13" s="28">
        <v>2</v>
      </c>
      <c r="M13" s="28" t="s">
        <v>33</v>
      </c>
      <c r="N13" s="28">
        <f t="shared" si="5"/>
        <v>24.9</v>
      </c>
      <c r="O13" s="28">
        <f t="shared" si="6"/>
        <v>29.049999999999997</v>
      </c>
      <c r="P13" s="28">
        <f t="shared" si="7"/>
        <v>16.600000000000001</v>
      </c>
      <c r="Q13" s="28">
        <f t="shared" si="8"/>
        <v>12.45</v>
      </c>
      <c r="R13" s="143">
        <v>83</v>
      </c>
      <c r="S13" s="170">
        <v>105991.94</v>
      </c>
      <c r="T13" s="170">
        <v>175946.62039999999</v>
      </c>
      <c r="U13" s="15"/>
      <c r="V13" s="15"/>
      <c r="W13" s="28" t="s">
        <v>179</v>
      </c>
      <c r="X13" s="28">
        <v>70193</v>
      </c>
      <c r="Y13" s="28">
        <v>6.34</v>
      </c>
      <c r="Z13" s="15" t="s">
        <v>126</v>
      </c>
      <c r="AA13" s="178">
        <v>1</v>
      </c>
      <c r="AB13" s="28">
        <v>3735</v>
      </c>
      <c r="AC13" s="51"/>
      <c r="AD13" s="48"/>
      <c r="AE13" s="48"/>
      <c r="AF13" s="49"/>
      <c r="AG13" s="46">
        <f t="shared" si="11"/>
        <v>0.49799999999999994</v>
      </c>
      <c r="AH13" s="48"/>
      <c r="AI13" s="48"/>
      <c r="AJ13" s="49"/>
      <c r="AK13" s="51"/>
      <c r="AL13" s="41">
        <f t="shared" si="12"/>
        <v>0.58099999999999996</v>
      </c>
      <c r="AM13" s="48"/>
      <c r="AN13" s="49"/>
      <c r="AO13" s="51"/>
      <c r="AP13" s="48"/>
      <c r="AQ13" s="41">
        <f t="shared" si="10"/>
        <v>0.33200000000000002</v>
      </c>
      <c r="AR13" s="262"/>
      <c r="AS13" s="58"/>
      <c r="AT13" s="42"/>
      <c r="AU13" s="42"/>
      <c r="AV13" s="59"/>
    </row>
    <row r="14" spans="1:48" ht="45" x14ac:dyDescent="0.25">
      <c r="A14" s="28">
        <v>390</v>
      </c>
      <c r="B14" s="15" t="s">
        <v>28</v>
      </c>
      <c r="C14" s="176" t="s">
        <v>507</v>
      </c>
      <c r="D14" s="147" t="s">
        <v>508</v>
      </c>
      <c r="E14" s="30"/>
      <c r="F14" s="28" t="s">
        <v>126</v>
      </c>
      <c r="G14" s="15"/>
      <c r="H14" s="171" t="s">
        <v>31</v>
      </c>
      <c r="I14" s="15"/>
      <c r="J14" s="149">
        <v>0.83499999999999996</v>
      </c>
      <c r="K14" s="28">
        <v>1.67</v>
      </c>
      <c r="L14" s="28">
        <v>2</v>
      </c>
      <c r="M14" s="28" t="s">
        <v>33</v>
      </c>
      <c r="N14" s="28">
        <f t="shared" si="5"/>
        <v>25.05</v>
      </c>
      <c r="O14" s="28">
        <f t="shared" si="6"/>
        <v>29.224999999999998</v>
      </c>
      <c r="P14" s="28">
        <f t="shared" si="7"/>
        <v>16.7</v>
      </c>
      <c r="Q14" s="28">
        <f t="shared" si="8"/>
        <v>12.525</v>
      </c>
      <c r="R14" s="143">
        <v>83.5</v>
      </c>
      <c r="S14" s="170">
        <v>105991.94</v>
      </c>
      <c r="T14" s="170">
        <v>177006.5398</v>
      </c>
      <c r="U14" s="15"/>
      <c r="V14" s="15"/>
      <c r="W14" s="28" t="s">
        <v>180</v>
      </c>
      <c r="X14" s="28">
        <v>70194</v>
      </c>
      <c r="Y14" s="28">
        <v>6.34</v>
      </c>
      <c r="Z14" s="15" t="s">
        <v>126</v>
      </c>
      <c r="AA14" s="178">
        <v>1</v>
      </c>
      <c r="AB14" s="28">
        <v>3735</v>
      </c>
      <c r="AC14" s="51"/>
      <c r="AD14" s="48"/>
      <c r="AE14" s="48"/>
      <c r="AF14" s="49"/>
      <c r="AG14" s="46">
        <f t="shared" si="11"/>
        <v>0.501</v>
      </c>
      <c r="AH14" s="48"/>
      <c r="AI14" s="48"/>
      <c r="AJ14" s="49"/>
      <c r="AK14" s="51"/>
      <c r="AL14" s="41">
        <f t="shared" si="12"/>
        <v>0.58449999999999991</v>
      </c>
      <c r="AM14" s="48"/>
      <c r="AN14" s="49"/>
      <c r="AO14" s="51"/>
      <c r="AP14" s="48"/>
      <c r="AQ14" s="41">
        <f t="shared" si="10"/>
        <v>0.33400000000000002</v>
      </c>
      <c r="AR14" s="262"/>
      <c r="AS14" s="58"/>
      <c r="AT14" s="42"/>
      <c r="AU14" s="42"/>
      <c r="AV14" s="59"/>
    </row>
    <row r="15" spans="1:48" ht="45" x14ac:dyDescent="0.25">
      <c r="A15" s="28">
        <v>391</v>
      </c>
      <c r="B15" s="15" t="s">
        <v>28</v>
      </c>
      <c r="C15" s="176" t="s">
        <v>507</v>
      </c>
      <c r="D15" s="147" t="s">
        <v>508</v>
      </c>
      <c r="E15" s="30"/>
      <c r="F15" s="28" t="s">
        <v>109</v>
      </c>
      <c r="G15" s="15"/>
      <c r="H15" s="171" t="s">
        <v>31</v>
      </c>
      <c r="I15" s="15"/>
      <c r="J15" s="149">
        <v>1.25</v>
      </c>
      <c r="K15" s="28">
        <v>2.5</v>
      </c>
      <c r="L15" s="28">
        <v>2</v>
      </c>
      <c r="M15" s="28" t="s">
        <v>33</v>
      </c>
      <c r="N15" s="28">
        <f t="shared" si="5"/>
        <v>30</v>
      </c>
      <c r="O15" s="28">
        <f t="shared" si="6"/>
        <v>35</v>
      </c>
      <c r="P15" s="28">
        <f t="shared" si="7"/>
        <v>20</v>
      </c>
      <c r="Q15" s="28">
        <f t="shared" si="8"/>
        <v>15</v>
      </c>
      <c r="R15" s="143">
        <v>100</v>
      </c>
      <c r="S15" s="170">
        <v>105991.94</v>
      </c>
      <c r="T15" s="170">
        <v>264979.84999999998</v>
      </c>
      <c r="U15" s="15"/>
      <c r="V15" s="15"/>
      <c r="W15" s="28" t="s">
        <v>174</v>
      </c>
      <c r="X15" s="28">
        <v>68156</v>
      </c>
      <c r="Y15" s="28">
        <v>6.34</v>
      </c>
      <c r="Z15" s="15" t="s">
        <v>109</v>
      </c>
      <c r="AA15" s="178">
        <v>1</v>
      </c>
      <c r="AB15" s="28">
        <v>3514</v>
      </c>
      <c r="AC15" s="169">
        <f t="shared" ref="AC15:AC41" si="13">K15*0.3</f>
        <v>0.75</v>
      </c>
      <c r="AD15" s="48"/>
      <c r="AE15" s="48"/>
      <c r="AF15" s="49"/>
      <c r="AG15" s="51"/>
      <c r="AH15" s="48"/>
      <c r="AI15" s="48"/>
      <c r="AJ15" s="49"/>
      <c r="AK15" s="51"/>
      <c r="AL15" s="41">
        <f t="shared" si="12"/>
        <v>0.875</v>
      </c>
      <c r="AM15" s="48"/>
      <c r="AN15" s="49"/>
      <c r="AO15" s="51"/>
      <c r="AP15" s="48"/>
      <c r="AQ15" s="41">
        <f t="shared" si="10"/>
        <v>0.5</v>
      </c>
      <c r="AR15" s="262"/>
      <c r="AS15" s="58"/>
      <c r="AT15" s="42"/>
      <c r="AU15" s="42"/>
      <c r="AV15" s="59"/>
    </row>
    <row r="16" spans="1:48" ht="45" x14ac:dyDescent="0.25">
      <c r="A16" s="28">
        <v>392</v>
      </c>
      <c r="B16" s="15" t="s">
        <v>28</v>
      </c>
      <c r="C16" s="176" t="s">
        <v>507</v>
      </c>
      <c r="D16" s="147" t="s">
        <v>508</v>
      </c>
      <c r="E16" s="30"/>
      <c r="F16" s="28" t="s">
        <v>166</v>
      </c>
      <c r="G16" s="15"/>
      <c r="H16" s="171" t="s">
        <v>31</v>
      </c>
      <c r="I16" s="15"/>
      <c r="J16" s="149">
        <v>1.2</v>
      </c>
      <c r="K16" s="28">
        <v>2.4</v>
      </c>
      <c r="L16" s="28">
        <v>2</v>
      </c>
      <c r="M16" s="28" t="s">
        <v>33</v>
      </c>
      <c r="N16" s="28">
        <f t="shared" si="5"/>
        <v>28.799999999999997</v>
      </c>
      <c r="O16" s="28">
        <f t="shared" si="6"/>
        <v>33.599999999999994</v>
      </c>
      <c r="P16" s="28">
        <f t="shared" si="7"/>
        <v>19.200000000000003</v>
      </c>
      <c r="Q16" s="28">
        <f t="shared" si="8"/>
        <v>14.399999999999999</v>
      </c>
      <c r="R16" s="143">
        <v>96</v>
      </c>
      <c r="S16" s="170">
        <v>105991.94</v>
      </c>
      <c r="T16" s="170">
        <v>254380.65599999999</v>
      </c>
      <c r="U16" s="15"/>
      <c r="V16" s="15"/>
      <c r="W16" s="28" t="s">
        <v>167</v>
      </c>
      <c r="X16" s="28">
        <v>70197</v>
      </c>
      <c r="Y16" s="28">
        <v>6.34</v>
      </c>
      <c r="Z16" s="15" t="s">
        <v>166</v>
      </c>
      <c r="AA16" s="178">
        <v>1</v>
      </c>
      <c r="AB16" s="28">
        <v>3735</v>
      </c>
      <c r="AC16" s="169">
        <f t="shared" si="13"/>
        <v>0.72</v>
      </c>
      <c r="AD16" s="48"/>
      <c r="AE16" s="48"/>
      <c r="AF16" s="49"/>
      <c r="AG16" s="51"/>
      <c r="AH16" s="48"/>
      <c r="AI16" s="48"/>
      <c r="AJ16" s="49"/>
      <c r="AK16" s="51"/>
      <c r="AL16" s="41">
        <f t="shared" si="12"/>
        <v>0.84</v>
      </c>
      <c r="AM16" s="48"/>
      <c r="AN16" s="49"/>
      <c r="AO16" s="51"/>
      <c r="AP16" s="48"/>
      <c r="AQ16" s="41">
        <f t="shared" si="10"/>
        <v>0.48</v>
      </c>
      <c r="AR16" s="262"/>
      <c r="AS16" s="58"/>
      <c r="AT16" s="42"/>
      <c r="AU16" s="42"/>
      <c r="AV16" s="59"/>
    </row>
    <row r="17" spans="1:48" ht="45" x14ac:dyDescent="0.25">
      <c r="A17" s="28">
        <v>393</v>
      </c>
      <c r="B17" s="15" t="s">
        <v>28</v>
      </c>
      <c r="C17" s="176" t="s">
        <v>507</v>
      </c>
      <c r="D17" s="147" t="s">
        <v>508</v>
      </c>
      <c r="E17" s="30"/>
      <c r="F17" s="28" t="s">
        <v>166</v>
      </c>
      <c r="G17" s="15"/>
      <c r="H17" s="171" t="s">
        <v>31</v>
      </c>
      <c r="I17" s="15"/>
      <c r="J17" s="149">
        <v>1.25</v>
      </c>
      <c r="K17" s="28">
        <v>2.5</v>
      </c>
      <c r="L17" s="28">
        <v>2</v>
      </c>
      <c r="M17" s="28" t="s">
        <v>33</v>
      </c>
      <c r="N17" s="28">
        <f t="shared" si="5"/>
        <v>30</v>
      </c>
      <c r="O17" s="28">
        <f t="shared" si="6"/>
        <v>35</v>
      </c>
      <c r="P17" s="28">
        <f t="shared" si="7"/>
        <v>20</v>
      </c>
      <c r="Q17" s="28">
        <f t="shared" si="8"/>
        <v>15</v>
      </c>
      <c r="R17" s="143">
        <v>100</v>
      </c>
      <c r="S17" s="170">
        <v>105991.94</v>
      </c>
      <c r="T17" s="170">
        <v>264979.84999999998</v>
      </c>
      <c r="U17" s="15"/>
      <c r="V17" s="15"/>
      <c r="W17" s="28" t="s">
        <v>167</v>
      </c>
      <c r="X17" s="28">
        <v>70198</v>
      </c>
      <c r="Y17" s="28">
        <v>6.34</v>
      </c>
      <c r="Z17" s="15" t="s">
        <v>166</v>
      </c>
      <c r="AA17" s="178">
        <v>1</v>
      </c>
      <c r="AB17" s="28">
        <v>3735</v>
      </c>
      <c r="AC17" s="169">
        <f t="shared" si="13"/>
        <v>0.75</v>
      </c>
      <c r="AD17" s="48"/>
      <c r="AE17" s="48"/>
      <c r="AF17" s="49"/>
      <c r="AG17" s="51"/>
      <c r="AH17" s="48"/>
      <c r="AI17" s="48"/>
      <c r="AJ17" s="49"/>
      <c r="AK17" s="51"/>
      <c r="AL17" s="41">
        <f t="shared" si="12"/>
        <v>0.875</v>
      </c>
      <c r="AM17" s="48"/>
      <c r="AN17" s="49"/>
      <c r="AO17" s="51"/>
      <c r="AP17" s="48"/>
      <c r="AQ17" s="41">
        <f t="shared" si="10"/>
        <v>0.5</v>
      </c>
      <c r="AR17" s="262"/>
      <c r="AS17" s="58"/>
      <c r="AT17" s="42"/>
      <c r="AU17" s="42"/>
      <c r="AV17" s="59"/>
    </row>
    <row r="18" spans="1:48" ht="45" x14ac:dyDescent="0.25">
      <c r="A18" s="28">
        <v>394</v>
      </c>
      <c r="B18" s="15" t="s">
        <v>28</v>
      </c>
      <c r="C18" s="176" t="s">
        <v>507</v>
      </c>
      <c r="D18" s="147" t="s">
        <v>508</v>
      </c>
      <c r="E18" s="30"/>
      <c r="F18" s="28" t="s">
        <v>90</v>
      </c>
      <c r="G18" s="15"/>
      <c r="H18" s="171" t="s">
        <v>31</v>
      </c>
      <c r="I18" s="15"/>
      <c r="J18" s="149">
        <v>3.6999999999999998E-2</v>
      </c>
      <c r="K18" s="28">
        <v>3.6999999999999998E-2</v>
      </c>
      <c r="L18" s="28">
        <v>1</v>
      </c>
      <c r="M18" s="28" t="s">
        <v>33</v>
      </c>
      <c r="N18" s="28">
        <f t="shared" si="5"/>
        <v>0.88800000000000001</v>
      </c>
      <c r="O18" s="28">
        <f t="shared" si="6"/>
        <v>1.036</v>
      </c>
      <c r="P18" s="28">
        <f t="shared" si="7"/>
        <v>0.59199999999999997</v>
      </c>
      <c r="Q18" s="28">
        <f t="shared" si="8"/>
        <v>0.44400000000000001</v>
      </c>
      <c r="R18" s="143">
        <v>2.96</v>
      </c>
      <c r="S18" s="170">
        <v>105991.94</v>
      </c>
      <c r="T18" s="170">
        <v>3921.7017799999999</v>
      </c>
      <c r="U18" s="15"/>
      <c r="V18" s="15"/>
      <c r="W18" s="28" t="s">
        <v>184</v>
      </c>
      <c r="X18" s="28">
        <v>70199</v>
      </c>
      <c r="Y18" s="28">
        <v>6.34</v>
      </c>
      <c r="Z18" s="15" t="s">
        <v>90</v>
      </c>
      <c r="AA18" s="178">
        <v>1</v>
      </c>
      <c r="AB18" s="28">
        <v>3735</v>
      </c>
      <c r="AC18" s="169">
        <f t="shared" si="13"/>
        <v>1.1099999999999999E-2</v>
      </c>
      <c r="AD18" s="48"/>
      <c r="AE18" s="48"/>
      <c r="AF18" s="49"/>
      <c r="AG18" s="51"/>
      <c r="AH18" s="48"/>
      <c r="AI18" s="48"/>
      <c r="AJ18" s="49"/>
      <c r="AK18" s="51"/>
      <c r="AL18" s="41">
        <f t="shared" ref="AL18:AL41" si="14">K18*0.35</f>
        <v>1.2949999999999998E-2</v>
      </c>
      <c r="AM18" s="48"/>
      <c r="AN18" s="49"/>
      <c r="AO18" s="51"/>
      <c r="AP18" s="48"/>
      <c r="AQ18" s="263"/>
      <c r="AR18" s="59"/>
      <c r="AS18" s="58"/>
      <c r="AT18" s="42"/>
      <c r="AU18" s="42"/>
      <c r="AV18" s="59"/>
    </row>
    <row r="19" spans="1:48" ht="45" x14ac:dyDescent="0.25">
      <c r="A19" s="28">
        <v>395</v>
      </c>
      <c r="B19" s="15" t="s">
        <v>28</v>
      </c>
      <c r="C19" s="176" t="s">
        <v>507</v>
      </c>
      <c r="D19" s="147" t="s">
        <v>508</v>
      </c>
      <c r="E19" s="30"/>
      <c r="F19" s="28" t="s">
        <v>126</v>
      </c>
      <c r="G19" s="15"/>
      <c r="H19" s="171" t="s">
        <v>31</v>
      </c>
      <c r="I19" s="15"/>
      <c r="J19" s="149">
        <v>0.107</v>
      </c>
      <c r="K19" s="28">
        <v>0.214</v>
      </c>
      <c r="L19" s="28">
        <v>2</v>
      </c>
      <c r="M19" s="28" t="s">
        <v>33</v>
      </c>
      <c r="N19" s="28">
        <f t="shared" si="5"/>
        <v>4.0446</v>
      </c>
      <c r="O19" s="28">
        <f t="shared" si="6"/>
        <v>4.7186999999999992</v>
      </c>
      <c r="P19" s="28">
        <f t="shared" si="7"/>
        <v>2.6964000000000001</v>
      </c>
      <c r="Q19" s="28">
        <f t="shared" si="8"/>
        <v>2.0223</v>
      </c>
      <c r="R19" s="143">
        <v>13.481999999999999</v>
      </c>
      <c r="S19" s="170">
        <v>105991.94</v>
      </c>
      <c r="T19" s="170">
        <v>22682.275160000001</v>
      </c>
      <c r="U19" s="15"/>
      <c r="V19" s="15"/>
      <c r="W19" s="28" t="s">
        <v>185</v>
      </c>
      <c r="X19" s="28">
        <v>70199</v>
      </c>
      <c r="Y19" s="28">
        <v>6.34</v>
      </c>
      <c r="Z19" s="15" t="s">
        <v>126</v>
      </c>
      <c r="AA19" s="178">
        <v>2</v>
      </c>
      <c r="AB19" s="28">
        <v>3735</v>
      </c>
      <c r="AC19" s="169">
        <f t="shared" si="13"/>
        <v>6.4199999999999993E-2</v>
      </c>
      <c r="AD19" s="48"/>
      <c r="AE19" s="48"/>
      <c r="AF19" s="49"/>
      <c r="AG19" s="51"/>
      <c r="AH19" s="48"/>
      <c r="AI19" s="48"/>
      <c r="AJ19" s="49"/>
      <c r="AK19" s="51"/>
      <c r="AL19" s="41">
        <f t="shared" si="14"/>
        <v>7.4899999999999994E-2</v>
      </c>
      <c r="AM19" s="48"/>
      <c r="AN19" s="49"/>
      <c r="AO19" s="51"/>
      <c r="AP19" s="48"/>
      <c r="AQ19" s="263"/>
      <c r="AR19" s="59"/>
      <c r="AS19" s="58"/>
      <c r="AT19" s="42"/>
      <c r="AU19" s="42"/>
      <c r="AV19" s="59"/>
    </row>
    <row r="20" spans="1:48" ht="45" x14ac:dyDescent="0.25">
      <c r="A20" s="28">
        <v>396</v>
      </c>
      <c r="B20" s="15" t="s">
        <v>28</v>
      </c>
      <c r="C20" s="176" t="s">
        <v>507</v>
      </c>
      <c r="D20" s="147" t="s">
        <v>508</v>
      </c>
      <c r="E20" s="30"/>
      <c r="F20" s="28" t="s">
        <v>177</v>
      </c>
      <c r="G20" s="15"/>
      <c r="H20" s="171" t="s">
        <v>31</v>
      </c>
      <c r="I20" s="15"/>
      <c r="J20" s="149">
        <v>1.4E-3</v>
      </c>
      <c r="K20" s="28">
        <v>2.4E-2</v>
      </c>
      <c r="L20" s="28">
        <v>16</v>
      </c>
      <c r="M20" s="28" t="s">
        <v>33</v>
      </c>
      <c r="N20" s="28">
        <f t="shared" si="5"/>
        <v>0.57599999999999996</v>
      </c>
      <c r="O20" s="28">
        <f t="shared" si="6"/>
        <v>0.67199999999999993</v>
      </c>
      <c r="P20" s="28">
        <f t="shared" si="7"/>
        <v>0.38400000000000001</v>
      </c>
      <c r="Q20" s="28">
        <f t="shared" si="8"/>
        <v>0.28799999999999998</v>
      </c>
      <c r="R20" s="143">
        <v>1.92</v>
      </c>
      <c r="S20" s="170">
        <v>105991.94</v>
      </c>
      <c r="T20" s="170">
        <v>2543.80656</v>
      </c>
      <c r="U20" s="15"/>
      <c r="V20" s="15"/>
      <c r="W20" s="28" t="s">
        <v>186</v>
      </c>
      <c r="X20" s="28">
        <v>70199</v>
      </c>
      <c r="Y20" s="28">
        <v>6.34</v>
      </c>
      <c r="Z20" s="15" t="s">
        <v>177</v>
      </c>
      <c r="AA20" s="178">
        <v>3</v>
      </c>
      <c r="AB20" s="28">
        <v>3735</v>
      </c>
      <c r="AC20" s="169">
        <f t="shared" si="13"/>
        <v>7.1999999999999998E-3</v>
      </c>
      <c r="AD20" s="48"/>
      <c r="AE20" s="48"/>
      <c r="AF20" s="49"/>
      <c r="AG20" s="51"/>
      <c r="AH20" s="48"/>
      <c r="AI20" s="48"/>
      <c r="AJ20" s="49"/>
      <c r="AK20" s="51"/>
      <c r="AL20" s="41">
        <f t="shared" si="14"/>
        <v>8.3999999999999995E-3</v>
      </c>
      <c r="AM20" s="48"/>
      <c r="AN20" s="49"/>
      <c r="AO20" s="51"/>
      <c r="AP20" s="48"/>
      <c r="AQ20" s="263"/>
      <c r="AR20" s="59"/>
      <c r="AS20" s="58"/>
      <c r="AT20" s="42"/>
      <c r="AU20" s="42"/>
      <c r="AV20" s="59"/>
    </row>
    <row r="21" spans="1:48" ht="45" x14ac:dyDescent="0.25">
      <c r="A21" s="28">
        <v>397</v>
      </c>
      <c r="B21" s="15" t="s">
        <v>28</v>
      </c>
      <c r="C21" s="176" t="s">
        <v>507</v>
      </c>
      <c r="D21" s="147" t="s">
        <v>508</v>
      </c>
      <c r="E21" s="30"/>
      <c r="F21" s="28" t="s">
        <v>111</v>
      </c>
      <c r="G21" s="15"/>
      <c r="H21" s="171" t="s">
        <v>31</v>
      </c>
      <c r="I21" s="15"/>
      <c r="J21" s="149">
        <v>6.9999999999999999E-4</v>
      </c>
      <c r="K21" s="28">
        <v>4.0000000000000001E-3</v>
      </c>
      <c r="L21" s="28">
        <v>4</v>
      </c>
      <c r="M21" s="28" t="s">
        <v>33</v>
      </c>
      <c r="N21" s="28">
        <f t="shared" si="5"/>
        <v>9.6000000000000002E-2</v>
      </c>
      <c r="O21" s="28">
        <f t="shared" si="6"/>
        <v>0.11199999999999999</v>
      </c>
      <c r="P21" s="28">
        <f t="shared" si="7"/>
        <v>6.4000000000000001E-2</v>
      </c>
      <c r="Q21" s="28">
        <f t="shared" si="8"/>
        <v>4.8000000000000001E-2</v>
      </c>
      <c r="R21" s="143">
        <v>0.32</v>
      </c>
      <c r="S21" s="170">
        <v>105991.94</v>
      </c>
      <c r="T21" s="170">
        <v>423.96776</v>
      </c>
      <c r="U21" s="15"/>
      <c r="V21" s="15"/>
      <c r="W21" s="28" t="s">
        <v>187</v>
      </c>
      <c r="X21" s="28">
        <v>70199</v>
      </c>
      <c r="Y21" s="28">
        <v>6.34</v>
      </c>
      <c r="Z21" s="15" t="s">
        <v>111</v>
      </c>
      <c r="AA21" s="178">
        <v>4</v>
      </c>
      <c r="AB21" s="28">
        <v>3735</v>
      </c>
      <c r="AC21" s="169">
        <f t="shared" si="13"/>
        <v>1.1999999999999999E-3</v>
      </c>
      <c r="AD21" s="48"/>
      <c r="AE21" s="48"/>
      <c r="AF21" s="49"/>
      <c r="AG21" s="51"/>
      <c r="AH21" s="48"/>
      <c r="AI21" s="48"/>
      <c r="AJ21" s="49"/>
      <c r="AK21" s="51"/>
      <c r="AL21" s="41">
        <f t="shared" si="14"/>
        <v>1.4E-3</v>
      </c>
      <c r="AM21" s="48"/>
      <c r="AN21" s="49"/>
      <c r="AO21" s="51"/>
      <c r="AP21" s="48"/>
      <c r="AQ21" s="263"/>
      <c r="AR21" s="59"/>
      <c r="AS21" s="58"/>
      <c r="AT21" s="42"/>
      <c r="AU21" s="42"/>
      <c r="AV21" s="59"/>
    </row>
    <row r="22" spans="1:48" ht="45" x14ac:dyDescent="0.25">
      <c r="A22" s="28">
        <v>398</v>
      </c>
      <c r="B22" s="15" t="s">
        <v>28</v>
      </c>
      <c r="C22" s="176" t="s">
        <v>507</v>
      </c>
      <c r="D22" s="147" t="s">
        <v>508</v>
      </c>
      <c r="E22" s="30"/>
      <c r="F22" s="28" t="s">
        <v>177</v>
      </c>
      <c r="G22" s="15"/>
      <c r="H22" s="171" t="s">
        <v>31</v>
      </c>
      <c r="I22" s="15"/>
      <c r="J22" s="149">
        <v>2.7000000000000001E-3</v>
      </c>
      <c r="K22" s="28">
        <v>0.05</v>
      </c>
      <c r="L22" s="28">
        <v>16</v>
      </c>
      <c r="M22" s="28" t="s">
        <v>33</v>
      </c>
      <c r="N22" s="28">
        <f t="shared" si="5"/>
        <v>1.2</v>
      </c>
      <c r="O22" s="28">
        <f t="shared" si="6"/>
        <v>1.4</v>
      </c>
      <c r="P22" s="28">
        <f t="shared" si="7"/>
        <v>0.8</v>
      </c>
      <c r="Q22" s="28">
        <f t="shared" si="8"/>
        <v>0.6</v>
      </c>
      <c r="R22" s="143">
        <v>4</v>
      </c>
      <c r="S22" s="170">
        <v>105991.94</v>
      </c>
      <c r="T22" s="170">
        <v>5299.5970000000007</v>
      </c>
      <c r="U22" s="15"/>
      <c r="V22" s="15"/>
      <c r="W22" s="28" t="s">
        <v>188</v>
      </c>
      <c r="X22" s="28">
        <v>70199</v>
      </c>
      <c r="Y22" s="28">
        <v>6.34</v>
      </c>
      <c r="Z22" s="15" t="s">
        <v>177</v>
      </c>
      <c r="AA22" s="178">
        <v>5</v>
      </c>
      <c r="AB22" s="28">
        <v>3735</v>
      </c>
      <c r="AC22" s="169">
        <f t="shared" si="13"/>
        <v>1.4999999999999999E-2</v>
      </c>
      <c r="AD22" s="48"/>
      <c r="AE22" s="48"/>
      <c r="AF22" s="49"/>
      <c r="AG22" s="51"/>
      <c r="AH22" s="48"/>
      <c r="AI22" s="48"/>
      <c r="AJ22" s="49"/>
      <c r="AK22" s="51"/>
      <c r="AL22" s="41">
        <f t="shared" si="14"/>
        <v>1.7499999999999998E-2</v>
      </c>
      <c r="AM22" s="48"/>
      <c r="AN22" s="49"/>
      <c r="AO22" s="51"/>
      <c r="AP22" s="48"/>
      <c r="AQ22" s="263"/>
      <c r="AR22" s="59"/>
      <c r="AS22" s="58"/>
      <c r="AT22" s="42"/>
      <c r="AU22" s="42"/>
      <c r="AV22" s="59"/>
    </row>
    <row r="23" spans="1:48" ht="60" x14ac:dyDescent="0.25">
      <c r="A23" s="28">
        <v>399</v>
      </c>
      <c r="B23" s="15" t="s">
        <v>28</v>
      </c>
      <c r="C23" s="176" t="s">
        <v>507</v>
      </c>
      <c r="D23" s="147" t="s">
        <v>508</v>
      </c>
      <c r="E23" s="30"/>
      <c r="F23" s="28" t="s">
        <v>189</v>
      </c>
      <c r="G23" s="15"/>
      <c r="H23" s="171" t="s">
        <v>31</v>
      </c>
      <c r="I23" s="15"/>
      <c r="J23" s="149">
        <v>5.1000000000000004E-4</v>
      </c>
      <c r="K23" s="28">
        <v>0.02</v>
      </c>
      <c r="L23" s="28">
        <v>32</v>
      </c>
      <c r="M23" s="28" t="s">
        <v>33</v>
      </c>
      <c r="N23" s="28">
        <f t="shared" si="5"/>
        <v>0.48</v>
      </c>
      <c r="O23" s="28">
        <f t="shared" si="6"/>
        <v>0.55999999999999994</v>
      </c>
      <c r="P23" s="28">
        <f t="shared" si="7"/>
        <v>0.32000000000000006</v>
      </c>
      <c r="Q23" s="28">
        <f t="shared" si="8"/>
        <v>0.24</v>
      </c>
      <c r="R23" s="143">
        <v>1.6</v>
      </c>
      <c r="S23" s="170">
        <v>105991.94</v>
      </c>
      <c r="T23" s="170">
        <v>2119.8388</v>
      </c>
      <c r="U23" s="15"/>
      <c r="V23" s="15"/>
      <c r="W23" s="28" t="s">
        <v>190</v>
      </c>
      <c r="X23" s="28">
        <v>70199</v>
      </c>
      <c r="Y23" s="28">
        <v>6.34</v>
      </c>
      <c r="Z23" s="15" t="s">
        <v>189</v>
      </c>
      <c r="AA23" s="178">
        <v>6</v>
      </c>
      <c r="AB23" s="28">
        <v>3735</v>
      </c>
      <c r="AC23" s="169">
        <f t="shared" si="13"/>
        <v>6.0000000000000001E-3</v>
      </c>
      <c r="AD23" s="48"/>
      <c r="AE23" s="48"/>
      <c r="AF23" s="49"/>
      <c r="AG23" s="51"/>
      <c r="AH23" s="48"/>
      <c r="AI23" s="48"/>
      <c r="AJ23" s="49"/>
      <c r="AK23" s="51"/>
      <c r="AL23" s="41">
        <f t="shared" si="14"/>
        <v>6.9999999999999993E-3</v>
      </c>
      <c r="AM23" s="48"/>
      <c r="AN23" s="49"/>
      <c r="AO23" s="51"/>
      <c r="AP23" s="48"/>
      <c r="AQ23" s="263"/>
      <c r="AR23" s="59"/>
      <c r="AS23" s="58"/>
      <c r="AT23" s="42"/>
      <c r="AU23" s="42"/>
      <c r="AV23" s="59"/>
    </row>
    <row r="24" spans="1:48" ht="45" x14ac:dyDescent="0.25">
      <c r="A24" s="28">
        <v>400</v>
      </c>
      <c r="B24" s="15" t="s">
        <v>28</v>
      </c>
      <c r="C24" s="176" t="s">
        <v>507</v>
      </c>
      <c r="D24" s="147" t="s">
        <v>508</v>
      </c>
      <c r="E24" s="30"/>
      <c r="F24" s="28" t="s">
        <v>191</v>
      </c>
      <c r="G24" s="15"/>
      <c r="H24" s="171" t="s">
        <v>31</v>
      </c>
      <c r="I24" s="15"/>
      <c r="J24" s="149">
        <v>4.5999999999999999E-2</v>
      </c>
      <c r="K24" s="28">
        <v>0.2</v>
      </c>
      <c r="L24" s="28">
        <v>2</v>
      </c>
      <c r="M24" s="28" t="s">
        <v>33</v>
      </c>
      <c r="N24" s="28">
        <f t="shared" si="5"/>
        <v>4.8</v>
      </c>
      <c r="O24" s="28">
        <f t="shared" si="6"/>
        <v>5.6</v>
      </c>
      <c r="P24" s="28">
        <f t="shared" si="7"/>
        <v>3.2</v>
      </c>
      <c r="Q24" s="28">
        <f t="shared" si="8"/>
        <v>2.4</v>
      </c>
      <c r="R24" s="143">
        <v>16</v>
      </c>
      <c r="S24" s="170">
        <v>105991.94</v>
      </c>
      <c r="T24" s="170">
        <v>21198.388000000003</v>
      </c>
      <c r="U24" s="15"/>
      <c r="V24" s="15"/>
      <c r="W24" s="28" t="s">
        <v>192</v>
      </c>
      <c r="X24" s="28">
        <v>70199</v>
      </c>
      <c r="Y24" s="28">
        <v>6.34</v>
      </c>
      <c r="Z24" s="15" t="s">
        <v>191</v>
      </c>
      <c r="AA24" s="178">
        <v>7</v>
      </c>
      <c r="AB24" s="28">
        <v>3735</v>
      </c>
      <c r="AC24" s="169">
        <f t="shared" si="13"/>
        <v>0.06</v>
      </c>
      <c r="AD24" s="48"/>
      <c r="AE24" s="48"/>
      <c r="AF24" s="49"/>
      <c r="AG24" s="51"/>
      <c r="AH24" s="48"/>
      <c r="AI24" s="48"/>
      <c r="AJ24" s="49"/>
      <c r="AK24" s="51"/>
      <c r="AL24" s="41">
        <f t="shared" si="14"/>
        <v>6.9999999999999993E-2</v>
      </c>
      <c r="AM24" s="48"/>
      <c r="AN24" s="49"/>
      <c r="AO24" s="51"/>
      <c r="AP24" s="48"/>
      <c r="AQ24" s="263"/>
      <c r="AR24" s="59"/>
      <c r="AS24" s="58"/>
      <c r="AT24" s="42"/>
      <c r="AU24" s="42"/>
      <c r="AV24" s="59"/>
    </row>
    <row r="25" spans="1:48" ht="45" x14ac:dyDescent="0.25">
      <c r="A25" s="28">
        <v>401</v>
      </c>
      <c r="B25" s="15" t="s">
        <v>28</v>
      </c>
      <c r="C25" s="176" t="s">
        <v>507</v>
      </c>
      <c r="D25" s="147" t="s">
        <v>508</v>
      </c>
      <c r="E25" s="30"/>
      <c r="F25" s="28" t="s">
        <v>90</v>
      </c>
      <c r="G25" s="15"/>
      <c r="H25" s="171" t="s">
        <v>31</v>
      </c>
      <c r="I25" s="15"/>
      <c r="J25" s="149">
        <v>3.1E-2</v>
      </c>
      <c r="K25" s="28">
        <v>0.04</v>
      </c>
      <c r="L25" s="28">
        <v>1</v>
      </c>
      <c r="M25" s="28" t="s">
        <v>33</v>
      </c>
      <c r="N25" s="28">
        <f t="shared" si="5"/>
        <v>0.96</v>
      </c>
      <c r="O25" s="28">
        <f t="shared" si="6"/>
        <v>1.1199999999999999</v>
      </c>
      <c r="P25" s="28">
        <f t="shared" si="7"/>
        <v>0.64000000000000012</v>
      </c>
      <c r="Q25" s="28">
        <f t="shared" si="8"/>
        <v>0.48</v>
      </c>
      <c r="R25" s="143">
        <v>3.2</v>
      </c>
      <c r="S25" s="170">
        <v>105991.94</v>
      </c>
      <c r="T25" s="170">
        <v>4239.6776</v>
      </c>
      <c r="U25" s="15"/>
      <c r="V25" s="15"/>
      <c r="W25" s="28" t="s">
        <v>193</v>
      </c>
      <c r="X25" s="28">
        <v>70199</v>
      </c>
      <c r="Y25" s="28">
        <v>6.34</v>
      </c>
      <c r="Z25" s="15" t="s">
        <v>90</v>
      </c>
      <c r="AA25" s="178">
        <v>8</v>
      </c>
      <c r="AB25" s="28">
        <v>3735</v>
      </c>
      <c r="AC25" s="169">
        <f t="shared" si="13"/>
        <v>1.2E-2</v>
      </c>
      <c r="AD25" s="48"/>
      <c r="AE25" s="48"/>
      <c r="AF25" s="49"/>
      <c r="AG25" s="51"/>
      <c r="AH25" s="48"/>
      <c r="AI25" s="48"/>
      <c r="AJ25" s="49"/>
      <c r="AK25" s="51"/>
      <c r="AL25" s="41">
        <f t="shared" si="14"/>
        <v>1.3999999999999999E-2</v>
      </c>
      <c r="AM25" s="48"/>
      <c r="AN25" s="49"/>
      <c r="AO25" s="51"/>
      <c r="AP25" s="48"/>
      <c r="AQ25" s="263"/>
      <c r="AR25" s="59"/>
      <c r="AS25" s="58"/>
      <c r="AT25" s="42"/>
      <c r="AU25" s="42"/>
      <c r="AV25" s="59"/>
    </row>
    <row r="26" spans="1:48" ht="45" x14ac:dyDescent="0.25">
      <c r="A26" s="28">
        <v>402</v>
      </c>
      <c r="B26" s="15" t="s">
        <v>28</v>
      </c>
      <c r="C26" s="176" t="s">
        <v>507</v>
      </c>
      <c r="D26" s="147" t="s">
        <v>508</v>
      </c>
      <c r="E26" s="30"/>
      <c r="F26" s="28" t="s">
        <v>194</v>
      </c>
      <c r="G26" s="15"/>
      <c r="H26" s="171" t="s">
        <v>31</v>
      </c>
      <c r="I26" s="15"/>
      <c r="J26" s="28">
        <v>1.9710000000000001</v>
      </c>
      <c r="K26" s="28">
        <v>3.2</v>
      </c>
      <c r="L26" s="28">
        <v>1</v>
      </c>
      <c r="M26" s="28" t="s">
        <v>33</v>
      </c>
      <c r="N26" s="28">
        <f t="shared" si="5"/>
        <v>38.4</v>
      </c>
      <c r="O26" s="28">
        <f t="shared" si="6"/>
        <v>44.8</v>
      </c>
      <c r="P26" s="28">
        <f t="shared" si="7"/>
        <v>25.6</v>
      </c>
      <c r="Q26" s="28">
        <f t="shared" si="8"/>
        <v>19.2</v>
      </c>
      <c r="R26" s="143">
        <v>128</v>
      </c>
      <c r="S26" s="170">
        <v>105991.94</v>
      </c>
      <c r="T26" s="170">
        <v>339174.20800000004</v>
      </c>
      <c r="U26" s="15"/>
      <c r="V26" s="15"/>
      <c r="W26" s="28" t="s">
        <v>195</v>
      </c>
      <c r="X26" s="28">
        <v>70199</v>
      </c>
      <c r="Y26" s="28">
        <v>6.34</v>
      </c>
      <c r="Z26" s="15" t="s">
        <v>194</v>
      </c>
      <c r="AA26" s="178">
        <v>9</v>
      </c>
      <c r="AB26" s="28">
        <v>3735</v>
      </c>
      <c r="AC26" s="169">
        <f t="shared" si="13"/>
        <v>0.96</v>
      </c>
      <c r="AD26" s="48"/>
      <c r="AE26" s="48"/>
      <c r="AF26" s="49"/>
      <c r="AG26" s="51"/>
      <c r="AH26" s="48"/>
      <c r="AI26" s="48"/>
      <c r="AJ26" s="49"/>
      <c r="AK26" s="51"/>
      <c r="AL26" s="41">
        <f t="shared" si="14"/>
        <v>1.1199999999999999</v>
      </c>
      <c r="AM26" s="48"/>
      <c r="AN26" s="49"/>
      <c r="AO26" s="51"/>
      <c r="AP26" s="48"/>
      <c r="AQ26" s="263"/>
      <c r="AR26" s="59"/>
      <c r="AS26" s="58"/>
      <c r="AT26" s="42"/>
      <c r="AU26" s="42"/>
      <c r="AV26" s="59"/>
    </row>
    <row r="27" spans="1:48" ht="45" x14ac:dyDescent="0.25">
      <c r="A27" s="28">
        <v>403</v>
      </c>
      <c r="B27" s="15" t="s">
        <v>28</v>
      </c>
      <c r="C27" s="176" t="s">
        <v>507</v>
      </c>
      <c r="D27" s="147" t="s">
        <v>508</v>
      </c>
      <c r="E27" s="30"/>
      <c r="F27" s="28" t="s">
        <v>177</v>
      </c>
      <c r="G27" s="15"/>
      <c r="H27" s="171" t="s">
        <v>31</v>
      </c>
      <c r="I27" s="15"/>
      <c r="J27" s="149">
        <v>8.9999999999999998E-4</v>
      </c>
      <c r="K27" s="28">
        <v>5.0000000000000001E-3</v>
      </c>
      <c r="L27" s="28">
        <v>4</v>
      </c>
      <c r="M27" s="28" t="s">
        <v>33</v>
      </c>
      <c r="N27" s="28">
        <f t="shared" si="5"/>
        <v>0.12</v>
      </c>
      <c r="O27" s="28">
        <f t="shared" si="6"/>
        <v>0.13999999999999999</v>
      </c>
      <c r="P27" s="28">
        <f t="shared" si="7"/>
        <v>8.0000000000000016E-2</v>
      </c>
      <c r="Q27" s="28">
        <f t="shared" si="8"/>
        <v>0.06</v>
      </c>
      <c r="R27" s="143">
        <v>0.4</v>
      </c>
      <c r="S27" s="170">
        <v>105991.94</v>
      </c>
      <c r="T27" s="170">
        <v>529.9597</v>
      </c>
      <c r="U27" s="15"/>
      <c r="V27" s="15"/>
      <c r="W27" s="28" t="s">
        <v>196</v>
      </c>
      <c r="X27" s="28">
        <v>70199</v>
      </c>
      <c r="Y27" s="28">
        <v>6.34</v>
      </c>
      <c r="Z27" s="15" t="s">
        <v>177</v>
      </c>
      <c r="AA27" s="178">
        <v>10</v>
      </c>
      <c r="AB27" s="28">
        <v>3735</v>
      </c>
      <c r="AC27" s="169">
        <f t="shared" si="13"/>
        <v>1.5E-3</v>
      </c>
      <c r="AD27" s="48"/>
      <c r="AE27" s="48"/>
      <c r="AF27" s="49"/>
      <c r="AG27" s="51"/>
      <c r="AH27" s="48"/>
      <c r="AI27" s="48"/>
      <c r="AJ27" s="49"/>
      <c r="AK27" s="51"/>
      <c r="AL27" s="41">
        <f t="shared" si="14"/>
        <v>1.7499999999999998E-3</v>
      </c>
      <c r="AM27" s="48"/>
      <c r="AN27" s="49"/>
      <c r="AO27" s="51"/>
      <c r="AP27" s="48"/>
      <c r="AQ27" s="263"/>
      <c r="AR27" s="59"/>
      <c r="AS27" s="58"/>
      <c r="AT27" s="42"/>
      <c r="AU27" s="42"/>
      <c r="AV27" s="59"/>
    </row>
    <row r="28" spans="1:48" ht="45" x14ac:dyDescent="0.25">
      <c r="A28" s="28">
        <v>404</v>
      </c>
      <c r="B28" s="15" t="s">
        <v>28</v>
      </c>
      <c r="C28" s="176" t="s">
        <v>507</v>
      </c>
      <c r="D28" s="147" t="s">
        <v>508</v>
      </c>
      <c r="E28" s="30"/>
      <c r="F28" s="28" t="s">
        <v>177</v>
      </c>
      <c r="G28" s="15"/>
      <c r="H28" s="171" t="s">
        <v>31</v>
      </c>
      <c r="I28" s="15"/>
      <c r="J28" s="149">
        <v>4.8999999999999998E-3</v>
      </c>
      <c r="K28" s="28">
        <v>0.1</v>
      </c>
      <c r="L28" s="28">
        <v>16</v>
      </c>
      <c r="M28" s="28" t="s">
        <v>33</v>
      </c>
      <c r="N28" s="28">
        <f t="shared" si="5"/>
        <v>2.4</v>
      </c>
      <c r="O28" s="28">
        <f t="shared" si="6"/>
        <v>2.8</v>
      </c>
      <c r="P28" s="28">
        <f t="shared" si="7"/>
        <v>1.6</v>
      </c>
      <c r="Q28" s="28">
        <f t="shared" si="8"/>
        <v>1.2</v>
      </c>
      <c r="R28" s="143">
        <v>8</v>
      </c>
      <c r="S28" s="170">
        <v>105991.94</v>
      </c>
      <c r="T28" s="170">
        <v>10599.194000000001</v>
      </c>
      <c r="U28" s="15"/>
      <c r="V28" s="15"/>
      <c r="W28" s="28" t="s">
        <v>197</v>
      </c>
      <c r="X28" s="28">
        <v>70199</v>
      </c>
      <c r="Y28" s="28">
        <v>6.34</v>
      </c>
      <c r="Z28" s="15" t="s">
        <v>177</v>
      </c>
      <c r="AA28" s="178">
        <v>11</v>
      </c>
      <c r="AB28" s="28">
        <v>3735</v>
      </c>
      <c r="AC28" s="169">
        <f t="shared" si="13"/>
        <v>0.03</v>
      </c>
      <c r="AD28" s="48"/>
      <c r="AE28" s="48"/>
      <c r="AF28" s="49"/>
      <c r="AG28" s="51"/>
      <c r="AH28" s="48"/>
      <c r="AI28" s="48"/>
      <c r="AJ28" s="49"/>
      <c r="AK28" s="51"/>
      <c r="AL28" s="41">
        <f t="shared" si="14"/>
        <v>3.4999999999999996E-2</v>
      </c>
      <c r="AM28" s="48"/>
      <c r="AN28" s="49"/>
      <c r="AO28" s="51"/>
      <c r="AP28" s="48"/>
      <c r="AQ28" s="263"/>
      <c r="AR28" s="59"/>
      <c r="AS28" s="58"/>
      <c r="AT28" s="42"/>
      <c r="AU28" s="42"/>
      <c r="AV28" s="59"/>
    </row>
    <row r="29" spans="1:48" ht="45" x14ac:dyDescent="0.25">
      <c r="A29" s="28">
        <v>405</v>
      </c>
      <c r="B29" s="15" t="s">
        <v>28</v>
      </c>
      <c r="C29" s="176" t="s">
        <v>507</v>
      </c>
      <c r="D29" s="147" t="s">
        <v>508</v>
      </c>
      <c r="E29" s="30"/>
      <c r="F29" s="28" t="s">
        <v>198</v>
      </c>
      <c r="G29" s="15"/>
      <c r="H29" s="171" t="s">
        <v>31</v>
      </c>
      <c r="I29" s="15"/>
      <c r="J29" s="149">
        <v>0</v>
      </c>
      <c r="K29" s="28">
        <v>1.0200000000000001E-3</v>
      </c>
      <c r="L29" s="28">
        <v>8</v>
      </c>
      <c r="M29" s="28" t="s">
        <v>33</v>
      </c>
      <c r="N29" s="28">
        <f t="shared" si="5"/>
        <v>2.4480000000000002E-2</v>
      </c>
      <c r="O29" s="28">
        <f t="shared" si="6"/>
        <v>2.8559999999999999E-2</v>
      </c>
      <c r="P29" s="28">
        <f t="shared" si="7"/>
        <v>1.6320000000000001E-2</v>
      </c>
      <c r="Q29" s="28">
        <f t="shared" si="8"/>
        <v>1.2240000000000001E-2</v>
      </c>
      <c r="R29" s="143">
        <v>8.1600000000000006E-2</v>
      </c>
      <c r="S29" s="170">
        <v>105991.94</v>
      </c>
      <c r="T29" s="170">
        <v>108.11177880000001</v>
      </c>
      <c r="U29" s="15"/>
      <c r="V29" s="15"/>
      <c r="W29" s="28" t="s">
        <v>199</v>
      </c>
      <c r="X29" s="28">
        <v>70199</v>
      </c>
      <c r="Y29" s="28">
        <v>6.34</v>
      </c>
      <c r="Z29" s="15" t="s">
        <v>198</v>
      </c>
      <c r="AA29" s="178">
        <v>12</v>
      </c>
      <c r="AB29" s="28">
        <v>3735</v>
      </c>
      <c r="AC29" s="169">
        <f t="shared" si="13"/>
        <v>3.0600000000000001E-4</v>
      </c>
      <c r="AD29" s="48"/>
      <c r="AE29" s="48"/>
      <c r="AF29" s="49"/>
      <c r="AG29" s="51"/>
      <c r="AH29" s="48"/>
      <c r="AI29" s="48"/>
      <c r="AJ29" s="49"/>
      <c r="AK29" s="51"/>
      <c r="AL29" s="41">
        <f t="shared" si="14"/>
        <v>3.57E-4</v>
      </c>
      <c r="AM29" s="48"/>
      <c r="AN29" s="49"/>
      <c r="AO29" s="51"/>
      <c r="AP29" s="48"/>
      <c r="AQ29" s="263"/>
      <c r="AR29" s="59"/>
      <c r="AS29" s="58"/>
      <c r="AT29" s="42"/>
      <c r="AU29" s="42"/>
      <c r="AV29" s="59"/>
    </row>
    <row r="30" spans="1:48" ht="45" x14ac:dyDescent="0.25">
      <c r="A30" s="28">
        <v>406</v>
      </c>
      <c r="B30" s="15" t="s">
        <v>28</v>
      </c>
      <c r="C30" s="176" t="s">
        <v>507</v>
      </c>
      <c r="D30" s="147" t="s">
        <v>508</v>
      </c>
      <c r="E30" s="30"/>
      <c r="F30" s="28" t="s">
        <v>200</v>
      </c>
      <c r="G30" s="15"/>
      <c r="H30" s="171" t="s">
        <v>31</v>
      </c>
      <c r="I30" s="15"/>
      <c r="J30" s="149">
        <v>1.0000000000000001E-5</v>
      </c>
      <c r="K30" s="28">
        <v>1E-3</v>
      </c>
      <c r="L30" s="28">
        <v>8</v>
      </c>
      <c r="M30" s="28" t="s">
        <v>33</v>
      </c>
      <c r="N30" s="28">
        <f t="shared" si="5"/>
        <v>2.4E-2</v>
      </c>
      <c r="O30" s="28">
        <f t="shared" si="6"/>
        <v>2.7999999999999997E-2</v>
      </c>
      <c r="P30" s="28">
        <f t="shared" si="7"/>
        <v>1.6E-2</v>
      </c>
      <c r="Q30" s="28">
        <f t="shared" si="8"/>
        <v>1.2E-2</v>
      </c>
      <c r="R30" s="143">
        <v>0.08</v>
      </c>
      <c r="S30" s="170">
        <v>105991.94</v>
      </c>
      <c r="T30" s="170">
        <v>105.99194</v>
      </c>
      <c r="U30" s="15"/>
      <c r="V30" s="15"/>
      <c r="W30" s="28" t="s">
        <v>201</v>
      </c>
      <c r="X30" s="28">
        <v>70199</v>
      </c>
      <c r="Y30" s="28">
        <v>6.34</v>
      </c>
      <c r="Z30" s="15" t="s">
        <v>200</v>
      </c>
      <c r="AA30" s="178">
        <v>13</v>
      </c>
      <c r="AB30" s="28">
        <v>3735</v>
      </c>
      <c r="AC30" s="169">
        <f t="shared" si="13"/>
        <v>2.9999999999999997E-4</v>
      </c>
      <c r="AD30" s="48"/>
      <c r="AE30" s="48"/>
      <c r="AF30" s="49"/>
      <c r="AG30" s="51"/>
      <c r="AH30" s="48"/>
      <c r="AI30" s="48"/>
      <c r="AJ30" s="49"/>
      <c r="AK30" s="51"/>
      <c r="AL30" s="41">
        <f t="shared" si="14"/>
        <v>3.5E-4</v>
      </c>
      <c r="AM30" s="48"/>
      <c r="AN30" s="49"/>
      <c r="AO30" s="51"/>
      <c r="AP30" s="48"/>
      <c r="AQ30" s="263"/>
      <c r="AR30" s="59"/>
      <c r="AS30" s="58"/>
      <c r="AT30" s="42"/>
      <c r="AU30" s="42"/>
      <c r="AV30" s="59"/>
    </row>
    <row r="31" spans="1:48" ht="60" x14ac:dyDescent="0.25">
      <c r="A31" s="28">
        <v>407</v>
      </c>
      <c r="B31" s="15" t="s">
        <v>28</v>
      </c>
      <c r="C31" s="15" t="s">
        <v>507</v>
      </c>
      <c r="D31" s="147" t="s">
        <v>508</v>
      </c>
      <c r="E31" s="30"/>
      <c r="F31" s="28" t="s">
        <v>202</v>
      </c>
      <c r="G31" s="15"/>
      <c r="H31" s="171" t="s">
        <v>31</v>
      </c>
      <c r="I31" s="15" t="s">
        <v>558</v>
      </c>
      <c r="J31" s="149">
        <v>2.4000000000000001E-4</v>
      </c>
      <c r="K31" s="28">
        <v>0.01</v>
      </c>
      <c r="L31" s="28">
        <v>1</v>
      </c>
      <c r="M31" s="28" t="s">
        <v>33</v>
      </c>
      <c r="N31" s="28">
        <f t="shared" si="5"/>
        <v>0.24</v>
      </c>
      <c r="O31" s="28">
        <f t="shared" si="6"/>
        <v>0.27999999999999997</v>
      </c>
      <c r="P31" s="28">
        <f t="shared" si="7"/>
        <v>0.16000000000000003</v>
      </c>
      <c r="Q31" s="28">
        <f t="shared" si="8"/>
        <v>0.12</v>
      </c>
      <c r="R31" s="143">
        <v>0.8</v>
      </c>
      <c r="S31" s="170">
        <v>105991.94</v>
      </c>
      <c r="T31" s="170">
        <v>1059.9194</v>
      </c>
      <c r="U31" s="15"/>
      <c r="V31" s="15"/>
      <c r="W31" s="28" t="s">
        <v>203</v>
      </c>
      <c r="X31" s="28">
        <v>70199</v>
      </c>
      <c r="Y31" s="28">
        <v>6.34</v>
      </c>
      <c r="Z31" s="15" t="s">
        <v>202</v>
      </c>
      <c r="AA31" s="15">
        <v>14</v>
      </c>
      <c r="AB31" s="28">
        <v>3735</v>
      </c>
      <c r="AC31" s="169">
        <f t="shared" si="13"/>
        <v>3.0000000000000001E-3</v>
      </c>
      <c r="AD31" s="48"/>
      <c r="AE31" s="48"/>
      <c r="AF31" s="49"/>
      <c r="AG31" s="51"/>
      <c r="AH31" s="48"/>
      <c r="AI31" s="48"/>
      <c r="AJ31" s="49"/>
      <c r="AK31" s="51"/>
      <c r="AL31" s="41">
        <f t="shared" si="14"/>
        <v>3.4999999999999996E-3</v>
      </c>
      <c r="AM31" s="48"/>
      <c r="AN31" s="49"/>
      <c r="AO31" s="51"/>
      <c r="AP31" s="48"/>
      <c r="AQ31" s="263"/>
      <c r="AR31" s="59"/>
      <c r="AS31" s="58"/>
      <c r="AT31" s="42"/>
      <c r="AU31" s="42"/>
      <c r="AV31" s="59"/>
    </row>
    <row r="32" spans="1:48" ht="60" x14ac:dyDescent="0.25">
      <c r="A32" s="28">
        <v>408</v>
      </c>
      <c r="B32" s="15" t="s">
        <v>28</v>
      </c>
      <c r="C32" s="15" t="s">
        <v>507</v>
      </c>
      <c r="D32" s="147" t="s">
        <v>508</v>
      </c>
      <c r="E32" s="30"/>
      <c r="F32" s="28" t="s">
        <v>204</v>
      </c>
      <c r="G32" s="15"/>
      <c r="H32" s="171" t="s">
        <v>31</v>
      </c>
      <c r="I32" s="15" t="s">
        <v>559</v>
      </c>
      <c r="J32" s="149">
        <v>5.4299999999999999E-3</v>
      </c>
      <c r="K32" s="28">
        <v>0.03</v>
      </c>
      <c r="L32" s="28">
        <v>1</v>
      </c>
      <c r="M32" s="28" t="s">
        <v>33</v>
      </c>
      <c r="N32" s="28">
        <f t="shared" si="5"/>
        <v>0.72</v>
      </c>
      <c r="O32" s="28">
        <f t="shared" si="6"/>
        <v>0.84</v>
      </c>
      <c r="P32" s="28">
        <f t="shared" si="7"/>
        <v>0.48</v>
      </c>
      <c r="Q32" s="28">
        <f t="shared" si="8"/>
        <v>0.36</v>
      </c>
      <c r="R32" s="143">
        <v>2.4</v>
      </c>
      <c r="S32" s="170">
        <v>105991.94</v>
      </c>
      <c r="T32" s="170">
        <v>3179.7581999999998</v>
      </c>
      <c r="U32" s="15"/>
      <c r="V32" s="15"/>
      <c r="W32" s="28" t="s">
        <v>205</v>
      </c>
      <c r="X32" s="28">
        <v>70199</v>
      </c>
      <c r="Y32" s="28">
        <v>6.34</v>
      </c>
      <c r="Z32" s="15" t="s">
        <v>204</v>
      </c>
      <c r="AA32" s="15">
        <v>15</v>
      </c>
      <c r="AB32" s="28">
        <v>3735</v>
      </c>
      <c r="AC32" s="169">
        <f t="shared" si="13"/>
        <v>8.9999999999999993E-3</v>
      </c>
      <c r="AD32" s="48"/>
      <c r="AE32" s="48"/>
      <c r="AF32" s="49"/>
      <c r="AG32" s="51"/>
      <c r="AH32" s="48"/>
      <c r="AI32" s="48"/>
      <c r="AJ32" s="49"/>
      <c r="AK32" s="51"/>
      <c r="AL32" s="41">
        <f t="shared" si="14"/>
        <v>1.0499999999999999E-2</v>
      </c>
      <c r="AM32" s="48"/>
      <c r="AN32" s="49"/>
      <c r="AO32" s="51"/>
      <c r="AP32" s="48"/>
      <c r="AQ32" s="263"/>
      <c r="AR32" s="59"/>
      <c r="AS32" s="58"/>
      <c r="AT32" s="42"/>
      <c r="AU32" s="42"/>
      <c r="AV32" s="59"/>
    </row>
    <row r="33" spans="1:48" ht="45" x14ac:dyDescent="0.25">
      <c r="A33" s="28">
        <v>409</v>
      </c>
      <c r="B33" s="15" t="s">
        <v>28</v>
      </c>
      <c r="C33" s="176" t="s">
        <v>507</v>
      </c>
      <c r="D33" s="147" t="s">
        <v>508</v>
      </c>
      <c r="E33" s="30"/>
      <c r="F33" s="28" t="s">
        <v>194</v>
      </c>
      <c r="G33" s="15"/>
      <c r="H33" s="171" t="s">
        <v>31</v>
      </c>
      <c r="I33" s="15"/>
      <c r="J33" s="149">
        <v>0.47099999999999997</v>
      </c>
      <c r="K33" s="28">
        <v>0.8</v>
      </c>
      <c r="L33" s="28">
        <v>1</v>
      </c>
      <c r="M33" s="28" t="s">
        <v>33</v>
      </c>
      <c r="N33" s="28">
        <f t="shared" si="5"/>
        <v>15.120000000000001</v>
      </c>
      <c r="O33" s="28">
        <f t="shared" si="6"/>
        <v>17.64</v>
      </c>
      <c r="P33" s="28">
        <f t="shared" si="7"/>
        <v>10.080000000000002</v>
      </c>
      <c r="Q33" s="28">
        <f t="shared" si="8"/>
        <v>7.5600000000000005</v>
      </c>
      <c r="R33" s="143">
        <v>50.400000000000006</v>
      </c>
      <c r="S33" s="170">
        <v>105991.94</v>
      </c>
      <c r="T33" s="170">
        <v>84793.552000000011</v>
      </c>
      <c r="U33" s="15"/>
      <c r="V33" s="15"/>
      <c r="W33" s="28" t="s">
        <v>206</v>
      </c>
      <c r="X33" s="28">
        <v>70199</v>
      </c>
      <c r="Y33" s="28">
        <v>6.34</v>
      </c>
      <c r="Z33" s="15" t="s">
        <v>194</v>
      </c>
      <c r="AA33" s="178">
        <v>16</v>
      </c>
      <c r="AB33" s="28">
        <v>3735</v>
      </c>
      <c r="AC33" s="169">
        <f t="shared" si="13"/>
        <v>0.24</v>
      </c>
      <c r="AD33" s="48"/>
      <c r="AE33" s="48"/>
      <c r="AF33" s="49"/>
      <c r="AG33" s="51"/>
      <c r="AH33" s="48"/>
      <c r="AI33" s="48"/>
      <c r="AJ33" s="49"/>
      <c r="AK33" s="51"/>
      <c r="AL33" s="41">
        <f t="shared" si="14"/>
        <v>0.27999999999999997</v>
      </c>
      <c r="AM33" s="48"/>
      <c r="AN33" s="49"/>
      <c r="AO33" s="51"/>
      <c r="AP33" s="48"/>
      <c r="AQ33" s="263"/>
      <c r="AR33" s="59"/>
      <c r="AS33" s="58"/>
      <c r="AT33" s="42"/>
      <c r="AU33" s="42"/>
      <c r="AV33" s="59"/>
    </row>
    <row r="34" spans="1:48" ht="45" x14ac:dyDescent="0.25">
      <c r="A34" s="28">
        <v>410</v>
      </c>
      <c r="B34" s="15" t="s">
        <v>28</v>
      </c>
      <c r="C34" s="176" t="s">
        <v>507</v>
      </c>
      <c r="D34" s="147" t="s">
        <v>508</v>
      </c>
      <c r="E34" s="30"/>
      <c r="F34" s="28" t="s">
        <v>194</v>
      </c>
      <c r="G34" s="15"/>
      <c r="H34" s="171" t="s">
        <v>31</v>
      </c>
      <c r="I34" s="15"/>
      <c r="J34" s="149">
        <v>0.47099999999999997</v>
      </c>
      <c r="K34" s="28">
        <v>0.8</v>
      </c>
      <c r="L34" s="28">
        <v>1</v>
      </c>
      <c r="M34" s="28" t="s">
        <v>33</v>
      </c>
      <c r="N34" s="28">
        <f t="shared" si="5"/>
        <v>15.120000000000001</v>
      </c>
      <c r="O34" s="28">
        <f t="shared" si="6"/>
        <v>17.64</v>
      </c>
      <c r="P34" s="28">
        <f t="shared" si="7"/>
        <v>10.080000000000002</v>
      </c>
      <c r="Q34" s="28">
        <f t="shared" si="8"/>
        <v>7.5600000000000005</v>
      </c>
      <c r="R34" s="143">
        <v>50.400000000000006</v>
      </c>
      <c r="S34" s="170">
        <v>105991.94</v>
      </c>
      <c r="T34" s="170">
        <v>84793.552000000011</v>
      </c>
      <c r="U34" s="15"/>
      <c r="V34" s="15"/>
      <c r="W34" s="28" t="s">
        <v>207</v>
      </c>
      <c r="X34" s="28">
        <v>70199</v>
      </c>
      <c r="Y34" s="28">
        <v>6.34</v>
      </c>
      <c r="Z34" s="15" t="s">
        <v>194</v>
      </c>
      <c r="AA34" s="178">
        <v>17</v>
      </c>
      <c r="AB34" s="28">
        <v>3735</v>
      </c>
      <c r="AC34" s="169">
        <f t="shared" si="13"/>
        <v>0.24</v>
      </c>
      <c r="AD34" s="48"/>
      <c r="AE34" s="48"/>
      <c r="AF34" s="49"/>
      <c r="AG34" s="51"/>
      <c r="AH34" s="48"/>
      <c r="AI34" s="48"/>
      <c r="AJ34" s="49"/>
      <c r="AK34" s="51"/>
      <c r="AL34" s="41">
        <f t="shared" si="14"/>
        <v>0.27999999999999997</v>
      </c>
      <c r="AM34" s="48"/>
      <c r="AN34" s="49"/>
      <c r="AO34" s="51"/>
      <c r="AP34" s="48"/>
      <c r="AQ34" s="263"/>
      <c r="AR34" s="59"/>
      <c r="AS34" s="58"/>
      <c r="AT34" s="42"/>
      <c r="AU34" s="42"/>
      <c r="AV34" s="59"/>
    </row>
    <row r="35" spans="1:48" ht="45" x14ac:dyDescent="0.25">
      <c r="A35" s="28">
        <v>411</v>
      </c>
      <c r="B35" s="15" t="s">
        <v>28</v>
      </c>
      <c r="C35" s="176" t="s">
        <v>507</v>
      </c>
      <c r="D35" s="147" t="s">
        <v>508</v>
      </c>
      <c r="E35" s="30"/>
      <c r="F35" s="28" t="s">
        <v>177</v>
      </c>
      <c r="G35" s="15"/>
      <c r="H35" s="171" t="s">
        <v>31</v>
      </c>
      <c r="I35" s="15"/>
      <c r="J35" s="149">
        <v>2E-3</v>
      </c>
      <c r="K35" s="28">
        <v>0.1</v>
      </c>
      <c r="L35" s="28">
        <v>32</v>
      </c>
      <c r="M35" s="28" t="s">
        <v>33</v>
      </c>
      <c r="N35" s="28">
        <f t="shared" si="5"/>
        <v>2.4</v>
      </c>
      <c r="O35" s="28">
        <f t="shared" si="6"/>
        <v>2.8</v>
      </c>
      <c r="P35" s="28">
        <f t="shared" si="7"/>
        <v>1.6</v>
      </c>
      <c r="Q35" s="28">
        <f t="shared" si="8"/>
        <v>1.2</v>
      </c>
      <c r="R35" s="143">
        <v>8</v>
      </c>
      <c r="S35" s="170">
        <v>105991.94</v>
      </c>
      <c r="T35" s="170">
        <v>10599.194000000001</v>
      </c>
      <c r="U35" s="15"/>
      <c r="V35" s="15"/>
      <c r="W35" s="28" t="s">
        <v>208</v>
      </c>
      <c r="X35" s="28">
        <v>70199</v>
      </c>
      <c r="Y35" s="28">
        <v>6.34</v>
      </c>
      <c r="Z35" s="15" t="s">
        <v>177</v>
      </c>
      <c r="AA35" s="178">
        <v>18</v>
      </c>
      <c r="AB35" s="28">
        <v>3735</v>
      </c>
      <c r="AC35" s="169">
        <f t="shared" si="13"/>
        <v>0.03</v>
      </c>
      <c r="AD35" s="48"/>
      <c r="AE35" s="48"/>
      <c r="AF35" s="49"/>
      <c r="AG35" s="51"/>
      <c r="AH35" s="48"/>
      <c r="AI35" s="48"/>
      <c r="AJ35" s="49"/>
      <c r="AK35" s="51"/>
      <c r="AL35" s="41">
        <f t="shared" si="14"/>
        <v>3.4999999999999996E-2</v>
      </c>
      <c r="AM35" s="48"/>
      <c r="AN35" s="49"/>
      <c r="AO35" s="51"/>
      <c r="AP35" s="48"/>
      <c r="AQ35" s="263"/>
      <c r="AR35" s="59"/>
      <c r="AS35" s="58"/>
      <c r="AT35" s="42"/>
      <c r="AU35" s="42"/>
      <c r="AV35" s="59"/>
    </row>
    <row r="36" spans="1:48" ht="45" x14ac:dyDescent="0.25">
      <c r="A36" s="28">
        <v>412</v>
      </c>
      <c r="B36" s="15" t="s">
        <v>28</v>
      </c>
      <c r="C36" s="176" t="s">
        <v>507</v>
      </c>
      <c r="D36" s="147" t="s">
        <v>508</v>
      </c>
      <c r="E36" s="30"/>
      <c r="F36" s="28" t="s">
        <v>177</v>
      </c>
      <c r="G36" s="15"/>
      <c r="H36" s="171" t="s">
        <v>31</v>
      </c>
      <c r="I36" s="15"/>
      <c r="J36" s="149">
        <v>1.1299999999999999E-3</v>
      </c>
      <c r="K36" s="28">
        <v>4.5199999999999997E-3</v>
      </c>
      <c r="L36" s="28">
        <v>4</v>
      </c>
      <c r="M36" s="28" t="s">
        <v>33</v>
      </c>
      <c r="N36" s="28">
        <f t="shared" si="5"/>
        <v>0.10847999999999999</v>
      </c>
      <c r="O36" s="28">
        <f t="shared" si="6"/>
        <v>0.12655999999999998</v>
      </c>
      <c r="P36" s="28">
        <f t="shared" si="7"/>
        <v>7.2319999999999995E-2</v>
      </c>
      <c r="Q36" s="28">
        <f t="shared" si="8"/>
        <v>5.4239999999999997E-2</v>
      </c>
      <c r="R36" s="143">
        <v>0.36159999999999998</v>
      </c>
      <c r="S36" s="170">
        <v>105991.94</v>
      </c>
      <c r="T36" s="170">
        <v>479.08356879999997</v>
      </c>
      <c r="U36" s="15"/>
      <c r="V36" s="15"/>
      <c r="W36" s="28" t="s">
        <v>209</v>
      </c>
      <c r="X36" s="28">
        <v>70199</v>
      </c>
      <c r="Y36" s="28">
        <v>6.34</v>
      </c>
      <c r="Z36" s="15" t="s">
        <v>177</v>
      </c>
      <c r="AA36" s="178">
        <v>19</v>
      </c>
      <c r="AB36" s="28">
        <v>3735</v>
      </c>
      <c r="AC36" s="169">
        <f t="shared" si="13"/>
        <v>1.3559999999999998E-3</v>
      </c>
      <c r="AD36" s="48"/>
      <c r="AE36" s="48"/>
      <c r="AF36" s="49"/>
      <c r="AG36" s="51"/>
      <c r="AH36" s="48"/>
      <c r="AI36" s="48"/>
      <c r="AJ36" s="49"/>
      <c r="AK36" s="51"/>
      <c r="AL36" s="41">
        <f t="shared" si="14"/>
        <v>1.5819999999999999E-3</v>
      </c>
      <c r="AM36" s="48"/>
      <c r="AN36" s="49"/>
      <c r="AO36" s="51"/>
      <c r="AP36" s="48"/>
      <c r="AQ36" s="263"/>
      <c r="AR36" s="59"/>
      <c r="AS36" s="58"/>
      <c r="AT36" s="42"/>
      <c r="AU36" s="42"/>
      <c r="AV36" s="59"/>
    </row>
    <row r="37" spans="1:48" ht="45" x14ac:dyDescent="0.25">
      <c r="A37" s="28">
        <v>413</v>
      </c>
      <c r="B37" s="15" t="s">
        <v>28</v>
      </c>
      <c r="C37" s="176" t="s">
        <v>507</v>
      </c>
      <c r="D37" s="147" t="s">
        <v>508</v>
      </c>
      <c r="E37" s="30"/>
      <c r="F37" s="28" t="s">
        <v>111</v>
      </c>
      <c r="G37" s="15"/>
      <c r="H37" s="171" t="s">
        <v>31</v>
      </c>
      <c r="I37" s="15"/>
      <c r="J37" s="149">
        <v>3.8999999999999998E-3</v>
      </c>
      <c r="K37" s="28">
        <v>3.8999999999999998E-3</v>
      </c>
      <c r="L37" s="28">
        <v>1</v>
      </c>
      <c r="M37" s="28" t="s">
        <v>33</v>
      </c>
      <c r="N37" s="28">
        <f t="shared" si="5"/>
        <v>9.3600000000000003E-2</v>
      </c>
      <c r="O37" s="28">
        <f t="shared" si="6"/>
        <v>0.10919999999999999</v>
      </c>
      <c r="P37" s="28">
        <f t="shared" si="7"/>
        <v>6.2400000000000004E-2</v>
      </c>
      <c r="Q37" s="28">
        <f t="shared" si="8"/>
        <v>4.6800000000000001E-2</v>
      </c>
      <c r="R37" s="143">
        <v>0.312</v>
      </c>
      <c r="S37" s="170">
        <v>105991.94</v>
      </c>
      <c r="T37" s="170">
        <v>413.36856599999999</v>
      </c>
      <c r="U37" s="15"/>
      <c r="V37" s="15"/>
      <c r="W37" s="28" t="s">
        <v>210</v>
      </c>
      <c r="X37" s="28">
        <v>70199</v>
      </c>
      <c r="Y37" s="28">
        <v>6.34</v>
      </c>
      <c r="Z37" s="15" t="s">
        <v>111</v>
      </c>
      <c r="AA37" s="178">
        <v>20</v>
      </c>
      <c r="AB37" s="28">
        <v>3735</v>
      </c>
      <c r="AC37" s="169">
        <f t="shared" si="13"/>
        <v>1.1699999999999998E-3</v>
      </c>
      <c r="AD37" s="163"/>
      <c r="AE37" s="163"/>
      <c r="AF37" s="164"/>
      <c r="AG37" s="141"/>
      <c r="AH37" s="163"/>
      <c r="AI37" s="163"/>
      <c r="AJ37" s="164"/>
      <c r="AK37" s="141"/>
      <c r="AL37" s="41">
        <f t="shared" si="14"/>
        <v>1.3649999999999999E-3</v>
      </c>
      <c r="AM37" s="163"/>
      <c r="AN37" s="164"/>
      <c r="AO37" s="141"/>
      <c r="AP37" s="163"/>
      <c r="AQ37" s="265"/>
      <c r="AR37" s="127"/>
      <c r="AS37" s="126"/>
      <c r="AT37" s="72"/>
      <c r="AU37" s="72"/>
      <c r="AV37" s="127"/>
    </row>
    <row r="38" spans="1:48" ht="45" x14ac:dyDescent="0.25">
      <c r="A38" s="28">
        <v>414</v>
      </c>
      <c r="B38" s="15" t="s">
        <v>28</v>
      </c>
      <c r="C38" s="176" t="s">
        <v>507</v>
      </c>
      <c r="D38" s="147" t="s">
        <v>508</v>
      </c>
      <c r="E38" s="30"/>
      <c r="F38" s="28" t="s">
        <v>120</v>
      </c>
      <c r="G38" s="15"/>
      <c r="H38" s="171" t="s">
        <v>31</v>
      </c>
      <c r="I38" s="15"/>
      <c r="J38" s="149">
        <v>3.8000000000000002E-4</v>
      </c>
      <c r="K38" s="153">
        <v>7.6000000000000004E-4</v>
      </c>
      <c r="L38" s="28">
        <v>2</v>
      </c>
      <c r="M38" s="28" t="s">
        <v>33</v>
      </c>
      <c r="N38" s="28">
        <f t="shared" si="5"/>
        <v>1.8240000000000003E-2</v>
      </c>
      <c r="O38" s="28">
        <f t="shared" si="6"/>
        <v>2.128E-2</v>
      </c>
      <c r="P38" s="28">
        <f t="shared" si="7"/>
        <v>1.2160000000000002E-2</v>
      </c>
      <c r="Q38" s="28">
        <f t="shared" si="8"/>
        <v>9.1200000000000014E-3</v>
      </c>
      <c r="R38" s="143">
        <v>6.0800000000000007E-2</v>
      </c>
      <c r="S38" s="170">
        <v>105991.94</v>
      </c>
      <c r="T38" s="170">
        <v>80.553874400000012</v>
      </c>
      <c r="U38" s="15"/>
      <c r="V38" s="15"/>
      <c r="W38" s="28" t="s">
        <v>121</v>
      </c>
      <c r="X38" s="28">
        <v>70199</v>
      </c>
      <c r="Y38" s="28">
        <v>6.34</v>
      </c>
      <c r="Z38" s="15" t="s">
        <v>120</v>
      </c>
      <c r="AA38" s="178">
        <v>21</v>
      </c>
      <c r="AB38" s="28">
        <v>3735</v>
      </c>
      <c r="AC38" s="169">
        <f t="shared" si="13"/>
        <v>2.2800000000000001E-4</v>
      </c>
      <c r="AD38" s="163"/>
      <c r="AE38" s="163"/>
      <c r="AF38" s="164"/>
      <c r="AG38" s="141"/>
      <c r="AH38" s="163"/>
      <c r="AI38" s="163"/>
      <c r="AJ38" s="164"/>
      <c r="AK38" s="141"/>
      <c r="AL38" s="41">
        <f t="shared" si="14"/>
        <v>2.6600000000000001E-4</v>
      </c>
      <c r="AM38" s="163"/>
      <c r="AN38" s="164"/>
      <c r="AO38" s="141"/>
      <c r="AP38" s="163"/>
      <c r="AQ38" s="265"/>
      <c r="AR38" s="127"/>
      <c r="AS38" s="126"/>
      <c r="AT38" s="72"/>
      <c r="AU38" s="72"/>
      <c r="AV38" s="127"/>
    </row>
    <row r="39" spans="1:48" ht="45" x14ac:dyDescent="0.25">
      <c r="A39" s="28">
        <v>415</v>
      </c>
      <c r="B39" s="15" t="s">
        <v>28</v>
      </c>
      <c r="C39" s="15" t="s">
        <v>507</v>
      </c>
      <c r="D39" s="147" t="s">
        <v>508</v>
      </c>
      <c r="E39" s="30"/>
      <c r="F39" s="28" t="s">
        <v>175</v>
      </c>
      <c r="G39" s="15"/>
      <c r="H39" s="171" t="s">
        <v>31</v>
      </c>
      <c r="I39" s="15" t="s">
        <v>560</v>
      </c>
      <c r="J39" s="149">
        <v>3.14E-3</v>
      </c>
      <c r="K39" s="153">
        <v>0.1</v>
      </c>
      <c r="L39" s="28">
        <v>1</v>
      </c>
      <c r="M39" s="28" t="s">
        <v>33</v>
      </c>
      <c r="N39" s="28">
        <f t="shared" si="5"/>
        <v>2.4</v>
      </c>
      <c r="O39" s="28">
        <f t="shared" si="6"/>
        <v>2.8</v>
      </c>
      <c r="P39" s="28">
        <f t="shared" si="7"/>
        <v>1.6</v>
      </c>
      <c r="Q39" s="28">
        <f t="shared" si="8"/>
        <v>1.2</v>
      </c>
      <c r="R39" s="143">
        <v>8</v>
      </c>
      <c r="S39" s="170">
        <v>105991.94</v>
      </c>
      <c r="T39" s="170">
        <v>10599.194000000001</v>
      </c>
      <c r="U39" s="15"/>
      <c r="V39" s="15"/>
      <c r="W39" s="28" t="s">
        <v>176</v>
      </c>
      <c r="X39" s="28">
        <v>70199</v>
      </c>
      <c r="Y39" s="28">
        <v>6.34</v>
      </c>
      <c r="Z39" s="15" t="s">
        <v>175</v>
      </c>
      <c r="AA39" s="15">
        <v>22</v>
      </c>
      <c r="AB39" s="28">
        <v>3735</v>
      </c>
      <c r="AC39" s="169">
        <f t="shared" si="13"/>
        <v>0.03</v>
      </c>
      <c r="AD39" s="163"/>
      <c r="AE39" s="163"/>
      <c r="AF39" s="164"/>
      <c r="AG39" s="141"/>
      <c r="AH39" s="163"/>
      <c r="AI39" s="163"/>
      <c r="AJ39" s="164"/>
      <c r="AK39" s="141"/>
      <c r="AL39" s="41">
        <f t="shared" si="14"/>
        <v>3.4999999999999996E-2</v>
      </c>
      <c r="AM39" s="163"/>
      <c r="AN39" s="164"/>
      <c r="AO39" s="141"/>
      <c r="AP39" s="163"/>
      <c r="AQ39" s="265"/>
      <c r="AR39" s="127"/>
      <c r="AS39" s="126"/>
      <c r="AT39" s="72"/>
      <c r="AU39" s="72"/>
      <c r="AV39" s="127"/>
    </row>
    <row r="40" spans="1:48" ht="45" x14ac:dyDescent="0.25">
      <c r="A40" s="28">
        <v>416</v>
      </c>
      <c r="B40" s="15" t="s">
        <v>28</v>
      </c>
      <c r="C40" s="176" t="s">
        <v>507</v>
      </c>
      <c r="D40" s="147" t="s">
        <v>508</v>
      </c>
      <c r="E40" s="30"/>
      <c r="F40" s="28" t="s">
        <v>40</v>
      </c>
      <c r="G40" s="15"/>
      <c r="H40" s="171" t="s">
        <v>31</v>
      </c>
      <c r="I40" s="15"/>
      <c r="J40" s="149">
        <v>4.7999999999999996E-3</v>
      </c>
      <c r="K40" s="153">
        <v>4.7999999999999996E-3</v>
      </c>
      <c r="L40" s="28">
        <v>1</v>
      </c>
      <c r="M40" s="28" t="s">
        <v>33</v>
      </c>
      <c r="N40" s="28">
        <f t="shared" si="5"/>
        <v>0.11519999999999998</v>
      </c>
      <c r="O40" s="28">
        <f t="shared" si="6"/>
        <v>0.13439999999999996</v>
      </c>
      <c r="P40" s="28">
        <f t="shared" si="7"/>
        <v>7.6799999999999993E-2</v>
      </c>
      <c r="Q40" s="28">
        <f t="shared" si="8"/>
        <v>5.7599999999999991E-2</v>
      </c>
      <c r="R40" s="143">
        <v>0.38399999999999995</v>
      </c>
      <c r="S40" s="170">
        <v>105991.94</v>
      </c>
      <c r="T40" s="170">
        <v>508.76131199999998</v>
      </c>
      <c r="U40" s="15"/>
      <c r="V40" s="15"/>
      <c r="W40" s="28" t="s">
        <v>211</v>
      </c>
      <c r="X40" s="28">
        <v>70199</v>
      </c>
      <c r="Y40" s="28">
        <v>6.34</v>
      </c>
      <c r="Z40" s="15" t="s">
        <v>40</v>
      </c>
      <c r="AA40" s="178">
        <v>23</v>
      </c>
      <c r="AB40" s="28">
        <v>3735</v>
      </c>
      <c r="AC40" s="169">
        <f t="shared" si="13"/>
        <v>1.4399999999999999E-3</v>
      </c>
      <c r="AD40" s="163"/>
      <c r="AE40" s="163"/>
      <c r="AF40" s="164"/>
      <c r="AG40" s="141"/>
      <c r="AH40" s="163"/>
      <c r="AI40" s="163"/>
      <c r="AJ40" s="164"/>
      <c r="AK40" s="141"/>
      <c r="AL40" s="41">
        <f t="shared" si="14"/>
        <v>1.6799999999999999E-3</v>
      </c>
      <c r="AM40" s="163"/>
      <c r="AN40" s="164"/>
      <c r="AO40" s="141"/>
      <c r="AP40" s="163"/>
      <c r="AQ40" s="265"/>
      <c r="AR40" s="127"/>
      <c r="AS40" s="126"/>
      <c r="AT40" s="72"/>
      <c r="AU40" s="72"/>
      <c r="AV40" s="127"/>
    </row>
    <row r="41" spans="1:48" ht="45" x14ac:dyDescent="0.25">
      <c r="A41" s="28">
        <v>417</v>
      </c>
      <c r="B41" s="15" t="s">
        <v>28</v>
      </c>
      <c r="C41" s="176" t="s">
        <v>507</v>
      </c>
      <c r="D41" s="147" t="s">
        <v>508</v>
      </c>
      <c r="E41" s="30"/>
      <c r="F41" s="28" t="s">
        <v>212</v>
      </c>
      <c r="G41" s="15"/>
      <c r="H41" s="171" t="s">
        <v>31</v>
      </c>
      <c r="I41" s="15"/>
      <c r="J41" s="149">
        <v>2.5000000000000001E-2</v>
      </c>
      <c r="K41" s="153">
        <v>0.05</v>
      </c>
      <c r="L41" s="28">
        <v>2</v>
      </c>
      <c r="M41" s="28" t="s">
        <v>33</v>
      </c>
      <c r="N41" s="28">
        <f t="shared" si="5"/>
        <v>1.2</v>
      </c>
      <c r="O41" s="28">
        <f t="shared" si="6"/>
        <v>1.4</v>
      </c>
      <c r="P41" s="28">
        <f t="shared" si="7"/>
        <v>0.8</v>
      </c>
      <c r="Q41" s="28">
        <f t="shared" si="8"/>
        <v>0.6</v>
      </c>
      <c r="R41" s="143">
        <v>4</v>
      </c>
      <c r="S41" s="170">
        <v>105991.94</v>
      </c>
      <c r="T41" s="170">
        <v>5299.5970000000007</v>
      </c>
      <c r="U41" s="15"/>
      <c r="V41" s="15"/>
      <c r="W41" s="28" t="s">
        <v>213</v>
      </c>
      <c r="X41" s="28">
        <v>70199</v>
      </c>
      <c r="Y41" s="28">
        <v>6.34</v>
      </c>
      <c r="Z41" s="15" t="s">
        <v>212</v>
      </c>
      <c r="AA41" s="178">
        <v>24</v>
      </c>
      <c r="AB41" s="28">
        <v>3735</v>
      </c>
      <c r="AC41" s="169">
        <f t="shared" si="13"/>
        <v>1.4999999999999999E-2</v>
      </c>
      <c r="AD41" s="163"/>
      <c r="AE41" s="163"/>
      <c r="AF41" s="164"/>
      <c r="AG41" s="141"/>
      <c r="AH41" s="163"/>
      <c r="AI41" s="163"/>
      <c r="AJ41" s="164"/>
      <c r="AK41" s="141"/>
      <c r="AL41" s="41">
        <f t="shared" si="14"/>
        <v>1.7499999999999998E-2</v>
      </c>
      <c r="AM41" s="163"/>
      <c r="AN41" s="164"/>
      <c r="AO41" s="141"/>
      <c r="AP41" s="163"/>
      <c r="AQ41" s="265"/>
      <c r="AR41" s="127"/>
      <c r="AS41" s="126"/>
      <c r="AT41" s="72"/>
      <c r="AU41" s="72"/>
      <c r="AV41" s="127"/>
    </row>
    <row r="42" spans="1:48" ht="45" x14ac:dyDescent="0.25">
      <c r="A42" s="28">
        <v>466</v>
      </c>
      <c r="B42" s="28" t="s">
        <v>28</v>
      </c>
      <c r="C42" s="28" t="s">
        <v>507</v>
      </c>
      <c r="D42" s="147" t="s">
        <v>508</v>
      </c>
      <c r="E42" s="24"/>
      <c r="F42" s="28" t="s">
        <v>90</v>
      </c>
      <c r="G42" s="28"/>
      <c r="H42" s="148" t="s">
        <v>31</v>
      </c>
      <c r="I42" s="28"/>
      <c r="J42" s="25">
        <v>3.6999999999999998E-2</v>
      </c>
      <c r="K42" s="25">
        <f t="shared" ref="K42:K64" si="15">L42*J42</f>
        <v>7.3999999999999996E-2</v>
      </c>
      <c r="L42" s="25">
        <v>2</v>
      </c>
      <c r="M42" s="28" t="s">
        <v>33</v>
      </c>
      <c r="N42" s="28">
        <f t="shared" si="5"/>
        <v>1.776</v>
      </c>
      <c r="O42" s="28">
        <f t="shared" si="6"/>
        <v>2.0720000000000001</v>
      </c>
      <c r="P42" s="28">
        <f t="shared" si="7"/>
        <v>1.1839999999999999</v>
      </c>
      <c r="Q42" s="28">
        <f t="shared" si="8"/>
        <v>0.88800000000000001</v>
      </c>
      <c r="R42" s="38">
        <v>5.92</v>
      </c>
      <c r="S42" s="150">
        <v>105991.94</v>
      </c>
      <c r="T42" s="25">
        <v>7843.4035599999997</v>
      </c>
      <c r="U42" s="28"/>
      <c r="V42" s="28"/>
      <c r="W42" s="28" t="s">
        <v>512</v>
      </c>
      <c r="X42" s="25">
        <v>73929</v>
      </c>
      <c r="Y42" s="25">
        <v>6.34</v>
      </c>
      <c r="Z42" s="28" t="s">
        <v>90</v>
      </c>
      <c r="AA42" s="28">
        <v>1</v>
      </c>
      <c r="AB42" s="195">
        <v>3513</v>
      </c>
      <c r="AC42" s="169">
        <f>K42*0.3</f>
        <v>2.2199999999999998E-2</v>
      </c>
      <c r="AD42" s="163"/>
      <c r="AE42" s="163"/>
      <c r="AF42" s="164"/>
      <c r="AG42" s="141"/>
      <c r="AH42" s="163"/>
      <c r="AI42" s="163"/>
      <c r="AJ42" s="164"/>
      <c r="AK42" s="141"/>
      <c r="AL42" s="163"/>
      <c r="AM42" s="163"/>
      <c r="AN42" s="164"/>
      <c r="AO42" s="141"/>
      <c r="AP42" s="265"/>
      <c r="AQ42" s="265"/>
      <c r="AR42" s="127"/>
      <c r="AS42" s="126"/>
      <c r="AT42" s="72"/>
      <c r="AU42" s="72"/>
      <c r="AV42" s="127"/>
    </row>
    <row r="43" spans="1:48" ht="45" x14ac:dyDescent="0.25">
      <c r="A43" s="28">
        <v>467</v>
      </c>
      <c r="B43" s="28" t="s">
        <v>28</v>
      </c>
      <c r="C43" s="28" t="s">
        <v>507</v>
      </c>
      <c r="D43" s="147" t="s">
        <v>508</v>
      </c>
      <c r="E43" s="24"/>
      <c r="F43" s="28" t="s">
        <v>152</v>
      </c>
      <c r="G43" s="28"/>
      <c r="H43" s="148" t="s">
        <v>31</v>
      </c>
      <c r="I43" s="28"/>
      <c r="J43" s="25">
        <v>1.2999999999999999E-4</v>
      </c>
      <c r="K43" s="25">
        <f t="shared" si="15"/>
        <v>1.0399999999999999E-3</v>
      </c>
      <c r="L43" s="25">
        <v>8</v>
      </c>
      <c r="M43" s="28" t="s">
        <v>33</v>
      </c>
      <c r="N43" s="28">
        <f t="shared" si="5"/>
        <v>2.496E-2</v>
      </c>
      <c r="O43" s="28">
        <f t="shared" si="6"/>
        <v>2.9119999999999997E-2</v>
      </c>
      <c r="P43" s="28">
        <f t="shared" si="7"/>
        <v>1.6639999999999999E-2</v>
      </c>
      <c r="Q43" s="28">
        <f t="shared" si="8"/>
        <v>1.248E-2</v>
      </c>
      <c r="R43" s="38">
        <v>8.3199999999999996E-2</v>
      </c>
      <c r="S43" s="150">
        <v>105991.94</v>
      </c>
      <c r="T43" s="25">
        <v>110.23161759999999</v>
      </c>
      <c r="U43" s="28"/>
      <c r="V43" s="28"/>
      <c r="W43" s="28" t="s">
        <v>116</v>
      </c>
      <c r="X43" s="25">
        <v>73929</v>
      </c>
      <c r="Y43" s="25">
        <v>6.34</v>
      </c>
      <c r="Z43" s="28" t="s">
        <v>152</v>
      </c>
      <c r="AA43" s="28">
        <v>2</v>
      </c>
      <c r="AB43" s="195">
        <v>3513</v>
      </c>
      <c r="AC43" s="169">
        <f t="shared" ref="AC43:AC57" si="16">K43*0.3</f>
        <v>3.1199999999999994E-4</v>
      </c>
      <c r="AD43" s="163"/>
      <c r="AE43" s="163"/>
      <c r="AF43" s="164"/>
      <c r="AG43" s="141"/>
      <c r="AH43" s="163"/>
      <c r="AI43" s="163"/>
      <c r="AJ43" s="164"/>
      <c r="AK43" s="141"/>
      <c r="AL43" s="163"/>
      <c r="AM43" s="163"/>
      <c r="AN43" s="164"/>
      <c r="AO43" s="141"/>
      <c r="AP43" s="265"/>
      <c r="AQ43" s="265"/>
      <c r="AR43" s="127"/>
      <c r="AS43" s="126"/>
      <c r="AT43" s="72"/>
      <c r="AU43" s="72"/>
      <c r="AV43" s="127"/>
    </row>
    <row r="44" spans="1:48" ht="45" x14ac:dyDescent="0.25">
      <c r="A44" s="28">
        <v>468</v>
      </c>
      <c r="B44" s="28" t="s">
        <v>28</v>
      </c>
      <c r="C44" s="28" t="s">
        <v>507</v>
      </c>
      <c r="D44" s="147" t="s">
        <v>508</v>
      </c>
      <c r="E44" s="24"/>
      <c r="F44" s="28" t="s">
        <v>525</v>
      </c>
      <c r="G44" s="28"/>
      <c r="H44" s="148" t="s">
        <v>31</v>
      </c>
      <c r="I44" s="28"/>
      <c r="J44" s="25">
        <v>0.20300000000000001</v>
      </c>
      <c r="K44" s="25">
        <f t="shared" si="15"/>
        <v>0.20300000000000001</v>
      </c>
      <c r="L44" s="25">
        <v>1</v>
      </c>
      <c r="M44" s="28" t="s">
        <v>33</v>
      </c>
      <c r="N44" s="28">
        <f t="shared" si="5"/>
        <v>3.8367000000000004</v>
      </c>
      <c r="O44" s="28">
        <f t="shared" si="6"/>
        <v>4.4761500000000005</v>
      </c>
      <c r="P44" s="28">
        <f t="shared" si="7"/>
        <v>2.5578000000000003</v>
      </c>
      <c r="Q44" s="28">
        <f t="shared" si="8"/>
        <v>1.9183500000000002</v>
      </c>
      <c r="R44" s="38">
        <v>12.789000000000001</v>
      </c>
      <c r="S44" s="150">
        <v>105991.94</v>
      </c>
      <c r="T44" s="25">
        <v>21516.363820000002</v>
      </c>
      <c r="U44" s="28"/>
      <c r="V44" s="28"/>
      <c r="W44" s="28" t="s">
        <v>526</v>
      </c>
      <c r="X44" s="25">
        <v>73929</v>
      </c>
      <c r="Y44" s="25">
        <v>6.34</v>
      </c>
      <c r="Z44" s="28" t="s">
        <v>525</v>
      </c>
      <c r="AA44" s="28">
        <v>3</v>
      </c>
      <c r="AB44" s="195">
        <v>3513</v>
      </c>
      <c r="AC44" s="169">
        <f t="shared" si="16"/>
        <v>6.0900000000000003E-2</v>
      </c>
      <c r="AD44" s="163"/>
      <c r="AE44" s="163"/>
      <c r="AF44" s="164"/>
      <c r="AG44" s="141"/>
      <c r="AH44" s="163"/>
      <c r="AI44" s="163"/>
      <c r="AJ44" s="164"/>
      <c r="AK44" s="141"/>
      <c r="AL44" s="163"/>
      <c r="AM44" s="163"/>
      <c r="AN44" s="164"/>
      <c r="AO44" s="141"/>
      <c r="AP44" s="265"/>
      <c r="AQ44" s="265"/>
      <c r="AR44" s="127"/>
      <c r="AS44" s="126"/>
      <c r="AT44" s="72"/>
      <c r="AU44" s="72"/>
      <c r="AV44" s="127"/>
    </row>
    <row r="45" spans="1:48" ht="45" x14ac:dyDescent="0.25">
      <c r="A45" s="28">
        <v>469</v>
      </c>
      <c r="B45" s="28" t="s">
        <v>28</v>
      </c>
      <c r="C45" s="28" t="s">
        <v>507</v>
      </c>
      <c r="D45" s="147" t="s">
        <v>508</v>
      </c>
      <c r="E45" s="24"/>
      <c r="F45" s="28" t="s">
        <v>126</v>
      </c>
      <c r="G45" s="28"/>
      <c r="H45" s="148" t="s">
        <v>31</v>
      </c>
      <c r="I45" s="28"/>
      <c r="J45" s="25">
        <v>7.8788600000000004</v>
      </c>
      <c r="K45" s="25">
        <v>7.8788600000000004</v>
      </c>
      <c r="L45" s="25">
        <v>1</v>
      </c>
      <c r="M45" s="28" t="s">
        <v>33</v>
      </c>
      <c r="N45" s="28">
        <f t="shared" si="5"/>
        <v>68.546081999999998</v>
      </c>
      <c r="O45" s="28">
        <f t="shared" si="6"/>
        <v>79.970428999999996</v>
      </c>
      <c r="P45" s="28">
        <f t="shared" si="7"/>
        <v>45.697388000000004</v>
      </c>
      <c r="Q45" s="28">
        <f t="shared" si="8"/>
        <v>34.273040999999999</v>
      </c>
      <c r="R45" s="38">
        <v>228.48694</v>
      </c>
      <c r="S45" s="150">
        <v>105991.94</v>
      </c>
      <c r="T45" s="25">
        <v>835095.65638840001</v>
      </c>
      <c r="U45" s="28"/>
      <c r="V45" s="28"/>
      <c r="W45" s="329" t="s">
        <v>534</v>
      </c>
      <c r="X45" s="25">
        <v>73929</v>
      </c>
      <c r="Y45" s="25">
        <v>6.34</v>
      </c>
      <c r="Z45" s="28" t="s">
        <v>126</v>
      </c>
      <c r="AA45" s="28">
        <v>4</v>
      </c>
      <c r="AB45" s="195">
        <v>3513</v>
      </c>
      <c r="AC45" s="169">
        <f t="shared" si="16"/>
        <v>2.363658</v>
      </c>
      <c r="AD45" s="163"/>
      <c r="AE45" s="163"/>
      <c r="AF45" s="164"/>
      <c r="AG45" s="141"/>
      <c r="AH45" s="163"/>
      <c r="AI45" s="163"/>
      <c r="AJ45" s="164"/>
      <c r="AK45" s="141"/>
      <c r="AL45" s="41">
        <f t="shared" ref="AL45" si="17">K45*0.35</f>
        <v>2.7576010000000002</v>
      </c>
      <c r="AM45" s="163"/>
      <c r="AN45" s="164"/>
      <c r="AO45" s="141"/>
      <c r="AP45" s="163"/>
      <c r="AQ45" s="265"/>
      <c r="AR45" s="127"/>
      <c r="AS45" s="126"/>
      <c r="AT45" s="72"/>
      <c r="AU45" s="72"/>
      <c r="AV45" s="127"/>
    </row>
    <row r="46" spans="1:48" ht="45" x14ac:dyDescent="0.25">
      <c r="A46" s="28">
        <v>470</v>
      </c>
      <c r="B46" s="28" t="s">
        <v>28</v>
      </c>
      <c r="C46" s="28" t="s">
        <v>507</v>
      </c>
      <c r="D46" s="147" t="s">
        <v>508</v>
      </c>
      <c r="E46" s="24"/>
      <c r="F46" s="28" t="s">
        <v>172</v>
      </c>
      <c r="G46" s="28"/>
      <c r="H46" s="148" t="s">
        <v>31</v>
      </c>
      <c r="I46" s="28"/>
      <c r="J46" s="25">
        <v>3.6299999999999999E-2</v>
      </c>
      <c r="K46" s="25">
        <f t="shared" si="15"/>
        <v>0.25409999999999999</v>
      </c>
      <c r="L46" s="25">
        <v>7</v>
      </c>
      <c r="M46" s="28" t="s">
        <v>33</v>
      </c>
      <c r="N46" s="28">
        <f t="shared" si="5"/>
        <v>6.0983999999999998</v>
      </c>
      <c r="O46" s="28">
        <f t="shared" si="6"/>
        <v>7.1147999999999989</v>
      </c>
      <c r="P46" s="28">
        <f t="shared" si="7"/>
        <v>4.0655999999999999</v>
      </c>
      <c r="Q46" s="28">
        <f t="shared" si="8"/>
        <v>3.0491999999999999</v>
      </c>
      <c r="R46" s="38">
        <v>20.327999999999999</v>
      </c>
      <c r="S46" s="150">
        <v>105991.94</v>
      </c>
      <c r="T46" s="25">
        <v>26932.551953999999</v>
      </c>
      <c r="U46" s="28"/>
      <c r="V46" s="28"/>
      <c r="W46" s="28" t="s">
        <v>535</v>
      </c>
      <c r="X46" s="25">
        <v>73929</v>
      </c>
      <c r="Y46" s="25">
        <v>6.34</v>
      </c>
      <c r="Z46" s="28" t="s">
        <v>172</v>
      </c>
      <c r="AA46" s="28">
        <v>5</v>
      </c>
      <c r="AB46" s="195">
        <v>3513</v>
      </c>
      <c r="AC46" s="169">
        <f t="shared" si="16"/>
        <v>7.6229999999999992E-2</v>
      </c>
      <c r="AD46" s="163"/>
      <c r="AE46" s="163"/>
      <c r="AF46" s="164"/>
      <c r="AG46" s="141"/>
      <c r="AH46" s="163"/>
      <c r="AI46" s="163"/>
      <c r="AJ46" s="164"/>
      <c r="AK46" s="141"/>
      <c r="AL46" s="163"/>
      <c r="AM46" s="163"/>
      <c r="AN46" s="164"/>
      <c r="AO46" s="141"/>
      <c r="AP46" s="265"/>
      <c r="AQ46" s="265"/>
      <c r="AR46" s="127"/>
      <c r="AS46" s="126"/>
      <c r="AT46" s="72"/>
      <c r="AU46" s="72"/>
      <c r="AV46" s="127"/>
    </row>
    <row r="47" spans="1:48" ht="45" x14ac:dyDescent="0.25">
      <c r="A47" s="28">
        <v>471</v>
      </c>
      <c r="B47" s="28" t="s">
        <v>28</v>
      </c>
      <c r="C47" s="28" t="s">
        <v>507</v>
      </c>
      <c r="D47" s="147" t="s">
        <v>508</v>
      </c>
      <c r="E47" s="24"/>
      <c r="F47" s="28" t="s">
        <v>525</v>
      </c>
      <c r="G47" s="28"/>
      <c r="H47" s="148" t="s">
        <v>31</v>
      </c>
      <c r="I47" s="28"/>
      <c r="J47" s="25">
        <v>0.189</v>
      </c>
      <c r="K47" s="25">
        <f t="shared" si="15"/>
        <v>0.189</v>
      </c>
      <c r="L47" s="25">
        <v>1</v>
      </c>
      <c r="M47" s="28" t="s">
        <v>33</v>
      </c>
      <c r="N47" s="28">
        <f t="shared" si="5"/>
        <v>3.5720999999999998</v>
      </c>
      <c r="O47" s="28">
        <f t="shared" si="6"/>
        <v>4.1674499999999997</v>
      </c>
      <c r="P47" s="28">
        <f t="shared" si="7"/>
        <v>2.3814000000000002</v>
      </c>
      <c r="Q47" s="28">
        <f t="shared" si="8"/>
        <v>1.7860499999999999</v>
      </c>
      <c r="R47" s="38">
        <v>11.907</v>
      </c>
      <c r="S47" s="150">
        <v>105991.94</v>
      </c>
      <c r="T47" s="25">
        <v>20032.47666</v>
      </c>
      <c r="U47" s="28"/>
      <c r="V47" s="28"/>
      <c r="W47" s="28" t="s">
        <v>530</v>
      </c>
      <c r="X47" s="25">
        <v>73929</v>
      </c>
      <c r="Y47" s="25">
        <v>6.34</v>
      </c>
      <c r="Z47" s="28" t="s">
        <v>525</v>
      </c>
      <c r="AA47" s="28">
        <v>6</v>
      </c>
      <c r="AB47" s="195">
        <v>3513</v>
      </c>
      <c r="AC47" s="169">
        <f t="shared" si="16"/>
        <v>5.67E-2</v>
      </c>
      <c r="AD47" s="163"/>
      <c r="AE47" s="163"/>
      <c r="AF47" s="164"/>
      <c r="AG47" s="141"/>
      <c r="AH47" s="163"/>
      <c r="AI47" s="163"/>
      <c r="AJ47" s="164"/>
      <c r="AK47" s="141"/>
      <c r="AL47" s="163"/>
      <c r="AM47" s="163"/>
      <c r="AN47" s="164"/>
      <c r="AO47" s="141"/>
      <c r="AP47" s="265"/>
      <c r="AQ47" s="265"/>
      <c r="AR47" s="127"/>
      <c r="AS47" s="126"/>
      <c r="AT47" s="72"/>
      <c r="AU47" s="72"/>
      <c r="AV47" s="127"/>
    </row>
    <row r="48" spans="1:48" ht="45" x14ac:dyDescent="0.25">
      <c r="A48" s="28">
        <v>472</v>
      </c>
      <c r="B48" s="28" t="s">
        <v>28</v>
      </c>
      <c r="C48" s="28" t="s">
        <v>507</v>
      </c>
      <c r="D48" s="147" t="s">
        <v>508</v>
      </c>
      <c r="E48" s="24"/>
      <c r="F48" s="28" t="s">
        <v>126</v>
      </c>
      <c r="G48" s="28"/>
      <c r="H48" s="148" t="s">
        <v>31</v>
      </c>
      <c r="I48" s="28"/>
      <c r="J48" s="25">
        <v>4.5999999999999996</v>
      </c>
      <c r="K48" s="25">
        <f t="shared" si="15"/>
        <v>4.5999999999999996</v>
      </c>
      <c r="L48" s="25">
        <v>1</v>
      </c>
      <c r="M48" s="28" t="s">
        <v>33</v>
      </c>
      <c r="N48" s="28">
        <f t="shared" si="5"/>
        <v>55.199999999999996</v>
      </c>
      <c r="O48" s="28">
        <f t="shared" si="6"/>
        <v>64.399999999999991</v>
      </c>
      <c r="P48" s="28">
        <f t="shared" si="7"/>
        <v>36.800000000000004</v>
      </c>
      <c r="Q48" s="28">
        <f t="shared" si="8"/>
        <v>27.599999999999998</v>
      </c>
      <c r="R48" s="38">
        <v>184</v>
      </c>
      <c r="S48" s="150">
        <v>105991.94</v>
      </c>
      <c r="T48" s="25">
        <v>487562.924</v>
      </c>
      <c r="U48" s="28"/>
      <c r="V48" s="28"/>
      <c r="W48" s="28" t="s">
        <v>536</v>
      </c>
      <c r="X48" s="25">
        <v>73930</v>
      </c>
      <c r="Y48" s="25">
        <v>6.34</v>
      </c>
      <c r="Z48" s="28" t="s">
        <v>126</v>
      </c>
      <c r="AA48" s="28">
        <v>1</v>
      </c>
      <c r="AB48" s="195">
        <v>3513</v>
      </c>
      <c r="AC48" s="169">
        <f t="shared" si="16"/>
        <v>1.38</v>
      </c>
      <c r="AD48" s="163"/>
      <c r="AE48" s="163"/>
      <c r="AF48" s="164"/>
      <c r="AG48" s="141"/>
      <c r="AH48" s="163"/>
      <c r="AI48" s="163"/>
      <c r="AJ48" s="164"/>
      <c r="AK48" s="141"/>
      <c r="AL48" s="41">
        <f t="shared" ref="AL48:AL49" si="18">K48*0.35</f>
        <v>1.6099999999999999</v>
      </c>
      <c r="AM48" s="163"/>
      <c r="AN48" s="164"/>
      <c r="AO48" s="141"/>
      <c r="AP48" s="163"/>
      <c r="AQ48" s="265"/>
      <c r="AR48" s="267"/>
      <c r="AS48" s="126"/>
      <c r="AT48" s="72"/>
      <c r="AU48" s="72"/>
      <c r="AV48" s="127"/>
    </row>
    <row r="49" spans="1:48" ht="45" x14ac:dyDescent="0.25">
      <c r="A49" s="28">
        <v>473</v>
      </c>
      <c r="B49" s="28" t="s">
        <v>28</v>
      </c>
      <c r="C49" s="28" t="s">
        <v>507</v>
      </c>
      <c r="D49" s="147" t="s">
        <v>508</v>
      </c>
      <c r="E49" s="24"/>
      <c r="F49" s="28" t="s">
        <v>126</v>
      </c>
      <c r="G49" s="28"/>
      <c r="H49" s="148" t="s">
        <v>31</v>
      </c>
      <c r="I49" s="28"/>
      <c r="J49" s="25">
        <v>5.0445000000000002</v>
      </c>
      <c r="K49" s="25">
        <f t="shared" si="15"/>
        <v>5.0445000000000002</v>
      </c>
      <c r="L49" s="25">
        <v>1</v>
      </c>
      <c r="M49" s="28" t="s">
        <v>33</v>
      </c>
      <c r="N49" s="28">
        <f t="shared" si="5"/>
        <v>43.887149999999998</v>
      </c>
      <c r="O49" s="28">
        <f t="shared" si="6"/>
        <v>51.201675000000002</v>
      </c>
      <c r="P49" s="28">
        <f t="shared" si="7"/>
        <v>29.258100000000002</v>
      </c>
      <c r="Q49" s="28">
        <f t="shared" si="8"/>
        <v>21.943574999999999</v>
      </c>
      <c r="R49" s="38">
        <v>146.29050000000001</v>
      </c>
      <c r="S49" s="150">
        <v>105991.94</v>
      </c>
      <c r="T49" s="25">
        <v>534676.34133000008</v>
      </c>
      <c r="U49" s="28"/>
      <c r="V49" s="28"/>
      <c r="W49" s="28" t="s">
        <v>537</v>
      </c>
      <c r="X49" s="25">
        <v>73930</v>
      </c>
      <c r="Y49" s="25">
        <v>6.34</v>
      </c>
      <c r="Z49" s="28" t="s">
        <v>126</v>
      </c>
      <c r="AA49" s="28">
        <v>2</v>
      </c>
      <c r="AB49" s="195">
        <v>3513</v>
      </c>
      <c r="AC49" s="169">
        <f t="shared" si="16"/>
        <v>1.51335</v>
      </c>
      <c r="AD49" s="163"/>
      <c r="AE49" s="163"/>
      <c r="AF49" s="164"/>
      <c r="AG49" s="141"/>
      <c r="AH49" s="163"/>
      <c r="AI49" s="163"/>
      <c r="AJ49" s="164"/>
      <c r="AK49" s="141"/>
      <c r="AL49" s="41">
        <f t="shared" si="18"/>
        <v>1.7655749999999999</v>
      </c>
      <c r="AM49" s="163"/>
      <c r="AN49" s="164"/>
      <c r="AO49" s="141"/>
      <c r="AP49" s="163"/>
      <c r="AQ49" s="265"/>
      <c r="AR49" s="267"/>
      <c r="AS49" s="126"/>
      <c r="AT49" s="72"/>
      <c r="AU49" s="72"/>
      <c r="AV49" s="127"/>
    </row>
    <row r="50" spans="1:48" ht="45" x14ac:dyDescent="0.25">
      <c r="A50" s="28">
        <v>474</v>
      </c>
      <c r="B50" s="28" t="s">
        <v>28</v>
      </c>
      <c r="C50" s="28" t="s">
        <v>507</v>
      </c>
      <c r="D50" s="147" t="s">
        <v>508</v>
      </c>
      <c r="E50" s="24"/>
      <c r="F50" s="28" t="s">
        <v>172</v>
      </c>
      <c r="G50" s="28"/>
      <c r="H50" s="148" t="s">
        <v>31</v>
      </c>
      <c r="I50" s="28"/>
      <c r="J50" s="25">
        <v>3.6299999999999999E-2</v>
      </c>
      <c r="K50" s="25">
        <f t="shared" si="15"/>
        <v>0.25409999999999999</v>
      </c>
      <c r="L50" s="25">
        <v>7</v>
      </c>
      <c r="M50" s="28" t="s">
        <v>33</v>
      </c>
      <c r="N50" s="28">
        <f t="shared" si="5"/>
        <v>6.0983999999999998</v>
      </c>
      <c r="O50" s="28">
        <f t="shared" si="6"/>
        <v>7.1147999999999989</v>
      </c>
      <c r="P50" s="28">
        <f t="shared" si="7"/>
        <v>4.0655999999999999</v>
      </c>
      <c r="Q50" s="28">
        <f t="shared" si="8"/>
        <v>3.0491999999999999</v>
      </c>
      <c r="R50" s="38">
        <v>20.327999999999999</v>
      </c>
      <c r="S50" s="150">
        <v>105991.94</v>
      </c>
      <c r="T50" s="25">
        <v>26932.551953999999</v>
      </c>
      <c r="U50" s="28"/>
      <c r="V50" s="28"/>
      <c r="W50" s="28" t="s">
        <v>535</v>
      </c>
      <c r="X50" s="25">
        <v>73930</v>
      </c>
      <c r="Y50" s="25">
        <v>6.34</v>
      </c>
      <c r="Z50" s="28" t="s">
        <v>172</v>
      </c>
      <c r="AA50" s="28">
        <v>3</v>
      </c>
      <c r="AB50" s="195">
        <v>3513</v>
      </c>
      <c r="AC50" s="169">
        <f t="shared" si="16"/>
        <v>7.6229999999999992E-2</v>
      </c>
      <c r="AD50" s="163"/>
      <c r="AE50" s="163"/>
      <c r="AF50" s="164"/>
      <c r="AG50" s="141"/>
      <c r="AH50" s="163"/>
      <c r="AI50" s="163"/>
      <c r="AJ50" s="164"/>
      <c r="AK50" s="141"/>
      <c r="AL50" s="163"/>
      <c r="AM50" s="163"/>
      <c r="AN50" s="164"/>
      <c r="AO50" s="141"/>
      <c r="AP50" s="265"/>
      <c r="AQ50" s="265"/>
      <c r="AR50" s="127"/>
      <c r="AS50" s="126"/>
      <c r="AT50" s="72"/>
      <c r="AU50" s="72"/>
      <c r="AV50" s="127"/>
    </row>
    <row r="51" spans="1:48" ht="45" x14ac:dyDescent="0.25">
      <c r="A51" s="28">
        <v>475</v>
      </c>
      <c r="B51" s="28" t="s">
        <v>28</v>
      </c>
      <c r="C51" s="28" t="s">
        <v>507</v>
      </c>
      <c r="D51" s="147" t="s">
        <v>508</v>
      </c>
      <c r="E51" s="24"/>
      <c r="F51" s="28" t="s">
        <v>111</v>
      </c>
      <c r="G51" s="28"/>
      <c r="H51" s="148" t="s">
        <v>31</v>
      </c>
      <c r="I51" s="28"/>
      <c r="J51" s="25">
        <v>3.7000000000000002E-3</v>
      </c>
      <c r="K51" s="25">
        <f t="shared" si="15"/>
        <v>2.9600000000000001E-2</v>
      </c>
      <c r="L51" s="25">
        <v>8</v>
      </c>
      <c r="M51" s="28" t="s">
        <v>33</v>
      </c>
      <c r="N51" s="28">
        <f t="shared" si="5"/>
        <v>0.71040000000000003</v>
      </c>
      <c r="O51" s="28">
        <f t="shared" si="6"/>
        <v>0.82880000000000009</v>
      </c>
      <c r="P51" s="28">
        <f t="shared" si="7"/>
        <v>0.47360000000000008</v>
      </c>
      <c r="Q51" s="28">
        <f t="shared" si="8"/>
        <v>0.35520000000000002</v>
      </c>
      <c r="R51" s="38">
        <v>2.3680000000000003</v>
      </c>
      <c r="S51" s="150">
        <v>105991.94</v>
      </c>
      <c r="T51" s="25">
        <v>3137.3614240000002</v>
      </c>
      <c r="U51" s="28"/>
      <c r="V51" s="28"/>
      <c r="W51" s="28" t="s">
        <v>518</v>
      </c>
      <c r="X51" s="25">
        <v>73930</v>
      </c>
      <c r="Y51" s="25">
        <v>6.34</v>
      </c>
      <c r="Z51" s="28" t="s">
        <v>111</v>
      </c>
      <c r="AA51" s="28">
        <v>4</v>
      </c>
      <c r="AB51" s="195">
        <v>3513</v>
      </c>
      <c r="AC51" s="169">
        <f t="shared" si="16"/>
        <v>8.8800000000000007E-3</v>
      </c>
      <c r="AD51" s="163"/>
      <c r="AE51" s="163"/>
      <c r="AF51" s="164"/>
      <c r="AG51" s="141"/>
      <c r="AH51" s="163"/>
      <c r="AI51" s="163"/>
      <c r="AJ51" s="164"/>
      <c r="AK51" s="141"/>
      <c r="AL51" s="163"/>
      <c r="AM51" s="163"/>
      <c r="AN51" s="164"/>
      <c r="AO51" s="141"/>
      <c r="AP51" s="265"/>
      <c r="AQ51" s="265"/>
      <c r="AR51" s="127"/>
      <c r="AS51" s="126"/>
      <c r="AT51" s="72"/>
      <c r="AU51" s="72"/>
      <c r="AV51" s="127"/>
    </row>
    <row r="52" spans="1:48" ht="45" x14ac:dyDescent="0.25">
      <c r="A52" s="28">
        <v>476</v>
      </c>
      <c r="B52" s="28" t="s">
        <v>28</v>
      </c>
      <c r="C52" s="28" t="s">
        <v>507</v>
      </c>
      <c r="D52" s="147" t="s">
        <v>508</v>
      </c>
      <c r="E52" s="24"/>
      <c r="F52" s="28" t="s">
        <v>94</v>
      </c>
      <c r="G52" s="28"/>
      <c r="H52" s="148" t="s">
        <v>31</v>
      </c>
      <c r="I52" s="28"/>
      <c r="J52" s="25">
        <v>4.4999999999999997E-3</v>
      </c>
      <c r="K52" s="25">
        <f t="shared" si="15"/>
        <v>8.9999999999999993E-3</v>
      </c>
      <c r="L52" s="25">
        <v>2</v>
      </c>
      <c r="M52" s="28" t="s">
        <v>33</v>
      </c>
      <c r="N52" s="28">
        <f t="shared" si="5"/>
        <v>0.216</v>
      </c>
      <c r="O52" s="28">
        <f t="shared" si="6"/>
        <v>0.252</v>
      </c>
      <c r="P52" s="28">
        <f t="shared" si="7"/>
        <v>0.14399999999999999</v>
      </c>
      <c r="Q52" s="28">
        <f t="shared" si="8"/>
        <v>0.108</v>
      </c>
      <c r="R52" s="38">
        <v>0.72</v>
      </c>
      <c r="S52" s="150">
        <v>105991.94</v>
      </c>
      <c r="T52" s="25">
        <v>953.92746</v>
      </c>
      <c r="U52" s="28"/>
      <c r="V52" s="28"/>
      <c r="W52" s="28" t="s">
        <v>519</v>
      </c>
      <c r="X52" s="25">
        <v>73930</v>
      </c>
      <c r="Y52" s="25">
        <v>6.34</v>
      </c>
      <c r="Z52" s="28" t="s">
        <v>94</v>
      </c>
      <c r="AA52" s="28">
        <v>5</v>
      </c>
      <c r="AB52" s="195">
        <v>3513</v>
      </c>
      <c r="AC52" s="169">
        <f t="shared" si="16"/>
        <v>2.6999999999999997E-3</v>
      </c>
      <c r="AD52" s="163"/>
      <c r="AE52" s="163"/>
      <c r="AF52" s="164"/>
      <c r="AG52" s="141"/>
      <c r="AH52" s="163"/>
      <c r="AI52" s="163"/>
      <c r="AJ52" s="164"/>
      <c r="AK52" s="141"/>
      <c r="AL52" s="163"/>
      <c r="AM52" s="163"/>
      <c r="AN52" s="164"/>
      <c r="AO52" s="141"/>
      <c r="AP52" s="265"/>
      <c r="AQ52" s="265"/>
      <c r="AR52" s="127"/>
      <c r="AS52" s="126"/>
      <c r="AT52" s="72"/>
      <c r="AU52" s="72"/>
      <c r="AV52" s="127"/>
    </row>
    <row r="53" spans="1:48" ht="45" x14ac:dyDescent="0.25">
      <c r="A53" s="28">
        <v>477</v>
      </c>
      <c r="B53" s="28" t="s">
        <v>28</v>
      </c>
      <c r="C53" s="28" t="s">
        <v>507</v>
      </c>
      <c r="D53" s="147" t="s">
        <v>508</v>
      </c>
      <c r="E53" s="24"/>
      <c r="F53" s="28" t="s">
        <v>516</v>
      </c>
      <c r="G53" s="28"/>
      <c r="H53" s="148" t="s">
        <v>31</v>
      </c>
      <c r="I53" s="28"/>
      <c r="J53" s="25">
        <v>1.66E-2</v>
      </c>
      <c r="K53" s="25">
        <f t="shared" si="15"/>
        <v>0.1162</v>
      </c>
      <c r="L53" s="25">
        <v>7</v>
      </c>
      <c r="M53" s="28" t="s">
        <v>33</v>
      </c>
      <c r="N53" s="28">
        <f t="shared" si="5"/>
        <v>2.7887999999999997</v>
      </c>
      <c r="O53" s="28">
        <f t="shared" si="6"/>
        <v>3.2535999999999996</v>
      </c>
      <c r="P53" s="28">
        <f t="shared" si="7"/>
        <v>1.8592</v>
      </c>
      <c r="Q53" s="28">
        <f t="shared" si="8"/>
        <v>1.3943999999999999</v>
      </c>
      <c r="R53" s="38">
        <v>9.2959999999999994</v>
      </c>
      <c r="S53" s="150">
        <v>105991.94</v>
      </c>
      <c r="T53" s="25">
        <v>12316.263428</v>
      </c>
      <c r="U53" s="28"/>
      <c r="V53" s="28"/>
      <c r="W53" s="28" t="s">
        <v>538</v>
      </c>
      <c r="X53" s="25">
        <v>73930</v>
      </c>
      <c r="Y53" s="25">
        <v>6.34</v>
      </c>
      <c r="Z53" s="28" t="s">
        <v>516</v>
      </c>
      <c r="AA53" s="28">
        <v>6</v>
      </c>
      <c r="AB53" s="195">
        <v>3513</v>
      </c>
      <c r="AC53" s="169">
        <f t="shared" si="16"/>
        <v>3.4859999999999995E-2</v>
      </c>
      <c r="AD53" s="163"/>
      <c r="AE53" s="163"/>
      <c r="AF53" s="164"/>
      <c r="AG53" s="141"/>
      <c r="AH53" s="163"/>
      <c r="AI53" s="163"/>
      <c r="AJ53" s="164"/>
      <c r="AK53" s="141"/>
      <c r="AL53" s="163"/>
      <c r="AM53" s="163"/>
      <c r="AN53" s="164"/>
      <c r="AO53" s="141"/>
      <c r="AP53" s="265"/>
      <c r="AQ53" s="265"/>
      <c r="AR53" s="127"/>
      <c r="AS53" s="126"/>
      <c r="AT53" s="72"/>
      <c r="AU53" s="72"/>
      <c r="AV53" s="127"/>
    </row>
    <row r="54" spans="1:48" ht="45" x14ac:dyDescent="0.25">
      <c r="A54" s="28">
        <v>478</v>
      </c>
      <c r="B54" s="28" t="s">
        <v>28</v>
      </c>
      <c r="C54" s="28" t="s">
        <v>507</v>
      </c>
      <c r="D54" s="147" t="s">
        <v>508</v>
      </c>
      <c r="E54" s="24"/>
      <c r="F54" s="28" t="s">
        <v>520</v>
      </c>
      <c r="G54" s="28"/>
      <c r="H54" s="148" t="s">
        <v>31</v>
      </c>
      <c r="I54" s="28"/>
      <c r="J54" s="25">
        <v>3.3500000000000002E-2</v>
      </c>
      <c r="K54" s="25">
        <f t="shared" si="15"/>
        <v>0.26800000000000002</v>
      </c>
      <c r="L54" s="25">
        <v>8</v>
      </c>
      <c r="M54" s="28" t="s">
        <v>33</v>
      </c>
      <c r="N54" s="28">
        <f t="shared" si="5"/>
        <v>6.4320000000000004</v>
      </c>
      <c r="O54" s="28">
        <f t="shared" si="6"/>
        <v>7.5039999999999996</v>
      </c>
      <c r="P54" s="28">
        <f t="shared" si="7"/>
        <v>4.2880000000000003</v>
      </c>
      <c r="Q54" s="28">
        <f t="shared" si="8"/>
        <v>3.2160000000000002</v>
      </c>
      <c r="R54" s="38">
        <v>21.44</v>
      </c>
      <c r="S54" s="150">
        <v>105991.94</v>
      </c>
      <c r="T54" s="25">
        <v>28405.839920000002</v>
      </c>
      <c r="U54" s="28"/>
      <c r="V54" s="28"/>
      <c r="W54" s="28" t="s">
        <v>521</v>
      </c>
      <c r="X54" s="25">
        <v>73930</v>
      </c>
      <c r="Y54" s="25">
        <v>6.34</v>
      </c>
      <c r="Z54" s="28" t="s">
        <v>520</v>
      </c>
      <c r="AA54" s="28">
        <v>7</v>
      </c>
      <c r="AB54" s="195">
        <v>3513</v>
      </c>
      <c r="AC54" s="169">
        <f t="shared" si="16"/>
        <v>8.0399999999999999E-2</v>
      </c>
      <c r="AD54" s="163"/>
      <c r="AE54" s="163"/>
      <c r="AF54" s="164"/>
      <c r="AG54" s="141"/>
      <c r="AH54" s="163"/>
      <c r="AI54" s="163"/>
      <c r="AJ54" s="164"/>
      <c r="AK54" s="141"/>
      <c r="AL54" s="163"/>
      <c r="AM54" s="163"/>
      <c r="AN54" s="164"/>
      <c r="AO54" s="141"/>
      <c r="AP54" s="265"/>
      <c r="AQ54" s="265"/>
      <c r="AR54" s="127"/>
      <c r="AS54" s="126"/>
      <c r="AT54" s="72"/>
      <c r="AU54" s="72"/>
      <c r="AV54" s="127"/>
    </row>
    <row r="55" spans="1:48" ht="45" x14ac:dyDescent="0.25">
      <c r="A55" s="28">
        <v>479</v>
      </c>
      <c r="B55" s="28" t="s">
        <v>28</v>
      </c>
      <c r="C55" s="28" t="s">
        <v>507</v>
      </c>
      <c r="D55" s="147" t="s">
        <v>508</v>
      </c>
      <c r="E55" s="24"/>
      <c r="F55" s="28" t="s">
        <v>94</v>
      </c>
      <c r="G55" s="28"/>
      <c r="H55" s="148" t="s">
        <v>31</v>
      </c>
      <c r="I55" s="28"/>
      <c r="J55" s="25">
        <v>4.4999999999999997E-3</v>
      </c>
      <c r="K55" s="25">
        <f t="shared" si="15"/>
        <v>8.9999999999999993E-3</v>
      </c>
      <c r="L55" s="25">
        <v>2</v>
      </c>
      <c r="M55" s="28" t="s">
        <v>472</v>
      </c>
      <c r="N55" s="28">
        <f t="shared" si="5"/>
        <v>0.216</v>
      </c>
      <c r="O55" s="28">
        <f t="shared" si="6"/>
        <v>0.252</v>
      </c>
      <c r="P55" s="28">
        <f t="shared" si="7"/>
        <v>0.14399999999999999</v>
      </c>
      <c r="Q55" s="28">
        <f t="shared" si="8"/>
        <v>0.108</v>
      </c>
      <c r="R55" s="38">
        <v>0.72</v>
      </c>
      <c r="S55" s="150">
        <v>105991.94</v>
      </c>
      <c r="T55" s="25">
        <v>953.92746</v>
      </c>
      <c r="U55" s="28"/>
      <c r="V55" s="28"/>
      <c r="W55" s="28" t="s">
        <v>519</v>
      </c>
      <c r="X55" s="25">
        <v>73930</v>
      </c>
      <c r="Y55" s="25">
        <v>6.34</v>
      </c>
      <c r="Z55" s="28" t="s">
        <v>94</v>
      </c>
      <c r="AA55" s="28">
        <v>8</v>
      </c>
      <c r="AB55" s="195">
        <v>3513</v>
      </c>
      <c r="AC55" s="169">
        <f t="shared" si="16"/>
        <v>2.6999999999999997E-3</v>
      </c>
      <c r="AD55" s="163"/>
      <c r="AE55" s="163"/>
      <c r="AF55" s="164"/>
      <c r="AG55" s="141"/>
      <c r="AH55" s="163"/>
      <c r="AI55" s="163"/>
      <c r="AJ55" s="164"/>
      <c r="AK55" s="141"/>
      <c r="AL55" s="163"/>
      <c r="AM55" s="163"/>
      <c r="AN55" s="164"/>
      <c r="AO55" s="141"/>
      <c r="AP55" s="265"/>
      <c r="AQ55" s="265"/>
      <c r="AR55" s="127"/>
      <c r="AS55" s="126"/>
      <c r="AT55" s="72"/>
      <c r="AU55" s="72"/>
      <c r="AV55" s="127"/>
    </row>
    <row r="56" spans="1:48" ht="45" x14ac:dyDescent="0.25">
      <c r="A56" s="28">
        <v>480</v>
      </c>
      <c r="B56" s="28" t="s">
        <v>28</v>
      </c>
      <c r="C56" s="28" t="s">
        <v>507</v>
      </c>
      <c r="D56" s="147" t="s">
        <v>508</v>
      </c>
      <c r="E56" s="24"/>
      <c r="F56" s="28" t="s">
        <v>111</v>
      </c>
      <c r="G56" s="28"/>
      <c r="H56" s="148" t="s">
        <v>31</v>
      </c>
      <c r="I56" s="28"/>
      <c r="J56" s="25">
        <v>3.7000000000000002E-3</v>
      </c>
      <c r="K56" s="25">
        <f t="shared" si="15"/>
        <v>2.9600000000000001E-2</v>
      </c>
      <c r="L56" s="25">
        <v>8</v>
      </c>
      <c r="M56" s="28" t="s">
        <v>33</v>
      </c>
      <c r="N56" s="28">
        <f t="shared" si="5"/>
        <v>0.71040000000000003</v>
      </c>
      <c r="O56" s="28">
        <f t="shared" si="6"/>
        <v>0.82880000000000009</v>
      </c>
      <c r="P56" s="28">
        <f t="shared" si="7"/>
        <v>0.47360000000000008</v>
      </c>
      <c r="Q56" s="28">
        <f t="shared" si="8"/>
        <v>0.35520000000000002</v>
      </c>
      <c r="R56" s="38">
        <v>2.3680000000000003</v>
      </c>
      <c r="S56" s="150">
        <v>105991.94</v>
      </c>
      <c r="T56" s="25">
        <v>3137.3614240000002</v>
      </c>
      <c r="U56" s="28"/>
      <c r="V56" s="28"/>
      <c r="W56" s="28" t="s">
        <v>518</v>
      </c>
      <c r="X56" s="25">
        <v>73930</v>
      </c>
      <c r="Y56" s="25">
        <v>6.34</v>
      </c>
      <c r="Z56" s="28" t="s">
        <v>111</v>
      </c>
      <c r="AA56" s="28">
        <v>9</v>
      </c>
      <c r="AB56" s="195">
        <v>3513</v>
      </c>
      <c r="AC56" s="169">
        <f t="shared" si="16"/>
        <v>8.8800000000000007E-3</v>
      </c>
      <c r="AD56" s="163"/>
      <c r="AE56" s="163"/>
      <c r="AF56" s="164"/>
      <c r="AG56" s="141"/>
      <c r="AH56" s="163"/>
      <c r="AI56" s="163"/>
      <c r="AJ56" s="164"/>
      <c r="AK56" s="141"/>
      <c r="AL56" s="163"/>
      <c r="AM56" s="163"/>
      <c r="AN56" s="164"/>
      <c r="AO56" s="141"/>
      <c r="AP56" s="265"/>
      <c r="AQ56" s="265"/>
      <c r="AR56" s="127"/>
      <c r="AS56" s="126"/>
      <c r="AT56" s="72"/>
      <c r="AU56" s="72"/>
      <c r="AV56" s="127"/>
    </row>
    <row r="57" spans="1:48" ht="45" x14ac:dyDescent="0.25">
      <c r="A57" s="28">
        <v>481</v>
      </c>
      <c r="B57" s="28" t="s">
        <v>28</v>
      </c>
      <c r="C57" s="28" t="s">
        <v>507</v>
      </c>
      <c r="D57" s="147" t="s">
        <v>508</v>
      </c>
      <c r="E57" s="24"/>
      <c r="F57" s="28" t="s">
        <v>520</v>
      </c>
      <c r="G57" s="28"/>
      <c r="H57" s="148" t="s">
        <v>31</v>
      </c>
      <c r="I57" s="28"/>
      <c r="J57" s="25">
        <v>0.03</v>
      </c>
      <c r="K57" s="25">
        <f t="shared" si="15"/>
        <v>0.24</v>
      </c>
      <c r="L57" s="25">
        <v>8</v>
      </c>
      <c r="M57" s="28" t="s">
        <v>33</v>
      </c>
      <c r="N57" s="28">
        <f t="shared" si="5"/>
        <v>5.76</v>
      </c>
      <c r="O57" s="28">
        <f t="shared" si="6"/>
        <v>6.72</v>
      </c>
      <c r="P57" s="28">
        <f t="shared" si="7"/>
        <v>3.84</v>
      </c>
      <c r="Q57" s="28">
        <f t="shared" si="8"/>
        <v>2.88</v>
      </c>
      <c r="R57" s="38">
        <v>19.2</v>
      </c>
      <c r="S57" s="150">
        <v>105991.94</v>
      </c>
      <c r="T57" s="25">
        <v>25438.065599999998</v>
      </c>
      <c r="U57" s="28"/>
      <c r="V57" s="28"/>
      <c r="W57" s="28" t="s">
        <v>522</v>
      </c>
      <c r="X57" s="25">
        <v>73930</v>
      </c>
      <c r="Y57" s="25">
        <v>6.34</v>
      </c>
      <c r="Z57" s="28" t="s">
        <v>520</v>
      </c>
      <c r="AA57" s="28">
        <v>10</v>
      </c>
      <c r="AB57" s="195">
        <v>3513</v>
      </c>
      <c r="AC57" s="169">
        <f t="shared" si="16"/>
        <v>7.1999999999999995E-2</v>
      </c>
      <c r="AD57" s="163"/>
      <c r="AE57" s="163"/>
      <c r="AF57" s="164"/>
      <c r="AG57" s="141"/>
      <c r="AH57" s="163"/>
      <c r="AI57" s="163"/>
      <c r="AJ57" s="164"/>
      <c r="AK57" s="141"/>
      <c r="AL57" s="163"/>
      <c r="AM57" s="163"/>
      <c r="AN57" s="164"/>
      <c r="AO57" s="141"/>
      <c r="AP57" s="265"/>
      <c r="AQ57" s="265"/>
      <c r="AR57" s="127"/>
      <c r="AS57" s="126"/>
      <c r="AT57" s="72"/>
      <c r="AU57" s="72"/>
      <c r="AV57" s="127"/>
    </row>
    <row r="58" spans="1:48" ht="45" x14ac:dyDescent="0.25">
      <c r="A58" s="28">
        <v>482</v>
      </c>
      <c r="B58" s="28" t="s">
        <v>28</v>
      </c>
      <c r="C58" s="28" t="s">
        <v>507</v>
      </c>
      <c r="D58" s="147" t="s">
        <v>508</v>
      </c>
      <c r="E58" s="24"/>
      <c r="F58" s="28" t="s">
        <v>153</v>
      </c>
      <c r="G58" s="28"/>
      <c r="H58" s="148" t="s">
        <v>31</v>
      </c>
      <c r="I58" s="28"/>
      <c r="J58" s="25">
        <v>0.17499999999999999</v>
      </c>
      <c r="K58" s="25">
        <f t="shared" si="15"/>
        <v>0.17499999999999999</v>
      </c>
      <c r="L58" s="25">
        <v>1</v>
      </c>
      <c r="M58" s="28" t="s">
        <v>33</v>
      </c>
      <c r="N58" s="28">
        <f t="shared" si="5"/>
        <v>3.3074999999999997</v>
      </c>
      <c r="O58" s="28">
        <f t="shared" si="6"/>
        <v>3.8587499999999992</v>
      </c>
      <c r="P58" s="28">
        <f t="shared" si="7"/>
        <v>2.2049999999999996</v>
      </c>
      <c r="Q58" s="28">
        <f t="shared" si="8"/>
        <v>1.6537499999999998</v>
      </c>
      <c r="R58" s="38">
        <v>11.024999999999999</v>
      </c>
      <c r="S58" s="170">
        <v>105991.94</v>
      </c>
      <c r="T58" s="9">
        <v>18548.589499999998</v>
      </c>
      <c r="U58" s="15"/>
      <c r="V58" s="15"/>
      <c r="W58" s="28" t="s">
        <v>513</v>
      </c>
      <c r="X58" s="25">
        <v>73931</v>
      </c>
      <c r="Y58" s="25">
        <v>6.34</v>
      </c>
      <c r="Z58" s="28" t="s">
        <v>153</v>
      </c>
      <c r="AA58" s="28">
        <v>1</v>
      </c>
      <c r="AB58" s="195">
        <v>3513</v>
      </c>
      <c r="AC58" s="141"/>
      <c r="AD58" s="163"/>
      <c r="AE58" s="163"/>
      <c r="AF58" s="164"/>
      <c r="AG58" s="46">
        <f t="shared" ref="AG58:AG60" si="19">K58*0.3</f>
        <v>5.2499999999999998E-2</v>
      </c>
      <c r="AH58" s="163"/>
      <c r="AI58" s="163"/>
      <c r="AJ58" s="164"/>
      <c r="AK58" s="51"/>
      <c r="AL58" s="163"/>
      <c r="AM58" s="163"/>
      <c r="AN58" s="164"/>
      <c r="AO58" s="51"/>
      <c r="AP58" s="265"/>
      <c r="AQ58" s="265"/>
      <c r="AR58" s="127"/>
      <c r="AS58" s="58"/>
      <c r="AT58" s="72"/>
      <c r="AU58" s="72"/>
      <c r="AV58" s="127"/>
    </row>
    <row r="59" spans="1:48" ht="45" x14ac:dyDescent="0.25">
      <c r="A59" s="28">
        <v>483</v>
      </c>
      <c r="B59" s="28" t="s">
        <v>28</v>
      </c>
      <c r="C59" s="28" t="s">
        <v>507</v>
      </c>
      <c r="D59" s="147" t="s">
        <v>508</v>
      </c>
      <c r="E59" s="24"/>
      <c r="F59" s="28" t="s">
        <v>126</v>
      </c>
      <c r="G59" s="28"/>
      <c r="H59" s="148" t="s">
        <v>31</v>
      </c>
      <c r="I59" s="28"/>
      <c r="J59" s="25">
        <v>3.4249999999999998</v>
      </c>
      <c r="K59" s="25">
        <f t="shared" si="15"/>
        <v>3.4249999999999998</v>
      </c>
      <c r="L59" s="25">
        <v>1</v>
      </c>
      <c r="M59" s="28" t="s">
        <v>33</v>
      </c>
      <c r="N59" s="28">
        <f t="shared" si="5"/>
        <v>41.1</v>
      </c>
      <c r="O59" s="28">
        <f t="shared" si="6"/>
        <v>47.949999999999996</v>
      </c>
      <c r="P59" s="28">
        <f t="shared" si="7"/>
        <v>27.400000000000002</v>
      </c>
      <c r="Q59" s="28">
        <f t="shared" si="8"/>
        <v>20.55</v>
      </c>
      <c r="R59" s="38">
        <v>137</v>
      </c>
      <c r="S59" s="170">
        <v>105991.94</v>
      </c>
      <c r="T59" s="9">
        <v>363022.39449999999</v>
      </c>
      <c r="U59" s="15"/>
      <c r="V59" s="15"/>
      <c r="W59" s="28" t="s">
        <v>539</v>
      </c>
      <c r="X59" s="25">
        <v>73931</v>
      </c>
      <c r="Y59" s="25">
        <v>6.34</v>
      </c>
      <c r="Z59" s="28" t="s">
        <v>126</v>
      </c>
      <c r="AA59" s="28">
        <v>2</v>
      </c>
      <c r="AB59" s="195">
        <v>3513</v>
      </c>
      <c r="AC59" s="141"/>
      <c r="AD59" s="163"/>
      <c r="AE59" s="163"/>
      <c r="AF59" s="164"/>
      <c r="AG59" s="46">
        <f t="shared" si="19"/>
        <v>1.0274999999999999</v>
      </c>
      <c r="AH59" s="163"/>
      <c r="AI59" s="163"/>
      <c r="AJ59" s="164"/>
      <c r="AK59" s="51"/>
      <c r="AL59" s="41">
        <f t="shared" ref="AL59:AL64" si="20">K59*0.35</f>
        <v>1.1987499999999998</v>
      </c>
      <c r="AM59" s="163"/>
      <c r="AN59" s="164"/>
      <c r="AO59" s="51"/>
      <c r="AP59" s="163"/>
      <c r="AQ59" s="265"/>
      <c r="AR59" s="127"/>
      <c r="AS59" s="58"/>
      <c r="AT59" s="72"/>
      <c r="AU59" s="72"/>
      <c r="AV59" s="127"/>
    </row>
    <row r="60" spans="1:48" ht="45" x14ac:dyDescent="0.25">
      <c r="A60" s="28">
        <v>484</v>
      </c>
      <c r="B60" s="28" t="s">
        <v>28</v>
      </c>
      <c r="C60" s="28" t="s">
        <v>507</v>
      </c>
      <c r="D60" s="147" t="s">
        <v>508</v>
      </c>
      <c r="E60" s="24"/>
      <c r="F60" s="28" t="s">
        <v>172</v>
      </c>
      <c r="G60" s="28"/>
      <c r="H60" s="148" t="s">
        <v>31</v>
      </c>
      <c r="I60" s="28"/>
      <c r="J60" s="25">
        <v>3.7499999999999999E-2</v>
      </c>
      <c r="K60" s="25">
        <f t="shared" si="15"/>
        <v>0.15</v>
      </c>
      <c r="L60" s="25">
        <v>4</v>
      </c>
      <c r="M60" s="28" t="s">
        <v>33</v>
      </c>
      <c r="N60" s="28">
        <f t="shared" si="5"/>
        <v>3.5999999999999996</v>
      </c>
      <c r="O60" s="28">
        <f t="shared" si="6"/>
        <v>4.1999999999999993</v>
      </c>
      <c r="P60" s="28">
        <f t="shared" si="7"/>
        <v>2.4000000000000004</v>
      </c>
      <c r="Q60" s="28">
        <f t="shared" si="8"/>
        <v>1.7999999999999998</v>
      </c>
      <c r="R60" s="38">
        <v>12</v>
      </c>
      <c r="S60" s="170">
        <v>105991.94</v>
      </c>
      <c r="T60" s="9">
        <v>15898.790999999999</v>
      </c>
      <c r="U60" s="15"/>
      <c r="V60" s="15"/>
      <c r="W60" s="28" t="s">
        <v>535</v>
      </c>
      <c r="X60" s="25">
        <v>73931</v>
      </c>
      <c r="Y60" s="25">
        <v>6.34</v>
      </c>
      <c r="Z60" s="28" t="s">
        <v>172</v>
      </c>
      <c r="AA60" s="28">
        <v>3</v>
      </c>
      <c r="AB60" s="195">
        <v>3513</v>
      </c>
      <c r="AC60" s="141"/>
      <c r="AD60" s="163"/>
      <c r="AE60" s="163"/>
      <c r="AF60" s="164"/>
      <c r="AG60" s="46">
        <f t="shared" si="19"/>
        <v>4.4999999999999998E-2</v>
      </c>
      <c r="AH60" s="163"/>
      <c r="AI60" s="163"/>
      <c r="AJ60" s="164"/>
      <c r="AK60" s="51"/>
      <c r="AL60" s="163"/>
      <c r="AM60" s="163"/>
      <c r="AN60" s="164"/>
      <c r="AO60" s="51"/>
      <c r="AP60" s="265"/>
      <c r="AQ60" s="265"/>
      <c r="AR60" s="127"/>
      <c r="AS60" s="58"/>
      <c r="AT60" s="72"/>
      <c r="AU60" s="72"/>
      <c r="AV60" s="127"/>
    </row>
    <row r="61" spans="1:48" ht="45" x14ac:dyDescent="0.25">
      <c r="A61" s="28">
        <v>485</v>
      </c>
      <c r="B61" s="28" t="s">
        <v>28</v>
      </c>
      <c r="C61" s="28" t="s">
        <v>507</v>
      </c>
      <c r="D61" s="147" t="s">
        <v>508</v>
      </c>
      <c r="E61" s="24"/>
      <c r="F61" s="28" t="s">
        <v>126</v>
      </c>
      <c r="G61" s="28"/>
      <c r="H61" s="148" t="s">
        <v>31</v>
      </c>
      <c r="I61" s="28"/>
      <c r="J61" s="25">
        <v>4.0148000000000001</v>
      </c>
      <c r="K61" s="25">
        <f t="shared" si="15"/>
        <v>4.0148000000000001</v>
      </c>
      <c r="L61" s="25">
        <v>1</v>
      </c>
      <c r="M61" s="28" t="s">
        <v>33</v>
      </c>
      <c r="N61" s="28">
        <f t="shared" si="5"/>
        <v>48.177600000000005</v>
      </c>
      <c r="O61" s="28">
        <f t="shared" si="6"/>
        <v>56.2072</v>
      </c>
      <c r="P61" s="28">
        <f t="shared" si="7"/>
        <v>32.118400000000001</v>
      </c>
      <c r="Q61" s="28">
        <f t="shared" si="8"/>
        <v>24.088800000000003</v>
      </c>
      <c r="R61" s="38">
        <v>160.59200000000001</v>
      </c>
      <c r="S61" s="150">
        <v>105991.94</v>
      </c>
      <c r="T61" s="25">
        <v>425536.44071200001</v>
      </c>
      <c r="U61" s="28"/>
      <c r="V61" s="28"/>
      <c r="W61" s="28" t="s">
        <v>540</v>
      </c>
      <c r="X61" s="25">
        <v>73932</v>
      </c>
      <c r="Y61" s="25">
        <v>6.34</v>
      </c>
      <c r="Z61" s="28" t="s">
        <v>126</v>
      </c>
      <c r="AA61" s="28">
        <v>1</v>
      </c>
      <c r="AB61" s="195">
        <v>3513</v>
      </c>
      <c r="AC61" s="169">
        <f t="shared" ref="AC61:AC64" si="21">K61*0.3</f>
        <v>1.20444</v>
      </c>
      <c r="AD61" s="163"/>
      <c r="AE61" s="163"/>
      <c r="AF61" s="164"/>
      <c r="AG61" s="141"/>
      <c r="AH61" s="163"/>
      <c r="AI61" s="163"/>
      <c r="AJ61" s="164"/>
      <c r="AK61" s="141"/>
      <c r="AL61" s="41">
        <f t="shared" si="20"/>
        <v>1.4051799999999999</v>
      </c>
      <c r="AM61" s="163"/>
      <c r="AN61" s="164"/>
      <c r="AO61" s="141"/>
      <c r="AP61" s="163"/>
      <c r="AQ61" s="265"/>
      <c r="AR61" s="127"/>
      <c r="AS61" s="126"/>
      <c r="AT61" s="72"/>
      <c r="AU61" s="72"/>
      <c r="AV61" s="127"/>
    </row>
    <row r="62" spans="1:48" ht="45" x14ac:dyDescent="0.25">
      <c r="A62" s="28">
        <v>486</v>
      </c>
      <c r="B62" s="28" t="s">
        <v>28</v>
      </c>
      <c r="C62" s="28" t="s">
        <v>507</v>
      </c>
      <c r="D62" s="147" t="s">
        <v>508</v>
      </c>
      <c r="E62" s="24"/>
      <c r="F62" s="28" t="s">
        <v>172</v>
      </c>
      <c r="G62" s="28"/>
      <c r="H62" s="148" t="s">
        <v>31</v>
      </c>
      <c r="I62" s="28"/>
      <c r="J62" s="25">
        <v>3.6299999999999999E-2</v>
      </c>
      <c r="K62" s="25">
        <f t="shared" si="15"/>
        <v>0.1452</v>
      </c>
      <c r="L62" s="25">
        <v>4</v>
      </c>
      <c r="M62" s="28" t="s">
        <v>33</v>
      </c>
      <c r="N62" s="28">
        <f t="shared" si="5"/>
        <v>3.4847999999999999</v>
      </c>
      <c r="O62" s="28">
        <f t="shared" si="6"/>
        <v>4.0655999999999999</v>
      </c>
      <c r="P62" s="28">
        <f t="shared" si="7"/>
        <v>2.3231999999999999</v>
      </c>
      <c r="Q62" s="28">
        <f t="shared" si="8"/>
        <v>1.7423999999999999</v>
      </c>
      <c r="R62" s="38">
        <v>11.616</v>
      </c>
      <c r="S62" s="150">
        <v>105991.94</v>
      </c>
      <c r="T62" s="25">
        <v>15390.029688000001</v>
      </c>
      <c r="U62" s="28"/>
      <c r="V62" s="28"/>
      <c r="W62" s="28" t="s">
        <v>535</v>
      </c>
      <c r="X62" s="25">
        <v>73932</v>
      </c>
      <c r="Y62" s="25">
        <v>6.34</v>
      </c>
      <c r="Z62" s="28" t="s">
        <v>172</v>
      </c>
      <c r="AA62" s="28">
        <v>2</v>
      </c>
      <c r="AB62" s="195">
        <v>3513</v>
      </c>
      <c r="AC62" s="169">
        <f t="shared" si="21"/>
        <v>4.3559999999999995E-2</v>
      </c>
      <c r="AD62" s="163"/>
      <c r="AE62" s="163"/>
      <c r="AF62" s="164"/>
      <c r="AG62" s="141"/>
      <c r="AH62" s="163"/>
      <c r="AI62" s="163"/>
      <c r="AJ62" s="164"/>
      <c r="AK62" s="141"/>
      <c r="AL62" s="163"/>
      <c r="AM62" s="163"/>
      <c r="AN62" s="164"/>
      <c r="AO62" s="141"/>
      <c r="AP62" s="265"/>
      <c r="AQ62" s="265"/>
      <c r="AR62" s="127"/>
      <c r="AS62" s="126"/>
      <c r="AT62" s="72"/>
      <c r="AU62" s="72"/>
      <c r="AV62" s="127"/>
    </row>
    <row r="63" spans="1:48" ht="45" x14ac:dyDescent="0.25">
      <c r="A63" s="28">
        <v>487</v>
      </c>
      <c r="B63" s="28" t="s">
        <v>28</v>
      </c>
      <c r="C63" s="28" t="s">
        <v>507</v>
      </c>
      <c r="D63" s="147" t="s">
        <v>508</v>
      </c>
      <c r="E63" s="24"/>
      <c r="F63" s="28" t="s">
        <v>227</v>
      </c>
      <c r="G63" s="28"/>
      <c r="H63" s="148" t="s">
        <v>31</v>
      </c>
      <c r="I63" s="28"/>
      <c r="J63" s="25">
        <v>1.2175</v>
      </c>
      <c r="K63" s="25">
        <f t="shared" si="15"/>
        <v>2.4350000000000001</v>
      </c>
      <c r="L63" s="25">
        <v>2</v>
      </c>
      <c r="M63" s="28" t="s">
        <v>33</v>
      </c>
      <c r="N63" s="28">
        <f t="shared" si="5"/>
        <v>29.22</v>
      </c>
      <c r="O63" s="28">
        <f t="shared" si="6"/>
        <v>34.089999999999996</v>
      </c>
      <c r="P63" s="28">
        <f t="shared" si="7"/>
        <v>19.480000000000004</v>
      </c>
      <c r="Q63" s="28">
        <f t="shared" si="8"/>
        <v>14.61</v>
      </c>
      <c r="R63" s="38">
        <v>97.4</v>
      </c>
      <c r="S63" s="150">
        <v>105991.94</v>
      </c>
      <c r="T63" s="25">
        <v>258090.37390000001</v>
      </c>
      <c r="U63" s="28"/>
      <c r="V63" s="28"/>
      <c r="W63" s="28" t="s">
        <v>533</v>
      </c>
      <c r="X63" s="25">
        <v>73933</v>
      </c>
      <c r="Y63" s="25">
        <v>6.34</v>
      </c>
      <c r="Z63" s="28" t="s">
        <v>227</v>
      </c>
      <c r="AA63" s="28">
        <v>1</v>
      </c>
      <c r="AB63" s="195">
        <v>3513</v>
      </c>
      <c r="AC63" s="169">
        <f t="shared" si="21"/>
        <v>0.73050000000000004</v>
      </c>
      <c r="AD63" s="163"/>
      <c r="AE63" s="163"/>
      <c r="AF63" s="164"/>
      <c r="AG63" s="141"/>
      <c r="AH63" s="163"/>
      <c r="AI63" s="163"/>
      <c r="AJ63" s="164"/>
      <c r="AK63" s="141"/>
      <c r="AL63" s="41">
        <f t="shared" si="20"/>
        <v>0.85224999999999995</v>
      </c>
      <c r="AM63" s="163"/>
      <c r="AN63" s="164"/>
      <c r="AO63" s="141"/>
      <c r="AP63" s="163"/>
      <c r="AQ63" s="41">
        <f t="shared" ref="AQ63:AQ64" si="22">K63*0.2</f>
        <v>0.48700000000000004</v>
      </c>
      <c r="AR63" s="127"/>
      <c r="AS63" s="126"/>
      <c r="AT63" s="72"/>
      <c r="AU63" s="72"/>
      <c r="AV63" s="127"/>
    </row>
    <row r="64" spans="1:48" ht="45" x14ac:dyDescent="0.25">
      <c r="A64" s="28">
        <v>488</v>
      </c>
      <c r="B64" s="28" t="s">
        <v>28</v>
      </c>
      <c r="C64" s="28" t="s">
        <v>507</v>
      </c>
      <c r="D64" s="147" t="s">
        <v>508</v>
      </c>
      <c r="E64" s="24"/>
      <c r="F64" s="28" t="s">
        <v>227</v>
      </c>
      <c r="G64" s="28"/>
      <c r="H64" s="148" t="s">
        <v>31</v>
      </c>
      <c r="I64" s="28"/>
      <c r="J64" s="25">
        <v>1.2175</v>
      </c>
      <c r="K64" s="25">
        <f t="shared" si="15"/>
        <v>2.4350000000000001</v>
      </c>
      <c r="L64" s="25">
        <v>2</v>
      </c>
      <c r="M64" s="28" t="s">
        <v>33</v>
      </c>
      <c r="N64" s="28">
        <f t="shared" si="5"/>
        <v>29.22</v>
      </c>
      <c r="O64" s="28">
        <f t="shared" si="6"/>
        <v>34.089999999999996</v>
      </c>
      <c r="P64" s="28">
        <f t="shared" si="7"/>
        <v>19.480000000000004</v>
      </c>
      <c r="Q64" s="28">
        <f t="shared" si="8"/>
        <v>14.61</v>
      </c>
      <c r="R64" s="38">
        <v>97.4</v>
      </c>
      <c r="S64" s="150">
        <v>105991.94</v>
      </c>
      <c r="T64" s="25">
        <v>258090.37390000001</v>
      </c>
      <c r="U64" s="28"/>
      <c r="V64" s="28"/>
      <c r="W64" s="28" t="s">
        <v>533</v>
      </c>
      <c r="X64" s="25">
        <v>73933</v>
      </c>
      <c r="Y64" s="25">
        <v>6.34</v>
      </c>
      <c r="Z64" s="28" t="s">
        <v>227</v>
      </c>
      <c r="AA64" s="28">
        <v>2</v>
      </c>
      <c r="AB64" s="195">
        <v>3513</v>
      </c>
      <c r="AC64" s="169">
        <f t="shared" si="21"/>
        <v>0.73050000000000004</v>
      </c>
      <c r="AD64" s="163"/>
      <c r="AE64" s="163"/>
      <c r="AF64" s="164"/>
      <c r="AG64" s="141"/>
      <c r="AH64" s="163"/>
      <c r="AI64" s="163"/>
      <c r="AJ64" s="164"/>
      <c r="AK64" s="141"/>
      <c r="AL64" s="41">
        <f t="shared" si="20"/>
        <v>0.85224999999999995</v>
      </c>
      <c r="AM64" s="163"/>
      <c r="AN64" s="164"/>
      <c r="AO64" s="141"/>
      <c r="AP64" s="163"/>
      <c r="AQ64" s="41">
        <f t="shared" si="22"/>
        <v>0.48700000000000004</v>
      </c>
      <c r="AR64" s="127"/>
      <c r="AS64" s="126"/>
      <c r="AT64" s="72"/>
      <c r="AU64" s="72"/>
      <c r="AV64" s="127"/>
    </row>
    <row r="65" spans="2:48" hidden="1" x14ac:dyDescent="0.25">
      <c r="B65" s="15" t="s">
        <v>28</v>
      </c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</row>
    <row r="66" spans="2:48" x14ac:dyDescent="0.25"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</row>
    <row r="67" spans="2:48" x14ac:dyDescent="0.25"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</row>
    <row r="68" spans="2:48" x14ac:dyDescent="0.25"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</row>
    <row r="69" spans="2:48" x14ac:dyDescent="0.25"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</row>
    <row r="70" spans="2:48" x14ac:dyDescent="0.25"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</row>
    <row r="71" spans="2:48" x14ac:dyDescent="0.25"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</row>
    <row r="72" spans="2:48" x14ac:dyDescent="0.25"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</row>
    <row r="73" spans="2:48" x14ac:dyDescent="0.25"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</row>
    <row r="74" spans="2:48" x14ac:dyDescent="0.25"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</row>
    <row r="75" spans="2:48" x14ac:dyDescent="0.25"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</row>
    <row r="76" spans="2:48" x14ac:dyDescent="0.25"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</row>
    <row r="77" spans="2:48" x14ac:dyDescent="0.25"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</row>
    <row r="78" spans="2:48" x14ac:dyDescent="0.25"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</row>
    <row r="79" spans="2:48" x14ac:dyDescent="0.25"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</row>
    <row r="80" spans="2:48" x14ac:dyDescent="0.25"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</row>
    <row r="81" spans="29:48" x14ac:dyDescent="0.25"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</row>
    <row r="82" spans="29:48" x14ac:dyDescent="0.25"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</row>
    <row r="83" spans="29:48" x14ac:dyDescent="0.25"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</row>
    <row r="84" spans="29:48" x14ac:dyDescent="0.25"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</row>
    <row r="85" spans="29:48" x14ac:dyDescent="0.25"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</row>
    <row r="86" spans="29:48" x14ac:dyDescent="0.25"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</row>
    <row r="87" spans="29:48" x14ac:dyDescent="0.25"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</row>
    <row r="88" spans="29:48" x14ac:dyDescent="0.25"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</row>
    <row r="89" spans="29:48" x14ac:dyDescent="0.25"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</row>
    <row r="90" spans="29:48" x14ac:dyDescent="0.25"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</row>
    <row r="91" spans="29:48" x14ac:dyDescent="0.25"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</row>
    <row r="92" spans="29:48" x14ac:dyDescent="0.25"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</row>
    <row r="93" spans="29:48" x14ac:dyDescent="0.25"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</row>
    <row r="94" spans="29:48" x14ac:dyDescent="0.25"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</row>
    <row r="95" spans="29:48" x14ac:dyDescent="0.25"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</row>
    <row r="96" spans="29:48" x14ac:dyDescent="0.25"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</row>
    <row r="97" spans="29:48" x14ac:dyDescent="0.25"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</row>
    <row r="98" spans="29:48" x14ac:dyDescent="0.25"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</row>
    <row r="99" spans="29:48" x14ac:dyDescent="0.25"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</row>
    <row r="100" spans="29:48" x14ac:dyDescent="0.25"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</row>
    <row r="101" spans="29:48" x14ac:dyDescent="0.25"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</row>
    <row r="102" spans="29:48" x14ac:dyDescent="0.25"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</row>
    <row r="103" spans="29:48" x14ac:dyDescent="0.25"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</row>
    <row r="104" spans="29:48" x14ac:dyDescent="0.25"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</row>
    <row r="105" spans="29:48" x14ac:dyDescent="0.25"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</row>
    <row r="106" spans="29:48" x14ac:dyDescent="0.25"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</row>
    <row r="107" spans="29:48" x14ac:dyDescent="0.25"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</row>
    <row r="108" spans="29:48" x14ac:dyDescent="0.25"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</row>
    <row r="109" spans="29:48" x14ac:dyDescent="0.25"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</row>
    <row r="110" spans="29:48" x14ac:dyDescent="0.25"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</row>
    <row r="111" spans="29:48" x14ac:dyDescent="0.25"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</row>
    <row r="112" spans="29:48" x14ac:dyDescent="0.25"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</row>
    <row r="113" spans="29:48" x14ac:dyDescent="0.25"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</row>
    <row r="114" spans="29:48" x14ac:dyDescent="0.25"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</row>
    <row r="115" spans="29:48" x14ac:dyDescent="0.25"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</row>
    <row r="116" spans="29:48" x14ac:dyDescent="0.25"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</row>
    <row r="117" spans="29:48" x14ac:dyDescent="0.25"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</row>
    <row r="118" spans="29:48" x14ac:dyDescent="0.25"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</row>
    <row r="119" spans="29:48" x14ac:dyDescent="0.25"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</row>
    <row r="120" spans="29:48" x14ac:dyDescent="0.25"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</row>
    <row r="121" spans="29:48" x14ac:dyDescent="0.25"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</row>
    <row r="122" spans="29:48" x14ac:dyDescent="0.25"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</row>
    <row r="123" spans="29:48" x14ac:dyDescent="0.25"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</row>
    <row r="124" spans="29:48" x14ac:dyDescent="0.25"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</row>
    <row r="125" spans="29:48" x14ac:dyDescent="0.25"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</row>
    <row r="126" spans="29:48" x14ac:dyDescent="0.25"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</row>
    <row r="127" spans="29:48" x14ac:dyDescent="0.25"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</row>
    <row r="128" spans="29:48" x14ac:dyDescent="0.25"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</row>
    <row r="129" spans="29:48" x14ac:dyDescent="0.25"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</row>
    <row r="130" spans="29:48" x14ac:dyDescent="0.25"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</row>
    <row r="131" spans="29:48" x14ac:dyDescent="0.25"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</row>
    <row r="132" spans="29:48" x14ac:dyDescent="0.25"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</row>
    <row r="133" spans="29:48" x14ac:dyDescent="0.25"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</row>
    <row r="134" spans="29:48" x14ac:dyDescent="0.25"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</row>
    <row r="135" spans="29:48" x14ac:dyDescent="0.25"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</row>
    <row r="136" spans="29:48" x14ac:dyDescent="0.25"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</row>
    <row r="137" spans="29:48" x14ac:dyDescent="0.25"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</row>
    <row r="138" spans="29:48" x14ac:dyDescent="0.25"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</row>
    <row r="139" spans="29:48" x14ac:dyDescent="0.25"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</row>
    <row r="140" spans="29:48" x14ac:dyDescent="0.25"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</row>
    <row r="141" spans="29:48" x14ac:dyDescent="0.25"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</row>
    <row r="142" spans="29:48" x14ac:dyDescent="0.25"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</row>
    <row r="143" spans="29:48" x14ac:dyDescent="0.25"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</row>
    <row r="144" spans="29:48" x14ac:dyDescent="0.25"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</row>
    <row r="145" spans="29:48" x14ac:dyDescent="0.25"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</row>
    <row r="146" spans="29:48" x14ac:dyDescent="0.25"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</row>
    <row r="147" spans="29:48" x14ac:dyDescent="0.25"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</row>
    <row r="148" spans="29:48" x14ac:dyDescent="0.25"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</row>
    <row r="149" spans="29:48" x14ac:dyDescent="0.25"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</row>
    <row r="150" spans="29:48" x14ac:dyDescent="0.25"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</row>
    <row r="151" spans="29:48" x14ac:dyDescent="0.25"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</row>
    <row r="152" spans="29:48" x14ac:dyDescent="0.25"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</row>
    <row r="153" spans="29:48" x14ac:dyDescent="0.25"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</row>
    <row r="154" spans="29:48" x14ac:dyDescent="0.25"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</row>
    <row r="155" spans="29:48" x14ac:dyDescent="0.25"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</row>
    <row r="156" spans="29:48" x14ac:dyDescent="0.25"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</row>
    <row r="157" spans="29:48" x14ac:dyDescent="0.25"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</row>
    <row r="158" spans="29:48" x14ac:dyDescent="0.25"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</row>
    <row r="159" spans="29:48" x14ac:dyDescent="0.25"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</row>
    <row r="160" spans="29:48" x14ac:dyDescent="0.25"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</row>
    <row r="161" spans="29:48" x14ac:dyDescent="0.25"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</row>
    <row r="162" spans="29:48" x14ac:dyDescent="0.25"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</row>
    <row r="163" spans="29:48" x14ac:dyDescent="0.25"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</row>
    <row r="164" spans="29:48" x14ac:dyDescent="0.25"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</row>
    <row r="165" spans="29:48" x14ac:dyDescent="0.25"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</row>
    <row r="166" spans="29:48" x14ac:dyDescent="0.25"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</row>
    <row r="167" spans="29:48" x14ac:dyDescent="0.25"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</row>
    <row r="168" spans="29:48" x14ac:dyDescent="0.25"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</row>
    <row r="169" spans="29:48" x14ac:dyDescent="0.25"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</row>
    <row r="170" spans="29:48" x14ac:dyDescent="0.25"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</row>
    <row r="171" spans="29:48" x14ac:dyDescent="0.25"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</row>
    <row r="172" spans="29:48" x14ac:dyDescent="0.25"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</row>
    <row r="173" spans="29:48" x14ac:dyDescent="0.25"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</row>
    <row r="174" spans="29:48" x14ac:dyDescent="0.25"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</row>
    <row r="175" spans="29:48" x14ac:dyDescent="0.25"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</row>
    <row r="176" spans="29:48" x14ac:dyDescent="0.25"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</row>
    <row r="177" spans="29:48" x14ac:dyDescent="0.25"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</row>
    <row r="178" spans="29:48" x14ac:dyDescent="0.25"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</row>
    <row r="179" spans="29:48" x14ac:dyDescent="0.25"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</row>
    <row r="180" spans="29:48" x14ac:dyDescent="0.25"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</row>
    <row r="181" spans="29:48" x14ac:dyDescent="0.25"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</row>
    <row r="182" spans="29:48" x14ac:dyDescent="0.25"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</row>
    <row r="183" spans="29:48" x14ac:dyDescent="0.25"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</row>
    <row r="184" spans="29:48" x14ac:dyDescent="0.25"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</row>
    <row r="185" spans="29:48" x14ac:dyDescent="0.25"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</row>
    <row r="186" spans="29:48" x14ac:dyDescent="0.25"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</row>
    <row r="187" spans="29:48" x14ac:dyDescent="0.25"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</row>
    <row r="188" spans="29:48" x14ac:dyDescent="0.25"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</row>
    <row r="189" spans="29:48" x14ac:dyDescent="0.25"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</row>
    <row r="190" spans="29:48" x14ac:dyDescent="0.25"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</row>
    <row r="191" spans="29:48" x14ac:dyDescent="0.25"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</row>
    <row r="192" spans="29:48" x14ac:dyDescent="0.25"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</row>
    <row r="193" spans="29:48" x14ac:dyDescent="0.25"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</row>
    <row r="194" spans="29:48" x14ac:dyDescent="0.25"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</row>
    <row r="195" spans="29:48" x14ac:dyDescent="0.25"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</row>
    <row r="196" spans="29:48" x14ac:dyDescent="0.25"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</row>
    <row r="197" spans="29:48" x14ac:dyDescent="0.25"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</row>
    <row r="198" spans="29:48" x14ac:dyDescent="0.25"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</row>
    <row r="199" spans="29:48" x14ac:dyDescent="0.25"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</row>
    <row r="200" spans="29:48" x14ac:dyDescent="0.25"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</row>
    <row r="201" spans="29:48" x14ac:dyDescent="0.25"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</row>
    <row r="202" spans="29:48" x14ac:dyDescent="0.25"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</row>
    <row r="203" spans="29:48" x14ac:dyDescent="0.25"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</row>
    <row r="204" spans="29:48" x14ac:dyDescent="0.25"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</row>
    <row r="205" spans="29:48" x14ac:dyDescent="0.25"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</row>
    <row r="206" spans="29:48" x14ac:dyDescent="0.25"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</row>
    <row r="207" spans="29:48" x14ac:dyDescent="0.25"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</row>
    <row r="208" spans="29:48" x14ac:dyDescent="0.25"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</row>
    <row r="209" spans="29:48" x14ac:dyDescent="0.25"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</row>
    <row r="210" spans="29:48" x14ac:dyDescent="0.25"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</row>
    <row r="211" spans="29:48" x14ac:dyDescent="0.25"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</row>
    <row r="212" spans="29:48" x14ac:dyDescent="0.25"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</row>
    <row r="213" spans="29:48" x14ac:dyDescent="0.25"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</row>
    <row r="214" spans="29:48" x14ac:dyDescent="0.25"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</row>
    <row r="215" spans="29:48" x14ac:dyDescent="0.25"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</row>
    <row r="216" spans="29:48" x14ac:dyDescent="0.25"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</row>
    <row r="217" spans="29:48" x14ac:dyDescent="0.25"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</row>
    <row r="218" spans="29:48" x14ac:dyDescent="0.25"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</row>
    <row r="219" spans="29:48" x14ac:dyDescent="0.25"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</row>
    <row r="220" spans="29:48" x14ac:dyDescent="0.25"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</row>
    <row r="221" spans="29:48" x14ac:dyDescent="0.25"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</row>
    <row r="222" spans="29:48" x14ac:dyDescent="0.25"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</row>
    <row r="223" spans="29:48" x14ac:dyDescent="0.25"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</row>
    <row r="224" spans="29:48" x14ac:dyDescent="0.25"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</row>
    <row r="225" spans="29:48" x14ac:dyDescent="0.25"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</row>
    <row r="226" spans="29:48" x14ac:dyDescent="0.25"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</row>
    <row r="227" spans="29:48" x14ac:dyDescent="0.25"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</row>
    <row r="228" spans="29:48" x14ac:dyDescent="0.25"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</row>
    <row r="229" spans="29:48" x14ac:dyDescent="0.25"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</row>
    <row r="230" spans="29:48" x14ac:dyDescent="0.25"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</row>
    <row r="231" spans="29:48" x14ac:dyDescent="0.25"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</row>
    <row r="232" spans="29:48" x14ac:dyDescent="0.25"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</row>
    <row r="233" spans="29:48" x14ac:dyDescent="0.25"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</row>
    <row r="234" spans="29:48" x14ac:dyDescent="0.25"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</row>
    <row r="235" spans="29:48" x14ac:dyDescent="0.25"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</row>
    <row r="236" spans="29:48" x14ac:dyDescent="0.25"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</row>
    <row r="237" spans="29:48" x14ac:dyDescent="0.25"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</row>
    <row r="238" spans="29:48" x14ac:dyDescent="0.25"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</row>
    <row r="239" spans="29:48" x14ac:dyDescent="0.25"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</row>
    <row r="240" spans="29:48" x14ac:dyDescent="0.25"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</row>
    <row r="241" spans="29:48" x14ac:dyDescent="0.25"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</row>
    <row r="242" spans="29:48" x14ac:dyDescent="0.25"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</row>
    <row r="243" spans="29:48" x14ac:dyDescent="0.25"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</row>
    <row r="244" spans="29:48" x14ac:dyDescent="0.25"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</row>
    <row r="245" spans="29:48" x14ac:dyDescent="0.25"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</row>
    <row r="246" spans="29:48" x14ac:dyDescent="0.25"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</row>
    <row r="247" spans="29:48" x14ac:dyDescent="0.25"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</row>
    <row r="248" spans="29:48" x14ac:dyDescent="0.25"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</row>
    <row r="249" spans="29:48" x14ac:dyDescent="0.25"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</row>
  </sheetData>
  <autoFilter ref="A3:AB65" xr:uid="{00000000-0009-0000-0000-000002000000}">
    <filterColumn colId="23">
      <colorFilter dxfId="9"/>
    </filterColumn>
  </autoFilter>
  <mergeCells count="5">
    <mergeCell ref="AC1:AF1"/>
    <mergeCell ref="AG1:AJ1"/>
    <mergeCell ref="AK1:AN1"/>
    <mergeCell ref="AO1:AR1"/>
    <mergeCell ref="AS1:AV1"/>
  </mergeCells>
  <conditionalFormatting sqref="E1:E3">
    <cfRule type="duplicateValues" dxfId="48" priority="2"/>
  </conditionalFormatting>
  <conditionalFormatting sqref="F1:F3">
    <cfRule type="duplicateValues" dxfId="47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Q249"/>
  <sheetViews>
    <sheetView zoomScale="70" zoomScaleNormal="70" workbookViewId="0">
      <pane ySplit="3" topLeftCell="A4" activePane="bottomLeft" state="frozen"/>
      <selection pane="bottomLeft" activeCell="Y4" sqref="Y4:Y12"/>
    </sheetView>
  </sheetViews>
  <sheetFormatPr defaultRowHeight="15" x14ac:dyDescent="0.25"/>
  <cols>
    <col min="2" max="2" width="28.28515625" hidden="1" customWidth="1"/>
    <col min="3" max="3" width="26.7109375" hidden="1" customWidth="1"/>
    <col min="4" max="4" width="39.42578125" customWidth="1"/>
    <col min="5" max="5" width="20" hidden="1" customWidth="1"/>
    <col min="6" max="6" width="38" style="17" customWidth="1"/>
    <col min="7" max="7" width="14.7109375" style="17" hidden="1" customWidth="1"/>
    <col min="8" max="8" width="14" style="17" hidden="1" customWidth="1"/>
    <col min="9" max="9" width="15.140625" style="17" hidden="1" customWidth="1"/>
    <col min="10" max="10" width="17.7109375" style="17" hidden="1" customWidth="1"/>
    <col min="11" max="11" width="9.42578125" style="17" customWidth="1"/>
    <col min="12" max="12" width="7.7109375" style="17" customWidth="1"/>
    <col min="13" max="13" width="8.28515625" style="17" customWidth="1"/>
    <col min="14" max="14" width="7.7109375" style="17" customWidth="1"/>
    <col min="15" max="15" width="5.5703125" style="17" customWidth="1"/>
    <col min="16" max="16" width="5.85546875" style="17" customWidth="1"/>
    <col min="17" max="17" width="5.5703125" style="17" customWidth="1"/>
    <col min="18" max="18" width="5.140625" style="17" customWidth="1"/>
    <col min="19" max="19" width="10.140625" style="17" customWidth="1"/>
    <col min="20" max="21" width="21.28515625" style="17" hidden="1" customWidth="1"/>
    <col min="22" max="22" width="12.28515625" style="17" hidden="1" customWidth="1"/>
    <col min="23" max="23" width="14.140625" style="17" hidden="1" customWidth="1"/>
    <col min="24" max="24" width="17" style="17" customWidth="1"/>
    <col min="25" max="25" width="10" style="17" customWidth="1"/>
    <col min="26" max="26" width="10.28515625" style="17" hidden="1" customWidth="1"/>
    <col min="27" max="27" width="35.42578125" style="23" hidden="1" customWidth="1"/>
    <col min="28" max="28" width="11.7109375" hidden="1" customWidth="1"/>
    <col min="29" max="29" width="11.7109375" customWidth="1"/>
    <col min="30" max="30" width="7.7109375" hidden="1" customWidth="1"/>
    <col min="31" max="31" width="10.7109375" hidden="1" customWidth="1"/>
    <col min="32" max="32" width="6.42578125" style="32" hidden="1" customWidth="1"/>
    <col min="33" max="33" width="6.7109375" style="32" hidden="1" customWidth="1"/>
    <col min="34" max="34" width="6.42578125" style="32" hidden="1" customWidth="1"/>
    <col min="35" max="35" width="6.28515625" style="32" hidden="1" customWidth="1"/>
    <col min="36" max="36" width="6.42578125" style="32" customWidth="1"/>
    <col min="37" max="37" width="6.7109375" style="32" customWidth="1"/>
    <col min="38" max="38" width="6.42578125" style="32" customWidth="1"/>
    <col min="39" max="39" width="6.28515625" style="32" customWidth="1"/>
    <col min="40" max="40" width="6.42578125" style="32" customWidth="1"/>
    <col min="41" max="41" width="6.7109375" style="32" customWidth="1"/>
    <col min="42" max="42" width="6.42578125" style="32" customWidth="1"/>
    <col min="43" max="43" width="6.28515625" style="32" customWidth="1"/>
  </cols>
  <sheetData>
    <row r="1" spans="1:43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18</v>
      </c>
      <c r="K1" s="1" t="s">
        <v>9</v>
      </c>
      <c r="L1" s="1" t="s">
        <v>10</v>
      </c>
      <c r="M1" s="1" t="s">
        <v>11</v>
      </c>
      <c r="N1" s="1" t="s">
        <v>12</v>
      </c>
      <c r="O1" s="133" t="s">
        <v>503</v>
      </c>
      <c r="P1" s="133" t="s">
        <v>504</v>
      </c>
      <c r="Q1" s="133" t="s">
        <v>505</v>
      </c>
      <c r="R1" s="133" t="s">
        <v>506</v>
      </c>
      <c r="S1" s="1" t="s">
        <v>13</v>
      </c>
      <c r="T1" s="1" t="s">
        <v>14</v>
      </c>
      <c r="U1" s="1" t="s">
        <v>15</v>
      </c>
      <c r="V1" s="2" t="s">
        <v>16</v>
      </c>
      <c r="W1" s="2" t="s">
        <v>17</v>
      </c>
      <c r="X1" s="3" t="s">
        <v>18</v>
      </c>
      <c r="Y1" s="1" t="s">
        <v>19</v>
      </c>
      <c r="Z1" s="1" t="s">
        <v>20</v>
      </c>
      <c r="AA1" s="4" t="s">
        <v>21</v>
      </c>
      <c r="AB1" s="3" t="s">
        <v>22</v>
      </c>
      <c r="AC1" s="191" t="s">
        <v>629</v>
      </c>
      <c r="AD1" s="6" t="s">
        <v>23</v>
      </c>
      <c r="AE1" s="7" t="s">
        <v>24</v>
      </c>
      <c r="AF1" s="452" t="s">
        <v>160</v>
      </c>
      <c r="AG1" s="453"/>
      <c r="AH1" s="453"/>
      <c r="AI1" s="454"/>
      <c r="AJ1" s="452" t="s">
        <v>646</v>
      </c>
      <c r="AK1" s="453"/>
      <c r="AL1" s="453"/>
      <c r="AM1" s="454"/>
      <c r="AN1" s="452" t="s">
        <v>979</v>
      </c>
      <c r="AO1" s="453"/>
      <c r="AP1" s="453"/>
      <c r="AQ1" s="454"/>
    </row>
    <row r="2" spans="1:43" x14ac:dyDescent="0.25">
      <c r="A2" s="1"/>
      <c r="B2" s="1"/>
      <c r="C2" s="1"/>
      <c r="D2" s="1"/>
      <c r="E2" s="2"/>
      <c r="F2" s="1"/>
      <c r="G2" s="1"/>
      <c r="H2" s="1"/>
      <c r="I2" s="1"/>
      <c r="J2" s="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"/>
      <c r="W2" s="2"/>
      <c r="X2" s="3"/>
      <c r="Y2" s="1"/>
      <c r="Z2" s="1"/>
      <c r="AA2" s="4"/>
      <c r="AB2" s="3"/>
      <c r="AC2" s="191"/>
      <c r="AD2" s="6"/>
      <c r="AE2" s="7"/>
      <c r="AF2" s="36">
        <v>0.3</v>
      </c>
      <c r="AG2" s="36">
        <v>0.35</v>
      </c>
      <c r="AH2" s="36">
        <v>0.2</v>
      </c>
      <c r="AI2" s="36">
        <v>0.15</v>
      </c>
      <c r="AJ2" s="36">
        <v>0.3</v>
      </c>
      <c r="AK2" s="36">
        <v>0.35</v>
      </c>
      <c r="AL2" s="36">
        <v>0.2</v>
      </c>
      <c r="AM2" s="36">
        <v>0.15</v>
      </c>
      <c r="AN2" s="36">
        <v>0.3</v>
      </c>
      <c r="AO2" s="36">
        <v>0.35</v>
      </c>
      <c r="AP2" s="36">
        <v>0.2</v>
      </c>
      <c r="AQ2" s="36">
        <v>0.15</v>
      </c>
    </row>
    <row r="3" spans="1:43" x14ac:dyDescent="0.25">
      <c r="A3" s="10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>
        <v>11382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2"/>
      <c r="AB3" s="11"/>
      <c r="AC3" s="192"/>
      <c r="AD3" s="6">
        <v>44</v>
      </c>
      <c r="AE3" s="10"/>
      <c r="AF3" s="91">
        <f t="shared" ref="AF3:AM3" si="0">SUM(AF4:AF12)</f>
        <v>1.548</v>
      </c>
      <c r="AG3" s="91">
        <f t="shared" si="0"/>
        <v>0</v>
      </c>
      <c r="AH3" s="91">
        <f t="shared" si="0"/>
        <v>0</v>
      </c>
      <c r="AI3" s="91">
        <f t="shared" si="0"/>
        <v>0</v>
      </c>
      <c r="AJ3" s="91">
        <f t="shared" si="0"/>
        <v>0</v>
      </c>
      <c r="AK3" s="91">
        <f t="shared" si="0"/>
        <v>1.8059999999999996</v>
      </c>
      <c r="AL3" s="91">
        <f t="shared" si="0"/>
        <v>1.032</v>
      </c>
      <c r="AM3" s="91">
        <f t="shared" si="0"/>
        <v>0.77400000000000002</v>
      </c>
      <c r="AN3" s="91">
        <f t="shared" ref="AN3:AQ3" si="1">SUM(AN4:AN12)</f>
        <v>0</v>
      </c>
      <c r="AO3" s="91">
        <f t="shared" si="1"/>
        <v>0</v>
      </c>
      <c r="AP3" s="91">
        <f t="shared" si="1"/>
        <v>0</v>
      </c>
      <c r="AQ3" s="91">
        <f t="shared" si="1"/>
        <v>0</v>
      </c>
    </row>
    <row r="4" spans="1:43" ht="30" x14ac:dyDescent="0.25">
      <c r="A4" s="25">
        <v>2</v>
      </c>
      <c r="B4" s="25" t="s">
        <v>28</v>
      </c>
      <c r="C4" s="25"/>
      <c r="D4" s="293" t="s">
        <v>630</v>
      </c>
      <c r="E4" s="25"/>
      <c r="F4" s="25" t="s">
        <v>631</v>
      </c>
      <c r="G4" s="25"/>
      <c r="H4" s="25" t="s">
        <v>31</v>
      </c>
      <c r="I4" s="25"/>
      <c r="J4" s="67" t="s">
        <v>632</v>
      </c>
      <c r="K4" s="25">
        <v>6.0000000000000001E-3</v>
      </c>
      <c r="L4" s="25">
        <v>0.20400000000000001</v>
      </c>
      <c r="M4" s="25">
        <v>34</v>
      </c>
      <c r="N4" s="25" t="s">
        <v>51</v>
      </c>
      <c r="O4" s="25">
        <f>S4*0.3</f>
        <v>5.5080000000000009</v>
      </c>
      <c r="P4" s="25">
        <f>S4*0.35</f>
        <v>6.426000000000001</v>
      </c>
      <c r="Q4" s="25">
        <f>S4*0.2</f>
        <v>3.6720000000000006</v>
      </c>
      <c r="R4" s="25">
        <f>S4*0.15</f>
        <v>2.7540000000000004</v>
      </c>
      <c r="S4" s="294">
        <v>18.360000000000003</v>
      </c>
      <c r="T4" s="295">
        <v>105991.94</v>
      </c>
      <c r="U4" s="295">
        <v>21622.355760000002</v>
      </c>
      <c r="V4" s="25"/>
      <c r="W4" s="25"/>
      <c r="X4" s="67" t="s">
        <v>632</v>
      </c>
      <c r="Y4" s="25">
        <v>71026</v>
      </c>
      <c r="Z4" s="27" t="s">
        <v>633</v>
      </c>
      <c r="AA4" s="25" t="s">
        <v>631</v>
      </c>
      <c r="AB4" s="25">
        <v>1</v>
      </c>
      <c r="AC4" s="25">
        <v>3532</v>
      </c>
      <c r="AD4" s="16" t="s">
        <v>498</v>
      </c>
      <c r="AE4" s="16" t="s">
        <v>498</v>
      </c>
      <c r="AF4" s="197">
        <f>L4*0.3</f>
        <v>6.1200000000000004E-2</v>
      </c>
      <c r="AG4" s="90"/>
      <c r="AH4" s="90"/>
      <c r="AI4" s="112"/>
      <c r="AJ4" s="94"/>
      <c r="AK4" s="64">
        <f>L4*0.35</f>
        <v>7.1400000000000005E-2</v>
      </c>
      <c r="AL4" s="64">
        <f>L4*0.2</f>
        <v>4.0800000000000003E-2</v>
      </c>
      <c r="AM4" s="358">
        <f>L4*0.15</f>
        <v>3.0600000000000002E-2</v>
      </c>
      <c r="AN4" s="94"/>
      <c r="AO4" s="90"/>
      <c r="AP4" s="90"/>
      <c r="AQ4" s="112"/>
    </row>
    <row r="5" spans="1:43" ht="30" x14ac:dyDescent="0.25">
      <c r="A5" s="25">
        <v>3</v>
      </c>
      <c r="B5" s="25" t="s">
        <v>28</v>
      </c>
      <c r="C5" s="25"/>
      <c r="D5" s="293" t="s">
        <v>630</v>
      </c>
      <c r="E5" s="25"/>
      <c r="F5" s="25" t="s">
        <v>60</v>
      </c>
      <c r="G5" s="25"/>
      <c r="H5" s="25" t="s">
        <v>31</v>
      </c>
      <c r="I5" s="25"/>
      <c r="J5" s="67" t="s">
        <v>634</v>
      </c>
      <c r="K5" s="25">
        <v>1.62</v>
      </c>
      <c r="L5" s="25">
        <v>1.62</v>
      </c>
      <c r="M5" s="25">
        <v>1</v>
      </c>
      <c r="N5" s="25" t="s">
        <v>33</v>
      </c>
      <c r="O5" s="25">
        <f>S5*0.3</f>
        <v>24.786000000000001</v>
      </c>
      <c r="P5" s="25">
        <f>S5*0.35</f>
        <v>28.916999999999998</v>
      </c>
      <c r="Q5" s="25">
        <f>S5*0.2</f>
        <v>16.524000000000001</v>
      </c>
      <c r="R5" s="25">
        <f>S5*0.15</f>
        <v>12.393000000000001</v>
      </c>
      <c r="S5" s="294">
        <v>82.62</v>
      </c>
      <c r="T5" s="295">
        <v>105991.94</v>
      </c>
      <c r="U5" s="295">
        <v>171706.94280000002</v>
      </c>
      <c r="V5" s="25"/>
      <c r="W5" s="25"/>
      <c r="X5" s="67" t="s">
        <v>634</v>
      </c>
      <c r="Y5" s="25">
        <v>71026</v>
      </c>
      <c r="Z5" s="27" t="s">
        <v>633</v>
      </c>
      <c r="AA5" s="25" t="s">
        <v>60</v>
      </c>
      <c r="AB5" s="25">
        <v>2</v>
      </c>
      <c r="AC5" s="25">
        <v>3532</v>
      </c>
      <c r="AD5" s="16"/>
      <c r="AE5" s="16"/>
      <c r="AF5" s="197">
        <f t="shared" ref="AF5:AF12" si="2">L5*0.3</f>
        <v>0.48599999999999999</v>
      </c>
      <c r="AG5" s="48"/>
      <c r="AH5" s="48"/>
      <c r="AI5" s="49"/>
      <c r="AJ5" s="51"/>
      <c r="AK5" s="64">
        <f t="shared" ref="AK5:AK12" si="3">L5*0.35</f>
        <v>0.56699999999999995</v>
      </c>
      <c r="AL5" s="64">
        <f t="shared" ref="AL5:AL12" si="4">L5*0.2</f>
        <v>0.32400000000000007</v>
      </c>
      <c r="AM5" s="358">
        <f t="shared" ref="AM5:AM12" si="5">L5*0.15</f>
        <v>0.24299999999999999</v>
      </c>
      <c r="AN5" s="51"/>
      <c r="AO5" s="48"/>
      <c r="AP5" s="48"/>
      <c r="AQ5" s="49"/>
    </row>
    <row r="6" spans="1:43" ht="30" x14ac:dyDescent="0.25">
      <c r="A6" s="25">
        <v>4</v>
      </c>
      <c r="B6" s="25" t="s">
        <v>28</v>
      </c>
      <c r="C6" s="24"/>
      <c r="D6" s="293" t="s">
        <v>630</v>
      </c>
      <c r="E6" s="24"/>
      <c r="F6" s="25" t="s">
        <v>60</v>
      </c>
      <c r="G6" s="25"/>
      <c r="H6" s="25" t="s">
        <v>31</v>
      </c>
      <c r="I6" s="25"/>
      <c r="J6" s="67" t="s">
        <v>635</v>
      </c>
      <c r="K6" s="25">
        <v>1.55</v>
      </c>
      <c r="L6" s="25">
        <v>1.55</v>
      </c>
      <c r="M6" s="25">
        <v>1</v>
      </c>
      <c r="N6" s="25" t="s">
        <v>33</v>
      </c>
      <c r="O6" s="25">
        <f t="shared" ref="O6:O12" si="6">S6*0.3</f>
        <v>23.715</v>
      </c>
      <c r="P6" s="25">
        <f t="shared" ref="P6:P12" si="7">S6*0.35</f>
        <v>27.667499999999997</v>
      </c>
      <c r="Q6" s="25">
        <f t="shared" ref="Q6:Q12" si="8">S6*0.2</f>
        <v>15.81</v>
      </c>
      <c r="R6" s="25">
        <f t="shared" ref="R6:R12" si="9">S6*0.15</f>
        <v>11.8575</v>
      </c>
      <c r="S6" s="294">
        <v>79.05</v>
      </c>
      <c r="T6" s="295">
        <v>105991.94</v>
      </c>
      <c r="U6" s="295">
        <v>164287.50700000001</v>
      </c>
      <c r="V6" s="25"/>
      <c r="W6" s="25"/>
      <c r="X6" s="67" t="s">
        <v>635</v>
      </c>
      <c r="Y6" s="25">
        <v>71026</v>
      </c>
      <c r="Z6" s="27" t="s">
        <v>633</v>
      </c>
      <c r="AA6" s="25" t="s">
        <v>60</v>
      </c>
      <c r="AB6" s="25">
        <v>3</v>
      </c>
      <c r="AC6" s="25">
        <v>3532</v>
      </c>
      <c r="AD6" s="16"/>
      <c r="AE6" s="16"/>
      <c r="AF6" s="197">
        <f t="shared" si="2"/>
        <v>0.46499999999999997</v>
      </c>
      <c r="AG6" s="48"/>
      <c r="AH6" s="48"/>
      <c r="AI6" s="49"/>
      <c r="AJ6" s="51"/>
      <c r="AK6" s="64">
        <f t="shared" si="3"/>
        <v>0.54249999999999998</v>
      </c>
      <c r="AL6" s="64">
        <f t="shared" si="4"/>
        <v>0.31000000000000005</v>
      </c>
      <c r="AM6" s="358">
        <f t="shared" si="5"/>
        <v>0.23249999999999998</v>
      </c>
      <c r="AN6" s="51"/>
      <c r="AO6" s="48"/>
      <c r="AP6" s="48"/>
      <c r="AQ6" s="49"/>
    </row>
    <row r="7" spans="1:43" ht="30" x14ac:dyDescent="0.25">
      <c r="A7" s="25">
        <v>5</v>
      </c>
      <c r="B7" s="25" t="s">
        <v>28</v>
      </c>
      <c r="C7" s="24"/>
      <c r="D7" s="293" t="s">
        <v>630</v>
      </c>
      <c r="E7" s="24"/>
      <c r="F7" s="28" t="s">
        <v>636</v>
      </c>
      <c r="G7" s="25"/>
      <c r="H7" s="25" t="s">
        <v>31</v>
      </c>
      <c r="I7" s="25"/>
      <c r="J7" s="67" t="s">
        <v>637</v>
      </c>
      <c r="K7" s="25">
        <v>0.51</v>
      </c>
      <c r="L7" s="25">
        <v>0.51</v>
      </c>
      <c r="M7" s="25">
        <v>1</v>
      </c>
      <c r="N7" s="25" t="s">
        <v>33</v>
      </c>
      <c r="O7" s="25">
        <f t="shared" si="6"/>
        <v>6.8849999999999998</v>
      </c>
      <c r="P7" s="25">
        <f t="shared" si="7"/>
        <v>8.0324999999999989</v>
      </c>
      <c r="Q7" s="25">
        <f t="shared" si="8"/>
        <v>4.59</v>
      </c>
      <c r="R7" s="25">
        <f t="shared" si="9"/>
        <v>3.4424999999999999</v>
      </c>
      <c r="S7" s="294">
        <v>22.95</v>
      </c>
      <c r="T7" s="295">
        <v>105991.94</v>
      </c>
      <c r="U7" s="295">
        <v>54055.8894</v>
      </c>
      <c r="V7" s="25"/>
      <c r="W7" s="25"/>
      <c r="X7" s="67" t="s">
        <v>637</v>
      </c>
      <c r="Y7" s="25">
        <v>71026</v>
      </c>
      <c r="Z7" s="27" t="s">
        <v>633</v>
      </c>
      <c r="AA7" s="28" t="s">
        <v>636</v>
      </c>
      <c r="AB7" s="25">
        <v>4</v>
      </c>
      <c r="AC7" s="25">
        <v>3532</v>
      </c>
      <c r="AD7" s="16"/>
      <c r="AE7" s="16"/>
      <c r="AF7" s="197">
        <f t="shared" si="2"/>
        <v>0.153</v>
      </c>
      <c r="AG7" s="48"/>
      <c r="AH7" s="48"/>
      <c r="AI7" s="49"/>
      <c r="AJ7" s="51"/>
      <c r="AK7" s="64">
        <f t="shared" si="3"/>
        <v>0.17849999999999999</v>
      </c>
      <c r="AL7" s="64">
        <f t="shared" si="4"/>
        <v>0.10200000000000001</v>
      </c>
      <c r="AM7" s="358">
        <f t="shared" si="5"/>
        <v>7.6499999999999999E-2</v>
      </c>
      <c r="AN7" s="51"/>
      <c r="AO7" s="48"/>
      <c r="AP7" s="48"/>
      <c r="AQ7" s="49"/>
    </row>
    <row r="8" spans="1:43" ht="30" x14ac:dyDescent="0.25">
      <c r="A8" s="25">
        <v>6</v>
      </c>
      <c r="B8" s="25" t="s">
        <v>28</v>
      </c>
      <c r="C8" s="24"/>
      <c r="D8" s="293" t="s">
        <v>630</v>
      </c>
      <c r="E8" s="24"/>
      <c r="F8" s="28" t="s">
        <v>638</v>
      </c>
      <c r="G8" s="25"/>
      <c r="H8" s="25" t="s">
        <v>31</v>
      </c>
      <c r="I8" s="25"/>
      <c r="J8" s="25" t="s">
        <v>639</v>
      </c>
      <c r="K8" s="39">
        <v>6.0999999999999999E-2</v>
      </c>
      <c r="L8" s="25">
        <v>6.0999999999999999E-2</v>
      </c>
      <c r="M8" s="25">
        <v>1</v>
      </c>
      <c r="N8" s="25" t="s">
        <v>33</v>
      </c>
      <c r="O8" s="25">
        <f t="shared" si="6"/>
        <v>1.2444</v>
      </c>
      <c r="P8" s="25">
        <f t="shared" si="7"/>
        <v>1.4517999999999998</v>
      </c>
      <c r="Q8" s="25">
        <f t="shared" si="8"/>
        <v>0.8296</v>
      </c>
      <c r="R8" s="25">
        <f t="shared" si="9"/>
        <v>0.62219999999999998</v>
      </c>
      <c r="S8" s="294">
        <v>4.1479999999999997</v>
      </c>
      <c r="T8" s="295">
        <v>105991.94</v>
      </c>
      <c r="U8" s="295">
        <v>6465.5083400000003</v>
      </c>
      <c r="V8" s="25"/>
      <c r="W8" s="25"/>
      <c r="X8" s="25" t="s">
        <v>639</v>
      </c>
      <c r="Y8" s="25">
        <v>71026</v>
      </c>
      <c r="Z8" s="27" t="s">
        <v>633</v>
      </c>
      <c r="AA8" s="28" t="s">
        <v>638</v>
      </c>
      <c r="AB8" s="25">
        <v>5</v>
      </c>
      <c r="AC8" s="25">
        <v>3532</v>
      </c>
      <c r="AD8" s="16"/>
      <c r="AE8" s="16"/>
      <c r="AF8" s="197">
        <f t="shared" si="2"/>
        <v>1.83E-2</v>
      </c>
      <c r="AG8" s="48"/>
      <c r="AH8" s="48"/>
      <c r="AI8" s="49"/>
      <c r="AJ8" s="51"/>
      <c r="AK8" s="64">
        <f t="shared" si="3"/>
        <v>2.1349999999999997E-2</v>
      </c>
      <c r="AL8" s="64">
        <f t="shared" si="4"/>
        <v>1.2200000000000001E-2</v>
      </c>
      <c r="AM8" s="358">
        <f t="shared" si="5"/>
        <v>9.1500000000000001E-3</v>
      </c>
      <c r="AN8" s="51"/>
      <c r="AO8" s="48"/>
      <c r="AP8" s="48"/>
      <c r="AQ8" s="49"/>
    </row>
    <row r="9" spans="1:43" ht="30" x14ac:dyDescent="0.25">
      <c r="A9" s="25">
        <v>7</v>
      </c>
      <c r="B9" s="25" t="s">
        <v>28</v>
      </c>
      <c r="C9" s="24"/>
      <c r="D9" s="293" t="s">
        <v>630</v>
      </c>
      <c r="E9" s="24"/>
      <c r="F9" s="28" t="s">
        <v>640</v>
      </c>
      <c r="G9" s="25"/>
      <c r="H9" s="25" t="s">
        <v>31</v>
      </c>
      <c r="I9" s="25"/>
      <c r="J9" s="25" t="s">
        <v>641</v>
      </c>
      <c r="K9" s="39">
        <v>0.14299999999999999</v>
      </c>
      <c r="L9" s="25">
        <v>0.14299999999999999</v>
      </c>
      <c r="M9" s="25">
        <v>1</v>
      </c>
      <c r="N9" s="25" t="s">
        <v>33</v>
      </c>
      <c r="O9" s="25">
        <f t="shared" si="6"/>
        <v>2.5739999999999998</v>
      </c>
      <c r="P9" s="25">
        <f t="shared" si="7"/>
        <v>3.0029999999999997</v>
      </c>
      <c r="Q9" s="25">
        <f t="shared" si="8"/>
        <v>1.7160000000000002</v>
      </c>
      <c r="R9" s="25">
        <f t="shared" si="9"/>
        <v>1.2869999999999999</v>
      </c>
      <c r="S9" s="294">
        <v>8.58</v>
      </c>
      <c r="T9" s="295">
        <v>105991.94</v>
      </c>
      <c r="U9" s="295">
        <v>15156.847419999998</v>
      </c>
      <c r="V9" s="25"/>
      <c r="W9" s="25"/>
      <c r="X9" s="25" t="s">
        <v>641</v>
      </c>
      <c r="Y9" s="25">
        <v>71026</v>
      </c>
      <c r="Z9" s="27" t="s">
        <v>633</v>
      </c>
      <c r="AA9" s="28" t="s">
        <v>640</v>
      </c>
      <c r="AB9" s="25">
        <v>6</v>
      </c>
      <c r="AC9" s="25">
        <v>3532</v>
      </c>
      <c r="AD9" s="16"/>
      <c r="AE9" s="16"/>
      <c r="AF9" s="197">
        <f t="shared" si="2"/>
        <v>4.2899999999999994E-2</v>
      </c>
      <c r="AG9" s="48"/>
      <c r="AH9" s="48"/>
      <c r="AI9" s="49"/>
      <c r="AJ9" s="51"/>
      <c r="AK9" s="64">
        <f t="shared" si="3"/>
        <v>5.004999999999999E-2</v>
      </c>
      <c r="AL9" s="64">
        <f t="shared" si="4"/>
        <v>2.86E-2</v>
      </c>
      <c r="AM9" s="358">
        <f t="shared" si="5"/>
        <v>2.1449999999999997E-2</v>
      </c>
      <c r="AN9" s="51"/>
      <c r="AO9" s="48"/>
      <c r="AP9" s="48"/>
      <c r="AQ9" s="49"/>
    </row>
    <row r="10" spans="1:43" ht="30" x14ac:dyDescent="0.25">
      <c r="A10" s="25">
        <v>8</v>
      </c>
      <c r="B10" s="25" t="s">
        <v>28</v>
      </c>
      <c r="C10" s="24"/>
      <c r="D10" s="293" t="s">
        <v>630</v>
      </c>
      <c r="E10" s="24"/>
      <c r="F10" s="28" t="s">
        <v>60</v>
      </c>
      <c r="G10" s="25"/>
      <c r="H10" s="25" t="s">
        <v>31</v>
      </c>
      <c r="I10" s="25"/>
      <c r="J10" s="25" t="s">
        <v>642</v>
      </c>
      <c r="K10" s="39">
        <v>6.8000000000000005E-2</v>
      </c>
      <c r="L10" s="25">
        <v>0.68</v>
      </c>
      <c r="M10" s="25">
        <v>10</v>
      </c>
      <c r="N10" s="25" t="s">
        <v>33</v>
      </c>
      <c r="O10" s="25">
        <f t="shared" si="6"/>
        <v>13.872</v>
      </c>
      <c r="P10" s="25">
        <f t="shared" si="7"/>
        <v>16.184000000000001</v>
      </c>
      <c r="Q10" s="25">
        <f t="shared" si="8"/>
        <v>9.2480000000000011</v>
      </c>
      <c r="R10" s="25">
        <f t="shared" si="9"/>
        <v>6.9359999999999999</v>
      </c>
      <c r="S10" s="294">
        <v>46.24</v>
      </c>
      <c r="T10" s="295">
        <v>105991.94</v>
      </c>
      <c r="U10" s="295">
        <v>72074.51920000001</v>
      </c>
      <c r="V10" s="25"/>
      <c r="W10" s="25"/>
      <c r="X10" s="25" t="s">
        <v>642</v>
      </c>
      <c r="Y10" s="25">
        <v>71026</v>
      </c>
      <c r="Z10" s="27" t="s">
        <v>633</v>
      </c>
      <c r="AA10" s="28" t="s">
        <v>60</v>
      </c>
      <c r="AB10" s="25">
        <v>7</v>
      </c>
      <c r="AC10" s="25">
        <v>3532</v>
      </c>
      <c r="AD10" s="16"/>
      <c r="AE10" s="16"/>
      <c r="AF10" s="197">
        <f t="shared" si="2"/>
        <v>0.20400000000000001</v>
      </c>
      <c r="AG10" s="48"/>
      <c r="AH10" s="48"/>
      <c r="AI10" s="49"/>
      <c r="AJ10" s="51"/>
      <c r="AK10" s="64">
        <f t="shared" si="3"/>
        <v>0.23799999999999999</v>
      </c>
      <c r="AL10" s="64">
        <f t="shared" si="4"/>
        <v>0.13600000000000001</v>
      </c>
      <c r="AM10" s="358">
        <f t="shared" si="5"/>
        <v>0.10200000000000001</v>
      </c>
      <c r="AN10" s="51"/>
      <c r="AO10" s="48"/>
      <c r="AP10" s="48"/>
      <c r="AQ10" s="49"/>
    </row>
    <row r="11" spans="1:43" ht="30" x14ac:dyDescent="0.25">
      <c r="A11" s="25">
        <v>9</v>
      </c>
      <c r="B11" s="25" t="s">
        <v>28</v>
      </c>
      <c r="C11" s="24"/>
      <c r="D11" s="293" t="s">
        <v>630</v>
      </c>
      <c r="E11" s="24"/>
      <c r="F11" s="28" t="s">
        <v>172</v>
      </c>
      <c r="G11" s="25"/>
      <c r="H11" s="25" t="s">
        <v>31</v>
      </c>
      <c r="I11" s="25"/>
      <c r="J11" s="67" t="s">
        <v>643</v>
      </c>
      <c r="K11" s="39">
        <v>1.7000000000000001E-2</v>
      </c>
      <c r="L11" s="25">
        <v>1.7000000000000001E-2</v>
      </c>
      <c r="M11" s="25">
        <v>1</v>
      </c>
      <c r="N11" s="25" t="s">
        <v>33</v>
      </c>
      <c r="O11" s="25">
        <f t="shared" si="6"/>
        <v>0.45899999999999996</v>
      </c>
      <c r="P11" s="25">
        <f t="shared" si="7"/>
        <v>0.53549999999999998</v>
      </c>
      <c r="Q11" s="25">
        <f t="shared" si="8"/>
        <v>0.30600000000000005</v>
      </c>
      <c r="R11" s="25">
        <f t="shared" si="9"/>
        <v>0.22949999999999998</v>
      </c>
      <c r="S11" s="294">
        <v>1.53</v>
      </c>
      <c r="T11" s="295">
        <v>105991.94</v>
      </c>
      <c r="U11" s="295">
        <v>1801.8629800000001</v>
      </c>
      <c r="V11" s="25"/>
      <c r="W11" s="25"/>
      <c r="X11" s="67" t="s">
        <v>643</v>
      </c>
      <c r="Y11" s="25">
        <v>71026</v>
      </c>
      <c r="Z11" s="27" t="s">
        <v>633</v>
      </c>
      <c r="AA11" s="28" t="s">
        <v>172</v>
      </c>
      <c r="AB11" s="25">
        <v>8</v>
      </c>
      <c r="AC11" s="25">
        <v>3532</v>
      </c>
      <c r="AD11" s="16"/>
      <c r="AE11" s="16"/>
      <c r="AF11" s="197">
        <f t="shared" si="2"/>
        <v>5.1000000000000004E-3</v>
      </c>
      <c r="AG11" s="48"/>
      <c r="AH11" s="48"/>
      <c r="AI11" s="49"/>
      <c r="AJ11" s="51"/>
      <c r="AK11" s="64">
        <f t="shared" si="3"/>
        <v>5.9500000000000004E-3</v>
      </c>
      <c r="AL11" s="64">
        <f t="shared" si="4"/>
        <v>3.4000000000000002E-3</v>
      </c>
      <c r="AM11" s="358">
        <f t="shared" si="5"/>
        <v>2.5500000000000002E-3</v>
      </c>
      <c r="AN11" s="51"/>
      <c r="AO11" s="48"/>
      <c r="AP11" s="48"/>
      <c r="AQ11" s="49"/>
    </row>
    <row r="12" spans="1:43" ht="30" x14ac:dyDescent="0.25">
      <c r="A12" s="25">
        <v>10</v>
      </c>
      <c r="B12" s="25" t="s">
        <v>28</v>
      </c>
      <c r="C12" s="24"/>
      <c r="D12" s="293" t="s">
        <v>630</v>
      </c>
      <c r="E12" s="24"/>
      <c r="F12" s="28" t="s">
        <v>644</v>
      </c>
      <c r="G12" s="25"/>
      <c r="H12" s="25" t="s">
        <v>31</v>
      </c>
      <c r="I12" s="25"/>
      <c r="J12" s="25" t="s">
        <v>645</v>
      </c>
      <c r="K12" s="39">
        <v>0.375</v>
      </c>
      <c r="L12" s="25">
        <v>0.375</v>
      </c>
      <c r="M12" s="25">
        <v>1</v>
      </c>
      <c r="N12" s="25" t="s">
        <v>33</v>
      </c>
      <c r="O12" s="25">
        <f t="shared" si="6"/>
        <v>6.75</v>
      </c>
      <c r="P12" s="25">
        <f t="shared" si="7"/>
        <v>7.8749999999999991</v>
      </c>
      <c r="Q12" s="25">
        <f t="shared" si="8"/>
        <v>4.5</v>
      </c>
      <c r="R12" s="25">
        <f t="shared" si="9"/>
        <v>3.375</v>
      </c>
      <c r="S12" s="294">
        <v>22.5</v>
      </c>
      <c r="T12" s="295">
        <v>105991.94</v>
      </c>
      <c r="U12" s="295">
        <v>39746.977500000001</v>
      </c>
      <c r="V12" s="25"/>
      <c r="W12" s="25"/>
      <c r="X12" s="25" t="s">
        <v>645</v>
      </c>
      <c r="Y12" s="25">
        <v>71026</v>
      </c>
      <c r="Z12" s="27" t="s">
        <v>633</v>
      </c>
      <c r="AA12" s="28" t="s">
        <v>644</v>
      </c>
      <c r="AB12" s="25">
        <v>9</v>
      </c>
      <c r="AC12" s="25">
        <v>3532</v>
      </c>
      <c r="AD12" s="16"/>
      <c r="AE12" s="16"/>
      <c r="AF12" s="197">
        <f t="shared" si="2"/>
        <v>0.11249999999999999</v>
      </c>
      <c r="AG12" s="48"/>
      <c r="AH12" s="48"/>
      <c r="AI12" s="49"/>
      <c r="AJ12" s="51"/>
      <c r="AK12" s="64">
        <f t="shared" si="3"/>
        <v>0.13124999999999998</v>
      </c>
      <c r="AL12" s="64">
        <f t="shared" si="4"/>
        <v>7.5000000000000011E-2</v>
      </c>
      <c r="AM12" s="358">
        <f t="shared" si="5"/>
        <v>5.6249999999999994E-2</v>
      </c>
      <c r="AN12" s="51"/>
      <c r="AO12" s="48"/>
      <c r="AP12" s="48"/>
      <c r="AQ12" s="49"/>
    </row>
    <row r="13" spans="1:43" x14ac:dyDescent="0.25"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x14ac:dyDescent="0.25"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x14ac:dyDescent="0.25"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x14ac:dyDescent="0.25">
      <c r="AF16"/>
      <c r="AG16"/>
      <c r="AH16"/>
      <c r="AI16"/>
      <c r="AJ16"/>
      <c r="AK16"/>
      <c r="AL16"/>
      <c r="AM16"/>
      <c r="AN16"/>
      <c r="AO16"/>
      <c r="AP16"/>
      <c r="AQ16"/>
    </row>
    <row r="17" spans="32:43" x14ac:dyDescent="0.25">
      <c r="AF17"/>
      <c r="AG17"/>
      <c r="AH17"/>
      <c r="AI17"/>
      <c r="AJ17"/>
      <c r="AK17"/>
      <c r="AL17"/>
      <c r="AM17"/>
      <c r="AN17"/>
      <c r="AO17"/>
      <c r="AP17"/>
      <c r="AQ17"/>
    </row>
    <row r="18" spans="32:43" x14ac:dyDescent="0.25">
      <c r="AF18"/>
      <c r="AG18"/>
      <c r="AH18"/>
      <c r="AI18"/>
      <c r="AJ18"/>
      <c r="AK18"/>
      <c r="AL18"/>
      <c r="AM18"/>
      <c r="AN18"/>
      <c r="AO18"/>
      <c r="AP18"/>
      <c r="AQ18"/>
    </row>
    <row r="19" spans="32:43" x14ac:dyDescent="0.25">
      <c r="AF19"/>
      <c r="AG19"/>
      <c r="AH19"/>
      <c r="AI19"/>
      <c r="AJ19"/>
      <c r="AK19"/>
      <c r="AL19"/>
      <c r="AM19"/>
      <c r="AN19"/>
      <c r="AO19"/>
      <c r="AP19"/>
      <c r="AQ19"/>
    </row>
    <row r="20" spans="32:43" x14ac:dyDescent="0.25">
      <c r="AF20"/>
      <c r="AG20"/>
      <c r="AH20"/>
      <c r="AI20"/>
      <c r="AJ20"/>
      <c r="AK20"/>
      <c r="AL20"/>
      <c r="AM20"/>
      <c r="AN20"/>
      <c r="AO20"/>
      <c r="AP20"/>
      <c r="AQ20"/>
    </row>
    <row r="21" spans="32:43" x14ac:dyDescent="0.25">
      <c r="AF21"/>
      <c r="AG21"/>
      <c r="AH21"/>
      <c r="AI21"/>
      <c r="AJ21"/>
      <c r="AK21"/>
      <c r="AL21"/>
      <c r="AM21"/>
      <c r="AN21"/>
      <c r="AO21"/>
      <c r="AP21"/>
      <c r="AQ21"/>
    </row>
    <row r="22" spans="32:43" x14ac:dyDescent="0.25">
      <c r="AF22"/>
      <c r="AG22"/>
      <c r="AH22"/>
      <c r="AI22"/>
      <c r="AJ22"/>
      <c r="AK22"/>
      <c r="AL22"/>
      <c r="AM22"/>
      <c r="AN22"/>
      <c r="AO22"/>
      <c r="AP22"/>
      <c r="AQ22"/>
    </row>
    <row r="23" spans="32:43" x14ac:dyDescent="0.25">
      <c r="AF23"/>
      <c r="AG23"/>
      <c r="AH23"/>
      <c r="AI23"/>
      <c r="AJ23"/>
      <c r="AK23"/>
      <c r="AL23"/>
      <c r="AM23"/>
      <c r="AN23"/>
      <c r="AO23"/>
      <c r="AP23"/>
      <c r="AQ23"/>
    </row>
    <row r="24" spans="32:43" x14ac:dyDescent="0.25">
      <c r="AF24"/>
      <c r="AG24"/>
      <c r="AH24"/>
      <c r="AI24"/>
      <c r="AJ24"/>
      <c r="AK24"/>
      <c r="AL24"/>
      <c r="AM24"/>
      <c r="AN24"/>
      <c r="AO24"/>
      <c r="AP24"/>
      <c r="AQ24"/>
    </row>
    <row r="25" spans="32:43" x14ac:dyDescent="0.25">
      <c r="AF25"/>
      <c r="AG25"/>
      <c r="AH25"/>
      <c r="AI25"/>
      <c r="AJ25"/>
      <c r="AK25"/>
      <c r="AL25"/>
      <c r="AM25"/>
      <c r="AN25"/>
      <c r="AO25"/>
      <c r="AP25"/>
      <c r="AQ25"/>
    </row>
    <row r="26" spans="32:43" x14ac:dyDescent="0.25">
      <c r="AF26"/>
      <c r="AG26"/>
      <c r="AH26"/>
      <c r="AI26"/>
      <c r="AJ26"/>
      <c r="AK26"/>
      <c r="AL26"/>
      <c r="AM26"/>
      <c r="AN26"/>
      <c r="AO26"/>
      <c r="AP26"/>
      <c r="AQ26"/>
    </row>
    <row r="27" spans="32:43" x14ac:dyDescent="0.25">
      <c r="AF27"/>
      <c r="AG27"/>
      <c r="AH27"/>
      <c r="AI27"/>
      <c r="AJ27"/>
      <c r="AK27"/>
      <c r="AL27"/>
      <c r="AM27"/>
      <c r="AN27"/>
      <c r="AO27"/>
      <c r="AP27"/>
      <c r="AQ27"/>
    </row>
    <row r="28" spans="32:43" x14ac:dyDescent="0.25">
      <c r="AF28"/>
      <c r="AG28"/>
      <c r="AH28"/>
      <c r="AI28"/>
      <c r="AJ28"/>
      <c r="AK28"/>
      <c r="AL28"/>
      <c r="AM28"/>
      <c r="AN28"/>
      <c r="AO28"/>
      <c r="AP28"/>
      <c r="AQ28"/>
    </row>
    <row r="29" spans="32:43" x14ac:dyDescent="0.25">
      <c r="AF29"/>
      <c r="AG29"/>
      <c r="AH29"/>
      <c r="AI29"/>
      <c r="AJ29"/>
      <c r="AK29"/>
      <c r="AL29"/>
      <c r="AM29"/>
      <c r="AN29"/>
      <c r="AO29"/>
      <c r="AP29"/>
      <c r="AQ29"/>
    </row>
    <row r="30" spans="32:43" x14ac:dyDescent="0.25">
      <c r="AF30"/>
      <c r="AG30"/>
      <c r="AH30"/>
      <c r="AI30"/>
      <c r="AJ30"/>
      <c r="AK30"/>
      <c r="AL30"/>
      <c r="AM30"/>
      <c r="AN30"/>
      <c r="AO30"/>
      <c r="AP30"/>
      <c r="AQ30"/>
    </row>
    <row r="31" spans="32:43" x14ac:dyDescent="0.25">
      <c r="AF31"/>
      <c r="AG31"/>
      <c r="AH31"/>
      <c r="AI31"/>
      <c r="AJ31"/>
      <c r="AK31"/>
      <c r="AL31"/>
      <c r="AM31"/>
      <c r="AN31"/>
      <c r="AO31"/>
      <c r="AP31"/>
      <c r="AQ31"/>
    </row>
    <row r="32" spans="32:43" x14ac:dyDescent="0.25">
      <c r="AF32"/>
      <c r="AG32"/>
      <c r="AH32"/>
      <c r="AI32"/>
      <c r="AJ32"/>
      <c r="AK32"/>
      <c r="AL32"/>
      <c r="AM32"/>
      <c r="AN32"/>
      <c r="AO32"/>
      <c r="AP32"/>
      <c r="AQ32"/>
    </row>
    <row r="33" spans="32:43" x14ac:dyDescent="0.25">
      <c r="AF33"/>
      <c r="AG33"/>
      <c r="AH33"/>
      <c r="AI33"/>
      <c r="AJ33"/>
      <c r="AK33"/>
      <c r="AL33"/>
      <c r="AM33"/>
      <c r="AN33"/>
      <c r="AO33"/>
      <c r="AP33"/>
      <c r="AQ33"/>
    </row>
    <row r="34" spans="32:43" x14ac:dyDescent="0.25">
      <c r="AF34"/>
      <c r="AG34"/>
      <c r="AH34"/>
      <c r="AI34"/>
      <c r="AJ34"/>
      <c r="AK34"/>
      <c r="AL34"/>
      <c r="AM34"/>
      <c r="AN34"/>
      <c r="AO34"/>
      <c r="AP34"/>
      <c r="AQ34"/>
    </row>
    <row r="35" spans="32:43" x14ac:dyDescent="0.25">
      <c r="AF35"/>
      <c r="AG35"/>
      <c r="AH35"/>
      <c r="AI35"/>
      <c r="AJ35"/>
      <c r="AK35"/>
      <c r="AL35"/>
      <c r="AM35"/>
      <c r="AN35"/>
      <c r="AO35"/>
      <c r="AP35"/>
      <c r="AQ35"/>
    </row>
    <row r="36" spans="32:43" x14ac:dyDescent="0.25">
      <c r="AF36"/>
      <c r="AG36"/>
      <c r="AH36"/>
      <c r="AI36"/>
      <c r="AJ36"/>
      <c r="AK36"/>
      <c r="AL36"/>
      <c r="AM36"/>
      <c r="AN36"/>
      <c r="AO36"/>
      <c r="AP36"/>
      <c r="AQ36"/>
    </row>
    <row r="37" spans="32:43" x14ac:dyDescent="0.25">
      <c r="AF37"/>
      <c r="AG37"/>
      <c r="AH37"/>
      <c r="AI37"/>
      <c r="AJ37"/>
      <c r="AK37"/>
      <c r="AL37"/>
      <c r="AM37"/>
      <c r="AN37"/>
      <c r="AO37"/>
      <c r="AP37"/>
      <c r="AQ37"/>
    </row>
    <row r="38" spans="32:43" x14ac:dyDescent="0.25">
      <c r="AF38"/>
      <c r="AG38"/>
      <c r="AH38"/>
      <c r="AI38"/>
      <c r="AJ38"/>
      <c r="AK38"/>
      <c r="AL38"/>
      <c r="AM38"/>
      <c r="AN38"/>
      <c r="AO38"/>
      <c r="AP38"/>
      <c r="AQ38"/>
    </row>
    <row r="39" spans="32:43" x14ac:dyDescent="0.25">
      <c r="AF39"/>
      <c r="AG39"/>
      <c r="AH39"/>
      <c r="AI39"/>
      <c r="AJ39"/>
      <c r="AK39"/>
      <c r="AL39"/>
      <c r="AM39"/>
      <c r="AN39"/>
      <c r="AO39"/>
      <c r="AP39"/>
      <c r="AQ39"/>
    </row>
    <row r="40" spans="32:43" x14ac:dyDescent="0.25">
      <c r="AF40"/>
      <c r="AG40"/>
      <c r="AH40"/>
      <c r="AI40"/>
      <c r="AJ40"/>
      <c r="AK40"/>
      <c r="AL40"/>
      <c r="AM40"/>
      <c r="AN40"/>
      <c r="AO40"/>
      <c r="AP40"/>
      <c r="AQ40"/>
    </row>
    <row r="41" spans="32:43" x14ac:dyDescent="0.25">
      <c r="AF41"/>
      <c r="AG41"/>
      <c r="AH41"/>
      <c r="AI41"/>
      <c r="AJ41"/>
      <c r="AK41"/>
      <c r="AL41"/>
      <c r="AM41"/>
      <c r="AN41"/>
      <c r="AO41"/>
      <c r="AP41"/>
      <c r="AQ41"/>
    </row>
    <row r="42" spans="32:43" x14ac:dyDescent="0.25">
      <c r="AF42"/>
      <c r="AG42"/>
      <c r="AH42"/>
      <c r="AI42"/>
      <c r="AJ42"/>
      <c r="AK42"/>
      <c r="AL42"/>
      <c r="AM42"/>
      <c r="AN42"/>
      <c r="AO42"/>
      <c r="AP42"/>
      <c r="AQ42"/>
    </row>
    <row r="43" spans="32:43" x14ac:dyDescent="0.25">
      <c r="AF43"/>
      <c r="AG43"/>
      <c r="AH43"/>
      <c r="AI43"/>
      <c r="AJ43"/>
      <c r="AK43"/>
      <c r="AL43"/>
      <c r="AM43"/>
      <c r="AN43"/>
      <c r="AO43"/>
      <c r="AP43"/>
      <c r="AQ43"/>
    </row>
    <row r="44" spans="32:43" x14ac:dyDescent="0.25">
      <c r="AF44"/>
      <c r="AG44"/>
      <c r="AH44"/>
      <c r="AI44"/>
      <c r="AJ44"/>
      <c r="AK44"/>
      <c r="AL44"/>
      <c r="AM44"/>
      <c r="AN44"/>
      <c r="AO44"/>
      <c r="AP44"/>
      <c r="AQ44"/>
    </row>
    <row r="45" spans="32:43" x14ac:dyDescent="0.25">
      <c r="AF45"/>
      <c r="AG45"/>
      <c r="AH45"/>
      <c r="AI45"/>
      <c r="AJ45"/>
      <c r="AK45"/>
      <c r="AL45"/>
      <c r="AM45"/>
      <c r="AN45"/>
      <c r="AO45"/>
      <c r="AP45"/>
      <c r="AQ45"/>
    </row>
    <row r="46" spans="32:43" x14ac:dyDescent="0.25">
      <c r="AF46"/>
      <c r="AG46"/>
      <c r="AH46"/>
      <c r="AI46"/>
      <c r="AJ46"/>
      <c r="AK46"/>
      <c r="AL46"/>
      <c r="AM46"/>
      <c r="AN46"/>
      <c r="AO46"/>
      <c r="AP46"/>
      <c r="AQ46"/>
    </row>
    <row r="47" spans="32:43" x14ac:dyDescent="0.25">
      <c r="AF47"/>
      <c r="AG47"/>
      <c r="AH47"/>
      <c r="AI47"/>
      <c r="AJ47"/>
      <c r="AK47"/>
      <c r="AL47"/>
      <c r="AM47"/>
      <c r="AN47"/>
      <c r="AO47"/>
      <c r="AP47"/>
      <c r="AQ47"/>
    </row>
    <row r="48" spans="32:43" x14ac:dyDescent="0.25">
      <c r="AF48"/>
      <c r="AG48"/>
      <c r="AH48"/>
      <c r="AI48"/>
      <c r="AJ48"/>
      <c r="AK48"/>
      <c r="AL48"/>
      <c r="AM48"/>
      <c r="AN48"/>
      <c r="AO48"/>
      <c r="AP48"/>
      <c r="AQ48"/>
    </row>
    <row r="49" spans="32:43" x14ac:dyDescent="0.25">
      <c r="AF49"/>
      <c r="AG49"/>
      <c r="AH49"/>
      <c r="AI49"/>
      <c r="AJ49"/>
      <c r="AK49"/>
      <c r="AL49"/>
      <c r="AM49"/>
      <c r="AN49"/>
      <c r="AO49"/>
      <c r="AP49"/>
      <c r="AQ49"/>
    </row>
    <row r="50" spans="32:43" x14ac:dyDescent="0.25">
      <c r="AF50"/>
      <c r="AG50"/>
      <c r="AH50"/>
      <c r="AI50"/>
      <c r="AJ50"/>
      <c r="AK50"/>
      <c r="AL50"/>
      <c r="AM50"/>
      <c r="AN50"/>
      <c r="AO50"/>
      <c r="AP50"/>
      <c r="AQ50"/>
    </row>
    <row r="51" spans="32:43" x14ac:dyDescent="0.25">
      <c r="AF51"/>
      <c r="AG51"/>
      <c r="AH51"/>
      <c r="AI51"/>
      <c r="AJ51"/>
      <c r="AK51"/>
      <c r="AL51"/>
      <c r="AM51"/>
      <c r="AN51"/>
      <c r="AO51"/>
      <c r="AP51"/>
      <c r="AQ51"/>
    </row>
    <row r="52" spans="32:43" x14ac:dyDescent="0.25">
      <c r="AF52"/>
      <c r="AG52"/>
      <c r="AH52"/>
      <c r="AI52"/>
      <c r="AJ52"/>
      <c r="AK52"/>
      <c r="AL52"/>
      <c r="AM52"/>
      <c r="AN52"/>
      <c r="AO52"/>
      <c r="AP52"/>
      <c r="AQ52"/>
    </row>
    <row r="53" spans="32:43" x14ac:dyDescent="0.25">
      <c r="AF53"/>
      <c r="AG53"/>
      <c r="AH53"/>
      <c r="AI53"/>
      <c r="AJ53"/>
      <c r="AK53"/>
      <c r="AL53"/>
      <c r="AM53"/>
      <c r="AN53"/>
      <c r="AO53"/>
      <c r="AP53"/>
      <c r="AQ53"/>
    </row>
    <row r="54" spans="32:43" x14ac:dyDescent="0.25">
      <c r="AF54"/>
      <c r="AG54"/>
      <c r="AH54"/>
      <c r="AI54"/>
      <c r="AJ54"/>
      <c r="AK54"/>
      <c r="AL54"/>
      <c r="AM54"/>
      <c r="AN54"/>
      <c r="AO54"/>
      <c r="AP54"/>
      <c r="AQ54"/>
    </row>
    <row r="55" spans="32:43" x14ac:dyDescent="0.25">
      <c r="AF55"/>
      <c r="AG55"/>
      <c r="AH55"/>
      <c r="AI55"/>
      <c r="AJ55"/>
      <c r="AK55"/>
      <c r="AL55"/>
      <c r="AM55"/>
      <c r="AN55"/>
      <c r="AO55"/>
      <c r="AP55"/>
      <c r="AQ55"/>
    </row>
    <row r="56" spans="32:43" x14ac:dyDescent="0.25">
      <c r="AF56"/>
      <c r="AG56"/>
      <c r="AH56"/>
      <c r="AI56"/>
      <c r="AJ56"/>
      <c r="AK56"/>
      <c r="AL56"/>
      <c r="AM56"/>
      <c r="AN56"/>
      <c r="AO56"/>
      <c r="AP56"/>
      <c r="AQ56"/>
    </row>
    <row r="57" spans="32:43" x14ac:dyDescent="0.25">
      <c r="AF57"/>
      <c r="AG57"/>
      <c r="AH57"/>
      <c r="AI57"/>
      <c r="AJ57"/>
      <c r="AK57"/>
      <c r="AL57"/>
      <c r="AM57"/>
      <c r="AN57"/>
      <c r="AO57"/>
      <c r="AP57"/>
      <c r="AQ57"/>
    </row>
    <row r="58" spans="32:43" x14ac:dyDescent="0.25">
      <c r="AF58"/>
      <c r="AG58"/>
      <c r="AH58"/>
      <c r="AI58"/>
      <c r="AJ58"/>
      <c r="AK58"/>
      <c r="AL58"/>
      <c r="AM58"/>
      <c r="AN58"/>
      <c r="AO58"/>
      <c r="AP58"/>
      <c r="AQ58"/>
    </row>
    <row r="59" spans="32:43" x14ac:dyDescent="0.25">
      <c r="AF59"/>
      <c r="AG59"/>
      <c r="AH59"/>
      <c r="AI59"/>
      <c r="AJ59"/>
      <c r="AK59"/>
      <c r="AL59"/>
      <c r="AM59"/>
      <c r="AN59"/>
      <c r="AO59"/>
      <c r="AP59"/>
      <c r="AQ59"/>
    </row>
    <row r="60" spans="32:43" x14ac:dyDescent="0.25">
      <c r="AF60"/>
      <c r="AG60"/>
      <c r="AH60"/>
      <c r="AI60"/>
      <c r="AJ60"/>
      <c r="AK60"/>
      <c r="AL60"/>
      <c r="AM60"/>
      <c r="AN60"/>
      <c r="AO60"/>
      <c r="AP60"/>
      <c r="AQ60"/>
    </row>
    <row r="61" spans="32:43" x14ac:dyDescent="0.25">
      <c r="AF61"/>
      <c r="AG61"/>
      <c r="AH61"/>
      <c r="AI61"/>
      <c r="AJ61"/>
      <c r="AK61"/>
      <c r="AL61"/>
      <c r="AM61"/>
      <c r="AN61"/>
      <c r="AO61"/>
      <c r="AP61"/>
      <c r="AQ61"/>
    </row>
    <row r="62" spans="32:43" x14ac:dyDescent="0.25">
      <c r="AF62"/>
      <c r="AG62"/>
      <c r="AH62"/>
      <c r="AI62"/>
      <c r="AJ62"/>
      <c r="AK62"/>
      <c r="AL62"/>
      <c r="AM62"/>
      <c r="AN62"/>
      <c r="AO62"/>
      <c r="AP62"/>
      <c r="AQ62"/>
    </row>
    <row r="63" spans="32:43" x14ac:dyDescent="0.25">
      <c r="AF63"/>
      <c r="AG63"/>
      <c r="AH63"/>
      <c r="AI63"/>
      <c r="AJ63"/>
      <c r="AK63"/>
      <c r="AL63"/>
      <c r="AM63"/>
      <c r="AN63"/>
      <c r="AO63"/>
      <c r="AP63"/>
      <c r="AQ63"/>
    </row>
    <row r="64" spans="32:43" x14ac:dyDescent="0.25">
      <c r="AF64"/>
      <c r="AG64"/>
      <c r="AH64"/>
      <c r="AI64"/>
      <c r="AJ64"/>
      <c r="AK64"/>
      <c r="AL64"/>
      <c r="AM64"/>
      <c r="AN64"/>
      <c r="AO64"/>
      <c r="AP64"/>
      <c r="AQ64"/>
    </row>
    <row r="65" spans="32:43" x14ac:dyDescent="0.25">
      <c r="AF65"/>
      <c r="AG65"/>
      <c r="AH65"/>
      <c r="AI65"/>
      <c r="AJ65"/>
      <c r="AK65"/>
      <c r="AL65"/>
      <c r="AM65"/>
      <c r="AN65"/>
      <c r="AO65"/>
      <c r="AP65"/>
      <c r="AQ65"/>
    </row>
    <row r="66" spans="32:43" x14ac:dyDescent="0.25">
      <c r="AF66"/>
      <c r="AG66"/>
      <c r="AH66"/>
      <c r="AI66"/>
      <c r="AJ66"/>
      <c r="AK66"/>
      <c r="AL66"/>
      <c r="AM66"/>
      <c r="AN66"/>
      <c r="AO66"/>
      <c r="AP66"/>
      <c r="AQ66"/>
    </row>
    <row r="67" spans="32:43" x14ac:dyDescent="0.25">
      <c r="AF67"/>
      <c r="AG67"/>
      <c r="AH67"/>
      <c r="AI67"/>
      <c r="AJ67"/>
      <c r="AK67"/>
      <c r="AL67"/>
      <c r="AM67"/>
      <c r="AN67"/>
      <c r="AO67"/>
      <c r="AP67"/>
      <c r="AQ67"/>
    </row>
    <row r="68" spans="32:43" x14ac:dyDescent="0.25">
      <c r="AF68"/>
      <c r="AG68"/>
      <c r="AH68"/>
      <c r="AI68"/>
      <c r="AJ68"/>
      <c r="AK68"/>
      <c r="AL68"/>
      <c r="AM68"/>
      <c r="AN68"/>
      <c r="AO68"/>
      <c r="AP68"/>
      <c r="AQ68"/>
    </row>
    <row r="69" spans="32:43" x14ac:dyDescent="0.25">
      <c r="AF69"/>
      <c r="AG69"/>
      <c r="AH69"/>
      <c r="AI69"/>
      <c r="AJ69"/>
      <c r="AK69"/>
      <c r="AL69"/>
      <c r="AM69"/>
      <c r="AN69"/>
      <c r="AO69"/>
      <c r="AP69"/>
      <c r="AQ69"/>
    </row>
    <row r="70" spans="32:43" x14ac:dyDescent="0.25">
      <c r="AF70"/>
      <c r="AG70"/>
      <c r="AH70"/>
      <c r="AI70"/>
      <c r="AJ70"/>
      <c r="AK70"/>
      <c r="AL70"/>
      <c r="AM70"/>
      <c r="AN70"/>
      <c r="AO70"/>
      <c r="AP70"/>
      <c r="AQ70"/>
    </row>
    <row r="71" spans="32:43" x14ac:dyDescent="0.25">
      <c r="AF71"/>
      <c r="AG71"/>
      <c r="AH71"/>
      <c r="AI71"/>
      <c r="AJ71"/>
      <c r="AK71"/>
      <c r="AL71"/>
      <c r="AM71"/>
      <c r="AN71"/>
      <c r="AO71"/>
      <c r="AP71"/>
      <c r="AQ71"/>
    </row>
    <row r="72" spans="32:43" x14ac:dyDescent="0.25">
      <c r="AF72"/>
      <c r="AG72"/>
      <c r="AH72"/>
      <c r="AI72"/>
      <c r="AJ72"/>
      <c r="AK72"/>
      <c r="AL72"/>
      <c r="AM72"/>
      <c r="AN72"/>
      <c r="AO72"/>
      <c r="AP72"/>
      <c r="AQ72"/>
    </row>
    <row r="73" spans="32:43" x14ac:dyDescent="0.25">
      <c r="AF73"/>
      <c r="AG73"/>
      <c r="AH73"/>
      <c r="AI73"/>
      <c r="AJ73"/>
      <c r="AK73"/>
      <c r="AL73"/>
      <c r="AM73"/>
      <c r="AN73"/>
      <c r="AO73"/>
      <c r="AP73"/>
      <c r="AQ73"/>
    </row>
    <row r="74" spans="32:43" x14ac:dyDescent="0.25">
      <c r="AF74"/>
      <c r="AG74"/>
      <c r="AH74"/>
      <c r="AI74"/>
      <c r="AJ74"/>
      <c r="AK74"/>
      <c r="AL74"/>
      <c r="AM74"/>
      <c r="AN74"/>
      <c r="AO74"/>
      <c r="AP74"/>
      <c r="AQ74"/>
    </row>
    <row r="75" spans="32:43" x14ac:dyDescent="0.25">
      <c r="AF75"/>
      <c r="AG75"/>
      <c r="AH75"/>
      <c r="AI75"/>
      <c r="AJ75"/>
      <c r="AK75"/>
      <c r="AL75"/>
      <c r="AM75"/>
      <c r="AN75"/>
      <c r="AO75"/>
      <c r="AP75"/>
      <c r="AQ75"/>
    </row>
    <row r="76" spans="32:43" x14ac:dyDescent="0.25">
      <c r="AF76"/>
      <c r="AG76"/>
      <c r="AH76"/>
      <c r="AI76"/>
      <c r="AJ76"/>
      <c r="AK76"/>
      <c r="AL76"/>
      <c r="AM76"/>
      <c r="AN76"/>
      <c r="AO76"/>
      <c r="AP76"/>
      <c r="AQ76"/>
    </row>
    <row r="77" spans="32:43" x14ac:dyDescent="0.25">
      <c r="AF77"/>
      <c r="AG77"/>
      <c r="AH77"/>
      <c r="AI77"/>
      <c r="AJ77"/>
      <c r="AK77"/>
      <c r="AL77"/>
      <c r="AM77"/>
      <c r="AN77"/>
      <c r="AO77"/>
      <c r="AP77"/>
      <c r="AQ77"/>
    </row>
    <row r="78" spans="32:43" x14ac:dyDescent="0.25">
      <c r="AF78"/>
      <c r="AG78"/>
      <c r="AH78"/>
      <c r="AI78"/>
      <c r="AJ78"/>
      <c r="AK78"/>
      <c r="AL78"/>
      <c r="AM78"/>
      <c r="AN78"/>
      <c r="AO78"/>
      <c r="AP78"/>
      <c r="AQ78"/>
    </row>
    <row r="79" spans="32:43" x14ac:dyDescent="0.25">
      <c r="AF79"/>
      <c r="AG79"/>
      <c r="AH79"/>
      <c r="AI79"/>
      <c r="AJ79"/>
      <c r="AK79"/>
      <c r="AL79"/>
      <c r="AM79"/>
      <c r="AN79"/>
      <c r="AO79"/>
      <c r="AP79"/>
      <c r="AQ79"/>
    </row>
    <row r="80" spans="32:43" x14ac:dyDescent="0.25">
      <c r="AF80"/>
      <c r="AG80"/>
      <c r="AH80"/>
      <c r="AI80"/>
      <c r="AJ80"/>
      <c r="AK80"/>
      <c r="AL80"/>
      <c r="AM80"/>
      <c r="AN80"/>
      <c r="AO80"/>
      <c r="AP80"/>
      <c r="AQ80"/>
    </row>
    <row r="81" spans="32:43" x14ac:dyDescent="0.25">
      <c r="AF81"/>
      <c r="AG81"/>
      <c r="AH81"/>
      <c r="AI81"/>
      <c r="AJ81"/>
      <c r="AK81"/>
      <c r="AL81"/>
      <c r="AM81"/>
      <c r="AN81"/>
      <c r="AO81"/>
      <c r="AP81"/>
      <c r="AQ81"/>
    </row>
    <row r="82" spans="32:43" x14ac:dyDescent="0.25">
      <c r="AF82"/>
      <c r="AG82"/>
      <c r="AH82"/>
      <c r="AI82"/>
      <c r="AJ82"/>
      <c r="AK82"/>
      <c r="AL82"/>
      <c r="AM82"/>
      <c r="AN82"/>
      <c r="AO82"/>
      <c r="AP82"/>
      <c r="AQ82"/>
    </row>
    <row r="83" spans="32:43" x14ac:dyDescent="0.25">
      <c r="AF83"/>
      <c r="AG83"/>
      <c r="AH83"/>
      <c r="AI83"/>
      <c r="AJ83"/>
      <c r="AK83"/>
      <c r="AL83"/>
      <c r="AM83"/>
      <c r="AN83"/>
      <c r="AO83"/>
      <c r="AP83"/>
      <c r="AQ83"/>
    </row>
    <row r="84" spans="32:43" x14ac:dyDescent="0.25">
      <c r="AF84"/>
      <c r="AG84"/>
      <c r="AH84"/>
      <c r="AI84"/>
      <c r="AJ84"/>
      <c r="AK84"/>
      <c r="AL84"/>
      <c r="AM84"/>
      <c r="AN84"/>
      <c r="AO84"/>
      <c r="AP84"/>
      <c r="AQ84"/>
    </row>
    <row r="85" spans="32:43" x14ac:dyDescent="0.25">
      <c r="AF85"/>
      <c r="AG85"/>
      <c r="AH85"/>
      <c r="AI85"/>
      <c r="AJ85"/>
      <c r="AK85"/>
      <c r="AL85"/>
      <c r="AM85"/>
      <c r="AN85"/>
      <c r="AO85"/>
      <c r="AP85"/>
      <c r="AQ85"/>
    </row>
    <row r="86" spans="32:43" x14ac:dyDescent="0.25">
      <c r="AF86"/>
      <c r="AG86"/>
      <c r="AH86"/>
      <c r="AI86"/>
      <c r="AJ86"/>
      <c r="AK86"/>
      <c r="AL86"/>
      <c r="AM86"/>
      <c r="AN86"/>
      <c r="AO86"/>
      <c r="AP86"/>
      <c r="AQ86"/>
    </row>
    <row r="87" spans="32:43" x14ac:dyDescent="0.25">
      <c r="AF87"/>
      <c r="AG87"/>
      <c r="AH87"/>
      <c r="AI87"/>
      <c r="AJ87"/>
      <c r="AK87"/>
      <c r="AL87"/>
      <c r="AM87"/>
      <c r="AN87"/>
      <c r="AO87"/>
      <c r="AP87"/>
      <c r="AQ87"/>
    </row>
    <row r="88" spans="32:43" x14ac:dyDescent="0.25">
      <c r="AF88"/>
      <c r="AG88"/>
      <c r="AH88"/>
      <c r="AI88"/>
      <c r="AJ88"/>
      <c r="AK88"/>
      <c r="AL88"/>
      <c r="AM88"/>
      <c r="AN88"/>
      <c r="AO88"/>
      <c r="AP88"/>
      <c r="AQ88"/>
    </row>
    <row r="89" spans="32:43" x14ac:dyDescent="0.25">
      <c r="AF89"/>
      <c r="AG89"/>
      <c r="AH89"/>
      <c r="AI89"/>
      <c r="AJ89"/>
      <c r="AK89"/>
      <c r="AL89"/>
      <c r="AM89"/>
      <c r="AN89"/>
      <c r="AO89"/>
      <c r="AP89"/>
      <c r="AQ89"/>
    </row>
    <row r="90" spans="32:43" x14ac:dyDescent="0.25">
      <c r="AF90"/>
      <c r="AG90"/>
      <c r="AH90"/>
      <c r="AI90"/>
      <c r="AJ90"/>
      <c r="AK90"/>
      <c r="AL90"/>
      <c r="AM90"/>
      <c r="AN90"/>
      <c r="AO90"/>
      <c r="AP90"/>
      <c r="AQ90"/>
    </row>
    <row r="91" spans="32:43" x14ac:dyDescent="0.25">
      <c r="AF91"/>
      <c r="AG91"/>
      <c r="AH91"/>
      <c r="AI91"/>
      <c r="AJ91"/>
      <c r="AK91"/>
      <c r="AL91"/>
      <c r="AM91"/>
      <c r="AN91"/>
      <c r="AO91"/>
      <c r="AP91"/>
      <c r="AQ91"/>
    </row>
    <row r="92" spans="32:43" x14ac:dyDescent="0.25">
      <c r="AF92"/>
      <c r="AG92"/>
      <c r="AH92"/>
      <c r="AI92"/>
      <c r="AJ92"/>
      <c r="AK92"/>
      <c r="AL92"/>
      <c r="AM92"/>
      <c r="AN92"/>
      <c r="AO92"/>
      <c r="AP92"/>
      <c r="AQ92"/>
    </row>
    <row r="93" spans="32:43" x14ac:dyDescent="0.25">
      <c r="AF93"/>
      <c r="AG93"/>
      <c r="AH93"/>
      <c r="AI93"/>
      <c r="AJ93"/>
      <c r="AK93"/>
      <c r="AL93"/>
      <c r="AM93"/>
      <c r="AN93"/>
      <c r="AO93"/>
      <c r="AP93"/>
      <c r="AQ93"/>
    </row>
    <row r="94" spans="32:43" x14ac:dyDescent="0.25">
      <c r="AF94"/>
      <c r="AG94"/>
      <c r="AH94"/>
      <c r="AI94"/>
      <c r="AJ94"/>
      <c r="AK94"/>
      <c r="AL94"/>
      <c r="AM94"/>
      <c r="AN94"/>
      <c r="AO94"/>
      <c r="AP94"/>
      <c r="AQ94"/>
    </row>
    <row r="95" spans="32:43" x14ac:dyDescent="0.25">
      <c r="AF95"/>
      <c r="AG95"/>
      <c r="AH95"/>
      <c r="AI95"/>
      <c r="AJ95"/>
      <c r="AK95"/>
      <c r="AL95"/>
      <c r="AM95"/>
      <c r="AN95"/>
      <c r="AO95"/>
      <c r="AP95"/>
      <c r="AQ95"/>
    </row>
    <row r="96" spans="32:43" x14ac:dyDescent="0.25">
      <c r="AF96"/>
      <c r="AG96"/>
      <c r="AH96"/>
      <c r="AI96"/>
      <c r="AJ96"/>
      <c r="AK96"/>
      <c r="AL96"/>
      <c r="AM96"/>
      <c r="AN96"/>
      <c r="AO96"/>
      <c r="AP96"/>
      <c r="AQ96"/>
    </row>
    <row r="97" spans="32:43" x14ac:dyDescent="0.25">
      <c r="AF97"/>
      <c r="AG97"/>
      <c r="AH97"/>
      <c r="AI97"/>
      <c r="AJ97"/>
      <c r="AK97"/>
      <c r="AL97"/>
      <c r="AM97"/>
      <c r="AN97"/>
      <c r="AO97"/>
      <c r="AP97"/>
      <c r="AQ97"/>
    </row>
    <row r="98" spans="32:43" x14ac:dyDescent="0.25">
      <c r="AF98"/>
      <c r="AG98"/>
      <c r="AH98"/>
      <c r="AI98"/>
      <c r="AJ98"/>
      <c r="AK98"/>
      <c r="AL98"/>
      <c r="AM98"/>
      <c r="AN98"/>
      <c r="AO98"/>
      <c r="AP98"/>
      <c r="AQ98"/>
    </row>
    <row r="99" spans="32:43" x14ac:dyDescent="0.25">
      <c r="AF99"/>
      <c r="AG99"/>
      <c r="AH99"/>
      <c r="AI99"/>
      <c r="AJ99"/>
      <c r="AK99"/>
      <c r="AL99"/>
      <c r="AM99"/>
      <c r="AN99"/>
      <c r="AO99"/>
      <c r="AP99"/>
      <c r="AQ99"/>
    </row>
    <row r="100" spans="32:43" x14ac:dyDescent="0.25">
      <c r="AF100"/>
      <c r="AG100"/>
      <c r="AH100"/>
      <c r="AI100"/>
      <c r="AJ100"/>
      <c r="AK100"/>
      <c r="AL100"/>
      <c r="AM100"/>
      <c r="AN100"/>
      <c r="AO100"/>
      <c r="AP100"/>
      <c r="AQ100"/>
    </row>
    <row r="101" spans="32:43" x14ac:dyDescent="0.25">
      <c r="AF101"/>
      <c r="AG101"/>
      <c r="AH101"/>
      <c r="AI101"/>
      <c r="AJ101"/>
      <c r="AK101"/>
      <c r="AL101"/>
      <c r="AM101"/>
      <c r="AN101"/>
      <c r="AO101"/>
      <c r="AP101"/>
      <c r="AQ101"/>
    </row>
    <row r="102" spans="32:43" x14ac:dyDescent="0.25">
      <c r="AF102"/>
      <c r="AG102"/>
      <c r="AH102"/>
      <c r="AI102"/>
      <c r="AJ102"/>
      <c r="AK102"/>
      <c r="AL102"/>
      <c r="AM102"/>
      <c r="AN102"/>
      <c r="AO102"/>
      <c r="AP102"/>
      <c r="AQ102"/>
    </row>
    <row r="103" spans="32:43" x14ac:dyDescent="0.25">
      <c r="AF103"/>
      <c r="AG103"/>
      <c r="AH103"/>
      <c r="AI103"/>
      <c r="AJ103"/>
      <c r="AK103"/>
      <c r="AL103"/>
      <c r="AM103"/>
      <c r="AN103"/>
      <c r="AO103"/>
      <c r="AP103"/>
      <c r="AQ103"/>
    </row>
    <row r="104" spans="32:43" x14ac:dyDescent="0.25">
      <c r="AF104"/>
      <c r="AG104"/>
      <c r="AH104"/>
      <c r="AI104"/>
      <c r="AJ104"/>
      <c r="AK104"/>
      <c r="AL104"/>
      <c r="AM104"/>
      <c r="AN104"/>
      <c r="AO104"/>
      <c r="AP104"/>
      <c r="AQ104"/>
    </row>
    <row r="105" spans="32:43" x14ac:dyDescent="0.25">
      <c r="AF105"/>
      <c r="AG105"/>
      <c r="AH105"/>
      <c r="AI105"/>
      <c r="AJ105"/>
      <c r="AK105"/>
      <c r="AL105"/>
      <c r="AM105"/>
      <c r="AN105"/>
      <c r="AO105"/>
      <c r="AP105"/>
      <c r="AQ105"/>
    </row>
    <row r="106" spans="32:43" x14ac:dyDescent="0.25">
      <c r="AF106"/>
      <c r="AG106"/>
      <c r="AH106"/>
      <c r="AI106"/>
      <c r="AJ106"/>
      <c r="AK106"/>
      <c r="AL106"/>
      <c r="AM106"/>
      <c r="AN106"/>
      <c r="AO106"/>
      <c r="AP106"/>
      <c r="AQ106"/>
    </row>
    <row r="107" spans="32:43" x14ac:dyDescent="0.25">
      <c r="AF107"/>
      <c r="AG107"/>
      <c r="AH107"/>
      <c r="AI107"/>
      <c r="AJ107"/>
      <c r="AK107"/>
      <c r="AL107"/>
      <c r="AM107"/>
      <c r="AN107"/>
      <c r="AO107"/>
      <c r="AP107"/>
      <c r="AQ107"/>
    </row>
    <row r="108" spans="32:43" x14ac:dyDescent="0.25">
      <c r="AF108"/>
      <c r="AG108"/>
      <c r="AH108"/>
      <c r="AI108"/>
      <c r="AJ108"/>
      <c r="AK108"/>
      <c r="AL108"/>
      <c r="AM108"/>
      <c r="AN108"/>
      <c r="AO108"/>
      <c r="AP108"/>
      <c r="AQ108"/>
    </row>
    <row r="109" spans="32:43" x14ac:dyDescent="0.25">
      <c r="AF109"/>
      <c r="AG109"/>
      <c r="AH109"/>
      <c r="AI109"/>
      <c r="AJ109"/>
      <c r="AK109"/>
      <c r="AL109"/>
      <c r="AM109"/>
      <c r="AN109"/>
      <c r="AO109"/>
      <c r="AP109"/>
      <c r="AQ109"/>
    </row>
    <row r="110" spans="32:43" x14ac:dyDescent="0.25">
      <c r="AF110"/>
      <c r="AG110"/>
      <c r="AH110"/>
      <c r="AI110"/>
      <c r="AJ110"/>
      <c r="AK110"/>
      <c r="AL110"/>
      <c r="AM110"/>
      <c r="AN110"/>
      <c r="AO110"/>
      <c r="AP110"/>
      <c r="AQ110"/>
    </row>
    <row r="111" spans="32:43" x14ac:dyDescent="0.25">
      <c r="AF111"/>
      <c r="AG111"/>
      <c r="AH111"/>
      <c r="AI111"/>
      <c r="AJ111"/>
      <c r="AK111"/>
      <c r="AL111"/>
      <c r="AM111"/>
      <c r="AN111"/>
      <c r="AO111"/>
      <c r="AP111"/>
      <c r="AQ111"/>
    </row>
    <row r="112" spans="32:43" x14ac:dyDescent="0.25">
      <c r="AF112"/>
      <c r="AG112"/>
      <c r="AH112"/>
      <c r="AI112"/>
      <c r="AJ112"/>
      <c r="AK112"/>
      <c r="AL112"/>
      <c r="AM112"/>
      <c r="AN112"/>
      <c r="AO112"/>
      <c r="AP112"/>
      <c r="AQ112"/>
    </row>
    <row r="113" spans="32:43" x14ac:dyDescent="0.25">
      <c r="AF113"/>
      <c r="AG113"/>
      <c r="AH113"/>
      <c r="AI113"/>
      <c r="AJ113"/>
      <c r="AK113"/>
      <c r="AL113"/>
      <c r="AM113"/>
      <c r="AN113"/>
      <c r="AO113"/>
      <c r="AP113"/>
      <c r="AQ113"/>
    </row>
    <row r="114" spans="32:43" x14ac:dyDescent="0.25">
      <c r="AF114"/>
      <c r="AG114"/>
      <c r="AH114"/>
      <c r="AI114"/>
      <c r="AJ114"/>
      <c r="AK114"/>
      <c r="AL114"/>
      <c r="AM114"/>
      <c r="AN114"/>
      <c r="AO114"/>
      <c r="AP114"/>
      <c r="AQ114"/>
    </row>
    <row r="115" spans="32:43" x14ac:dyDescent="0.25">
      <c r="AF115"/>
      <c r="AG115"/>
      <c r="AH115"/>
      <c r="AI115"/>
      <c r="AJ115"/>
      <c r="AK115"/>
      <c r="AL115"/>
      <c r="AM115"/>
      <c r="AN115"/>
      <c r="AO115"/>
      <c r="AP115"/>
      <c r="AQ115"/>
    </row>
    <row r="116" spans="32:43" x14ac:dyDescent="0.25">
      <c r="AF116"/>
      <c r="AG116"/>
      <c r="AH116"/>
      <c r="AI116"/>
      <c r="AJ116"/>
      <c r="AK116"/>
      <c r="AL116"/>
      <c r="AM116"/>
      <c r="AN116"/>
      <c r="AO116"/>
      <c r="AP116"/>
      <c r="AQ116"/>
    </row>
    <row r="117" spans="32:43" x14ac:dyDescent="0.25">
      <c r="AF117"/>
      <c r="AG117"/>
      <c r="AH117"/>
      <c r="AI117"/>
      <c r="AJ117"/>
      <c r="AK117"/>
      <c r="AL117"/>
      <c r="AM117"/>
      <c r="AN117"/>
      <c r="AO117"/>
      <c r="AP117"/>
      <c r="AQ117"/>
    </row>
    <row r="118" spans="32:43" x14ac:dyDescent="0.25">
      <c r="AF118"/>
      <c r="AG118"/>
      <c r="AH118"/>
      <c r="AI118"/>
      <c r="AJ118"/>
      <c r="AK118"/>
      <c r="AL118"/>
      <c r="AM118"/>
      <c r="AN118"/>
      <c r="AO118"/>
      <c r="AP118"/>
      <c r="AQ118"/>
    </row>
    <row r="119" spans="32:43" x14ac:dyDescent="0.25">
      <c r="AF119"/>
      <c r="AG119"/>
      <c r="AH119"/>
      <c r="AI119"/>
      <c r="AJ119"/>
      <c r="AK119"/>
      <c r="AL119"/>
      <c r="AM119"/>
      <c r="AN119"/>
      <c r="AO119"/>
      <c r="AP119"/>
      <c r="AQ119"/>
    </row>
    <row r="120" spans="32:43" x14ac:dyDescent="0.25">
      <c r="AF120"/>
      <c r="AG120"/>
      <c r="AH120"/>
      <c r="AI120"/>
      <c r="AJ120"/>
      <c r="AK120"/>
      <c r="AL120"/>
      <c r="AM120"/>
      <c r="AN120"/>
      <c r="AO120"/>
      <c r="AP120"/>
      <c r="AQ120"/>
    </row>
    <row r="121" spans="32:43" x14ac:dyDescent="0.25">
      <c r="AF121"/>
      <c r="AG121"/>
      <c r="AH121"/>
      <c r="AI121"/>
      <c r="AJ121"/>
      <c r="AK121"/>
      <c r="AL121"/>
      <c r="AM121"/>
      <c r="AN121"/>
      <c r="AO121"/>
      <c r="AP121"/>
      <c r="AQ121"/>
    </row>
    <row r="122" spans="32:43" x14ac:dyDescent="0.25">
      <c r="AF122"/>
      <c r="AG122"/>
      <c r="AH122"/>
      <c r="AI122"/>
      <c r="AJ122"/>
      <c r="AK122"/>
      <c r="AL122"/>
      <c r="AM122"/>
      <c r="AN122"/>
      <c r="AO122"/>
      <c r="AP122"/>
      <c r="AQ122"/>
    </row>
    <row r="123" spans="32:43" x14ac:dyDescent="0.25">
      <c r="AF123"/>
      <c r="AG123"/>
      <c r="AH123"/>
      <c r="AI123"/>
      <c r="AJ123"/>
      <c r="AK123"/>
      <c r="AL123"/>
      <c r="AM123"/>
      <c r="AN123"/>
      <c r="AO123"/>
      <c r="AP123"/>
      <c r="AQ123"/>
    </row>
    <row r="124" spans="32:43" x14ac:dyDescent="0.25">
      <c r="AF124"/>
      <c r="AG124"/>
      <c r="AH124"/>
      <c r="AI124"/>
      <c r="AJ124"/>
      <c r="AK124"/>
      <c r="AL124"/>
      <c r="AM124"/>
      <c r="AN124"/>
      <c r="AO124"/>
      <c r="AP124"/>
      <c r="AQ124"/>
    </row>
    <row r="125" spans="32:43" x14ac:dyDescent="0.25">
      <c r="AF125"/>
      <c r="AG125"/>
      <c r="AH125"/>
      <c r="AI125"/>
      <c r="AJ125"/>
      <c r="AK125"/>
      <c r="AL125"/>
      <c r="AM125"/>
      <c r="AN125"/>
      <c r="AO125"/>
      <c r="AP125"/>
      <c r="AQ125"/>
    </row>
    <row r="126" spans="32:43" x14ac:dyDescent="0.25">
      <c r="AF126"/>
      <c r="AG126"/>
      <c r="AH126"/>
      <c r="AI126"/>
      <c r="AJ126"/>
      <c r="AK126"/>
      <c r="AL126"/>
      <c r="AM126"/>
      <c r="AN126"/>
      <c r="AO126"/>
      <c r="AP126"/>
      <c r="AQ126"/>
    </row>
    <row r="127" spans="32:43" x14ac:dyDescent="0.25">
      <c r="AF127"/>
      <c r="AG127"/>
      <c r="AH127"/>
      <c r="AI127"/>
      <c r="AJ127"/>
      <c r="AK127"/>
      <c r="AL127"/>
      <c r="AM127"/>
      <c r="AN127"/>
      <c r="AO127"/>
      <c r="AP127"/>
      <c r="AQ127"/>
    </row>
    <row r="128" spans="32:43" x14ac:dyDescent="0.25">
      <c r="AF128"/>
      <c r="AG128"/>
      <c r="AH128"/>
      <c r="AI128"/>
      <c r="AJ128"/>
      <c r="AK128"/>
      <c r="AL128"/>
      <c r="AM128"/>
      <c r="AN128"/>
      <c r="AO128"/>
      <c r="AP128"/>
      <c r="AQ128"/>
    </row>
    <row r="129" spans="32:43" x14ac:dyDescent="0.25">
      <c r="AF129"/>
      <c r="AG129"/>
      <c r="AH129"/>
      <c r="AI129"/>
      <c r="AJ129"/>
      <c r="AK129"/>
      <c r="AL129"/>
      <c r="AM129"/>
      <c r="AN129"/>
      <c r="AO129"/>
      <c r="AP129"/>
      <c r="AQ129"/>
    </row>
    <row r="130" spans="32:43" x14ac:dyDescent="0.25">
      <c r="AF130"/>
      <c r="AG130"/>
      <c r="AH130"/>
      <c r="AI130"/>
      <c r="AJ130"/>
      <c r="AK130"/>
      <c r="AL130"/>
      <c r="AM130"/>
      <c r="AN130"/>
      <c r="AO130"/>
      <c r="AP130"/>
      <c r="AQ130"/>
    </row>
    <row r="131" spans="32:43" x14ac:dyDescent="0.25">
      <c r="AF131"/>
      <c r="AG131"/>
      <c r="AH131"/>
      <c r="AI131"/>
      <c r="AJ131"/>
      <c r="AK131"/>
      <c r="AL131"/>
      <c r="AM131"/>
      <c r="AN131"/>
      <c r="AO131"/>
      <c r="AP131"/>
      <c r="AQ131"/>
    </row>
    <row r="132" spans="32:43" x14ac:dyDescent="0.25">
      <c r="AF132"/>
      <c r="AG132"/>
      <c r="AH132"/>
      <c r="AI132"/>
      <c r="AJ132"/>
      <c r="AK132"/>
      <c r="AL132"/>
      <c r="AM132"/>
      <c r="AN132"/>
      <c r="AO132"/>
      <c r="AP132"/>
      <c r="AQ132"/>
    </row>
    <row r="133" spans="32:43" x14ac:dyDescent="0.25">
      <c r="AF133"/>
      <c r="AG133"/>
      <c r="AH133"/>
      <c r="AI133"/>
      <c r="AJ133"/>
      <c r="AK133"/>
      <c r="AL133"/>
      <c r="AM133"/>
      <c r="AN133"/>
      <c r="AO133"/>
      <c r="AP133"/>
      <c r="AQ133"/>
    </row>
    <row r="134" spans="32:43" x14ac:dyDescent="0.25">
      <c r="AF134"/>
      <c r="AG134"/>
      <c r="AH134"/>
      <c r="AI134"/>
      <c r="AJ134"/>
      <c r="AK134"/>
      <c r="AL134"/>
      <c r="AM134"/>
      <c r="AN134"/>
      <c r="AO134"/>
      <c r="AP134"/>
      <c r="AQ134"/>
    </row>
    <row r="135" spans="32:43" x14ac:dyDescent="0.25">
      <c r="AF135"/>
      <c r="AG135"/>
      <c r="AH135"/>
      <c r="AI135"/>
      <c r="AJ135"/>
      <c r="AK135"/>
      <c r="AL135"/>
      <c r="AM135"/>
      <c r="AN135"/>
      <c r="AO135"/>
      <c r="AP135"/>
      <c r="AQ135"/>
    </row>
    <row r="136" spans="32:43" x14ac:dyDescent="0.25">
      <c r="AF136"/>
      <c r="AG136"/>
      <c r="AH136"/>
      <c r="AI136"/>
      <c r="AJ136"/>
      <c r="AK136"/>
      <c r="AL136"/>
      <c r="AM136"/>
      <c r="AN136"/>
      <c r="AO136"/>
      <c r="AP136"/>
      <c r="AQ136"/>
    </row>
    <row r="137" spans="32:43" x14ac:dyDescent="0.25">
      <c r="AF137"/>
      <c r="AG137"/>
      <c r="AH137"/>
      <c r="AI137"/>
      <c r="AJ137"/>
      <c r="AK137"/>
      <c r="AL137"/>
      <c r="AM137"/>
      <c r="AN137"/>
      <c r="AO137"/>
      <c r="AP137"/>
      <c r="AQ137"/>
    </row>
    <row r="138" spans="32:43" x14ac:dyDescent="0.25">
      <c r="AF138"/>
      <c r="AG138"/>
      <c r="AH138"/>
      <c r="AI138"/>
      <c r="AJ138"/>
      <c r="AK138"/>
      <c r="AL138"/>
      <c r="AM138"/>
      <c r="AN138"/>
      <c r="AO138"/>
      <c r="AP138"/>
      <c r="AQ138"/>
    </row>
    <row r="139" spans="32:43" x14ac:dyDescent="0.25">
      <c r="AF139"/>
      <c r="AG139"/>
      <c r="AH139"/>
      <c r="AI139"/>
      <c r="AJ139"/>
      <c r="AK139"/>
      <c r="AL139"/>
      <c r="AM139"/>
      <c r="AN139"/>
      <c r="AO139"/>
      <c r="AP139"/>
      <c r="AQ139"/>
    </row>
    <row r="140" spans="32:43" x14ac:dyDescent="0.25">
      <c r="AF140"/>
      <c r="AG140"/>
      <c r="AH140"/>
      <c r="AI140"/>
      <c r="AJ140"/>
      <c r="AK140"/>
      <c r="AL140"/>
      <c r="AM140"/>
      <c r="AN140"/>
      <c r="AO140"/>
      <c r="AP140"/>
      <c r="AQ140"/>
    </row>
    <row r="141" spans="32:43" x14ac:dyDescent="0.25">
      <c r="AF141"/>
      <c r="AG141"/>
      <c r="AH141"/>
      <c r="AI141"/>
      <c r="AJ141"/>
      <c r="AK141"/>
      <c r="AL141"/>
      <c r="AM141"/>
      <c r="AN141"/>
      <c r="AO141"/>
      <c r="AP141"/>
      <c r="AQ141"/>
    </row>
    <row r="142" spans="32:43" x14ac:dyDescent="0.25">
      <c r="AF142"/>
      <c r="AG142"/>
      <c r="AH142"/>
      <c r="AI142"/>
      <c r="AJ142"/>
      <c r="AK142"/>
      <c r="AL142"/>
      <c r="AM142"/>
      <c r="AN142"/>
      <c r="AO142"/>
      <c r="AP142"/>
      <c r="AQ142"/>
    </row>
    <row r="143" spans="32:43" x14ac:dyDescent="0.25">
      <c r="AF143"/>
      <c r="AG143"/>
      <c r="AH143"/>
      <c r="AI143"/>
      <c r="AJ143"/>
      <c r="AK143"/>
      <c r="AL143"/>
      <c r="AM143"/>
      <c r="AN143"/>
      <c r="AO143"/>
      <c r="AP143"/>
      <c r="AQ143"/>
    </row>
    <row r="144" spans="32:43" x14ac:dyDescent="0.25">
      <c r="AF144"/>
      <c r="AG144"/>
      <c r="AH144"/>
      <c r="AI144"/>
      <c r="AJ144"/>
      <c r="AK144"/>
      <c r="AL144"/>
      <c r="AM144"/>
      <c r="AN144"/>
      <c r="AO144"/>
      <c r="AP144"/>
      <c r="AQ144"/>
    </row>
    <row r="145" spans="32:43" x14ac:dyDescent="0.25">
      <c r="AF145"/>
      <c r="AG145"/>
      <c r="AH145"/>
      <c r="AI145"/>
      <c r="AJ145"/>
      <c r="AK145"/>
      <c r="AL145"/>
      <c r="AM145"/>
      <c r="AN145"/>
      <c r="AO145"/>
      <c r="AP145"/>
      <c r="AQ145"/>
    </row>
    <row r="146" spans="32:43" x14ac:dyDescent="0.25">
      <c r="AF146"/>
      <c r="AG146"/>
      <c r="AH146"/>
      <c r="AI146"/>
      <c r="AJ146"/>
      <c r="AK146"/>
      <c r="AL146"/>
      <c r="AM146"/>
      <c r="AN146"/>
      <c r="AO146"/>
      <c r="AP146"/>
      <c r="AQ146"/>
    </row>
    <row r="147" spans="32:43" x14ac:dyDescent="0.25">
      <c r="AF147"/>
      <c r="AG147"/>
      <c r="AH147"/>
      <c r="AI147"/>
      <c r="AJ147"/>
      <c r="AK147"/>
      <c r="AL147"/>
      <c r="AM147"/>
      <c r="AN147"/>
      <c r="AO147"/>
      <c r="AP147"/>
      <c r="AQ147"/>
    </row>
    <row r="148" spans="32:43" x14ac:dyDescent="0.25">
      <c r="AF148"/>
      <c r="AG148"/>
      <c r="AH148"/>
      <c r="AI148"/>
      <c r="AJ148"/>
      <c r="AK148"/>
      <c r="AL148"/>
      <c r="AM148"/>
      <c r="AN148"/>
      <c r="AO148"/>
      <c r="AP148"/>
      <c r="AQ148"/>
    </row>
    <row r="149" spans="32:43" x14ac:dyDescent="0.25">
      <c r="AF149"/>
      <c r="AG149"/>
      <c r="AH149"/>
      <c r="AI149"/>
      <c r="AJ149"/>
      <c r="AK149"/>
      <c r="AL149"/>
      <c r="AM149"/>
      <c r="AN149"/>
      <c r="AO149"/>
      <c r="AP149"/>
      <c r="AQ149"/>
    </row>
    <row r="150" spans="32:43" x14ac:dyDescent="0.25">
      <c r="AF150"/>
      <c r="AG150"/>
      <c r="AH150"/>
      <c r="AI150"/>
      <c r="AJ150"/>
      <c r="AK150"/>
      <c r="AL150"/>
      <c r="AM150"/>
      <c r="AN150"/>
      <c r="AO150"/>
      <c r="AP150"/>
      <c r="AQ150"/>
    </row>
    <row r="151" spans="32:43" x14ac:dyDescent="0.25">
      <c r="AF151"/>
      <c r="AG151"/>
      <c r="AH151"/>
      <c r="AI151"/>
      <c r="AJ151"/>
      <c r="AK151"/>
      <c r="AL151"/>
      <c r="AM151"/>
      <c r="AN151"/>
      <c r="AO151"/>
      <c r="AP151"/>
      <c r="AQ151"/>
    </row>
    <row r="152" spans="32:43" x14ac:dyDescent="0.25">
      <c r="AF152"/>
      <c r="AG152"/>
      <c r="AH152"/>
      <c r="AI152"/>
      <c r="AJ152"/>
      <c r="AK152"/>
      <c r="AL152"/>
      <c r="AM152"/>
      <c r="AN152"/>
      <c r="AO152"/>
      <c r="AP152"/>
      <c r="AQ152"/>
    </row>
    <row r="153" spans="32:43" x14ac:dyDescent="0.25">
      <c r="AF153"/>
      <c r="AG153"/>
      <c r="AH153"/>
      <c r="AI153"/>
      <c r="AJ153"/>
      <c r="AK153"/>
      <c r="AL153"/>
      <c r="AM153"/>
      <c r="AN153"/>
      <c r="AO153"/>
      <c r="AP153"/>
      <c r="AQ153"/>
    </row>
    <row r="154" spans="32:43" x14ac:dyDescent="0.25">
      <c r="AF154"/>
      <c r="AG154"/>
      <c r="AH154"/>
      <c r="AI154"/>
      <c r="AJ154"/>
      <c r="AK154"/>
      <c r="AL154"/>
      <c r="AM154"/>
      <c r="AN154"/>
      <c r="AO154"/>
      <c r="AP154"/>
      <c r="AQ154"/>
    </row>
    <row r="155" spans="32:43" x14ac:dyDescent="0.25">
      <c r="AF155"/>
      <c r="AG155"/>
      <c r="AH155"/>
      <c r="AI155"/>
      <c r="AJ155"/>
      <c r="AK155"/>
      <c r="AL155"/>
      <c r="AM155"/>
      <c r="AN155"/>
      <c r="AO155"/>
      <c r="AP155"/>
      <c r="AQ155"/>
    </row>
    <row r="156" spans="32:43" x14ac:dyDescent="0.25">
      <c r="AF156"/>
      <c r="AG156"/>
      <c r="AH156"/>
      <c r="AI156"/>
      <c r="AJ156"/>
      <c r="AK156"/>
      <c r="AL156"/>
      <c r="AM156"/>
      <c r="AN156"/>
      <c r="AO156"/>
      <c r="AP156"/>
      <c r="AQ156"/>
    </row>
    <row r="157" spans="32:43" x14ac:dyDescent="0.25">
      <c r="AF157"/>
      <c r="AG157"/>
      <c r="AH157"/>
      <c r="AI157"/>
      <c r="AJ157"/>
      <c r="AK157"/>
      <c r="AL157"/>
      <c r="AM157"/>
      <c r="AN157"/>
      <c r="AO157"/>
      <c r="AP157"/>
      <c r="AQ157"/>
    </row>
    <row r="158" spans="32:43" x14ac:dyDescent="0.25">
      <c r="AF158"/>
      <c r="AG158"/>
      <c r="AH158"/>
      <c r="AI158"/>
      <c r="AJ158"/>
      <c r="AK158"/>
      <c r="AL158"/>
      <c r="AM158"/>
      <c r="AN158"/>
      <c r="AO158"/>
      <c r="AP158"/>
      <c r="AQ158"/>
    </row>
    <row r="159" spans="32:43" x14ac:dyDescent="0.25">
      <c r="AF159"/>
      <c r="AG159"/>
      <c r="AH159"/>
      <c r="AI159"/>
      <c r="AJ159"/>
      <c r="AK159"/>
      <c r="AL159"/>
      <c r="AM159"/>
      <c r="AN159"/>
      <c r="AO159"/>
      <c r="AP159"/>
      <c r="AQ159"/>
    </row>
    <row r="160" spans="32:43" x14ac:dyDescent="0.25">
      <c r="AF160"/>
      <c r="AG160"/>
      <c r="AH160"/>
      <c r="AI160"/>
      <c r="AJ160"/>
      <c r="AK160"/>
      <c r="AL160"/>
      <c r="AM160"/>
      <c r="AN160"/>
      <c r="AO160"/>
      <c r="AP160"/>
      <c r="AQ160"/>
    </row>
    <row r="161" spans="32:43" x14ac:dyDescent="0.25">
      <c r="AF161"/>
      <c r="AG161"/>
      <c r="AH161"/>
      <c r="AI161"/>
      <c r="AJ161"/>
      <c r="AK161"/>
      <c r="AL161"/>
      <c r="AM161"/>
      <c r="AN161"/>
      <c r="AO161"/>
      <c r="AP161"/>
      <c r="AQ161"/>
    </row>
    <row r="162" spans="32:43" x14ac:dyDescent="0.25">
      <c r="AF162"/>
      <c r="AG162"/>
      <c r="AH162"/>
      <c r="AI162"/>
      <c r="AJ162"/>
      <c r="AK162"/>
      <c r="AL162"/>
      <c r="AM162"/>
      <c r="AN162"/>
      <c r="AO162"/>
      <c r="AP162"/>
      <c r="AQ162"/>
    </row>
    <row r="163" spans="32:43" x14ac:dyDescent="0.25">
      <c r="AF163"/>
      <c r="AG163"/>
      <c r="AH163"/>
      <c r="AI163"/>
      <c r="AJ163"/>
      <c r="AK163"/>
      <c r="AL163"/>
      <c r="AM163"/>
      <c r="AN163"/>
      <c r="AO163"/>
      <c r="AP163"/>
      <c r="AQ163"/>
    </row>
    <row r="164" spans="32:43" x14ac:dyDescent="0.25">
      <c r="AF164"/>
      <c r="AG164"/>
      <c r="AH164"/>
      <c r="AI164"/>
      <c r="AJ164"/>
      <c r="AK164"/>
      <c r="AL164"/>
      <c r="AM164"/>
      <c r="AN164"/>
      <c r="AO164"/>
      <c r="AP164"/>
      <c r="AQ164"/>
    </row>
    <row r="165" spans="32:43" x14ac:dyDescent="0.25">
      <c r="AF165"/>
      <c r="AG165"/>
      <c r="AH165"/>
      <c r="AI165"/>
      <c r="AJ165"/>
      <c r="AK165"/>
      <c r="AL165"/>
      <c r="AM165"/>
      <c r="AN165"/>
      <c r="AO165"/>
      <c r="AP165"/>
      <c r="AQ165"/>
    </row>
    <row r="166" spans="32:43" x14ac:dyDescent="0.25">
      <c r="AF166"/>
      <c r="AG166"/>
      <c r="AH166"/>
      <c r="AI166"/>
      <c r="AJ166"/>
      <c r="AK166"/>
      <c r="AL166"/>
      <c r="AM166"/>
      <c r="AN166"/>
      <c r="AO166"/>
      <c r="AP166"/>
      <c r="AQ166"/>
    </row>
    <row r="167" spans="32:43" x14ac:dyDescent="0.25">
      <c r="AF167"/>
      <c r="AG167"/>
      <c r="AH167"/>
      <c r="AI167"/>
      <c r="AJ167"/>
      <c r="AK167"/>
      <c r="AL167"/>
      <c r="AM167"/>
      <c r="AN167"/>
      <c r="AO167"/>
      <c r="AP167"/>
      <c r="AQ167"/>
    </row>
    <row r="168" spans="32:43" x14ac:dyDescent="0.25">
      <c r="AF168"/>
      <c r="AG168"/>
      <c r="AH168"/>
      <c r="AI168"/>
      <c r="AJ168"/>
      <c r="AK168"/>
      <c r="AL168"/>
      <c r="AM168"/>
      <c r="AN168"/>
      <c r="AO168"/>
      <c r="AP168"/>
      <c r="AQ168"/>
    </row>
    <row r="169" spans="32:43" x14ac:dyDescent="0.25">
      <c r="AF169"/>
      <c r="AG169"/>
      <c r="AH169"/>
      <c r="AI169"/>
      <c r="AJ169"/>
      <c r="AK169"/>
      <c r="AL169"/>
      <c r="AM169"/>
      <c r="AN169"/>
      <c r="AO169"/>
      <c r="AP169"/>
      <c r="AQ169"/>
    </row>
    <row r="170" spans="32:43" x14ac:dyDescent="0.25">
      <c r="AF170"/>
      <c r="AG170"/>
      <c r="AH170"/>
      <c r="AI170"/>
      <c r="AJ170"/>
      <c r="AK170"/>
      <c r="AL170"/>
      <c r="AM170"/>
      <c r="AN170"/>
      <c r="AO170"/>
      <c r="AP170"/>
      <c r="AQ170"/>
    </row>
    <row r="171" spans="32:43" x14ac:dyDescent="0.25">
      <c r="AF171"/>
      <c r="AG171"/>
      <c r="AH171"/>
      <c r="AI171"/>
      <c r="AJ171"/>
      <c r="AK171"/>
      <c r="AL171"/>
      <c r="AM171"/>
      <c r="AN171"/>
      <c r="AO171"/>
      <c r="AP171"/>
      <c r="AQ171"/>
    </row>
    <row r="172" spans="32:43" x14ac:dyDescent="0.25">
      <c r="AF172"/>
      <c r="AG172"/>
      <c r="AH172"/>
      <c r="AI172"/>
      <c r="AJ172"/>
      <c r="AK172"/>
      <c r="AL172"/>
      <c r="AM172"/>
      <c r="AN172"/>
      <c r="AO172"/>
      <c r="AP172"/>
      <c r="AQ172"/>
    </row>
    <row r="173" spans="32:43" x14ac:dyDescent="0.25">
      <c r="AF173"/>
      <c r="AG173"/>
      <c r="AH173"/>
      <c r="AI173"/>
      <c r="AJ173"/>
      <c r="AK173"/>
      <c r="AL173"/>
      <c r="AM173"/>
      <c r="AN173"/>
      <c r="AO173"/>
      <c r="AP173"/>
      <c r="AQ173"/>
    </row>
    <row r="174" spans="32:43" x14ac:dyDescent="0.25">
      <c r="AF174"/>
      <c r="AG174"/>
      <c r="AH174"/>
      <c r="AI174"/>
      <c r="AJ174"/>
      <c r="AK174"/>
      <c r="AL174"/>
      <c r="AM174"/>
      <c r="AN174"/>
      <c r="AO174"/>
      <c r="AP174"/>
      <c r="AQ174"/>
    </row>
    <row r="175" spans="32:43" x14ac:dyDescent="0.25">
      <c r="AF175"/>
      <c r="AG175"/>
      <c r="AH175"/>
      <c r="AI175"/>
      <c r="AJ175"/>
      <c r="AK175"/>
      <c r="AL175"/>
      <c r="AM175"/>
      <c r="AN175"/>
      <c r="AO175"/>
      <c r="AP175"/>
      <c r="AQ175"/>
    </row>
    <row r="176" spans="32:43" x14ac:dyDescent="0.25">
      <c r="AF176"/>
      <c r="AG176"/>
      <c r="AH176"/>
      <c r="AI176"/>
      <c r="AJ176"/>
      <c r="AK176"/>
      <c r="AL176"/>
      <c r="AM176"/>
      <c r="AN176"/>
      <c r="AO176"/>
      <c r="AP176"/>
      <c r="AQ176"/>
    </row>
    <row r="177" spans="32:43" x14ac:dyDescent="0.25">
      <c r="AF177"/>
      <c r="AG177"/>
      <c r="AH177"/>
      <c r="AI177"/>
      <c r="AJ177"/>
      <c r="AK177"/>
      <c r="AL177"/>
      <c r="AM177"/>
      <c r="AN177"/>
      <c r="AO177"/>
      <c r="AP177"/>
      <c r="AQ177"/>
    </row>
    <row r="178" spans="32:43" x14ac:dyDescent="0.25">
      <c r="AF178"/>
      <c r="AG178"/>
      <c r="AH178"/>
      <c r="AI178"/>
      <c r="AJ178"/>
      <c r="AK178"/>
      <c r="AL178"/>
      <c r="AM178"/>
      <c r="AN178"/>
      <c r="AO178"/>
      <c r="AP178"/>
      <c r="AQ178"/>
    </row>
    <row r="179" spans="32:43" x14ac:dyDescent="0.25">
      <c r="AF179"/>
      <c r="AG179"/>
      <c r="AH179"/>
      <c r="AI179"/>
      <c r="AJ179"/>
      <c r="AK179"/>
      <c r="AL179"/>
      <c r="AM179"/>
      <c r="AN179"/>
      <c r="AO179"/>
      <c r="AP179"/>
      <c r="AQ179"/>
    </row>
    <row r="180" spans="32:43" x14ac:dyDescent="0.25">
      <c r="AF180"/>
      <c r="AG180"/>
      <c r="AH180"/>
      <c r="AI180"/>
      <c r="AJ180"/>
      <c r="AK180"/>
      <c r="AL180"/>
      <c r="AM180"/>
      <c r="AN180"/>
      <c r="AO180"/>
      <c r="AP180"/>
      <c r="AQ180"/>
    </row>
    <row r="181" spans="32:43" x14ac:dyDescent="0.25">
      <c r="AF181"/>
      <c r="AG181"/>
      <c r="AH181"/>
      <c r="AI181"/>
      <c r="AJ181"/>
      <c r="AK181"/>
      <c r="AL181"/>
      <c r="AM181"/>
      <c r="AN181"/>
      <c r="AO181"/>
      <c r="AP181"/>
      <c r="AQ181"/>
    </row>
    <row r="182" spans="32:43" x14ac:dyDescent="0.25">
      <c r="AF182"/>
      <c r="AG182"/>
      <c r="AH182"/>
      <c r="AI182"/>
      <c r="AJ182"/>
      <c r="AK182"/>
      <c r="AL182"/>
      <c r="AM182"/>
      <c r="AN182"/>
      <c r="AO182"/>
      <c r="AP182"/>
      <c r="AQ182"/>
    </row>
    <row r="183" spans="32:43" x14ac:dyDescent="0.25">
      <c r="AF183"/>
      <c r="AG183"/>
      <c r="AH183"/>
      <c r="AI183"/>
      <c r="AJ183"/>
      <c r="AK183"/>
      <c r="AL183"/>
      <c r="AM183"/>
      <c r="AN183"/>
      <c r="AO183"/>
      <c r="AP183"/>
      <c r="AQ183"/>
    </row>
    <row r="184" spans="32:43" x14ac:dyDescent="0.25">
      <c r="AF184"/>
      <c r="AG184"/>
      <c r="AH184"/>
      <c r="AI184"/>
      <c r="AJ184"/>
      <c r="AK184"/>
      <c r="AL184"/>
      <c r="AM184"/>
      <c r="AN184"/>
      <c r="AO184"/>
      <c r="AP184"/>
      <c r="AQ184"/>
    </row>
    <row r="185" spans="32:43" x14ac:dyDescent="0.25">
      <c r="AF185"/>
      <c r="AG185"/>
      <c r="AH185"/>
      <c r="AI185"/>
      <c r="AJ185"/>
      <c r="AK185"/>
      <c r="AL185"/>
      <c r="AM185"/>
      <c r="AN185"/>
      <c r="AO185"/>
      <c r="AP185"/>
      <c r="AQ185"/>
    </row>
    <row r="186" spans="32:43" x14ac:dyDescent="0.25">
      <c r="AF186"/>
      <c r="AG186"/>
      <c r="AH186"/>
      <c r="AI186"/>
      <c r="AJ186"/>
      <c r="AK186"/>
      <c r="AL186"/>
      <c r="AM186"/>
      <c r="AN186"/>
      <c r="AO186"/>
      <c r="AP186"/>
      <c r="AQ186"/>
    </row>
    <row r="187" spans="32:43" x14ac:dyDescent="0.25">
      <c r="AF187"/>
      <c r="AG187"/>
      <c r="AH187"/>
      <c r="AI187"/>
      <c r="AJ187"/>
      <c r="AK187"/>
      <c r="AL187"/>
      <c r="AM187"/>
      <c r="AN187"/>
      <c r="AO187"/>
      <c r="AP187"/>
      <c r="AQ187"/>
    </row>
    <row r="188" spans="32:43" x14ac:dyDescent="0.25">
      <c r="AF188"/>
      <c r="AG188"/>
      <c r="AH188"/>
      <c r="AI188"/>
      <c r="AJ188"/>
      <c r="AK188"/>
      <c r="AL188"/>
      <c r="AM188"/>
      <c r="AN188"/>
      <c r="AO188"/>
      <c r="AP188"/>
      <c r="AQ188"/>
    </row>
    <row r="189" spans="32:43" x14ac:dyDescent="0.25">
      <c r="AF189"/>
      <c r="AG189"/>
      <c r="AH189"/>
      <c r="AI189"/>
      <c r="AJ189"/>
      <c r="AK189"/>
      <c r="AL189"/>
      <c r="AM189"/>
      <c r="AN189"/>
      <c r="AO189"/>
      <c r="AP189"/>
      <c r="AQ189"/>
    </row>
    <row r="190" spans="32:43" x14ac:dyDescent="0.25">
      <c r="AF190"/>
      <c r="AG190"/>
      <c r="AH190"/>
      <c r="AI190"/>
      <c r="AJ190"/>
      <c r="AK190"/>
      <c r="AL190"/>
      <c r="AM190"/>
      <c r="AN190"/>
      <c r="AO190"/>
      <c r="AP190"/>
      <c r="AQ190"/>
    </row>
    <row r="191" spans="32:43" x14ac:dyDescent="0.25">
      <c r="AF191"/>
      <c r="AG191"/>
      <c r="AH191"/>
      <c r="AI191"/>
      <c r="AJ191"/>
      <c r="AK191"/>
      <c r="AL191"/>
      <c r="AM191"/>
      <c r="AN191"/>
      <c r="AO191"/>
      <c r="AP191"/>
      <c r="AQ191"/>
    </row>
    <row r="192" spans="32:43" x14ac:dyDescent="0.25">
      <c r="AF192"/>
      <c r="AG192"/>
      <c r="AH192"/>
      <c r="AI192"/>
      <c r="AJ192"/>
      <c r="AK192"/>
      <c r="AL192"/>
      <c r="AM192"/>
      <c r="AN192"/>
      <c r="AO192"/>
      <c r="AP192"/>
      <c r="AQ192"/>
    </row>
    <row r="193" spans="32:43" x14ac:dyDescent="0.25">
      <c r="AF193"/>
      <c r="AG193"/>
      <c r="AH193"/>
      <c r="AI193"/>
      <c r="AJ193"/>
      <c r="AK193"/>
      <c r="AL193"/>
      <c r="AM193"/>
      <c r="AN193"/>
      <c r="AO193"/>
      <c r="AP193"/>
      <c r="AQ193"/>
    </row>
    <row r="194" spans="32:43" x14ac:dyDescent="0.25">
      <c r="AF194"/>
      <c r="AG194"/>
      <c r="AH194"/>
      <c r="AI194"/>
      <c r="AJ194"/>
      <c r="AK194"/>
      <c r="AL194"/>
      <c r="AM194"/>
      <c r="AN194"/>
      <c r="AO194"/>
      <c r="AP194"/>
      <c r="AQ194"/>
    </row>
    <row r="195" spans="32:43" x14ac:dyDescent="0.25">
      <c r="AF195"/>
      <c r="AG195"/>
      <c r="AH195"/>
      <c r="AI195"/>
      <c r="AJ195"/>
      <c r="AK195"/>
      <c r="AL195"/>
      <c r="AM195"/>
      <c r="AN195"/>
      <c r="AO195"/>
      <c r="AP195"/>
      <c r="AQ195"/>
    </row>
    <row r="196" spans="32:43" x14ac:dyDescent="0.25">
      <c r="AF196"/>
      <c r="AG196"/>
      <c r="AH196"/>
      <c r="AI196"/>
      <c r="AJ196"/>
      <c r="AK196"/>
      <c r="AL196"/>
      <c r="AM196"/>
      <c r="AN196"/>
      <c r="AO196"/>
      <c r="AP196"/>
      <c r="AQ196"/>
    </row>
    <row r="197" spans="32:43" x14ac:dyDescent="0.25">
      <c r="AF197"/>
      <c r="AG197"/>
      <c r="AH197"/>
      <c r="AI197"/>
      <c r="AJ197"/>
      <c r="AK197"/>
      <c r="AL197"/>
      <c r="AM197"/>
      <c r="AN197"/>
      <c r="AO197"/>
      <c r="AP197"/>
      <c r="AQ197"/>
    </row>
    <row r="198" spans="32:43" x14ac:dyDescent="0.25">
      <c r="AF198"/>
      <c r="AG198"/>
      <c r="AH198"/>
      <c r="AI198"/>
      <c r="AJ198"/>
      <c r="AK198"/>
      <c r="AL198"/>
      <c r="AM198"/>
      <c r="AN198"/>
      <c r="AO198"/>
      <c r="AP198"/>
      <c r="AQ198"/>
    </row>
    <row r="199" spans="32:43" x14ac:dyDescent="0.25">
      <c r="AF199"/>
      <c r="AG199"/>
      <c r="AH199"/>
      <c r="AI199"/>
      <c r="AJ199"/>
      <c r="AK199"/>
      <c r="AL199"/>
      <c r="AM199"/>
      <c r="AN199"/>
      <c r="AO199"/>
      <c r="AP199"/>
      <c r="AQ199"/>
    </row>
    <row r="200" spans="32:43" x14ac:dyDescent="0.25">
      <c r="AF200"/>
      <c r="AG200"/>
      <c r="AH200"/>
      <c r="AI200"/>
      <c r="AJ200"/>
      <c r="AK200"/>
      <c r="AL200"/>
      <c r="AM200"/>
      <c r="AN200"/>
      <c r="AO200"/>
      <c r="AP200"/>
      <c r="AQ200"/>
    </row>
    <row r="201" spans="32:43" x14ac:dyDescent="0.25">
      <c r="AF201"/>
      <c r="AG201"/>
      <c r="AH201"/>
      <c r="AI201"/>
      <c r="AJ201"/>
      <c r="AK201"/>
      <c r="AL201"/>
      <c r="AM201"/>
      <c r="AN201"/>
      <c r="AO201"/>
      <c r="AP201"/>
      <c r="AQ201"/>
    </row>
    <row r="202" spans="32:43" x14ac:dyDescent="0.25">
      <c r="AF202"/>
      <c r="AG202"/>
      <c r="AH202"/>
      <c r="AI202"/>
      <c r="AJ202"/>
      <c r="AK202"/>
      <c r="AL202"/>
      <c r="AM202"/>
      <c r="AN202"/>
      <c r="AO202"/>
      <c r="AP202"/>
      <c r="AQ202"/>
    </row>
    <row r="203" spans="32:43" x14ac:dyDescent="0.25">
      <c r="AF203"/>
      <c r="AG203"/>
      <c r="AH203"/>
      <c r="AI203"/>
      <c r="AJ203"/>
      <c r="AK203"/>
      <c r="AL203"/>
      <c r="AM203"/>
      <c r="AN203"/>
      <c r="AO203"/>
      <c r="AP203"/>
      <c r="AQ203"/>
    </row>
    <row r="204" spans="32:43" x14ac:dyDescent="0.25">
      <c r="AF204"/>
      <c r="AG204"/>
      <c r="AH204"/>
      <c r="AI204"/>
      <c r="AJ204"/>
      <c r="AK204"/>
      <c r="AL204"/>
      <c r="AM204"/>
      <c r="AN204"/>
      <c r="AO204"/>
      <c r="AP204"/>
      <c r="AQ204"/>
    </row>
    <row r="205" spans="32:43" x14ac:dyDescent="0.25">
      <c r="AF205"/>
      <c r="AG205"/>
      <c r="AH205"/>
      <c r="AI205"/>
      <c r="AJ205"/>
      <c r="AK205"/>
      <c r="AL205"/>
      <c r="AM205"/>
      <c r="AN205"/>
      <c r="AO205"/>
      <c r="AP205"/>
      <c r="AQ205"/>
    </row>
    <row r="206" spans="32:43" x14ac:dyDescent="0.25">
      <c r="AF206"/>
      <c r="AG206"/>
      <c r="AH206"/>
      <c r="AI206"/>
      <c r="AJ206"/>
      <c r="AK206"/>
      <c r="AL206"/>
      <c r="AM206"/>
      <c r="AN206"/>
      <c r="AO206"/>
      <c r="AP206"/>
      <c r="AQ206"/>
    </row>
    <row r="207" spans="32:43" x14ac:dyDescent="0.25">
      <c r="AF207"/>
      <c r="AG207"/>
      <c r="AH207"/>
      <c r="AI207"/>
      <c r="AJ207"/>
      <c r="AK207"/>
      <c r="AL207"/>
      <c r="AM207"/>
      <c r="AN207"/>
      <c r="AO207"/>
      <c r="AP207"/>
      <c r="AQ207"/>
    </row>
    <row r="208" spans="32:43" x14ac:dyDescent="0.25">
      <c r="AF208"/>
      <c r="AG208"/>
      <c r="AH208"/>
      <c r="AI208"/>
      <c r="AJ208"/>
      <c r="AK208"/>
      <c r="AL208"/>
      <c r="AM208"/>
      <c r="AN208"/>
      <c r="AO208"/>
      <c r="AP208"/>
      <c r="AQ208"/>
    </row>
    <row r="209" spans="32:43" x14ac:dyDescent="0.25">
      <c r="AF209"/>
      <c r="AG209"/>
      <c r="AH209"/>
      <c r="AI209"/>
      <c r="AJ209"/>
      <c r="AK209"/>
      <c r="AL209"/>
      <c r="AM209"/>
      <c r="AN209"/>
      <c r="AO209"/>
      <c r="AP209"/>
      <c r="AQ209"/>
    </row>
    <row r="210" spans="32:43" x14ac:dyDescent="0.25">
      <c r="AF210"/>
      <c r="AG210"/>
      <c r="AH210"/>
      <c r="AI210"/>
      <c r="AJ210"/>
      <c r="AK210"/>
      <c r="AL210"/>
      <c r="AM210"/>
      <c r="AN210"/>
      <c r="AO210"/>
      <c r="AP210"/>
      <c r="AQ210"/>
    </row>
    <row r="211" spans="32:43" x14ac:dyDescent="0.25">
      <c r="AF211"/>
      <c r="AG211"/>
      <c r="AH211"/>
      <c r="AI211"/>
      <c r="AJ211"/>
      <c r="AK211"/>
      <c r="AL211"/>
      <c r="AM211"/>
      <c r="AN211"/>
      <c r="AO211"/>
      <c r="AP211"/>
      <c r="AQ211"/>
    </row>
    <row r="212" spans="32:43" x14ac:dyDescent="0.25">
      <c r="AF212"/>
      <c r="AG212"/>
      <c r="AH212"/>
      <c r="AI212"/>
      <c r="AJ212"/>
      <c r="AK212"/>
      <c r="AL212"/>
      <c r="AM212"/>
      <c r="AN212"/>
      <c r="AO212"/>
      <c r="AP212"/>
      <c r="AQ212"/>
    </row>
    <row r="213" spans="32:43" x14ac:dyDescent="0.25">
      <c r="AF213"/>
      <c r="AG213"/>
      <c r="AH213"/>
      <c r="AI213"/>
      <c r="AJ213"/>
      <c r="AK213"/>
      <c r="AL213"/>
      <c r="AM213"/>
      <c r="AN213"/>
      <c r="AO213"/>
      <c r="AP213"/>
      <c r="AQ213"/>
    </row>
    <row r="214" spans="32:43" x14ac:dyDescent="0.25">
      <c r="AF214"/>
      <c r="AG214"/>
      <c r="AH214"/>
      <c r="AI214"/>
      <c r="AJ214"/>
      <c r="AK214"/>
      <c r="AL214"/>
      <c r="AM214"/>
      <c r="AN214"/>
      <c r="AO214"/>
      <c r="AP214"/>
      <c r="AQ214"/>
    </row>
    <row r="215" spans="32:43" x14ac:dyDescent="0.25">
      <c r="AF215"/>
      <c r="AG215"/>
      <c r="AH215"/>
      <c r="AI215"/>
      <c r="AJ215"/>
      <c r="AK215"/>
      <c r="AL215"/>
      <c r="AM215"/>
      <c r="AN215"/>
      <c r="AO215"/>
      <c r="AP215"/>
      <c r="AQ215"/>
    </row>
    <row r="216" spans="32:43" x14ac:dyDescent="0.25">
      <c r="AF216"/>
      <c r="AG216"/>
      <c r="AH216"/>
      <c r="AI216"/>
      <c r="AJ216"/>
      <c r="AK216"/>
      <c r="AL216"/>
      <c r="AM216"/>
      <c r="AN216"/>
      <c r="AO216"/>
      <c r="AP216"/>
      <c r="AQ216"/>
    </row>
    <row r="217" spans="32:43" x14ac:dyDescent="0.25">
      <c r="AF217"/>
      <c r="AG217"/>
      <c r="AH217"/>
      <c r="AI217"/>
      <c r="AJ217"/>
      <c r="AK217"/>
      <c r="AL217"/>
      <c r="AM217"/>
      <c r="AN217"/>
      <c r="AO217"/>
      <c r="AP217"/>
      <c r="AQ217"/>
    </row>
    <row r="218" spans="32:43" x14ac:dyDescent="0.25">
      <c r="AF218"/>
      <c r="AG218"/>
      <c r="AH218"/>
      <c r="AI218"/>
      <c r="AJ218"/>
      <c r="AK218"/>
      <c r="AL218"/>
      <c r="AM218"/>
      <c r="AN218"/>
      <c r="AO218"/>
      <c r="AP218"/>
      <c r="AQ218"/>
    </row>
    <row r="219" spans="32:43" x14ac:dyDescent="0.25">
      <c r="AF219"/>
      <c r="AG219"/>
      <c r="AH219"/>
      <c r="AI219"/>
      <c r="AJ219"/>
      <c r="AK219"/>
      <c r="AL219"/>
      <c r="AM219"/>
      <c r="AN219"/>
      <c r="AO219"/>
      <c r="AP219"/>
      <c r="AQ219"/>
    </row>
    <row r="220" spans="32:43" x14ac:dyDescent="0.25">
      <c r="AF220"/>
      <c r="AG220"/>
      <c r="AH220"/>
      <c r="AI220"/>
      <c r="AJ220"/>
      <c r="AK220"/>
      <c r="AL220"/>
      <c r="AM220"/>
      <c r="AN220"/>
      <c r="AO220"/>
      <c r="AP220"/>
      <c r="AQ220"/>
    </row>
    <row r="221" spans="32:43" x14ac:dyDescent="0.25">
      <c r="AF221"/>
      <c r="AG221"/>
      <c r="AH221"/>
      <c r="AI221"/>
      <c r="AJ221"/>
      <c r="AK221"/>
      <c r="AL221"/>
      <c r="AM221"/>
      <c r="AN221"/>
      <c r="AO221"/>
      <c r="AP221"/>
      <c r="AQ221"/>
    </row>
    <row r="222" spans="32:43" x14ac:dyDescent="0.25">
      <c r="AF222"/>
      <c r="AG222"/>
      <c r="AH222"/>
      <c r="AI222"/>
      <c r="AJ222"/>
      <c r="AK222"/>
      <c r="AL222"/>
      <c r="AM222"/>
      <c r="AN222"/>
      <c r="AO222"/>
      <c r="AP222"/>
      <c r="AQ222"/>
    </row>
    <row r="223" spans="32:43" x14ac:dyDescent="0.25">
      <c r="AF223"/>
      <c r="AG223"/>
      <c r="AH223"/>
      <c r="AI223"/>
      <c r="AJ223"/>
      <c r="AK223"/>
      <c r="AL223"/>
      <c r="AM223"/>
      <c r="AN223"/>
      <c r="AO223"/>
      <c r="AP223"/>
      <c r="AQ223"/>
    </row>
    <row r="224" spans="32:43" x14ac:dyDescent="0.25">
      <c r="AF224"/>
      <c r="AG224"/>
      <c r="AH224"/>
      <c r="AI224"/>
      <c r="AJ224"/>
      <c r="AK224"/>
      <c r="AL224"/>
      <c r="AM224"/>
      <c r="AN224"/>
      <c r="AO224"/>
      <c r="AP224"/>
      <c r="AQ224"/>
    </row>
    <row r="225" spans="32:43" x14ac:dyDescent="0.25">
      <c r="AF225"/>
      <c r="AG225"/>
      <c r="AH225"/>
      <c r="AI225"/>
      <c r="AJ225"/>
      <c r="AK225"/>
      <c r="AL225"/>
      <c r="AM225"/>
      <c r="AN225"/>
      <c r="AO225"/>
      <c r="AP225"/>
      <c r="AQ225"/>
    </row>
    <row r="226" spans="32:43" x14ac:dyDescent="0.25">
      <c r="AF226"/>
      <c r="AG226"/>
      <c r="AH226"/>
      <c r="AI226"/>
      <c r="AJ226"/>
      <c r="AK226"/>
      <c r="AL226"/>
      <c r="AM226"/>
      <c r="AN226"/>
      <c r="AO226"/>
      <c r="AP226"/>
      <c r="AQ226"/>
    </row>
    <row r="227" spans="32:43" x14ac:dyDescent="0.25">
      <c r="AF227"/>
      <c r="AG227"/>
      <c r="AH227"/>
      <c r="AI227"/>
      <c r="AJ227"/>
      <c r="AK227"/>
      <c r="AL227"/>
      <c r="AM227"/>
      <c r="AN227"/>
      <c r="AO227"/>
      <c r="AP227"/>
      <c r="AQ227"/>
    </row>
    <row r="228" spans="32:43" x14ac:dyDescent="0.25">
      <c r="AF228"/>
      <c r="AG228"/>
      <c r="AH228"/>
      <c r="AI228"/>
      <c r="AJ228"/>
      <c r="AK228"/>
      <c r="AL228"/>
      <c r="AM228"/>
      <c r="AN228"/>
      <c r="AO228"/>
      <c r="AP228"/>
      <c r="AQ228"/>
    </row>
    <row r="229" spans="32:43" x14ac:dyDescent="0.25">
      <c r="AF229"/>
      <c r="AG229"/>
      <c r="AH229"/>
      <c r="AI229"/>
      <c r="AJ229"/>
      <c r="AK229"/>
      <c r="AL229"/>
      <c r="AM229"/>
      <c r="AN229"/>
      <c r="AO229"/>
      <c r="AP229"/>
      <c r="AQ229"/>
    </row>
    <row r="230" spans="32:43" x14ac:dyDescent="0.25">
      <c r="AF230"/>
      <c r="AG230"/>
      <c r="AH230"/>
      <c r="AI230"/>
      <c r="AJ230"/>
      <c r="AK230"/>
      <c r="AL230"/>
      <c r="AM230"/>
      <c r="AN230"/>
      <c r="AO230"/>
      <c r="AP230"/>
      <c r="AQ230"/>
    </row>
    <row r="231" spans="32:43" x14ac:dyDescent="0.25">
      <c r="AF231"/>
      <c r="AG231"/>
      <c r="AH231"/>
      <c r="AI231"/>
      <c r="AJ231"/>
      <c r="AK231"/>
      <c r="AL231"/>
      <c r="AM231"/>
      <c r="AN231"/>
      <c r="AO231"/>
      <c r="AP231"/>
      <c r="AQ231"/>
    </row>
    <row r="232" spans="32:43" x14ac:dyDescent="0.25">
      <c r="AF232"/>
      <c r="AG232"/>
      <c r="AH232"/>
      <c r="AI232"/>
      <c r="AJ232"/>
      <c r="AK232"/>
      <c r="AL232"/>
      <c r="AM232"/>
      <c r="AN232"/>
      <c r="AO232"/>
      <c r="AP232"/>
      <c r="AQ232"/>
    </row>
    <row r="233" spans="32:43" x14ac:dyDescent="0.25">
      <c r="AF233"/>
      <c r="AG233"/>
      <c r="AH233"/>
      <c r="AI233"/>
      <c r="AJ233"/>
      <c r="AK233"/>
      <c r="AL233"/>
      <c r="AM233"/>
      <c r="AN233"/>
      <c r="AO233"/>
      <c r="AP233"/>
      <c r="AQ233"/>
    </row>
    <row r="234" spans="32:43" x14ac:dyDescent="0.25">
      <c r="AF234"/>
      <c r="AG234"/>
      <c r="AH234"/>
      <c r="AI234"/>
      <c r="AJ234"/>
      <c r="AK234"/>
      <c r="AL234"/>
      <c r="AM234"/>
      <c r="AN234"/>
      <c r="AO234"/>
      <c r="AP234"/>
      <c r="AQ234"/>
    </row>
    <row r="235" spans="32:43" x14ac:dyDescent="0.25">
      <c r="AF235"/>
      <c r="AG235"/>
      <c r="AH235"/>
      <c r="AI235"/>
      <c r="AJ235"/>
      <c r="AK235"/>
      <c r="AL235"/>
      <c r="AM235"/>
      <c r="AN235"/>
      <c r="AO235"/>
      <c r="AP235"/>
      <c r="AQ235"/>
    </row>
    <row r="236" spans="32:43" x14ac:dyDescent="0.25">
      <c r="AF236"/>
      <c r="AG236"/>
      <c r="AH236"/>
      <c r="AI236"/>
      <c r="AJ236"/>
      <c r="AK236"/>
      <c r="AL236"/>
      <c r="AM236"/>
      <c r="AN236"/>
      <c r="AO236"/>
      <c r="AP236"/>
      <c r="AQ236"/>
    </row>
    <row r="237" spans="32:43" x14ac:dyDescent="0.25">
      <c r="AF237"/>
      <c r="AG237"/>
      <c r="AH237"/>
      <c r="AI237"/>
      <c r="AJ237"/>
      <c r="AK237"/>
      <c r="AL237"/>
      <c r="AM237"/>
      <c r="AN237"/>
      <c r="AO237"/>
      <c r="AP237"/>
      <c r="AQ237"/>
    </row>
    <row r="238" spans="32:43" x14ac:dyDescent="0.25">
      <c r="AF238"/>
      <c r="AG238"/>
      <c r="AH238"/>
      <c r="AI238"/>
      <c r="AJ238"/>
      <c r="AK238"/>
      <c r="AL238"/>
      <c r="AM238"/>
      <c r="AN238"/>
      <c r="AO238"/>
      <c r="AP238"/>
      <c r="AQ238"/>
    </row>
    <row r="239" spans="32:43" x14ac:dyDescent="0.25">
      <c r="AF239"/>
      <c r="AG239"/>
      <c r="AH239"/>
      <c r="AI239"/>
      <c r="AJ239"/>
      <c r="AK239"/>
      <c r="AL239"/>
      <c r="AM239"/>
      <c r="AN239"/>
      <c r="AO239"/>
      <c r="AP239"/>
      <c r="AQ239"/>
    </row>
    <row r="240" spans="32:43" x14ac:dyDescent="0.25">
      <c r="AF240"/>
      <c r="AG240"/>
      <c r="AH240"/>
      <c r="AI240"/>
      <c r="AJ240"/>
      <c r="AK240"/>
      <c r="AL240"/>
      <c r="AM240"/>
      <c r="AN240"/>
      <c r="AO240"/>
      <c r="AP240"/>
      <c r="AQ240"/>
    </row>
    <row r="241" spans="32:43" x14ac:dyDescent="0.25">
      <c r="AF241"/>
      <c r="AG241"/>
      <c r="AH241"/>
      <c r="AI241"/>
      <c r="AJ241"/>
      <c r="AK241"/>
      <c r="AL241"/>
      <c r="AM241"/>
      <c r="AN241"/>
      <c r="AO241"/>
      <c r="AP241"/>
      <c r="AQ241"/>
    </row>
    <row r="242" spans="32:43" x14ac:dyDescent="0.25">
      <c r="AF242"/>
      <c r="AG242"/>
      <c r="AH242"/>
      <c r="AI242"/>
      <c r="AJ242"/>
      <c r="AK242"/>
      <c r="AL242"/>
      <c r="AM242"/>
      <c r="AN242"/>
      <c r="AO242"/>
      <c r="AP242"/>
      <c r="AQ242"/>
    </row>
    <row r="243" spans="32:43" x14ac:dyDescent="0.25">
      <c r="AF243"/>
      <c r="AG243"/>
      <c r="AH243"/>
      <c r="AI243"/>
      <c r="AJ243"/>
      <c r="AK243"/>
      <c r="AL243"/>
      <c r="AM243"/>
      <c r="AN243"/>
      <c r="AO243"/>
      <c r="AP243"/>
      <c r="AQ243"/>
    </row>
    <row r="244" spans="32:43" x14ac:dyDescent="0.25">
      <c r="AF244"/>
      <c r="AG244"/>
      <c r="AH244"/>
      <c r="AI244"/>
      <c r="AJ244"/>
      <c r="AK244"/>
      <c r="AL244"/>
      <c r="AM244"/>
      <c r="AN244"/>
      <c r="AO244"/>
      <c r="AP244"/>
      <c r="AQ244"/>
    </row>
    <row r="245" spans="32:43" x14ac:dyDescent="0.25">
      <c r="AF245"/>
      <c r="AG245"/>
      <c r="AH245"/>
      <c r="AI245"/>
      <c r="AJ245"/>
      <c r="AK245"/>
      <c r="AL245"/>
      <c r="AM245"/>
      <c r="AN245"/>
      <c r="AO245"/>
      <c r="AP245"/>
      <c r="AQ245"/>
    </row>
    <row r="246" spans="32:43" x14ac:dyDescent="0.25">
      <c r="AF246"/>
      <c r="AG246"/>
      <c r="AH246"/>
      <c r="AI246"/>
      <c r="AJ246"/>
      <c r="AK246"/>
      <c r="AL246"/>
      <c r="AM246"/>
      <c r="AN246"/>
      <c r="AO246"/>
      <c r="AP246"/>
      <c r="AQ246"/>
    </row>
    <row r="247" spans="32:43" x14ac:dyDescent="0.25">
      <c r="AF247"/>
      <c r="AG247"/>
      <c r="AH247"/>
      <c r="AI247"/>
      <c r="AJ247"/>
      <c r="AK247"/>
      <c r="AL247"/>
      <c r="AM247"/>
      <c r="AN247"/>
      <c r="AO247"/>
      <c r="AP247"/>
      <c r="AQ247"/>
    </row>
    <row r="248" spans="32:43" x14ac:dyDescent="0.25">
      <c r="AF248"/>
      <c r="AG248"/>
      <c r="AH248"/>
      <c r="AI248"/>
      <c r="AJ248"/>
      <c r="AK248"/>
      <c r="AL248"/>
      <c r="AM248"/>
      <c r="AN248"/>
      <c r="AO248"/>
      <c r="AP248"/>
      <c r="AQ248"/>
    </row>
    <row r="249" spans="32:43" x14ac:dyDescent="0.25">
      <c r="AF249"/>
      <c r="AG249"/>
      <c r="AH249"/>
      <c r="AI249"/>
      <c r="AJ249"/>
      <c r="AK249"/>
      <c r="AL249"/>
      <c r="AM249"/>
      <c r="AN249"/>
      <c r="AO249"/>
      <c r="AP249"/>
      <c r="AQ249"/>
    </row>
  </sheetData>
  <mergeCells count="3">
    <mergeCell ref="AF1:AI1"/>
    <mergeCell ref="AJ1:AM1"/>
    <mergeCell ref="AN1:AQ1"/>
  </mergeCells>
  <conditionalFormatting sqref="F1:F2">
    <cfRule type="duplicateValues" dxfId="46" priority="1"/>
  </conditionalFormatting>
  <conditionalFormatting sqref="E1:E2">
    <cfRule type="duplicateValues" dxfId="45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249"/>
  <sheetViews>
    <sheetView zoomScale="70" zoomScaleNormal="70" workbookViewId="0">
      <pane ySplit="3" topLeftCell="A4" activePane="bottomLeft" state="frozen"/>
      <selection pane="bottomLeft" activeCell="X4" sqref="X4"/>
    </sheetView>
  </sheetViews>
  <sheetFormatPr defaultRowHeight="15" x14ac:dyDescent="0.25"/>
  <cols>
    <col min="2" max="2" width="28.28515625" hidden="1" customWidth="1"/>
    <col min="3" max="3" width="39.7109375" hidden="1" customWidth="1"/>
    <col min="4" max="4" width="46.7109375" customWidth="1"/>
    <col min="5" max="5" width="25.85546875" hidden="1" customWidth="1"/>
    <col min="6" max="6" width="38" style="17" customWidth="1"/>
    <col min="7" max="7" width="18.7109375" style="17" hidden="1" customWidth="1"/>
    <col min="8" max="9" width="21.28515625" style="17" hidden="1" customWidth="1"/>
    <col min="10" max="11" width="10.28515625" style="17" customWidth="1"/>
    <col min="12" max="13" width="7.7109375" style="17" customWidth="1"/>
    <col min="14" max="14" width="5.42578125" style="17" customWidth="1"/>
    <col min="15" max="15" width="5.28515625" style="17" customWidth="1"/>
    <col min="16" max="16" width="5.140625" style="17" customWidth="1"/>
    <col min="17" max="17" width="5.5703125" style="17" customWidth="1"/>
    <col min="18" max="18" width="12.140625" style="17" customWidth="1"/>
    <col min="19" max="20" width="21.28515625" style="17" hidden="1" customWidth="1"/>
    <col min="21" max="21" width="12.28515625" style="17" hidden="1" customWidth="1"/>
    <col min="22" max="22" width="21.28515625" style="17" hidden="1" customWidth="1"/>
    <col min="23" max="23" width="15" style="17" customWidth="1"/>
    <col min="24" max="24" width="10" style="17" customWidth="1"/>
    <col min="25" max="25" width="10.28515625" style="17" customWidth="1"/>
    <col min="26" max="26" width="35.42578125" style="23" hidden="1" customWidth="1"/>
    <col min="27" max="27" width="11.7109375" hidden="1" customWidth="1"/>
    <col min="28" max="28" width="11.28515625" style="180" customWidth="1"/>
    <col min="29" max="29" width="6.42578125" style="32" customWidth="1"/>
    <col min="30" max="30" width="6.7109375" style="32" customWidth="1"/>
    <col min="31" max="31" width="6.42578125" style="32" customWidth="1"/>
    <col min="32" max="32" width="6.28515625" style="32" customWidth="1"/>
    <col min="33" max="33" width="6.42578125" style="32" customWidth="1"/>
    <col min="34" max="34" width="6.7109375" style="32" customWidth="1"/>
    <col min="35" max="35" width="6.42578125" style="32" customWidth="1"/>
    <col min="36" max="36" width="6.28515625" style="32" customWidth="1"/>
  </cols>
  <sheetData>
    <row r="1" spans="1:36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33" t="s">
        <v>503</v>
      </c>
      <c r="O1" s="133" t="s">
        <v>504</v>
      </c>
      <c r="P1" s="133" t="s">
        <v>505</v>
      </c>
      <c r="Q1" s="133" t="s">
        <v>506</v>
      </c>
      <c r="R1" s="107" t="s">
        <v>13</v>
      </c>
      <c r="S1" s="1" t="s">
        <v>14</v>
      </c>
      <c r="T1" s="1" t="s">
        <v>15</v>
      </c>
      <c r="U1" s="2" t="s">
        <v>16</v>
      </c>
      <c r="V1" s="2" t="s">
        <v>17</v>
      </c>
      <c r="W1" s="3" t="s">
        <v>18</v>
      </c>
      <c r="X1" s="1" t="s">
        <v>19</v>
      </c>
      <c r="Y1" s="1" t="s">
        <v>20</v>
      </c>
      <c r="Z1" s="4" t="s">
        <v>21</v>
      </c>
      <c r="AA1" s="5" t="s">
        <v>22</v>
      </c>
      <c r="AB1" s="179" t="s">
        <v>23</v>
      </c>
      <c r="AC1" s="452" t="s">
        <v>979</v>
      </c>
      <c r="AD1" s="453"/>
      <c r="AE1" s="453"/>
      <c r="AF1" s="454"/>
      <c r="AG1" s="452" t="s">
        <v>1145</v>
      </c>
      <c r="AH1" s="453"/>
      <c r="AI1" s="453"/>
      <c r="AJ1" s="454"/>
    </row>
    <row r="2" spans="1:36" x14ac:dyDescent="0.25">
      <c r="A2" s="15"/>
      <c r="B2" s="15"/>
      <c r="C2" s="15"/>
      <c r="D2" s="30"/>
      <c r="E2" s="30"/>
      <c r="F2" s="15"/>
      <c r="G2" s="15"/>
      <c r="H2" s="171"/>
      <c r="I2" s="15"/>
      <c r="J2" s="15"/>
      <c r="K2" s="15"/>
      <c r="L2" s="15"/>
      <c r="M2" s="15"/>
      <c r="N2" s="15"/>
      <c r="O2" s="15"/>
      <c r="P2" s="15"/>
      <c r="Q2" s="15"/>
      <c r="R2" s="15"/>
      <c r="S2" s="170"/>
      <c r="T2" s="170"/>
      <c r="U2" s="15"/>
      <c r="V2" s="15"/>
      <c r="W2" s="15"/>
      <c r="X2" s="15"/>
      <c r="Y2" s="182"/>
      <c r="Z2" s="15"/>
      <c r="AA2" s="15"/>
      <c r="AB2" s="15"/>
      <c r="AC2" s="36">
        <v>0.3</v>
      </c>
      <c r="AD2" s="36">
        <v>0.35</v>
      </c>
      <c r="AE2" s="36">
        <v>0.2</v>
      </c>
      <c r="AF2" s="36">
        <v>0.15</v>
      </c>
      <c r="AG2" s="36">
        <v>0.3</v>
      </c>
      <c r="AH2" s="36">
        <v>0.35</v>
      </c>
      <c r="AI2" s="36">
        <v>0.2</v>
      </c>
      <c r="AJ2" s="36">
        <v>0.15</v>
      </c>
    </row>
    <row r="3" spans="1:36" x14ac:dyDescent="0.25">
      <c r="A3" s="15"/>
      <c r="B3" s="15"/>
      <c r="C3" s="15"/>
      <c r="D3" s="30"/>
      <c r="E3" s="30"/>
      <c r="F3" s="15"/>
      <c r="G3" s="15"/>
      <c r="H3" s="171"/>
      <c r="I3" s="15"/>
      <c r="J3" s="177"/>
      <c r="K3" s="183"/>
      <c r="L3" s="15"/>
      <c r="M3" s="15"/>
      <c r="N3" s="15"/>
      <c r="O3" s="15"/>
      <c r="P3" s="15"/>
      <c r="Q3" s="15"/>
      <c r="R3" s="15"/>
      <c r="S3" s="170"/>
      <c r="T3" s="170"/>
      <c r="U3" s="15"/>
      <c r="V3" s="15"/>
      <c r="W3" s="15"/>
      <c r="X3" s="15"/>
      <c r="Y3" s="15"/>
      <c r="Z3" s="15"/>
      <c r="AA3" s="15"/>
      <c r="AB3" s="15"/>
      <c r="AC3" s="91">
        <f t="shared" ref="AC3:AJ3" si="0">SUM(AC4:AC34)</f>
        <v>0</v>
      </c>
      <c r="AD3" s="91">
        <f t="shared" si="0"/>
        <v>0</v>
      </c>
      <c r="AE3" s="91">
        <f t="shared" si="0"/>
        <v>0</v>
      </c>
      <c r="AF3" s="91">
        <f t="shared" si="0"/>
        <v>0</v>
      </c>
      <c r="AG3" s="91">
        <f t="shared" si="0"/>
        <v>0</v>
      </c>
      <c r="AH3" s="91">
        <f t="shared" si="0"/>
        <v>0</v>
      </c>
      <c r="AI3" s="91">
        <f t="shared" si="0"/>
        <v>0</v>
      </c>
      <c r="AJ3" s="91">
        <f t="shared" si="0"/>
        <v>0</v>
      </c>
    </row>
    <row r="4" spans="1:36" ht="45" x14ac:dyDescent="0.25">
      <c r="A4" s="15">
        <v>419</v>
      </c>
      <c r="B4" s="15" t="s">
        <v>28</v>
      </c>
      <c r="C4" s="176" t="s">
        <v>507</v>
      </c>
      <c r="D4" s="30" t="s">
        <v>509</v>
      </c>
      <c r="E4" s="30"/>
      <c r="F4" s="15" t="s">
        <v>126</v>
      </c>
      <c r="G4" s="15"/>
      <c r="H4" s="171" t="s">
        <v>31</v>
      </c>
      <c r="I4" s="15"/>
      <c r="J4" s="177">
        <v>1.05</v>
      </c>
      <c r="K4" s="15">
        <v>1.05</v>
      </c>
      <c r="L4" s="15">
        <v>1</v>
      </c>
      <c r="M4" s="15" t="s">
        <v>33</v>
      </c>
      <c r="N4" s="15">
        <f>R4*0.3</f>
        <v>13.860000000000001</v>
      </c>
      <c r="O4" s="15">
        <f>R4*0.35</f>
        <v>16.170000000000002</v>
      </c>
      <c r="P4" s="15">
        <f>R4*0.2</f>
        <v>9.24</v>
      </c>
      <c r="Q4" s="15">
        <f>R4*0.15</f>
        <v>6.9300000000000006</v>
      </c>
      <c r="R4" s="143">
        <v>46.2</v>
      </c>
      <c r="S4" s="170">
        <v>105991.94</v>
      </c>
      <c r="T4" s="170">
        <v>111291.53700000001</v>
      </c>
      <c r="U4" s="15"/>
      <c r="V4" s="15"/>
      <c r="W4" s="12" t="s">
        <v>181</v>
      </c>
      <c r="X4" s="15">
        <v>71734</v>
      </c>
      <c r="Y4" s="15">
        <v>6.18</v>
      </c>
      <c r="Z4" s="15" t="s">
        <v>126</v>
      </c>
      <c r="AA4" s="178">
        <v>1</v>
      </c>
      <c r="AB4" s="15">
        <v>3517</v>
      </c>
      <c r="AC4" s="124"/>
      <c r="AD4" s="34"/>
      <c r="AE4" s="34"/>
      <c r="AF4" s="95"/>
      <c r="AG4" s="124"/>
      <c r="AH4" s="34"/>
      <c r="AI4" s="34"/>
      <c r="AJ4" s="95"/>
    </row>
    <row r="5" spans="1:36" ht="45" x14ac:dyDescent="0.25">
      <c r="A5" s="15">
        <v>420</v>
      </c>
      <c r="B5" s="15" t="s">
        <v>28</v>
      </c>
      <c r="C5" s="176" t="s">
        <v>507</v>
      </c>
      <c r="D5" s="30" t="s">
        <v>509</v>
      </c>
      <c r="E5" s="30"/>
      <c r="F5" s="15" t="s">
        <v>126</v>
      </c>
      <c r="G5" s="15"/>
      <c r="H5" s="171" t="s">
        <v>31</v>
      </c>
      <c r="I5" s="15"/>
      <c r="J5" s="177">
        <v>1.0525</v>
      </c>
      <c r="K5" s="177">
        <v>1.0525</v>
      </c>
      <c r="L5" s="15">
        <v>1</v>
      </c>
      <c r="M5" s="15" t="s">
        <v>33</v>
      </c>
      <c r="N5" s="15">
        <f t="shared" ref="N5:N34" si="1">R5*0.3</f>
        <v>13.893000000000001</v>
      </c>
      <c r="O5" s="15">
        <f t="shared" ref="O5:O34" si="2">R5*0.35</f>
        <v>16.208500000000001</v>
      </c>
      <c r="P5" s="15">
        <f t="shared" ref="P5:P34" si="3">R5*0.2</f>
        <v>9.2620000000000005</v>
      </c>
      <c r="Q5" s="15">
        <f t="shared" ref="Q5:Q34" si="4">R5*0.15</f>
        <v>6.9465000000000003</v>
      </c>
      <c r="R5" s="143">
        <v>46.31</v>
      </c>
      <c r="S5" s="170">
        <v>105991.94</v>
      </c>
      <c r="T5" s="170">
        <v>111556.51685</v>
      </c>
      <c r="U5" s="15"/>
      <c r="V5" s="15"/>
      <c r="W5" s="12" t="s">
        <v>181</v>
      </c>
      <c r="X5" s="15">
        <v>71735</v>
      </c>
      <c r="Y5" s="15">
        <v>6.18</v>
      </c>
      <c r="Z5" s="15" t="s">
        <v>126</v>
      </c>
      <c r="AA5" s="178">
        <v>1</v>
      </c>
      <c r="AB5" s="15">
        <v>3517</v>
      </c>
      <c r="AC5" s="58"/>
      <c r="AD5" s="42"/>
      <c r="AE5" s="42"/>
      <c r="AF5" s="59"/>
      <c r="AG5" s="58"/>
      <c r="AH5" s="42"/>
      <c r="AI5" s="42"/>
      <c r="AJ5" s="59"/>
    </row>
    <row r="6" spans="1:36" ht="45" x14ac:dyDescent="0.25">
      <c r="A6" s="15">
        <v>421</v>
      </c>
      <c r="B6" s="15" t="s">
        <v>28</v>
      </c>
      <c r="C6" s="176" t="s">
        <v>507</v>
      </c>
      <c r="D6" s="30" t="s">
        <v>509</v>
      </c>
      <c r="E6" s="30"/>
      <c r="F6" s="15" t="s">
        <v>168</v>
      </c>
      <c r="G6" s="15"/>
      <c r="H6" s="171" t="s">
        <v>31</v>
      </c>
      <c r="I6" s="15"/>
      <c r="J6" s="177">
        <v>2.9499999999999998E-2</v>
      </c>
      <c r="K6" s="177">
        <v>2.9499999999999998E-2</v>
      </c>
      <c r="L6" s="15">
        <v>1</v>
      </c>
      <c r="M6" s="15" t="s">
        <v>33</v>
      </c>
      <c r="N6" s="15">
        <f t="shared" si="1"/>
        <v>0.70799999999999996</v>
      </c>
      <c r="O6" s="15">
        <f t="shared" si="2"/>
        <v>0.82599999999999996</v>
      </c>
      <c r="P6" s="15">
        <f t="shared" si="3"/>
        <v>0.47199999999999998</v>
      </c>
      <c r="Q6" s="15">
        <f t="shared" si="4"/>
        <v>0.35399999999999998</v>
      </c>
      <c r="R6" s="143">
        <v>2.36</v>
      </c>
      <c r="S6" s="170">
        <v>105991.94</v>
      </c>
      <c r="T6" s="170">
        <v>3126.7622299999998</v>
      </c>
      <c r="U6" s="15"/>
      <c r="V6" s="15"/>
      <c r="W6" s="12" t="s">
        <v>182</v>
      </c>
      <c r="X6" s="15">
        <v>71735</v>
      </c>
      <c r="Y6" s="15">
        <v>6.18</v>
      </c>
      <c r="Z6" s="15" t="s">
        <v>168</v>
      </c>
      <c r="AA6" s="178">
        <v>2</v>
      </c>
      <c r="AB6" s="15">
        <v>3517</v>
      </c>
      <c r="AC6" s="58"/>
      <c r="AD6" s="42"/>
      <c r="AE6" s="42"/>
      <c r="AF6" s="59"/>
      <c r="AG6" s="58"/>
      <c r="AH6" s="42"/>
      <c r="AI6" s="42"/>
      <c r="AJ6" s="59"/>
    </row>
    <row r="7" spans="1:36" ht="45" x14ac:dyDescent="0.25">
      <c r="A7" s="15">
        <v>422</v>
      </c>
      <c r="B7" s="15" t="s">
        <v>28</v>
      </c>
      <c r="C7" s="176" t="s">
        <v>507</v>
      </c>
      <c r="D7" s="30" t="s">
        <v>509</v>
      </c>
      <c r="E7" s="30"/>
      <c r="F7" s="15" t="s">
        <v>168</v>
      </c>
      <c r="G7" s="15"/>
      <c r="H7" s="171" t="s">
        <v>31</v>
      </c>
      <c r="I7" s="15"/>
      <c r="J7" s="177">
        <v>2.9499999999999998E-2</v>
      </c>
      <c r="K7" s="177">
        <v>2.9499999999999998E-2</v>
      </c>
      <c r="L7" s="15">
        <v>1</v>
      </c>
      <c r="M7" s="15" t="s">
        <v>33</v>
      </c>
      <c r="N7" s="15">
        <f t="shared" si="1"/>
        <v>0.70799999999999996</v>
      </c>
      <c r="O7" s="15">
        <f t="shared" si="2"/>
        <v>0.82599999999999996</v>
      </c>
      <c r="P7" s="15">
        <f t="shared" si="3"/>
        <v>0.47199999999999998</v>
      </c>
      <c r="Q7" s="15">
        <f t="shared" si="4"/>
        <v>0.35399999999999998</v>
      </c>
      <c r="R7" s="143">
        <v>2.36</v>
      </c>
      <c r="S7" s="170">
        <v>105991.94</v>
      </c>
      <c r="T7" s="170">
        <v>3126.7622299999998</v>
      </c>
      <c r="U7" s="15"/>
      <c r="V7" s="15"/>
      <c r="W7" s="12" t="s">
        <v>182</v>
      </c>
      <c r="X7" s="15">
        <v>71735</v>
      </c>
      <c r="Y7" s="15">
        <v>6.18</v>
      </c>
      <c r="Z7" s="15" t="s">
        <v>168</v>
      </c>
      <c r="AA7" s="178">
        <v>3</v>
      </c>
      <c r="AB7" s="15">
        <v>3517</v>
      </c>
      <c r="AC7" s="58"/>
      <c r="AD7" s="42"/>
      <c r="AE7" s="42"/>
      <c r="AF7" s="59"/>
      <c r="AG7" s="58"/>
      <c r="AH7" s="42"/>
      <c r="AI7" s="42"/>
      <c r="AJ7" s="59"/>
    </row>
    <row r="8" spans="1:36" ht="45" x14ac:dyDescent="0.25">
      <c r="A8" s="15">
        <v>423</v>
      </c>
      <c r="B8" s="15" t="s">
        <v>28</v>
      </c>
      <c r="C8" s="176" t="s">
        <v>507</v>
      </c>
      <c r="D8" s="30" t="s">
        <v>509</v>
      </c>
      <c r="E8" s="30"/>
      <c r="F8" s="15" t="s">
        <v>172</v>
      </c>
      <c r="G8" s="15"/>
      <c r="H8" s="171" t="s">
        <v>31</v>
      </c>
      <c r="I8" s="15"/>
      <c r="J8" s="177">
        <v>1.8499999999999999E-2</v>
      </c>
      <c r="K8" s="177">
        <v>1.8499999999999999E-2</v>
      </c>
      <c r="L8" s="15">
        <v>1</v>
      </c>
      <c r="M8" s="15" t="s">
        <v>33</v>
      </c>
      <c r="N8" s="15">
        <f t="shared" si="1"/>
        <v>0.44400000000000001</v>
      </c>
      <c r="O8" s="15">
        <f t="shared" si="2"/>
        <v>0.51800000000000002</v>
      </c>
      <c r="P8" s="15">
        <f t="shared" si="3"/>
        <v>0.29599999999999999</v>
      </c>
      <c r="Q8" s="15">
        <f t="shared" si="4"/>
        <v>0.222</v>
      </c>
      <c r="R8" s="143">
        <v>1.48</v>
      </c>
      <c r="S8" s="170">
        <v>105991.94</v>
      </c>
      <c r="T8" s="170">
        <v>1960.8508899999999</v>
      </c>
      <c r="U8" s="15"/>
      <c r="V8" s="15"/>
      <c r="W8" s="12" t="s">
        <v>183</v>
      </c>
      <c r="X8" s="15">
        <v>71735</v>
      </c>
      <c r="Y8" s="15">
        <v>6.18</v>
      </c>
      <c r="Z8" s="15" t="s">
        <v>172</v>
      </c>
      <c r="AA8" s="178">
        <v>4</v>
      </c>
      <c r="AB8" s="15">
        <v>3517</v>
      </c>
      <c r="AC8" s="58"/>
      <c r="AD8" s="42"/>
      <c r="AE8" s="42"/>
      <c r="AF8" s="59"/>
      <c r="AG8" s="58"/>
      <c r="AH8" s="42"/>
      <c r="AI8" s="42"/>
      <c r="AJ8" s="59"/>
    </row>
    <row r="9" spans="1:36" ht="45" x14ac:dyDescent="0.25">
      <c r="A9" s="15">
        <v>424</v>
      </c>
      <c r="B9" s="15" t="s">
        <v>28</v>
      </c>
      <c r="C9" s="176" t="s">
        <v>507</v>
      </c>
      <c r="D9" s="30" t="s">
        <v>509</v>
      </c>
      <c r="E9" s="30"/>
      <c r="F9" s="15" t="s">
        <v>126</v>
      </c>
      <c r="G9" s="15"/>
      <c r="H9" s="171" t="s">
        <v>31</v>
      </c>
      <c r="I9" s="15"/>
      <c r="J9" s="177">
        <v>1.2315</v>
      </c>
      <c r="K9" s="177">
        <v>1.2315</v>
      </c>
      <c r="L9" s="15">
        <v>1</v>
      </c>
      <c r="M9" s="15" t="s">
        <v>33</v>
      </c>
      <c r="N9" s="15">
        <f t="shared" si="1"/>
        <v>16.255800000000001</v>
      </c>
      <c r="O9" s="15">
        <f t="shared" si="2"/>
        <v>18.9651</v>
      </c>
      <c r="P9" s="15">
        <f t="shared" si="3"/>
        <v>10.837200000000001</v>
      </c>
      <c r="Q9" s="15">
        <f t="shared" si="4"/>
        <v>8.1279000000000003</v>
      </c>
      <c r="R9" s="143">
        <v>54.186</v>
      </c>
      <c r="S9" s="170">
        <v>105991.94</v>
      </c>
      <c r="T9" s="170">
        <v>130529.07411</v>
      </c>
      <c r="U9" s="15"/>
      <c r="V9" s="15"/>
      <c r="W9" s="12" t="s">
        <v>181</v>
      </c>
      <c r="X9" s="15">
        <v>71736</v>
      </c>
      <c r="Y9" s="15">
        <v>6.18</v>
      </c>
      <c r="Z9" s="15" t="s">
        <v>126</v>
      </c>
      <c r="AA9" s="178">
        <v>1</v>
      </c>
      <c r="AB9" s="15">
        <v>3517</v>
      </c>
      <c r="AC9" s="58"/>
      <c r="AD9" s="42"/>
      <c r="AE9" s="42"/>
      <c r="AF9" s="59"/>
      <c r="AG9" s="58"/>
      <c r="AH9" s="42"/>
      <c r="AI9" s="42"/>
      <c r="AJ9" s="59"/>
    </row>
    <row r="10" spans="1:36" ht="45" x14ac:dyDescent="0.25">
      <c r="A10" s="15">
        <v>425</v>
      </c>
      <c r="B10" s="15" t="s">
        <v>28</v>
      </c>
      <c r="C10" s="176" t="s">
        <v>507</v>
      </c>
      <c r="D10" s="30" t="s">
        <v>509</v>
      </c>
      <c r="E10" s="30"/>
      <c r="F10" s="15" t="s">
        <v>172</v>
      </c>
      <c r="G10" s="15"/>
      <c r="H10" s="171" t="s">
        <v>31</v>
      </c>
      <c r="I10" s="15"/>
      <c r="J10" s="177">
        <v>1.8499999999999999E-2</v>
      </c>
      <c r="K10" s="177">
        <v>1.8499999999999999E-2</v>
      </c>
      <c r="L10" s="15">
        <v>1</v>
      </c>
      <c r="M10" s="15" t="s">
        <v>33</v>
      </c>
      <c r="N10" s="15">
        <f t="shared" si="1"/>
        <v>0.44400000000000001</v>
      </c>
      <c r="O10" s="15">
        <f t="shared" si="2"/>
        <v>0.51800000000000002</v>
      </c>
      <c r="P10" s="15">
        <f t="shared" si="3"/>
        <v>0.29599999999999999</v>
      </c>
      <c r="Q10" s="15">
        <f t="shared" si="4"/>
        <v>0.222</v>
      </c>
      <c r="R10" s="143">
        <v>1.48</v>
      </c>
      <c r="S10" s="170">
        <v>105991.94</v>
      </c>
      <c r="T10" s="170">
        <v>1960.8508899999999</v>
      </c>
      <c r="U10" s="15"/>
      <c r="V10" s="15"/>
      <c r="W10" s="12" t="s">
        <v>183</v>
      </c>
      <c r="X10" s="15">
        <v>71736</v>
      </c>
      <c r="Y10" s="15">
        <v>6.18</v>
      </c>
      <c r="Z10" s="15" t="s">
        <v>172</v>
      </c>
      <c r="AA10" s="178">
        <v>2</v>
      </c>
      <c r="AB10" s="15">
        <v>3517</v>
      </c>
      <c r="AC10" s="58"/>
      <c r="AD10" s="42"/>
      <c r="AE10" s="42"/>
      <c r="AF10" s="59"/>
      <c r="AG10" s="58"/>
      <c r="AH10" s="42"/>
      <c r="AI10" s="42"/>
      <c r="AJ10" s="59"/>
    </row>
    <row r="11" spans="1:36" ht="45" x14ac:dyDescent="0.25">
      <c r="A11" s="15">
        <v>426</v>
      </c>
      <c r="B11" s="15" t="s">
        <v>28</v>
      </c>
      <c r="C11" s="176" t="s">
        <v>507</v>
      </c>
      <c r="D11" s="30" t="s">
        <v>509</v>
      </c>
      <c r="E11" s="30"/>
      <c r="F11" s="15" t="s">
        <v>126</v>
      </c>
      <c r="G11" s="15"/>
      <c r="H11" s="171" t="s">
        <v>31</v>
      </c>
      <c r="I11" s="15"/>
      <c r="J11" s="177">
        <v>1.18</v>
      </c>
      <c r="K11" s="15">
        <v>1.18</v>
      </c>
      <c r="L11" s="15">
        <v>1</v>
      </c>
      <c r="M11" s="15" t="s">
        <v>33</v>
      </c>
      <c r="N11" s="15">
        <f t="shared" si="1"/>
        <v>15.575999999999997</v>
      </c>
      <c r="O11" s="15">
        <f t="shared" si="2"/>
        <v>18.171999999999997</v>
      </c>
      <c r="P11" s="15">
        <f t="shared" si="3"/>
        <v>10.384</v>
      </c>
      <c r="Q11" s="15">
        <f t="shared" si="4"/>
        <v>7.7879999999999985</v>
      </c>
      <c r="R11" s="143">
        <v>51.919999999999995</v>
      </c>
      <c r="S11" s="170">
        <v>105991.94</v>
      </c>
      <c r="T11" s="170">
        <v>125070.4892</v>
      </c>
      <c r="U11" s="15"/>
      <c r="V11" s="15"/>
      <c r="W11" s="12" t="s">
        <v>181</v>
      </c>
      <c r="X11" s="15">
        <v>71737</v>
      </c>
      <c r="Y11" s="15">
        <v>6.18</v>
      </c>
      <c r="Z11" s="15" t="s">
        <v>126</v>
      </c>
      <c r="AA11" s="178">
        <v>1</v>
      </c>
      <c r="AB11" s="15">
        <v>3517</v>
      </c>
      <c r="AC11" s="58"/>
      <c r="AD11" s="42"/>
      <c r="AE11" s="42"/>
      <c r="AF11" s="59"/>
      <c r="AG11" s="58"/>
      <c r="AH11" s="42"/>
      <c r="AI11" s="42"/>
      <c r="AJ11" s="59"/>
    </row>
    <row r="12" spans="1:36" ht="45" x14ac:dyDescent="0.25">
      <c r="A12" s="15">
        <v>443</v>
      </c>
      <c r="B12" s="15" t="s">
        <v>28</v>
      </c>
      <c r="C12" s="176" t="s">
        <v>507</v>
      </c>
      <c r="D12" s="30" t="s">
        <v>509</v>
      </c>
      <c r="E12" s="8"/>
      <c r="F12" s="15" t="s">
        <v>510</v>
      </c>
      <c r="G12" s="9"/>
      <c r="H12" s="171" t="s">
        <v>31</v>
      </c>
      <c r="I12" s="9"/>
      <c r="J12" s="9">
        <v>5.2</v>
      </c>
      <c r="K12" s="9">
        <f>L12*J12</f>
        <v>5.2</v>
      </c>
      <c r="L12" s="9">
        <v>1</v>
      </c>
      <c r="M12" s="15" t="s">
        <v>33</v>
      </c>
      <c r="N12" s="15">
        <f t="shared" si="1"/>
        <v>51.48</v>
      </c>
      <c r="O12" s="15">
        <f t="shared" si="2"/>
        <v>60.059999999999995</v>
      </c>
      <c r="P12" s="15">
        <f t="shared" si="3"/>
        <v>34.32</v>
      </c>
      <c r="Q12" s="15">
        <f t="shared" si="4"/>
        <v>25.74</v>
      </c>
      <c r="R12" s="38">
        <v>171.6</v>
      </c>
      <c r="S12" s="170">
        <v>105991.94</v>
      </c>
      <c r="T12" s="9">
        <v>551158.08799999999</v>
      </c>
      <c r="U12" s="9"/>
      <c r="V12" s="9"/>
      <c r="W12" s="12" t="s">
        <v>511</v>
      </c>
      <c r="X12" s="9">
        <v>73925</v>
      </c>
      <c r="Y12" s="9">
        <v>6.33</v>
      </c>
      <c r="Z12" s="15" t="s">
        <v>510</v>
      </c>
      <c r="AA12" s="178">
        <v>1</v>
      </c>
      <c r="AB12" s="172">
        <v>3516</v>
      </c>
      <c r="AC12" s="58"/>
      <c r="AD12" s="42"/>
      <c r="AE12" s="42"/>
      <c r="AF12" s="59"/>
      <c r="AG12" s="58"/>
      <c r="AH12" s="42"/>
      <c r="AI12" s="42"/>
      <c r="AJ12" s="59"/>
    </row>
    <row r="13" spans="1:36" ht="45" x14ac:dyDescent="0.25">
      <c r="A13" s="15">
        <v>444</v>
      </c>
      <c r="B13" s="15" t="s">
        <v>28</v>
      </c>
      <c r="C13" s="176" t="s">
        <v>507</v>
      </c>
      <c r="D13" s="30" t="s">
        <v>509</v>
      </c>
      <c r="E13" s="8"/>
      <c r="F13" s="15" t="s">
        <v>90</v>
      </c>
      <c r="G13" s="9"/>
      <c r="H13" s="171" t="s">
        <v>31</v>
      </c>
      <c r="I13" s="9"/>
      <c r="J13" s="9">
        <v>0.04</v>
      </c>
      <c r="K13" s="9">
        <f t="shared" ref="K13:K34" si="5">L13*J13</f>
        <v>0.08</v>
      </c>
      <c r="L13" s="9">
        <v>2</v>
      </c>
      <c r="M13" s="15" t="s">
        <v>33</v>
      </c>
      <c r="N13" s="15">
        <f t="shared" si="1"/>
        <v>1.92</v>
      </c>
      <c r="O13" s="15">
        <f t="shared" si="2"/>
        <v>2.2399999999999998</v>
      </c>
      <c r="P13" s="15">
        <f t="shared" si="3"/>
        <v>1.2800000000000002</v>
      </c>
      <c r="Q13" s="15">
        <f t="shared" si="4"/>
        <v>0.96</v>
      </c>
      <c r="R13" s="38">
        <v>6.4</v>
      </c>
      <c r="S13" s="170">
        <v>105991.94</v>
      </c>
      <c r="T13" s="9">
        <v>8479.3552</v>
      </c>
      <c r="U13" s="9"/>
      <c r="V13" s="9"/>
      <c r="W13" s="12" t="s">
        <v>512</v>
      </c>
      <c r="X13" s="9">
        <v>73925</v>
      </c>
      <c r="Y13" s="9">
        <v>6.33</v>
      </c>
      <c r="Z13" s="15" t="s">
        <v>90</v>
      </c>
      <c r="AA13" s="178">
        <v>2</v>
      </c>
      <c r="AB13" s="172">
        <v>3516</v>
      </c>
      <c r="AC13" s="58"/>
      <c r="AD13" s="42"/>
      <c r="AE13" s="42"/>
      <c r="AF13" s="59"/>
      <c r="AG13" s="58"/>
      <c r="AH13" s="42"/>
      <c r="AI13" s="42"/>
      <c r="AJ13" s="59"/>
    </row>
    <row r="14" spans="1:36" ht="45" x14ac:dyDescent="0.25">
      <c r="A14" s="15">
        <v>445</v>
      </c>
      <c r="B14" s="15" t="s">
        <v>28</v>
      </c>
      <c r="C14" s="176" t="s">
        <v>507</v>
      </c>
      <c r="D14" s="30" t="s">
        <v>509</v>
      </c>
      <c r="E14" s="8"/>
      <c r="F14" s="15" t="s">
        <v>152</v>
      </c>
      <c r="G14" s="9"/>
      <c r="H14" s="171" t="s">
        <v>31</v>
      </c>
      <c r="I14" s="9"/>
      <c r="J14" s="9">
        <v>1.2999999999999999E-4</v>
      </c>
      <c r="K14" s="9">
        <f t="shared" si="5"/>
        <v>1.0399999999999999E-3</v>
      </c>
      <c r="L14" s="9">
        <v>8</v>
      </c>
      <c r="M14" s="15" t="s">
        <v>33</v>
      </c>
      <c r="N14" s="15">
        <f t="shared" si="1"/>
        <v>2.496E-2</v>
      </c>
      <c r="O14" s="15">
        <f t="shared" si="2"/>
        <v>2.9119999999999997E-2</v>
      </c>
      <c r="P14" s="15">
        <f t="shared" si="3"/>
        <v>1.6639999999999999E-2</v>
      </c>
      <c r="Q14" s="15">
        <f t="shared" si="4"/>
        <v>1.248E-2</v>
      </c>
      <c r="R14" s="38">
        <v>8.3199999999999996E-2</v>
      </c>
      <c r="S14" s="170">
        <v>105991.94</v>
      </c>
      <c r="T14" s="9">
        <v>110.23161759999999</v>
      </c>
      <c r="U14" s="9"/>
      <c r="V14" s="9"/>
      <c r="W14" s="12" t="s">
        <v>116</v>
      </c>
      <c r="X14" s="9">
        <v>73925</v>
      </c>
      <c r="Y14" s="9">
        <v>6.33</v>
      </c>
      <c r="Z14" s="15" t="s">
        <v>152</v>
      </c>
      <c r="AA14" s="178">
        <v>3</v>
      </c>
      <c r="AB14" s="172">
        <v>3516</v>
      </c>
      <c r="AC14" s="58"/>
      <c r="AD14" s="42"/>
      <c r="AE14" s="42"/>
      <c r="AF14" s="59"/>
      <c r="AG14" s="58"/>
      <c r="AH14" s="42"/>
      <c r="AI14" s="42"/>
      <c r="AJ14" s="59"/>
    </row>
    <row r="15" spans="1:36" ht="45" x14ac:dyDescent="0.25">
      <c r="A15" s="15">
        <v>446</v>
      </c>
      <c r="B15" s="15" t="s">
        <v>28</v>
      </c>
      <c r="C15" s="176" t="s">
        <v>507</v>
      </c>
      <c r="D15" s="30" t="s">
        <v>509</v>
      </c>
      <c r="E15" s="8"/>
      <c r="F15" s="15" t="s">
        <v>153</v>
      </c>
      <c r="G15" s="9"/>
      <c r="H15" s="171" t="s">
        <v>31</v>
      </c>
      <c r="I15" s="9"/>
      <c r="J15" s="9">
        <v>0.17199999999999999</v>
      </c>
      <c r="K15" s="9">
        <f t="shared" si="5"/>
        <v>0.17199999999999999</v>
      </c>
      <c r="L15" s="9">
        <v>1</v>
      </c>
      <c r="M15" s="15" t="s">
        <v>33</v>
      </c>
      <c r="N15" s="15">
        <f t="shared" si="1"/>
        <v>3.1991999999999998</v>
      </c>
      <c r="O15" s="15">
        <f t="shared" si="2"/>
        <v>3.7323999999999997</v>
      </c>
      <c r="P15" s="15">
        <f t="shared" si="3"/>
        <v>2.1328</v>
      </c>
      <c r="Q15" s="15">
        <f t="shared" si="4"/>
        <v>1.5995999999999999</v>
      </c>
      <c r="R15" s="38">
        <v>10.664</v>
      </c>
      <c r="S15" s="170">
        <v>105991.94</v>
      </c>
      <c r="T15" s="9">
        <v>18230.613679999999</v>
      </c>
      <c r="U15" s="9"/>
      <c r="V15" s="9"/>
      <c r="W15" s="12" t="s">
        <v>513</v>
      </c>
      <c r="X15" s="9">
        <v>73925</v>
      </c>
      <c r="Y15" s="9">
        <v>6.33</v>
      </c>
      <c r="Z15" s="15" t="s">
        <v>153</v>
      </c>
      <c r="AA15" s="178">
        <v>4</v>
      </c>
      <c r="AB15" s="172">
        <v>3516</v>
      </c>
      <c r="AC15" s="58"/>
      <c r="AD15" s="42"/>
      <c r="AE15" s="42"/>
      <c r="AF15" s="59"/>
      <c r="AG15" s="58"/>
      <c r="AH15" s="42"/>
      <c r="AI15" s="42"/>
      <c r="AJ15" s="59"/>
    </row>
    <row r="16" spans="1:36" ht="45" x14ac:dyDescent="0.25">
      <c r="A16" s="15">
        <v>447</v>
      </c>
      <c r="B16" s="15" t="s">
        <v>28</v>
      </c>
      <c r="C16" s="176" t="s">
        <v>507</v>
      </c>
      <c r="D16" s="30" t="s">
        <v>509</v>
      </c>
      <c r="E16" s="8"/>
      <c r="F16" s="15" t="s">
        <v>514</v>
      </c>
      <c r="G16" s="9"/>
      <c r="H16" s="171" t="s">
        <v>31</v>
      </c>
      <c r="I16" s="9"/>
      <c r="J16" s="9">
        <v>5.1200000000000002E-2</v>
      </c>
      <c r="K16" s="9">
        <f t="shared" si="5"/>
        <v>0.25600000000000001</v>
      </c>
      <c r="L16" s="9">
        <v>5</v>
      </c>
      <c r="M16" s="15" t="s">
        <v>33</v>
      </c>
      <c r="N16" s="15">
        <f t="shared" si="1"/>
        <v>5.2991999999999999</v>
      </c>
      <c r="O16" s="15">
        <f t="shared" si="2"/>
        <v>6.1824000000000003</v>
      </c>
      <c r="P16" s="15">
        <f t="shared" si="3"/>
        <v>3.5328000000000004</v>
      </c>
      <c r="Q16" s="15">
        <f t="shared" si="4"/>
        <v>2.6496</v>
      </c>
      <c r="R16" s="38">
        <v>17.664000000000001</v>
      </c>
      <c r="S16" s="170">
        <v>105991.94</v>
      </c>
      <c r="T16" s="9">
        <v>27133.93664</v>
      </c>
      <c r="U16" s="9"/>
      <c r="V16" s="9"/>
      <c r="W16" s="12" t="s">
        <v>515</v>
      </c>
      <c r="X16" s="9">
        <v>73925</v>
      </c>
      <c r="Y16" s="9">
        <v>6.33</v>
      </c>
      <c r="Z16" s="15" t="s">
        <v>514</v>
      </c>
      <c r="AA16" s="178">
        <v>5</v>
      </c>
      <c r="AB16" s="172">
        <v>3516</v>
      </c>
      <c r="AC16" s="125"/>
      <c r="AD16" s="42"/>
      <c r="AE16" s="42"/>
      <c r="AF16" s="59"/>
      <c r="AG16" s="58"/>
      <c r="AH16" s="42"/>
      <c r="AI16" s="42"/>
      <c r="AJ16" s="59"/>
    </row>
    <row r="17" spans="1:36" ht="45" x14ac:dyDescent="0.25">
      <c r="A17" s="15">
        <v>448</v>
      </c>
      <c r="B17" s="15" t="s">
        <v>28</v>
      </c>
      <c r="C17" s="176" t="s">
        <v>507</v>
      </c>
      <c r="D17" s="30" t="s">
        <v>509</v>
      </c>
      <c r="E17" s="8"/>
      <c r="F17" s="15" t="s">
        <v>516</v>
      </c>
      <c r="G17" s="9"/>
      <c r="H17" s="171" t="s">
        <v>31</v>
      </c>
      <c r="I17" s="9"/>
      <c r="J17" s="9">
        <v>2.5000000000000001E-2</v>
      </c>
      <c r="K17" s="9">
        <f t="shared" si="5"/>
        <v>0.1</v>
      </c>
      <c r="L17" s="9">
        <v>4</v>
      </c>
      <c r="M17" s="15" t="s">
        <v>33</v>
      </c>
      <c r="N17" s="15">
        <f t="shared" si="1"/>
        <v>2.4</v>
      </c>
      <c r="O17" s="15">
        <f t="shared" si="2"/>
        <v>2.8</v>
      </c>
      <c r="P17" s="15">
        <f t="shared" si="3"/>
        <v>1.6</v>
      </c>
      <c r="Q17" s="15">
        <f t="shared" si="4"/>
        <v>1.2</v>
      </c>
      <c r="R17" s="38">
        <v>8</v>
      </c>
      <c r="S17" s="170">
        <v>105991.94</v>
      </c>
      <c r="T17" s="9">
        <v>10599.194000000001</v>
      </c>
      <c r="U17" s="9"/>
      <c r="V17" s="9"/>
      <c r="W17" s="12" t="s">
        <v>517</v>
      </c>
      <c r="X17" s="9">
        <v>73925</v>
      </c>
      <c r="Y17" s="9">
        <v>6.33</v>
      </c>
      <c r="Z17" s="15" t="s">
        <v>516</v>
      </c>
      <c r="AA17" s="178">
        <v>6</v>
      </c>
      <c r="AB17" s="172">
        <v>3516</v>
      </c>
      <c r="AC17" s="125"/>
      <c r="AD17" s="42"/>
      <c r="AE17" s="42"/>
      <c r="AF17" s="59"/>
      <c r="AG17" s="58"/>
      <c r="AH17" s="42"/>
      <c r="AI17" s="42"/>
      <c r="AJ17" s="59"/>
    </row>
    <row r="18" spans="1:36" ht="45" x14ac:dyDescent="0.25">
      <c r="A18" s="15">
        <v>449</v>
      </c>
      <c r="B18" s="15" t="s">
        <v>28</v>
      </c>
      <c r="C18" s="176" t="s">
        <v>507</v>
      </c>
      <c r="D18" s="30" t="s">
        <v>509</v>
      </c>
      <c r="E18" s="8"/>
      <c r="F18" s="15" t="s">
        <v>111</v>
      </c>
      <c r="G18" s="9"/>
      <c r="H18" s="171" t="s">
        <v>31</v>
      </c>
      <c r="I18" s="9"/>
      <c r="J18" s="9">
        <v>3.7000000000000002E-3</v>
      </c>
      <c r="K18" s="9">
        <f t="shared" si="5"/>
        <v>2.9600000000000001E-2</v>
      </c>
      <c r="L18" s="9">
        <v>8</v>
      </c>
      <c r="M18" s="15" t="s">
        <v>33</v>
      </c>
      <c r="N18" s="15">
        <f t="shared" si="1"/>
        <v>0.71040000000000003</v>
      </c>
      <c r="O18" s="15">
        <f t="shared" si="2"/>
        <v>0.82880000000000009</v>
      </c>
      <c r="P18" s="15">
        <f t="shared" si="3"/>
        <v>0.47360000000000008</v>
      </c>
      <c r="Q18" s="15">
        <f t="shared" si="4"/>
        <v>0.35520000000000002</v>
      </c>
      <c r="R18" s="38">
        <v>2.3680000000000003</v>
      </c>
      <c r="S18" s="170">
        <v>105991.94</v>
      </c>
      <c r="T18" s="9">
        <v>3137.3614240000002</v>
      </c>
      <c r="U18" s="9"/>
      <c r="V18" s="9"/>
      <c r="W18" s="12" t="s">
        <v>518</v>
      </c>
      <c r="X18" s="9">
        <v>73925</v>
      </c>
      <c r="Y18" s="9">
        <v>6.33</v>
      </c>
      <c r="Z18" s="15" t="s">
        <v>111</v>
      </c>
      <c r="AA18" s="178">
        <v>7</v>
      </c>
      <c r="AB18" s="172">
        <v>3516</v>
      </c>
      <c r="AC18" s="58"/>
      <c r="AD18" s="42"/>
      <c r="AE18" s="42"/>
      <c r="AF18" s="59"/>
      <c r="AG18" s="58"/>
      <c r="AH18" s="42"/>
      <c r="AI18" s="42"/>
      <c r="AJ18" s="59"/>
    </row>
    <row r="19" spans="1:36" ht="45" x14ac:dyDescent="0.25">
      <c r="A19" s="15">
        <v>450</v>
      </c>
      <c r="B19" s="15" t="s">
        <v>28</v>
      </c>
      <c r="C19" s="176" t="s">
        <v>507</v>
      </c>
      <c r="D19" s="30" t="s">
        <v>509</v>
      </c>
      <c r="E19" s="8"/>
      <c r="F19" s="15" t="s">
        <v>94</v>
      </c>
      <c r="G19" s="9"/>
      <c r="H19" s="171" t="s">
        <v>31</v>
      </c>
      <c r="I19" s="9"/>
      <c r="J19" s="9">
        <v>4.4999999999999997E-3</v>
      </c>
      <c r="K19" s="9">
        <f t="shared" si="5"/>
        <v>8.9999999999999993E-3</v>
      </c>
      <c r="L19" s="9">
        <v>2</v>
      </c>
      <c r="M19" s="15" t="s">
        <v>33</v>
      </c>
      <c r="N19" s="15">
        <f t="shared" si="1"/>
        <v>0.216</v>
      </c>
      <c r="O19" s="15">
        <f t="shared" si="2"/>
        <v>0.252</v>
      </c>
      <c r="P19" s="15">
        <f t="shared" si="3"/>
        <v>0.14399999999999999</v>
      </c>
      <c r="Q19" s="15">
        <f t="shared" si="4"/>
        <v>0.108</v>
      </c>
      <c r="R19" s="38">
        <v>0.72</v>
      </c>
      <c r="S19" s="170">
        <v>105991.94</v>
      </c>
      <c r="T19" s="9">
        <v>953.92746</v>
      </c>
      <c r="U19" s="9"/>
      <c r="V19" s="9"/>
      <c r="W19" s="12" t="s">
        <v>519</v>
      </c>
      <c r="X19" s="9">
        <v>73925</v>
      </c>
      <c r="Y19" s="9">
        <v>6.33</v>
      </c>
      <c r="Z19" s="15" t="s">
        <v>94</v>
      </c>
      <c r="AA19" s="178">
        <v>8</v>
      </c>
      <c r="AB19" s="172">
        <v>3516</v>
      </c>
      <c r="AC19" s="125"/>
      <c r="AD19" s="42"/>
      <c r="AE19" s="42"/>
      <c r="AF19" s="59"/>
      <c r="AG19" s="58"/>
      <c r="AH19" s="42"/>
      <c r="AI19" s="42"/>
      <c r="AJ19" s="59"/>
    </row>
    <row r="20" spans="1:36" ht="45" x14ac:dyDescent="0.25">
      <c r="A20" s="15">
        <v>451</v>
      </c>
      <c r="B20" s="15" t="s">
        <v>28</v>
      </c>
      <c r="C20" s="176" t="s">
        <v>507</v>
      </c>
      <c r="D20" s="30" t="s">
        <v>509</v>
      </c>
      <c r="E20" s="8"/>
      <c r="F20" s="15" t="s">
        <v>520</v>
      </c>
      <c r="G20" s="9"/>
      <c r="H20" s="171" t="s">
        <v>31</v>
      </c>
      <c r="I20" s="9"/>
      <c r="J20" s="9">
        <v>3.3500000000000002E-2</v>
      </c>
      <c r="K20" s="9">
        <f t="shared" si="5"/>
        <v>0.13400000000000001</v>
      </c>
      <c r="L20" s="9">
        <v>4</v>
      </c>
      <c r="M20" s="15" t="s">
        <v>33</v>
      </c>
      <c r="N20" s="15">
        <f t="shared" si="1"/>
        <v>3.2160000000000002</v>
      </c>
      <c r="O20" s="15">
        <f t="shared" si="2"/>
        <v>3.7519999999999998</v>
      </c>
      <c r="P20" s="15">
        <f t="shared" si="3"/>
        <v>2.1440000000000001</v>
      </c>
      <c r="Q20" s="15">
        <f t="shared" si="4"/>
        <v>1.6080000000000001</v>
      </c>
      <c r="R20" s="38">
        <v>10.72</v>
      </c>
      <c r="S20" s="170">
        <v>105991.94</v>
      </c>
      <c r="T20" s="9">
        <v>14202.919960000001</v>
      </c>
      <c r="U20" s="9"/>
      <c r="V20" s="9"/>
      <c r="W20" s="12" t="s">
        <v>521</v>
      </c>
      <c r="X20" s="9">
        <v>73925</v>
      </c>
      <c r="Y20" s="9">
        <v>6.33</v>
      </c>
      <c r="Z20" s="15" t="s">
        <v>520</v>
      </c>
      <c r="AA20" s="178">
        <v>9</v>
      </c>
      <c r="AB20" s="172">
        <v>3516</v>
      </c>
      <c r="AC20" s="125"/>
      <c r="AD20" s="42"/>
      <c r="AE20" s="42"/>
      <c r="AF20" s="59"/>
      <c r="AG20" s="58"/>
      <c r="AH20" s="42"/>
      <c r="AI20" s="42"/>
      <c r="AJ20" s="59"/>
    </row>
    <row r="21" spans="1:36" ht="45" x14ac:dyDescent="0.25">
      <c r="A21" s="15">
        <v>452</v>
      </c>
      <c r="B21" s="15" t="s">
        <v>28</v>
      </c>
      <c r="C21" s="176" t="s">
        <v>507</v>
      </c>
      <c r="D21" s="30" t="s">
        <v>509</v>
      </c>
      <c r="E21" s="8"/>
      <c r="F21" s="15" t="s">
        <v>94</v>
      </c>
      <c r="G21" s="9"/>
      <c r="H21" s="171" t="s">
        <v>31</v>
      </c>
      <c r="I21" s="9"/>
      <c r="J21" s="9">
        <v>4.4000000000000003E-3</v>
      </c>
      <c r="K21" s="9">
        <f t="shared" si="5"/>
        <v>8.8000000000000005E-3</v>
      </c>
      <c r="L21" s="9">
        <v>2</v>
      </c>
      <c r="M21" s="15" t="s">
        <v>33</v>
      </c>
      <c r="N21" s="15">
        <f t="shared" si="1"/>
        <v>0.21120000000000003</v>
      </c>
      <c r="O21" s="15">
        <f t="shared" si="2"/>
        <v>0.24640000000000001</v>
      </c>
      <c r="P21" s="15">
        <f t="shared" si="3"/>
        <v>0.14080000000000001</v>
      </c>
      <c r="Q21" s="15">
        <f t="shared" si="4"/>
        <v>0.10560000000000001</v>
      </c>
      <c r="R21" s="38">
        <v>0.70400000000000007</v>
      </c>
      <c r="S21" s="170">
        <v>105991.94</v>
      </c>
      <c r="T21" s="9">
        <v>932.72907200000009</v>
      </c>
      <c r="U21" s="9"/>
      <c r="V21" s="9"/>
      <c r="W21" s="12" t="s">
        <v>519</v>
      </c>
      <c r="X21" s="9">
        <v>73925</v>
      </c>
      <c r="Y21" s="9">
        <v>6.33</v>
      </c>
      <c r="Z21" s="15" t="s">
        <v>94</v>
      </c>
      <c r="AA21" s="178">
        <v>10</v>
      </c>
      <c r="AB21" s="172">
        <v>3516</v>
      </c>
      <c r="AC21" s="125"/>
      <c r="AD21" s="42"/>
      <c r="AE21" s="42"/>
      <c r="AF21" s="59"/>
      <c r="AG21" s="58"/>
      <c r="AH21" s="42"/>
      <c r="AI21" s="42"/>
      <c r="AJ21" s="59"/>
    </row>
    <row r="22" spans="1:36" ht="45" x14ac:dyDescent="0.25">
      <c r="A22" s="15">
        <v>453</v>
      </c>
      <c r="B22" s="15" t="s">
        <v>28</v>
      </c>
      <c r="C22" s="176" t="s">
        <v>507</v>
      </c>
      <c r="D22" s="30" t="s">
        <v>509</v>
      </c>
      <c r="E22" s="8"/>
      <c r="F22" s="15" t="s">
        <v>111</v>
      </c>
      <c r="G22" s="9"/>
      <c r="H22" s="171" t="s">
        <v>31</v>
      </c>
      <c r="I22" s="9"/>
      <c r="J22" s="9">
        <v>3.7000000000000002E-3</v>
      </c>
      <c r="K22" s="9">
        <f t="shared" si="5"/>
        <v>2.9600000000000001E-2</v>
      </c>
      <c r="L22" s="9">
        <v>8</v>
      </c>
      <c r="M22" s="15" t="s">
        <v>33</v>
      </c>
      <c r="N22" s="15">
        <f t="shared" si="1"/>
        <v>0.71040000000000003</v>
      </c>
      <c r="O22" s="15">
        <f t="shared" si="2"/>
        <v>0.82880000000000009</v>
      </c>
      <c r="P22" s="15">
        <f t="shared" si="3"/>
        <v>0.47360000000000008</v>
      </c>
      <c r="Q22" s="15">
        <f t="shared" si="4"/>
        <v>0.35520000000000002</v>
      </c>
      <c r="R22" s="38">
        <v>2.3680000000000003</v>
      </c>
      <c r="S22" s="170">
        <v>105991.94</v>
      </c>
      <c r="T22" s="9">
        <v>3137.3614240000002</v>
      </c>
      <c r="U22" s="9"/>
      <c r="V22" s="9"/>
      <c r="W22" s="12" t="s">
        <v>518</v>
      </c>
      <c r="X22" s="9">
        <v>73925</v>
      </c>
      <c r="Y22" s="9">
        <v>6.33</v>
      </c>
      <c r="Z22" s="15" t="s">
        <v>111</v>
      </c>
      <c r="AA22" s="178">
        <v>11</v>
      </c>
      <c r="AB22" s="172">
        <v>3516</v>
      </c>
      <c r="AC22" s="125"/>
      <c r="AD22" s="42"/>
      <c r="AE22" s="42"/>
      <c r="AF22" s="59"/>
      <c r="AG22" s="58"/>
      <c r="AH22" s="42"/>
      <c r="AI22" s="42"/>
      <c r="AJ22" s="59"/>
    </row>
    <row r="23" spans="1:36" ht="45" x14ac:dyDescent="0.25">
      <c r="A23" s="15">
        <v>454</v>
      </c>
      <c r="B23" s="15" t="s">
        <v>28</v>
      </c>
      <c r="C23" s="176" t="s">
        <v>507</v>
      </c>
      <c r="D23" s="30" t="s">
        <v>509</v>
      </c>
      <c r="E23" s="8"/>
      <c r="F23" s="15" t="s">
        <v>520</v>
      </c>
      <c r="G23" s="9"/>
      <c r="H23" s="171" t="s">
        <v>31</v>
      </c>
      <c r="I23" s="9"/>
      <c r="J23" s="9">
        <v>0.03</v>
      </c>
      <c r="K23" s="9">
        <f t="shared" si="5"/>
        <v>0.12</v>
      </c>
      <c r="L23" s="9">
        <v>4</v>
      </c>
      <c r="M23" s="15" t="s">
        <v>33</v>
      </c>
      <c r="N23" s="15">
        <f t="shared" si="1"/>
        <v>2.88</v>
      </c>
      <c r="O23" s="15">
        <f t="shared" si="2"/>
        <v>3.36</v>
      </c>
      <c r="P23" s="15">
        <f t="shared" si="3"/>
        <v>1.92</v>
      </c>
      <c r="Q23" s="15">
        <f t="shared" si="4"/>
        <v>1.44</v>
      </c>
      <c r="R23" s="38">
        <v>9.6</v>
      </c>
      <c r="S23" s="170">
        <v>105991.94</v>
      </c>
      <c r="T23" s="9">
        <v>12719.032799999999</v>
      </c>
      <c r="U23" s="9"/>
      <c r="V23" s="9"/>
      <c r="W23" s="12" t="s">
        <v>522</v>
      </c>
      <c r="X23" s="9">
        <v>73925</v>
      </c>
      <c r="Y23" s="9">
        <v>6.33</v>
      </c>
      <c r="Z23" s="15" t="s">
        <v>520</v>
      </c>
      <c r="AA23" s="178">
        <v>12</v>
      </c>
      <c r="AB23" s="172">
        <v>3516</v>
      </c>
      <c r="AC23" s="125"/>
      <c r="AD23" s="42"/>
      <c r="AE23" s="42"/>
      <c r="AF23" s="59"/>
      <c r="AG23" s="58"/>
      <c r="AH23" s="42"/>
      <c r="AI23" s="42"/>
      <c r="AJ23" s="59"/>
    </row>
    <row r="24" spans="1:36" ht="45" x14ac:dyDescent="0.25">
      <c r="A24" s="15">
        <v>455</v>
      </c>
      <c r="B24" s="15" t="s">
        <v>28</v>
      </c>
      <c r="C24" s="176" t="s">
        <v>507</v>
      </c>
      <c r="D24" s="30" t="s">
        <v>509</v>
      </c>
      <c r="E24" s="8"/>
      <c r="F24" s="15" t="s">
        <v>523</v>
      </c>
      <c r="G24" s="9"/>
      <c r="H24" s="171" t="s">
        <v>31</v>
      </c>
      <c r="I24" s="9"/>
      <c r="J24" s="9">
        <v>7.835</v>
      </c>
      <c r="K24" s="9">
        <v>1.2022000000000002</v>
      </c>
      <c r="L24" s="9">
        <v>1</v>
      </c>
      <c r="M24" s="15" t="s">
        <v>33</v>
      </c>
      <c r="N24" s="15">
        <f t="shared" si="1"/>
        <v>11.90178</v>
      </c>
      <c r="O24" s="15">
        <f t="shared" si="2"/>
        <v>13.88541</v>
      </c>
      <c r="P24" s="15">
        <f t="shared" si="3"/>
        <v>7.9345200000000009</v>
      </c>
      <c r="Q24" s="15">
        <f t="shared" si="4"/>
        <v>5.9508900000000002</v>
      </c>
      <c r="R24" s="38">
        <v>39.672600000000003</v>
      </c>
      <c r="S24" s="170">
        <v>105991.94</v>
      </c>
      <c r="T24" s="9">
        <v>127423.51026800001</v>
      </c>
      <c r="U24" s="9"/>
      <c r="V24" s="9"/>
      <c r="W24" s="12" t="s">
        <v>524</v>
      </c>
      <c r="X24" s="9">
        <v>73926</v>
      </c>
      <c r="Y24" s="9">
        <v>6.33</v>
      </c>
      <c r="Z24" s="15" t="s">
        <v>523</v>
      </c>
      <c r="AA24" s="178">
        <v>1</v>
      </c>
      <c r="AB24" s="172">
        <v>3516</v>
      </c>
      <c r="AC24" s="125"/>
      <c r="AD24" s="42"/>
      <c r="AE24" s="42"/>
      <c r="AF24" s="59"/>
      <c r="AG24" s="58"/>
      <c r="AH24" s="42"/>
      <c r="AI24" s="42"/>
      <c r="AJ24" s="59"/>
    </row>
    <row r="25" spans="1:36" ht="45" x14ac:dyDescent="0.25">
      <c r="A25" s="15">
        <v>456</v>
      </c>
      <c r="B25" s="15" t="s">
        <v>28</v>
      </c>
      <c r="C25" s="176" t="s">
        <v>507</v>
      </c>
      <c r="D25" s="30" t="s">
        <v>509</v>
      </c>
      <c r="E25" s="8"/>
      <c r="F25" s="15" t="s">
        <v>525</v>
      </c>
      <c r="G25" s="9"/>
      <c r="H25" s="171" t="s">
        <v>31</v>
      </c>
      <c r="I25" s="9"/>
      <c r="J25" s="9">
        <v>0.20300000000000001</v>
      </c>
      <c r="K25" s="9">
        <f t="shared" si="5"/>
        <v>0.20300000000000001</v>
      </c>
      <c r="L25" s="9">
        <v>1</v>
      </c>
      <c r="M25" s="15" t="s">
        <v>33</v>
      </c>
      <c r="N25" s="15">
        <f t="shared" si="1"/>
        <v>3.7757999999999998</v>
      </c>
      <c r="O25" s="15">
        <f t="shared" si="2"/>
        <v>4.4051</v>
      </c>
      <c r="P25" s="15">
        <f t="shared" si="3"/>
        <v>2.5172000000000003</v>
      </c>
      <c r="Q25" s="15">
        <f t="shared" si="4"/>
        <v>1.8878999999999999</v>
      </c>
      <c r="R25" s="38">
        <v>12.586</v>
      </c>
      <c r="S25" s="170">
        <v>105991.94</v>
      </c>
      <c r="T25" s="9">
        <v>21516.363820000002</v>
      </c>
      <c r="U25" s="9"/>
      <c r="V25" s="9"/>
      <c r="W25" s="12" t="s">
        <v>526</v>
      </c>
      <c r="X25" s="9">
        <v>73926</v>
      </c>
      <c r="Y25" s="9">
        <v>6.33</v>
      </c>
      <c r="Z25" s="15" t="s">
        <v>525</v>
      </c>
      <c r="AA25" s="178">
        <v>2</v>
      </c>
      <c r="AB25" s="172">
        <v>3516</v>
      </c>
      <c r="AC25" s="125"/>
      <c r="AD25" s="42"/>
      <c r="AE25" s="42"/>
      <c r="AF25" s="59"/>
      <c r="AG25" s="58"/>
      <c r="AH25" s="42"/>
      <c r="AI25" s="42"/>
      <c r="AJ25" s="59"/>
    </row>
    <row r="26" spans="1:36" ht="45" x14ac:dyDescent="0.25">
      <c r="A26" s="15">
        <v>457</v>
      </c>
      <c r="B26" s="15" t="s">
        <v>28</v>
      </c>
      <c r="C26" s="176" t="s">
        <v>507</v>
      </c>
      <c r="D26" s="30" t="s">
        <v>509</v>
      </c>
      <c r="E26" s="8"/>
      <c r="F26" s="15" t="s">
        <v>126</v>
      </c>
      <c r="G26" s="9"/>
      <c r="H26" s="171" t="s">
        <v>31</v>
      </c>
      <c r="I26" s="9"/>
      <c r="J26" s="9">
        <v>3.32</v>
      </c>
      <c r="K26" s="9">
        <f t="shared" si="5"/>
        <v>3.32</v>
      </c>
      <c r="L26" s="9">
        <v>1</v>
      </c>
      <c r="M26" s="15" t="s">
        <v>33</v>
      </c>
      <c r="N26" s="15">
        <f t="shared" si="1"/>
        <v>43.823999999999991</v>
      </c>
      <c r="O26" s="15">
        <f t="shared" si="2"/>
        <v>51.127999999999993</v>
      </c>
      <c r="P26" s="15">
        <f t="shared" si="3"/>
        <v>29.215999999999998</v>
      </c>
      <c r="Q26" s="15">
        <f t="shared" si="4"/>
        <v>21.911999999999995</v>
      </c>
      <c r="R26" s="38">
        <v>146.07999999999998</v>
      </c>
      <c r="S26" s="170">
        <v>105991.94</v>
      </c>
      <c r="T26" s="9">
        <v>351893.24079999997</v>
      </c>
      <c r="U26" s="9"/>
      <c r="V26" s="9"/>
      <c r="W26" s="12" t="s">
        <v>527</v>
      </c>
      <c r="X26" s="9">
        <v>73926</v>
      </c>
      <c r="Y26" s="9">
        <v>6.33</v>
      </c>
      <c r="Z26" s="15" t="s">
        <v>126</v>
      </c>
      <c r="AA26" s="178">
        <v>3</v>
      </c>
      <c r="AB26" s="172">
        <v>3516</v>
      </c>
      <c r="AC26" s="125"/>
      <c r="AD26" s="42"/>
      <c r="AE26" s="42"/>
      <c r="AF26" s="59"/>
      <c r="AG26" s="58"/>
      <c r="AH26" s="42"/>
      <c r="AI26" s="42"/>
      <c r="AJ26" s="59"/>
    </row>
    <row r="27" spans="1:36" ht="45" x14ac:dyDescent="0.25">
      <c r="A27" s="15">
        <v>458</v>
      </c>
      <c r="B27" s="15" t="s">
        <v>28</v>
      </c>
      <c r="C27" s="176" t="s">
        <v>507</v>
      </c>
      <c r="D27" s="30" t="s">
        <v>509</v>
      </c>
      <c r="E27" s="8"/>
      <c r="F27" s="15" t="s">
        <v>514</v>
      </c>
      <c r="G27" s="9"/>
      <c r="H27" s="171" t="s">
        <v>31</v>
      </c>
      <c r="I27" s="9"/>
      <c r="J27" s="9">
        <v>5.1200000000000002E-2</v>
      </c>
      <c r="K27" s="9">
        <f t="shared" si="5"/>
        <v>0.20480000000000001</v>
      </c>
      <c r="L27" s="9">
        <v>4</v>
      </c>
      <c r="M27" s="15" t="s">
        <v>33</v>
      </c>
      <c r="N27" s="15">
        <f t="shared" si="1"/>
        <v>4.2393600000000005</v>
      </c>
      <c r="O27" s="15">
        <f t="shared" si="2"/>
        <v>4.9459200000000001</v>
      </c>
      <c r="P27" s="15">
        <f t="shared" si="3"/>
        <v>2.8262400000000003</v>
      </c>
      <c r="Q27" s="15">
        <f t="shared" si="4"/>
        <v>2.1196800000000002</v>
      </c>
      <c r="R27" s="38">
        <v>14.131200000000002</v>
      </c>
      <c r="S27" s="170">
        <v>105991.94</v>
      </c>
      <c r="T27" s="9">
        <v>21707.149312000001</v>
      </c>
      <c r="U27" s="9"/>
      <c r="V27" s="9"/>
      <c r="W27" s="12" t="s">
        <v>515</v>
      </c>
      <c r="X27" s="9">
        <v>73926</v>
      </c>
      <c r="Y27" s="9">
        <v>6.33</v>
      </c>
      <c r="Z27" s="15" t="s">
        <v>514</v>
      </c>
      <c r="AA27" s="178">
        <v>4</v>
      </c>
      <c r="AB27" s="172">
        <v>3516</v>
      </c>
      <c r="AC27" s="125"/>
      <c r="AD27" s="42"/>
      <c r="AE27" s="42"/>
      <c r="AF27" s="59"/>
      <c r="AG27" s="58"/>
      <c r="AH27" s="42"/>
      <c r="AI27" s="42"/>
      <c r="AJ27" s="59"/>
    </row>
    <row r="28" spans="1:36" ht="45" x14ac:dyDescent="0.25">
      <c r="A28" s="15">
        <v>459</v>
      </c>
      <c r="B28" s="15" t="s">
        <v>28</v>
      </c>
      <c r="C28" s="176" t="s">
        <v>507</v>
      </c>
      <c r="D28" s="30" t="s">
        <v>509</v>
      </c>
      <c r="E28" s="8"/>
      <c r="F28" s="15" t="s">
        <v>528</v>
      </c>
      <c r="G28" s="9"/>
      <c r="H28" s="171" t="s">
        <v>31</v>
      </c>
      <c r="I28" s="9"/>
      <c r="J28" s="9">
        <v>7.78</v>
      </c>
      <c r="K28" s="9">
        <v>2.0652000000000008</v>
      </c>
      <c r="L28" s="9">
        <v>1</v>
      </c>
      <c r="M28" s="15" t="s">
        <v>33</v>
      </c>
      <c r="N28" s="15">
        <f t="shared" si="1"/>
        <v>20.445480000000007</v>
      </c>
      <c r="O28" s="15">
        <f t="shared" si="2"/>
        <v>23.85306000000001</v>
      </c>
      <c r="P28" s="15">
        <f t="shared" si="3"/>
        <v>13.630320000000006</v>
      </c>
      <c r="Q28" s="15">
        <f t="shared" si="4"/>
        <v>10.222740000000003</v>
      </c>
      <c r="R28" s="38">
        <v>68.15160000000003</v>
      </c>
      <c r="S28" s="170">
        <v>105991.94</v>
      </c>
      <c r="T28" s="9">
        <v>218894.55448800008</v>
      </c>
      <c r="U28" s="9"/>
      <c r="V28" s="9"/>
      <c r="W28" s="12" t="s">
        <v>529</v>
      </c>
      <c r="X28" s="9">
        <v>73927</v>
      </c>
      <c r="Y28" s="9">
        <v>6.33</v>
      </c>
      <c r="Z28" s="15" t="s">
        <v>528</v>
      </c>
      <c r="AA28" s="178">
        <v>1</v>
      </c>
      <c r="AB28" s="172">
        <v>3516</v>
      </c>
      <c r="AC28" s="125"/>
      <c r="AD28" s="42"/>
      <c r="AE28" s="42"/>
      <c r="AF28" s="59"/>
      <c r="AG28" s="58"/>
      <c r="AH28" s="42"/>
      <c r="AI28" s="42"/>
      <c r="AJ28" s="59"/>
    </row>
    <row r="29" spans="1:36" ht="45" x14ac:dyDescent="0.25">
      <c r="A29" s="15">
        <v>460</v>
      </c>
      <c r="B29" s="15" t="s">
        <v>28</v>
      </c>
      <c r="C29" s="176" t="s">
        <v>507</v>
      </c>
      <c r="D29" s="30" t="s">
        <v>509</v>
      </c>
      <c r="E29" s="8"/>
      <c r="F29" s="15" t="s">
        <v>525</v>
      </c>
      <c r="G29" s="9"/>
      <c r="H29" s="171" t="s">
        <v>31</v>
      </c>
      <c r="I29" s="9"/>
      <c r="J29" s="9">
        <v>0.25</v>
      </c>
      <c r="K29" s="9">
        <f t="shared" si="5"/>
        <v>0.25</v>
      </c>
      <c r="L29" s="9">
        <v>1</v>
      </c>
      <c r="M29" s="15" t="s">
        <v>33</v>
      </c>
      <c r="N29" s="15">
        <f t="shared" si="1"/>
        <v>4.6499999999999995</v>
      </c>
      <c r="O29" s="15">
        <f t="shared" si="2"/>
        <v>5.4249999999999998</v>
      </c>
      <c r="P29" s="15">
        <f t="shared" si="3"/>
        <v>3.1</v>
      </c>
      <c r="Q29" s="15">
        <f t="shared" si="4"/>
        <v>2.3249999999999997</v>
      </c>
      <c r="R29" s="38">
        <v>15.5</v>
      </c>
      <c r="S29" s="170">
        <v>105991.94</v>
      </c>
      <c r="T29" s="9">
        <v>26497.985000000001</v>
      </c>
      <c r="U29" s="9"/>
      <c r="V29" s="9"/>
      <c r="W29" s="12" t="s">
        <v>530</v>
      </c>
      <c r="X29" s="9">
        <v>73927</v>
      </c>
      <c r="Y29" s="9">
        <v>6.33</v>
      </c>
      <c r="Z29" s="15" t="s">
        <v>525</v>
      </c>
      <c r="AA29" s="178">
        <v>2</v>
      </c>
      <c r="AB29" s="172">
        <v>3516</v>
      </c>
      <c r="AC29" s="125"/>
      <c r="AD29" s="42"/>
      <c r="AE29" s="42"/>
      <c r="AF29" s="59"/>
      <c r="AG29" s="58"/>
      <c r="AH29" s="42"/>
      <c r="AI29" s="42"/>
      <c r="AJ29" s="59"/>
    </row>
    <row r="30" spans="1:36" ht="45" x14ac:dyDescent="0.25">
      <c r="A30" s="15">
        <v>461</v>
      </c>
      <c r="B30" s="15" t="s">
        <v>28</v>
      </c>
      <c r="C30" s="176" t="s">
        <v>507</v>
      </c>
      <c r="D30" s="30" t="s">
        <v>509</v>
      </c>
      <c r="E30" s="8"/>
      <c r="F30" s="15" t="s">
        <v>126</v>
      </c>
      <c r="G30" s="9"/>
      <c r="H30" s="171" t="s">
        <v>31</v>
      </c>
      <c r="I30" s="9"/>
      <c r="J30" s="9">
        <v>1.22</v>
      </c>
      <c r="K30" s="9">
        <f t="shared" si="5"/>
        <v>1.22</v>
      </c>
      <c r="L30" s="9">
        <v>1</v>
      </c>
      <c r="M30" s="15" t="s">
        <v>33</v>
      </c>
      <c r="N30" s="15">
        <f t="shared" si="1"/>
        <v>16.103999999999999</v>
      </c>
      <c r="O30" s="15">
        <f t="shared" si="2"/>
        <v>18.788</v>
      </c>
      <c r="P30" s="15">
        <f t="shared" si="3"/>
        <v>10.736000000000001</v>
      </c>
      <c r="Q30" s="15">
        <f t="shared" si="4"/>
        <v>8.0519999999999996</v>
      </c>
      <c r="R30" s="38">
        <v>53.68</v>
      </c>
      <c r="S30" s="170">
        <v>105991.94</v>
      </c>
      <c r="T30" s="9">
        <v>129310.16680000001</v>
      </c>
      <c r="U30" s="9"/>
      <c r="V30" s="9"/>
      <c r="W30" s="12" t="s">
        <v>531</v>
      </c>
      <c r="X30" s="9">
        <v>73927</v>
      </c>
      <c r="Y30" s="9">
        <v>6.33</v>
      </c>
      <c r="Z30" s="15" t="s">
        <v>126</v>
      </c>
      <c r="AA30" s="178">
        <v>3</v>
      </c>
      <c r="AB30" s="172">
        <v>3516</v>
      </c>
      <c r="AC30" s="125"/>
      <c r="AD30" s="42"/>
      <c r="AE30" s="42"/>
      <c r="AF30" s="59"/>
      <c r="AG30" s="58"/>
      <c r="AH30" s="42"/>
      <c r="AI30" s="42"/>
      <c r="AJ30" s="59"/>
    </row>
    <row r="31" spans="1:36" ht="45" x14ac:dyDescent="0.25">
      <c r="A31" s="15">
        <v>462</v>
      </c>
      <c r="B31" s="15" t="s">
        <v>28</v>
      </c>
      <c r="C31" s="176" t="s">
        <v>507</v>
      </c>
      <c r="D31" s="30" t="s">
        <v>509</v>
      </c>
      <c r="E31" s="8"/>
      <c r="F31" s="15" t="s">
        <v>126</v>
      </c>
      <c r="G31" s="9"/>
      <c r="H31" s="171" t="s">
        <v>31</v>
      </c>
      <c r="I31" s="9"/>
      <c r="J31" s="9">
        <v>1.91</v>
      </c>
      <c r="K31" s="9">
        <f t="shared" si="5"/>
        <v>1.91</v>
      </c>
      <c r="L31" s="9">
        <v>1</v>
      </c>
      <c r="M31" s="15" t="s">
        <v>33</v>
      </c>
      <c r="N31" s="15">
        <f t="shared" si="1"/>
        <v>25.211999999999996</v>
      </c>
      <c r="O31" s="15">
        <f t="shared" si="2"/>
        <v>29.413999999999994</v>
      </c>
      <c r="P31" s="15">
        <f t="shared" si="3"/>
        <v>16.808</v>
      </c>
      <c r="Q31" s="15">
        <f t="shared" si="4"/>
        <v>12.605999999999998</v>
      </c>
      <c r="R31" s="38">
        <v>84.039999999999992</v>
      </c>
      <c r="S31" s="170">
        <v>105991.94</v>
      </c>
      <c r="T31" s="9">
        <v>202444.6054</v>
      </c>
      <c r="U31" s="9"/>
      <c r="V31" s="9"/>
      <c r="W31" s="12" t="s">
        <v>532</v>
      </c>
      <c r="X31" s="9">
        <v>73927</v>
      </c>
      <c r="Y31" s="9">
        <v>6.33</v>
      </c>
      <c r="Z31" s="15" t="s">
        <v>126</v>
      </c>
      <c r="AA31" s="178">
        <v>4</v>
      </c>
      <c r="AB31" s="172">
        <v>3516</v>
      </c>
      <c r="AC31" s="125"/>
      <c r="AD31" s="42"/>
      <c r="AE31" s="42"/>
      <c r="AF31" s="59"/>
      <c r="AG31" s="58"/>
      <c r="AH31" s="42"/>
      <c r="AI31" s="42"/>
      <c r="AJ31" s="59"/>
    </row>
    <row r="32" spans="1:36" ht="45" x14ac:dyDescent="0.25">
      <c r="A32" s="15">
        <v>463</v>
      </c>
      <c r="B32" s="15" t="s">
        <v>28</v>
      </c>
      <c r="C32" s="176" t="s">
        <v>507</v>
      </c>
      <c r="D32" s="30" t="s">
        <v>509</v>
      </c>
      <c r="E32" s="8"/>
      <c r="F32" s="15" t="s">
        <v>514</v>
      </c>
      <c r="G32" s="9"/>
      <c r="H32" s="171" t="s">
        <v>31</v>
      </c>
      <c r="I32" s="9"/>
      <c r="J32" s="9">
        <v>5.1200000000000002E-2</v>
      </c>
      <c r="K32" s="9">
        <f t="shared" si="5"/>
        <v>0.20480000000000001</v>
      </c>
      <c r="L32" s="9">
        <v>4</v>
      </c>
      <c r="M32" s="15" t="s">
        <v>33</v>
      </c>
      <c r="N32" s="15">
        <f t="shared" si="1"/>
        <v>4.2393600000000005</v>
      </c>
      <c r="O32" s="15">
        <f t="shared" si="2"/>
        <v>4.9459200000000001</v>
      </c>
      <c r="P32" s="15">
        <f t="shared" si="3"/>
        <v>2.8262400000000003</v>
      </c>
      <c r="Q32" s="15">
        <f t="shared" si="4"/>
        <v>2.1196800000000002</v>
      </c>
      <c r="R32" s="38">
        <v>14.131200000000002</v>
      </c>
      <c r="S32" s="170">
        <v>105991.94</v>
      </c>
      <c r="T32" s="9">
        <v>21707.149312000001</v>
      </c>
      <c r="U32" s="9"/>
      <c r="V32" s="9"/>
      <c r="W32" s="12" t="s">
        <v>515</v>
      </c>
      <c r="X32" s="9">
        <v>73927</v>
      </c>
      <c r="Y32" s="9">
        <v>6.33</v>
      </c>
      <c r="Z32" s="15" t="s">
        <v>514</v>
      </c>
      <c r="AA32" s="178">
        <v>5</v>
      </c>
      <c r="AB32" s="172">
        <v>3516</v>
      </c>
      <c r="AC32" s="125"/>
      <c r="AD32" s="42"/>
      <c r="AE32" s="42"/>
      <c r="AF32" s="59"/>
      <c r="AG32" s="58"/>
      <c r="AH32" s="42"/>
      <c r="AI32" s="42"/>
      <c r="AJ32" s="59"/>
    </row>
    <row r="33" spans="1:36" ht="45" x14ac:dyDescent="0.25">
      <c r="A33" s="15">
        <v>464</v>
      </c>
      <c r="B33" s="15" t="s">
        <v>28</v>
      </c>
      <c r="C33" s="176" t="s">
        <v>507</v>
      </c>
      <c r="D33" s="30" t="s">
        <v>509</v>
      </c>
      <c r="E33" s="8"/>
      <c r="F33" s="15" t="s">
        <v>227</v>
      </c>
      <c r="G33" s="9"/>
      <c r="H33" s="171" t="s">
        <v>31</v>
      </c>
      <c r="I33" s="9"/>
      <c r="J33" s="9">
        <v>1.25</v>
      </c>
      <c r="K33" s="9">
        <f t="shared" si="5"/>
        <v>2.5</v>
      </c>
      <c r="L33" s="9">
        <v>2</v>
      </c>
      <c r="M33" s="15" t="s">
        <v>33</v>
      </c>
      <c r="N33" s="15">
        <f t="shared" si="1"/>
        <v>33</v>
      </c>
      <c r="O33" s="15">
        <f t="shared" si="2"/>
        <v>38.5</v>
      </c>
      <c r="P33" s="15">
        <f t="shared" si="3"/>
        <v>22</v>
      </c>
      <c r="Q33" s="15">
        <f t="shared" si="4"/>
        <v>16.5</v>
      </c>
      <c r="R33" s="38">
        <v>110</v>
      </c>
      <c r="S33" s="170">
        <v>105991.94</v>
      </c>
      <c r="T33" s="9">
        <v>264979.84999999998</v>
      </c>
      <c r="U33" s="9"/>
      <c r="V33" s="9"/>
      <c r="W33" s="12" t="s">
        <v>533</v>
      </c>
      <c r="X33" s="9">
        <v>73928</v>
      </c>
      <c r="Y33" s="9">
        <v>6.33</v>
      </c>
      <c r="Z33" s="15" t="s">
        <v>227</v>
      </c>
      <c r="AA33" s="178">
        <v>1</v>
      </c>
      <c r="AB33" s="172">
        <v>3516</v>
      </c>
      <c r="AC33" s="125"/>
      <c r="AD33" s="42"/>
      <c r="AE33" s="42"/>
      <c r="AF33" s="59"/>
      <c r="AG33" s="58"/>
      <c r="AH33" s="42"/>
      <c r="AI33" s="42"/>
      <c r="AJ33" s="59"/>
    </row>
    <row r="34" spans="1:36" ht="45" x14ac:dyDescent="0.25">
      <c r="A34" s="15">
        <v>465</v>
      </c>
      <c r="B34" s="15" t="s">
        <v>28</v>
      </c>
      <c r="C34" s="176" t="s">
        <v>507</v>
      </c>
      <c r="D34" s="30" t="s">
        <v>509</v>
      </c>
      <c r="E34" s="8"/>
      <c r="F34" s="15" t="s">
        <v>227</v>
      </c>
      <c r="G34" s="9"/>
      <c r="H34" s="171" t="s">
        <v>31</v>
      </c>
      <c r="I34" s="9"/>
      <c r="J34" s="9">
        <v>1.25</v>
      </c>
      <c r="K34" s="9">
        <f t="shared" si="5"/>
        <v>2.5</v>
      </c>
      <c r="L34" s="9">
        <v>2</v>
      </c>
      <c r="M34" s="15" t="s">
        <v>33</v>
      </c>
      <c r="N34" s="15">
        <f t="shared" si="1"/>
        <v>33</v>
      </c>
      <c r="O34" s="15">
        <f t="shared" si="2"/>
        <v>38.5</v>
      </c>
      <c r="P34" s="15">
        <f t="shared" si="3"/>
        <v>22</v>
      </c>
      <c r="Q34" s="15">
        <f t="shared" si="4"/>
        <v>16.5</v>
      </c>
      <c r="R34" s="38">
        <v>110</v>
      </c>
      <c r="S34" s="170">
        <v>105991.94</v>
      </c>
      <c r="T34" s="9">
        <v>264979.84999999998</v>
      </c>
      <c r="U34" s="9"/>
      <c r="V34" s="9"/>
      <c r="W34" s="12" t="s">
        <v>533</v>
      </c>
      <c r="X34" s="9">
        <v>73928</v>
      </c>
      <c r="Y34" s="9">
        <v>6.33</v>
      </c>
      <c r="Z34" s="15" t="s">
        <v>227</v>
      </c>
      <c r="AA34" s="178">
        <v>2</v>
      </c>
      <c r="AB34" s="172">
        <v>3516</v>
      </c>
      <c r="AC34" s="125"/>
      <c r="AD34" s="42"/>
      <c r="AE34" s="42"/>
      <c r="AF34" s="59"/>
      <c r="AG34" s="58"/>
      <c r="AH34" s="42"/>
      <c r="AI34" s="42"/>
      <c r="AJ34" s="59"/>
    </row>
    <row r="35" spans="1:36" x14ac:dyDescent="0.25">
      <c r="AC35"/>
      <c r="AD35"/>
      <c r="AE35"/>
      <c r="AF35"/>
      <c r="AG35"/>
      <c r="AH35"/>
      <c r="AI35"/>
      <c r="AJ35"/>
    </row>
    <row r="36" spans="1:36" x14ac:dyDescent="0.25">
      <c r="AC36"/>
      <c r="AD36"/>
      <c r="AE36"/>
      <c r="AF36"/>
      <c r="AG36"/>
      <c r="AH36"/>
      <c r="AI36"/>
      <c r="AJ36"/>
    </row>
    <row r="37" spans="1:36" x14ac:dyDescent="0.25">
      <c r="AC37"/>
      <c r="AD37"/>
      <c r="AE37"/>
      <c r="AF37"/>
      <c r="AG37"/>
      <c r="AH37"/>
      <c r="AI37"/>
      <c r="AJ37"/>
    </row>
    <row r="38" spans="1:36" x14ac:dyDescent="0.25">
      <c r="AC38"/>
      <c r="AD38"/>
      <c r="AE38"/>
      <c r="AF38"/>
      <c r="AG38"/>
      <c r="AH38"/>
      <c r="AI38"/>
      <c r="AJ38"/>
    </row>
    <row r="39" spans="1:36" x14ac:dyDescent="0.25">
      <c r="AC39"/>
      <c r="AD39"/>
      <c r="AE39"/>
      <c r="AF39"/>
      <c r="AG39"/>
      <c r="AH39"/>
      <c r="AI39"/>
      <c r="AJ39"/>
    </row>
    <row r="40" spans="1:36" x14ac:dyDescent="0.25">
      <c r="AC40"/>
      <c r="AD40"/>
      <c r="AE40"/>
      <c r="AF40"/>
      <c r="AG40"/>
      <c r="AH40"/>
      <c r="AI40"/>
      <c r="AJ40"/>
    </row>
    <row r="41" spans="1:36" x14ac:dyDescent="0.25">
      <c r="AC41"/>
      <c r="AD41"/>
      <c r="AE41"/>
      <c r="AF41"/>
      <c r="AG41"/>
      <c r="AH41"/>
      <c r="AI41"/>
      <c r="AJ41"/>
    </row>
    <row r="42" spans="1:36" x14ac:dyDescent="0.25">
      <c r="AC42"/>
      <c r="AD42"/>
      <c r="AE42"/>
      <c r="AF42"/>
      <c r="AG42"/>
      <c r="AH42"/>
      <c r="AI42"/>
      <c r="AJ42"/>
    </row>
    <row r="43" spans="1:36" x14ac:dyDescent="0.25">
      <c r="AC43"/>
      <c r="AD43"/>
      <c r="AE43"/>
      <c r="AF43"/>
      <c r="AG43"/>
      <c r="AH43"/>
      <c r="AI43"/>
      <c r="AJ43"/>
    </row>
    <row r="44" spans="1:36" x14ac:dyDescent="0.25">
      <c r="AC44"/>
      <c r="AD44"/>
      <c r="AE44"/>
      <c r="AF44"/>
      <c r="AG44"/>
      <c r="AH44"/>
      <c r="AI44"/>
      <c r="AJ44"/>
    </row>
    <row r="45" spans="1:36" x14ac:dyDescent="0.25">
      <c r="AC45"/>
      <c r="AD45"/>
      <c r="AE45"/>
      <c r="AF45"/>
      <c r="AG45"/>
      <c r="AH45"/>
      <c r="AI45"/>
      <c r="AJ45"/>
    </row>
    <row r="46" spans="1:36" x14ac:dyDescent="0.25">
      <c r="AC46"/>
      <c r="AD46"/>
      <c r="AE46"/>
      <c r="AF46"/>
      <c r="AG46"/>
      <c r="AH46"/>
      <c r="AI46"/>
      <c r="AJ46"/>
    </row>
    <row r="47" spans="1:36" x14ac:dyDescent="0.25">
      <c r="AC47"/>
      <c r="AD47"/>
      <c r="AE47"/>
      <c r="AF47"/>
      <c r="AG47"/>
      <c r="AH47"/>
      <c r="AI47"/>
      <c r="AJ47"/>
    </row>
    <row r="48" spans="1:36" x14ac:dyDescent="0.25">
      <c r="AC48"/>
      <c r="AD48"/>
      <c r="AE48"/>
      <c r="AF48"/>
      <c r="AG48"/>
      <c r="AH48"/>
      <c r="AI48"/>
      <c r="AJ48"/>
    </row>
    <row r="49" spans="29:36" x14ac:dyDescent="0.25">
      <c r="AC49"/>
      <c r="AD49"/>
      <c r="AE49"/>
      <c r="AF49"/>
      <c r="AG49"/>
      <c r="AH49"/>
      <c r="AI49"/>
      <c r="AJ49"/>
    </row>
    <row r="50" spans="29:36" x14ac:dyDescent="0.25">
      <c r="AC50"/>
      <c r="AD50"/>
      <c r="AE50"/>
      <c r="AF50"/>
      <c r="AG50"/>
      <c r="AH50"/>
      <c r="AI50"/>
      <c r="AJ50"/>
    </row>
    <row r="51" spans="29:36" x14ac:dyDescent="0.25">
      <c r="AC51"/>
      <c r="AD51"/>
      <c r="AE51"/>
      <c r="AF51"/>
      <c r="AG51"/>
      <c r="AH51"/>
      <c r="AI51"/>
      <c r="AJ51"/>
    </row>
    <row r="52" spans="29:36" x14ac:dyDescent="0.25">
      <c r="AC52"/>
      <c r="AD52"/>
      <c r="AE52"/>
      <c r="AF52"/>
      <c r="AG52"/>
      <c r="AH52"/>
      <c r="AI52"/>
      <c r="AJ52"/>
    </row>
    <row r="53" spans="29:36" x14ac:dyDescent="0.25">
      <c r="AC53"/>
      <c r="AD53"/>
      <c r="AE53"/>
      <c r="AF53"/>
      <c r="AG53"/>
      <c r="AH53"/>
      <c r="AI53"/>
      <c r="AJ53"/>
    </row>
    <row r="54" spans="29:36" x14ac:dyDescent="0.25">
      <c r="AC54"/>
      <c r="AD54"/>
      <c r="AE54"/>
      <c r="AF54"/>
      <c r="AG54"/>
      <c r="AH54"/>
      <c r="AI54"/>
      <c r="AJ54"/>
    </row>
    <row r="55" spans="29:36" x14ac:dyDescent="0.25">
      <c r="AC55"/>
      <c r="AD55"/>
      <c r="AE55"/>
      <c r="AF55"/>
      <c r="AG55"/>
      <c r="AH55"/>
      <c r="AI55"/>
      <c r="AJ55"/>
    </row>
    <row r="56" spans="29:36" x14ac:dyDescent="0.25">
      <c r="AC56"/>
      <c r="AD56"/>
      <c r="AE56"/>
      <c r="AF56"/>
      <c r="AG56"/>
      <c r="AH56"/>
      <c r="AI56"/>
      <c r="AJ56"/>
    </row>
    <row r="57" spans="29:36" x14ac:dyDescent="0.25">
      <c r="AC57"/>
      <c r="AD57"/>
      <c r="AE57"/>
      <c r="AF57"/>
      <c r="AG57"/>
      <c r="AH57"/>
      <c r="AI57"/>
      <c r="AJ57"/>
    </row>
    <row r="58" spans="29:36" x14ac:dyDescent="0.25">
      <c r="AC58"/>
      <c r="AD58"/>
      <c r="AE58"/>
      <c r="AF58"/>
      <c r="AG58"/>
      <c r="AH58"/>
      <c r="AI58"/>
      <c r="AJ58"/>
    </row>
    <row r="59" spans="29:36" x14ac:dyDescent="0.25">
      <c r="AC59"/>
      <c r="AD59"/>
      <c r="AE59"/>
      <c r="AF59"/>
      <c r="AG59"/>
      <c r="AH59"/>
      <c r="AI59"/>
      <c r="AJ59"/>
    </row>
    <row r="60" spans="29:36" x14ac:dyDescent="0.25">
      <c r="AC60"/>
      <c r="AD60"/>
      <c r="AE60"/>
      <c r="AF60"/>
      <c r="AG60"/>
      <c r="AH60"/>
      <c r="AI60"/>
      <c r="AJ60"/>
    </row>
    <row r="61" spans="29:36" x14ac:dyDescent="0.25">
      <c r="AC61"/>
      <c r="AD61"/>
      <c r="AE61"/>
      <c r="AF61"/>
      <c r="AG61"/>
      <c r="AH61"/>
      <c r="AI61"/>
      <c r="AJ61"/>
    </row>
    <row r="62" spans="29:36" x14ac:dyDescent="0.25">
      <c r="AC62"/>
      <c r="AD62"/>
      <c r="AE62"/>
      <c r="AF62"/>
      <c r="AG62"/>
      <c r="AH62"/>
      <c r="AI62"/>
      <c r="AJ62"/>
    </row>
    <row r="63" spans="29:36" x14ac:dyDescent="0.25">
      <c r="AC63"/>
      <c r="AD63"/>
      <c r="AE63"/>
      <c r="AF63"/>
      <c r="AG63"/>
      <c r="AH63"/>
      <c r="AI63"/>
      <c r="AJ63"/>
    </row>
    <row r="64" spans="29:36" x14ac:dyDescent="0.25">
      <c r="AC64"/>
      <c r="AD64"/>
      <c r="AE64"/>
      <c r="AF64"/>
      <c r="AG64"/>
      <c r="AH64"/>
      <c r="AI64"/>
      <c r="AJ64"/>
    </row>
    <row r="65" spans="29:36" x14ac:dyDescent="0.25">
      <c r="AC65"/>
      <c r="AD65"/>
      <c r="AE65"/>
      <c r="AF65"/>
      <c r="AG65"/>
      <c r="AH65"/>
      <c r="AI65"/>
      <c r="AJ65"/>
    </row>
    <row r="66" spans="29:36" x14ac:dyDescent="0.25">
      <c r="AC66"/>
      <c r="AD66"/>
      <c r="AE66"/>
      <c r="AF66"/>
      <c r="AG66"/>
      <c r="AH66"/>
      <c r="AI66"/>
      <c r="AJ66"/>
    </row>
    <row r="67" spans="29:36" x14ac:dyDescent="0.25">
      <c r="AC67"/>
      <c r="AD67"/>
      <c r="AE67"/>
      <c r="AF67"/>
      <c r="AG67"/>
      <c r="AH67"/>
      <c r="AI67"/>
      <c r="AJ67"/>
    </row>
    <row r="68" spans="29:36" x14ac:dyDescent="0.25">
      <c r="AC68"/>
      <c r="AD68"/>
      <c r="AE68"/>
      <c r="AF68"/>
      <c r="AG68"/>
      <c r="AH68"/>
      <c r="AI68"/>
      <c r="AJ68"/>
    </row>
    <row r="69" spans="29:36" x14ac:dyDescent="0.25">
      <c r="AC69"/>
      <c r="AD69"/>
      <c r="AE69"/>
      <c r="AF69"/>
      <c r="AG69"/>
      <c r="AH69"/>
      <c r="AI69"/>
      <c r="AJ69"/>
    </row>
    <row r="70" spans="29:36" x14ac:dyDescent="0.25">
      <c r="AC70"/>
      <c r="AD70"/>
      <c r="AE70"/>
      <c r="AF70"/>
      <c r="AG70"/>
      <c r="AH70"/>
      <c r="AI70"/>
      <c r="AJ70"/>
    </row>
    <row r="71" spans="29:36" x14ac:dyDescent="0.25">
      <c r="AC71"/>
      <c r="AD71"/>
      <c r="AE71"/>
      <c r="AF71"/>
      <c r="AG71"/>
      <c r="AH71"/>
      <c r="AI71"/>
      <c r="AJ71"/>
    </row>
    <row r="72" spans="29:36" x14ac:dyDescent="0.25">
      <c r="AC72"/>
      <c r="AD72"/>
      <c r="AE72"/>
      <c r="AF72"/>
      <c r="AG72"/>
      <c r="AH72"/>
      <c r="AI72"/>
      <c r="AJ72"/>
    </row>
    <row r="73" spans="29:36" x14ac:dyDescent="0.25">
      <c r="AC73"/>
      <c r="AD73"/>
      <c r="AE73"/>
      <c r="AF73"/>
      <c r="AG73"/>
      <c r="AH73"/>
      <c r="AI73"/>
      <c r="AJ73"/>
    </row>
    <row r="74" spans="29:36" x14ac:dyDescent="0.25">
      <c r="AC74"/>
      <c r="AD74"/>
      <c r="AE74"/>
      <c r="AF74"/>
      <c r="AG74"/>
      <c r="AH74"/>
      <c r="AI74"/>
      <c r="AJ74"/>
    </row>
    <row r="75" spans="29:36" x14ac:dyDescent="0.25">
      <c r="AC75"/>
      <c r="AD75"/>
      <c r="AE75"/>
      <c r="AF75"/>
      <c r="AG75"/>
      <c r="AH75"/>
      <c r="AI75"/>
      <c r="AJ75"/>
    </row>
    <row r="76" spans="29:36" x14ac:dyDescent="0.25">
      <c r="AC76"/>
      <c r="AD76"/>
      <c r="AE76"/>
      <c r="AF76"/>
      <c r="AG76"/>
      <c r="AH76"/>
      <c r="AI76"/>
      <c r="AJ76"/>
    </row>
    <row r="77" spans="29:36" x14ac:dyDescent="0.25">
      <c r="AC77"/>
      <c r="AD77"/>
      <c r="AE77"/>
      <c r="AF77"/>
      <c r="AG77"/>
      <c r="AH77"/>
      <c r="AI77"/>
      <c r="AJ77"/>
    </row>
    <row r="78" spans="29:36" x14ac:dyDescent="0.25">
      <c r="AC78"/>
      <c r="AD78"/>
      <c r="AE78"/>
      <c r="AF78"/>
      <c r="AG78"/>
      <c r="AH78"/>
      <c r="AI78"/>
      <c r="AJ78"/>
    </row>
    <row r="79" spans="29:36" x14ac:dyDescent="0.25">
      <c r="AC79"/>
      <c r="AD79"/>
      <c r="AE79"/>
      <c r="AF79"/>
      <c r="AG79"/>
      <c r="AH79"/>
      <c r="AI79"/>
      <c r="AJ79"/>
    </row>
    <row r="80" spans="29:36" x14ac:dyDescent="0.25">
      <c r="AC80"/>
      <c r="AD80"/>
      <c r="AE80"/>
      <c r="AF80"/>
      <c r="AG80"/>
      <c r="AH80"/>
      <c r="AI80"/>
      <c r="AJ80"/>
    </row>
    <row r="81" spans="29:36" x14ac:dyDescent="0.25">
      <c r="AC81"/>
      <c r="AD81"/>
      <c r="AE81"/>
      <c r="AF81"/>
      <c r="AG81"/>
      <c r="AH81"/>
      <c r="AI81"/>
      <c r="AJ81"/>
    </row>
    <row r="82" spans="29:36" x14ac:dyDescent="0.25">
      <c r="AC82"/>
      <c r="AD82"/>
      <c r="AE82"/>
      <c r="AF82"/>
      <c r="AG82"/>
      <c r="AH82"/>
      <c r="AI82"/>
      <c r="AJ82"/>
    </row>
    <row r="83" spans="29:36" x14ac:dyDescent="0.25">
      <c r="AC83"/>
      <c r="AD83"/>
      <c r="AE83"/>
      <c r="AF83"/>
      <c r="AG83"/>
      <c r="AH83"/>
      <c r="AI83"/>
      <c r="AJ83"/>
    </row>
    <row r="84" spans="29:36" x14ac:dyDescent="0.25">
      <c r="AC84"/>
      <c r="AD84"/>
      <c r="AE84"/>
      <c r="AF84"/>
      <c r="AG84"/>
      <c r="AH84"/>
      <c r="AI84"/>
      <c r="AJ84"/>
    </row>
    <row r="85" spans="29:36" x14ac:dyDescent="0.25">
      <c r="AC85"/>
      <c r="AD85"/>
      <c r="AE85"/>
      <c r="AF85"/>
      <c r="AG85"/>
      <c r="AH85"/>
      <c r="AI85"/>
      <c r="AJ85"/>
    </row>
    <row r="86" spans="29:36" x14ac:dyDescent="0.25">
      <c r="AC86"/>
      <c r="AD86"/>
      <c r="AE86"/>
      <c r="AF86"/>
      <c r="AG86"/>
      <c r="AH86"/>
      <c r="AI86"/>
      <c r="AJ86"/>
    </row>
    <row r="87" spans="29:36" x14ac:dyDescent="0.25">
      <c r="AC87"/>
      <c r="AD87"/>
      <c r="AE87"/>
      <c r="AF87"/>
      <c r="AG87"/>
      <c r="AH87"/>
      <c r="AI87"/>
      <c r="AJ87"/>
    </row>
    <row r="88" spans="29:36" x14ac:dyDescent="0.25">
      <c r="AC88"/>
      <c r="AD88"/>
      <c r="AE88"/>
      <c r="AF88"/>
      <c r="AG88"/>
      <c r="AH88"/>
      <c r="AI88"/>
      <c r="AJ88"/>
    </row>
    <row r="89" spans="29:36" x14ac:dyDescent="0.25">
      <c r="AC89"/>
      <c r="AD89"/>
      <c r="AE89"/>
      <c r="AF89"/>
      <c r="AG89"/>
      <c r="AH89"/>
      <c r="AI89"/>
      <c r="AJ89"/>
    </row>
    <row r="90" spans="29:36" x14ac:dyDescent="0.25">
      <c r="AC90"/>
      <c r="AD90"/>
      <c r="AE90"/>
      <c r="AF90"/>
      <c r="AG90"/>
      <c r="AH90"/>
      <c r="AI90"/>
      <c r="AJ90"/>
    </row>
    <row r="91" spans="29:36" x14ac:dyDescent="0.25">
      <c r="AC91"/>
      <c r="AD91"/>
      <c r="AE91"/>
      <c r="AF91"/>
      <c r="AG91"/>
      <c r="AH91"/>
      <c r="AI91"/>
      <c r="AJ91"/>
    </row>
    <row r="92" spans="29:36" x14ac:dyDescent="0.25">
      <c r="AC92"/>
      <c r="AD92"/>
      <c r="AE92"/>
      <c r="AF92"/>
      <c r="AG92"/>
      <c r="AH92"/>
      <c r="AI92"/>
      <c r="AJ92"/>
    </row>
    <row r="93" spans="29:36" x14ac:dyDescent="0.25">
      <c r="AC93"/>
      <c r="AD93"/>
      <c r="AE93"/>
      <c r="AF93"/>
      <c r="AG93"/>
      <c r="AH93"/>
      <c r="AI93"/>
      <c r="AJ93"/>
    </row>
    <row r="94" spans="29:36" x14ac:dyDescent="0.25">
      <c r="AC94"/>
      <c r="AD94"/>
      <c r="AE94"/>
      <c r="AF94"/>
      <c r="AG94"/>
      <c r="AH94"/>
      <c r="AI94"/>
      <c r="AJ94"/>
    </row>
    <row r="95" spans="29:36" x14ac:dyDescent="0.25">
      <c r="AC95"/>
      <c r="AD95"/>
      <c r="AE95"/>
      <c r="AF95"/>
      <c r="AG95"/>
      <c r="AH95"/>
      <c r="AI95"/>
      <c r="AJ95"/>
    </row>
    <row r="96" spans="29:36" x14ac:dyDescent="0.25">
      <c r="AC96"/>
      <c r="AD96"/>
      <c r="AE96"/>
      <c r="AF96"/>
      <c r="AG96"/>
      <c r="AH96"/>
      <c r="AI96"/>
      <c r="AJ96"/>
    </row>
    <row r="97" spans="29:36" x14ac:dyDescent="0.25">
      <c r="AC97"/>
      <c r="AD97"/>
      <c r="AE97"/>
      <c r="AF97"/>
      <c r="AG97"/>
      <c r="AH97"/>
      <c r="AI97"/>
      <c r="AJ97"/>
    </row>
    <row r="98" spans="29:36" x14ac:dyDescent="0.25">
      <c r="AC98"/>
      <c r="AD98"/>
      <c r="AE98"/>
      <c r="AF98"/>
      <c r="AG98"/>
      <c r="AH98"/>
      <c r="AI98"/>
      <c r="AJ98"/>
    </row>
    <row r="99" spans="29:36" x14ac:dyDescent="0.25">
      <c r="AC99"/>
      <c r="AD99"/>
      <c r="AE99"/>
      <c r="AF99"/>
      <c r="AG99"/>
      <c r="AH99"/>
      <c r="AI99"/>
      <c r="AJ99"/>
    </row>
    <row r="100" spans="29:36" x14ac:dyDescent="0.25">
      <c r="AC100"/>
      <c r="AD100"/>
      <c r="AE100"/>
      <c r="AF100"/>
      <c r="AG100"/>
      <c r="AH100"/>
      <c r="AI100"/>
      <c r="AJ100"/>
    </row>
    <row r="101" spans="29:36" x14ac:dyDescent="0.25">
      <c r="AC101"/>
      <c r="AD101"/>
      <c r="AE101"/>
      <c r="AF101"/>
      <c r="AG101"/>
      <c r="AH101"/>
      <c r="AI101"/>
      <c r="AJ101"/>
    </row>
    <row r="102" spans="29:36" x14ac:dyDescent="0.25">
      <c r="AC102"/>
      <c r="AD102"/>
      <c r="AE102"/>
      <c r="AF102"/>
      <c r="AG102"/>
      <c r="AH102"/>
      <c r="AI102"/>
      <c r="AJ102"/>
    </row>
    <row r="103" spans="29:36" x14ac:dyDescent="0.25">
      <c r="AC103"/>
      <c r="AD103"/>
      <c r="AE103"/>
      <c r="AF103"/>
      <c r="AG103"/>
      <c r="AH103"/>
      <c r="AI103"/>
      <c r="AJ103"/>
    </row>
    <row r="104" spans="29:36" x14ac:dyDescent="0.25">
      <c r="AC104"/>
      <c r="AD104"/>
      <c r="AE104"/>
      <c r="AF104"/>
      <c r="AG104"/>
      <c r="AH104"/>
      <c r="AI104"/>
      <c r="AJ104"/>
    </row>
    <row r="105" spans="29:36" x14ac:dyDescent="0.25">
      <c r="AC105"/>
      <c r="AD105"/>
      <c r="AE105"/>
      <c r="AF105"/>
      <c r="AG105"/>
      <c r="AH105"/>
      <c r="AI105"/>
      <c r="AJ105"/>
    </row>
    <row r="106" spans="29:36" x14ac:dyDescent="0.25">
      <c r="AC106"/>
      <c r="AD106"/>
      <c r="AE106"/>
      <c r="AF106"/>
      <c r="AG106"/>
      <c r="AH106"/>
      <c r="AI106"/>
      <c r="AJ106"/>
    </row>
    <row r="107" spans="29:36" x14ac:dyDescent="0.25">
      <c r="AC107"/>
      <c r="AD107"/>
      <c r="AE107"/>
      <c r="AF107"/>
      <c r="AG107"/>
      <c r="AH107"/>
      <c r="AI107"/>
      <c r="AJ107"/>
    </row>
    <row r="108" spans="29:36" x14ac:dyDescent="0.25">
      <c r="AC108"/>
      <c r="AD108"/>
      <c r="AE108"/>
      <c r="AF108"/>
      <c r="AG108"/>
      <c r="AH108"/>
      <c r="AI108"/>
      <c r="AJ108"/>
    </row>
    <row r="109" spans="29:36" x14ac:dyDescent="0.25">
      <c r="AC109"/>
      <c r="AD109"/>
      <c r="AE109"/>
      <c r="AF109"/>
      <c r="AG109"/>
      <c r="AH109"/>
      <c r="AI109"/>
      <c r="AJ109"/>
    </row>
    <row r="110" spans="29:36" x14ac:dyDescent="0.25">
      <c r="AC110"/>
      <c r="AD110"/>
      <c r="AE110"/>
      <c r="AF110"/>
      <c r="AG110"/>
      <c r="AH110"/>
      <c r="AI110"/>
      <c r="AJ110"/>
    </row>
    <row r="111" spans="29:36" x14ac:dyDescent="0.25">
      <c r="AC111"/>
      <c r="AD111"/>
      <c r="AE111"/>
      <c r="AF111"/>
      <c r="AG111"/>
      <c r="AH111"/>
      <c r="AI111"/>
      <c r="AJ111"/>
    </row>
    <row r="112" spans="29:36" x14ac:dyDescent="0.25">
      <c r="AC112"/>
      <c r="AD112"/>
      <c r="AE112"/>
      <c r="AF112"/>
      <c r="AG112"/>
      <c r="AH112"/>
      <c r="AI112"/>
      <c r="AJ112"/>
    </row>
    <row r="113" spans="29:36" x14ac:dyDescent="0.25">
      <c r="AC113"/>
      <c r="AD113"/>
      <c r="AE113"/>
      <c r="AF113"/>
      <c r="AG113"/>
      <c r="AH113"/>
      <c r="AI113"/>
      <c r="AJ113"/>
    </row>
    <row r="114" spans="29:36" x14ac:dyDescent="0.25">
      <c r="AC114"/>
      <c r="AD114"/>
      <c r="AE114"/>
      <c r="AF114"/>
      <c r="AG114"/>
      <c r="AH114"/>
      <c r="AI114"/>
      <c r="AJ114"/>
    </row>
    <row r="115" spans="29:36" x14ac:dyDescent="0.25">
      <c r="AC115"/>
      <c r="AD115"/>
      <c r="AE115"/>
      <c r="AF115"/>
      <c r="AG115"/>
      <c r="AH115"/>
      <c r="AI115"/>
      <c r="AJ115"/>
    </row>
    <row r="116" spans="29:36" x14ac:dyDescent="0.25">
      <c r="AC116"/>
      <c r="AD116"/>
      <c r="AE116"/>
      <c r="AF116"/>
      <c r="AG116"/>
      <c r="AH116"/>
      <c r="AI116"/>
      <c r="AJ116"/>
    </row>
    <row r="117" spans="29:36" x14ac:dyDescent="0.25">
      <c r="AC117"/>
      <c r="AD117"/>
      <c r="AE117"/>
      <c r="AF117"/>
      <c r="AG117"/>
      <c r="AH117"/>
      <c r="AI117"/>
      <c r="AJ117"/>
    </row>
    <row r="118" spans="29:36" x14ac:dyDescent="0.25">
      <c r="AC118"/>
      <c r="AD118"/>
      <c r="AE118"/>
      <c r="AF118"/>
      <c r="AG118"/>
      <c r="AH118"/>
      <c r="AI118"/>
      <c r="AJ118"/>
    </row>
    <row r="119" spans="29:36" x14ac:dyDescent="0.25">
      <c r="AC119"/>
      <c r="AD119"/>
      <c r="AE119"/>
      <c r="AF119"/>
      <c r="AG119"/>
      <c r="AH119"/>
      <c r="AI119"/>
      <c r="AJ119"/>
    </row>
    <row r="120" spans="29:36" x14ac:dyDescent="0.25">
      <c r="AC120"/>
      <c r="AD120"/>
      <c r="AE120"/>
      <c r="AF120"/>
      <c r="AG120"/>
      <c r="AH120"/>
      <c r="AI120"/>
      <c r="AJ120"/>
    </row>
    <row r="121" spans="29:36" x14ac:dyDescent="0.25">
      <c r="AC121"/>
      <c r="AD121"/>
      <c r="AE121"/>
      <c r="AF121"/>
      <c r="AG121"/>
      <c r="AH121"/>
      <c r="AI121"/>
      <c r="AJ121"/>
    </row>
    <row r="122" spans="29:36" x14ac:dyDescent="0.25">
      <c r="AC122"/>
      <c r="AD122"/>
      <c r="AE122"/>
      <c r="AF122"/>
      <c r="AG122"/>
      <c r="AH122"/>
      <c r="AI122"/>
      <c r="AJ122"/>
    </row>
    <row r="123" spans="29:36" x14ac:dyDescent="0.25">
      <c r="AC123"/>
      <c r="AD123"/>
      <c r="AE123"/>
      <c r="AF123"/>
      <c r="AG123"/>
      <c r="AH123"/>
      <c r="AI123"/>
      <c r="AJ123"/>
    </row>
    <row r="124" spans="29:36" x14ac:dyDescent="0.25">
      <c r="AC124"/>
      <c r="AD124"/>
      <c r="AE124"/>
      <c r="AF124"/>
      <c r="AG124"/>
      <c r="AH124"/>
      <c r="AI124"/>
      <c r="AJ124"/>
    </row>
    <row r="125" spans="29:36" x14ac:dyDescent="0.25">
      <c r="AC125"/>
      <c r="AD125"/>
      <c r="AE125"/>
      <c r="AF125"/>
      <c r="AG125"/>
      <c r="AH125"/>
      <c r="AI125"/>
      <c r="AJ125"/>
    </row>
    <row r="126" spans="29:36" x14ac:dyDescent="0.25">
      <c r="AC126"/>
      <c r="AD126"/>
      <c r="AE126"/>
      <c r="AF126"/>
      <c r="AG126"/>
      <c r="AH126"/>
      <c r="AI126"/>
      <c r="AJ126"/>
    </row>
    <row r="127" spans="29:36" x14ac:dyDescent="0.25">
      <c r="AC127"/>
      <c r="AD127"/>
      <c r="AE127"/>
      <c r="AF127"/>
      <c r="AG127"/>
      <c r="AH127"/>
      <c r="AI127"/>
      <c r="AJ127"/>
    </row>
    <row r="128" spans="29:36" x14ac:dyDescent="0.25">
      <c r="AC128"/>
      <c r="AD128"/>
      <c r="AE128"/>
      <c r="AF128"/>
      <c r="AG128"/>
      <c r="AH128"/>
      <c r="AI128"/>
      <c r="AJ128"/>
    </row>
    <row r="129" spans="29:36" x14ac:dyDescent="0.25">
      <c r="AC129"/>
      <c r="AD129"/>
      <c r="AE129"/>
      <c r="AF129"/>
      <c r="AG129"/>
      <c r="AH129"/>
      <c r="AI129"/>
      <c r="AJ129"/>
    </row>
    <row r="130" spans="29:36" x14ac:dyDescent="0.25">
      <c r="AC130"/>
      <c r="AD130"/>
      <c r="AE130"/>
      <c r="AF130"/>
      <c r="AG130"/>
      <c r="AH130"/>
      <c r="AI130"/>
      <c r="AJ130"/>
    </row>
    <row r="131" spans="29:36" x14ac:dyDescent="0.25">
      <c r="AC131"/>
      <c r="AD131"/>
      <c r="AE131"/>
      <c r="AF131"/>
      <c r="AG131"/>
      <c r="AH131"/>
      <c r="AI131"/>
      <c r="AJ131"/>
    </row>
    <row r="132" spans="29:36" x14ac:dyDescent="0.25">
      <c r="AC132"/>
      <c r="AD132"/>
      <c r="AE132"/>
      <c r="AF132"/>
      <c r="AG132"/>
      <c r="AH132"/>
      <c r="AI132"/>
      <c r="AJ132"/>
    </row>
    <row r="133" spans="29:36" x14ac:dyDescent="0.25">
      <c r="AC133"/>
      <c r="AD133"/>
      <c r="AE133"/>
      <c r="AF133"/>
      <c r="AG133"/>
      <c r="AH133"/>
      <c r="AI133"/>
      <c r="AJ133"/>
    </row>
    <row r="134" spans="29:36" x14ac:dyDescent="0.25">
      <c r="AC134"/>
      <c r="AD134"/>
      <c r="AE134"/>
      <c r="AF134"/>
      <c r="AG134"/>
      <c r="AH134"/>
      <c r="AI134"/>
      <c r="AJ134"/>
    </row>
    <row r="135" spans="29:36" x14ac:dyDescent="0.25">
      <c r="AC135"/>
      <c r="AD135"/>
      <c r="AE135"/>
      <c r="AF135"/>
      <c r="AG135"/>
      <c r="AH135"/>
      <c r="AI135"/>
      <c r="AJ135"/>
    </row>
    <row r="136" spans="29:36" x14ac:dyDescent="0.25">
      <c r="AC136"/>
      <c r="AD136"/>
      <c r="AE136"/>
      <c r="AF136"/>
      <c r="AG136"/>
      <c r="AH136"/>
      <c r="AI136"/>
      <c r="AJ136"/>
    </row>
    <row r="137" spans="29:36" x14ac:dyDescent="0.25">
      <c r="AC137"/>
      <c r="AD137"/>
      <c r="AE137"/>
      <c r="AF137"/>
      <c r="AG137"/>
      <c r="AH137"/>
      <c r="AI137"/>
      <c r="AJ137"/>
    </row>
    <row r="138" spans="29:36" x14ac:dyDescent="0.25">
      <c r="AC138"/>
      <c r="AD138"/>
      <c r="AE138"/>
      <c r="AF138"/>
      <c r="AG138"/>
      <c r="AH138"/>
      <c r="AI138"/>
      <c r="AJ138"/>
    </row>
    <row r="139" spans="29:36" x14ac:dyDescent="0.25">
      <c r="AC139"/>
      <c r="AD139"/>
      <c r="AE139"/>
      <c r="AF139"/>
      <c r="AG139"/>
      <c r="AH139"/>
      <c r="AI139"/>
      <c r="AJ139"/>
    </row>
    <row r="140" spans="29:36" x14ac:dyDescent="0.25">
      <c r="AC140"/>
      <c r="AD140"/>
      <c r="AE140"/>
      <c r="AF140"/>
      <c r="AG140"/>
      <c r="AH140"/>
      <c r="AI140"/>
      <c r="AJ140"/>
    </row>
    <row r="141" spans="29:36" x14ac:dyDescent="0.25">
      <c r="AC141"/>
      <c r="AD141"/>
      <c r="AE141"/>
      <c r="AF141"/>
      <c r="AG141"/>
      <c r="AH141"/>
      <c r="AI141"/>
      <c r="AJ141"/>
    </row>
    <row r="142" spans="29:36" x14ac:dyDescent="0.25">
      <c r="AC142"/>
      <c r="AD142"/>
      <c r="AE142"/>
      <c r="AF142"/>
      <c r="AG142"/>
      <c r="AH142"/>
      <c r="AI142"/>
      <c r="AJ142"/>
    </row>
    <row r="143" spans="29:36" x14ac:dyDescent="0.25">
      <c r="AC143"/>
      <c r="AD143"/>
      <c r="AE143"/>
      <c r="AF143"/>
      <c r="AG143"/>
      <c r="AH143"/>
      <c r="AI143"/>
      <c r="AJ143"/>
    </row>
    <row r="144" spans="29:36" x14ac:dyDescent="0.25">
      <c r="AC144"/>
      <c r="AD144"/>
      <c r="AE144"/>
      <c r="AF144"/>
      <c r="AG144"/>
      <c r="AH144"/>
      <c r="AI144"/>
      <c r="AJ144"/>
    </row>
    <row r="145" spans="29:36" x14ac:dyDescent="0.25">
      <c r="AC145"/>
      <c r="AD145"/>
      <c r="AE145"/>
      <c r="AF145"/>
      <c r="AG145"/>
      <c r="AH145"/>
      <c r="AI145"/>
      <c r="AJ145"/>
    </row>
    <row r="146" spans="29:36" x14ac:dyDescent="0.25">
      <c r="AC146"/>
      <c r="AD146"/>
      <c r="AE146"/>
      <c r="AF146"/>
      <c r="AG146"/>
      <c r="AH146"/>
      <c r="AI146"/>
      <c r="AJ146"/>
    </row>
    <row r="147" spans="29:36" x14ac:dyDescent="0.25">
      <c r="AC147"/>
      <c r="AD147"/>
      <c r="AE147"/>
      <c r="AF147"/>
      <c r="AG147"/>
      <c r="AH147"/>
      <c r="AI147"/>
      <c r="AJ147"/>
    </row>
    <row r="148" spans="29:36" x14ac:dyDescent="0.25">
      <c r="AC148"/>
      <c r="AD148"/>
      <c r="AE148"/>
      <c r="AF148"/>
      <c r="AG148"/>
      <c r="AH148"/>
      <c r="AI148"/>
      <c r="AJ148"/>
    </row>
    <row r="149" spans="29:36" x14ac:dyDescent="0.25">
      <c r="AC149"/>
      <c r="AD149"/>
      <c r="AE149"/>
      <c r="AF149"/>
      <c r="AG149"/>
      <c r="AH149"/>
      <c r="AI149"/>
      <c r="AJ149"/>
    </row>
    <row r="150" spans="29:36" x14ac:dyDescent="0.25">
      <c r="AC150"/>
      <c r="AD150"/>
      <c r="AE150"/>
      <c r="AF150"/>
      <c r="AG150"/>
      <c r="AH150"/>
      <c r="AI150"/>
      <c r="AJ150"/>
    </row>
    <row r="151" spans="29:36" x14ac:dyDescent="0.25">
      <c r="AC151"/>
      <c r="AD151"/>
      <c r="AE151"/>
      <c r="AF151"/>
      <c r="AG151"/>
      <c r="AH151"/>
      <c r="AI151"/>
      <c r="AJ151"/>
    </row>
    <row r="152" spans="29:36" x14ac:dyDescent="0.25">
      <c r="AC152"/>
      <c r="AD152"/>
      <c r="AE152"/>
      <c r="AF152"/>
      <c r="AG152"/>
      <c r="AH152"/>
      <c r="AI152"/>
      <c r="AJ152"/>
    </row>
    <row r="153" spans="29:36" x14ac:dyDescent="0.25">
      <c r="AC153"/>
      <c r="AD153"/>
      <c r="AE153"/>
      <c r="AF153"/>
      <c r="AG153"/>
      <c r="AH153"/>
      <c r="AI153"/>
      <c r="AJ153"/>
    </row>
    <row r="154" spans="29:36" x14ac:dyDescent="0.25">
      <c r="AC154"/>
      <c r="AD154"/>
      <c r="AE154"/>
      <c r="AF154"/>
      <c r="AG154"/>
      <c r="AH154"/>
      <c r="AI154"/>
      <c r="AJ154"/>
    </row>
    <row r="155" spans="29:36" x14ac:dyDescent="0.25">
      <c r="AC155"/>
      <c r="AD155"/>
      <c r="AE155"/>
      <c r="AF155"/>
      <c r="AG155"/>
      <c r="AH155"/>
      <c r="AI155"/>
      <c r="AJ155"/>
    </row>
    <row r="156" spans="29:36" x14ac:dyDescent="0.25">
      <c r="AC156"/>
      <c r="AD156"/>
      <c r="AE156"/>
      <c r="AF156"/>
      <c r="AG156"/>
      <c r="AH156"/>
      <c r="AI156"/>
      <c r="AJ156"/>
    </row>
    <row r="157" spans="29:36" x14ac:dyDescent="0.25">
      <c r="AC157"/>
      <c r="AD157"/>
      <c r="AE157"/>
      <c r="AF157"/>
      <c r="AG157"/>
      <c r="AH157"/>
      <c r="AI157"/>
      <c r="AJ157"/>
    </row>
    <row r="158" spans="29:36" x14ac:dyDescent="0.25">
      <c r="AC158"/>
      <c r="AD158"/>
      <c r="AE158"/>
      <c r="AF158"/>
      <c r="AG158"/>
      <c r="AH158"/>
      <c r="AI158"/>
      <c r="AJ158"/>
    </row>
    <row r="159" spans="29:36" x14ac:dyDescent="0.25">
      <c r="AC159"/>
      <c r="AD159"/>
      <c r="AE159"/>
      <c r="AF159"/>
      <c r="AG159"/>
      <c r="AH159"/>
      <c r="AI159"/>
      <c r="AJ159"/>
    </row>
    <row r="160" spans="29:36" x14ac:dyDescent="0.25">
      <c r="AC160"/>
      <c r="AD160"/>
      <c r="AE160"/>
      <c r="AF160"/>
      <c r="AG160"/>
      <c r="AH160"/>
      <c r="AI160"/>
      <c r="AJ160"/>
    </row>
    <row r="161" spans="29:36" x14ac:dyDescent="0.25">
      <c r="AC161"/>
      <c r="AD161"/>
      <c r="AE161"/>
      <c r="AF161"/>
      <c r="AG161"/>
      <c r="AH161"/>
      <c r="AI161"/>
      <c r="AJ161"/>
    </row>
    <row r="162" spans="29:36" x14ac:dyDescent="0.25">
      <c r="AC162"/>
      <c r="AD162"/>
      <c r="AE162"/>
      <c r="AF162"/>
      <c r="AG162"/>
      <c r="AH162"/>
      <c r="AI162"/>
      <c r="AJ162"/>
    </row>
    <row r="163" spans="29:36" x14ac:dyDescent="0.25">
      <c r="AC163"/>
      <c r="AD163"/>
      <c r="AE163"/>
      <c r="AF163"/>
      <c r="AG163"/>
      <c r="AH163"/>
      <c r="AI163"/>
      <c r="AJ163"/>
    </row>
    <row r="164" spans="29:36" x14ac:dyDescent="0.25">
      <c r="AC164"/>
      <c r="AD164"/>
      <c r="AE164"/>
      <c r="AF164"/>
      <c r="AG164"/>
      <c r="AH164"/>
      <c r="AI164"/>
      <c r="AJ164"/>
    </row>
    <row r="165" spans="29:36" x14ac:dyDescent="0.25">
      <c r="AC165"/>
      <c r="AD165"/>
      <c r="AE165"/>
      <c r="AF165"/>
      <c r="AG165"/>
      <c r="AH165"/>
      <c r="AI165"/>
      <c r="AJ165"/>
    </row>
    <row r="166" spans="29:36" x14ac:dyDescent="0.25">
      <c r="AC166"/>
      <c r="AD166"/>
      <c r="AE166"/>
      <c r="AF166"/>
      <c r="AG166"/>
      <c r="AH166"/>
      <c r="AI166"/>
      <c r="AJ166"/>
    </row>
    <row r="167" spans="29:36" x14ac:dyDescent="0.25">
      <c r="AC167"/>
      <c r="AD167"/>
      <c r="AE167"/>
      <c r="AF167"/>
      <c r="AG167"/>
      <c r="AH167"/>
      <c r="AI167"/>
      <c r="AJ167"/>
    </row>
    <row r="168" spans="29:36" x14ac:dyDescent="0.25">
      <c r="AC168"/>
      <c r="AD168"/>
      <c r="AE168"/>
      <c r="AF168"/>
      <c r="AG168"/>
      <c r="AH168"/>
      <c r="AI168"/>
      <c r="AJ168"/>
    </row>
    <row r="169" spans="29:36" x14ac:dyDescent="0.25">
      <c r="AC169"/>
      <c r="AD169"/>
      <c r="AE169"/>
      <c r="AF169"/>
      <c r="AG169"/>
      <c r="AH169"/>
      <c r="AI169"/>
      <c r="AJ169"/>
    </row>
    <row r="170" spans="29:36" x14ac:dyDescent="0.25">
      <c r="AC170"/>
      <c r="AD170"/>
      <c r="AE170"/>
      <c r="AF170"/>
      <c r="AG170"/>
      <c r="AH170"/>
      <c r="AI170"/>
      <c r="AJ170"/>
    </row>
    <row r="171" spans="29:36" x14ac:dyDescent="0.25">
      <c r="AC171"/>
      <c r="AD171"/>
      <c r="AE171"/>
      <c r="AF171"/>
      <c r="AG171"/>
      <c r="AH171"/>
      <c r="AI171"/>
      <c r="AJ171"/>
    </row>
    <row r="172" spans="29:36" x14ac:dyDescent="0.25">
      <c r="AC172"/>
      <c r="AD172"/>
      <c r="AE172"/>
      <c r="AF172"/>
      <c r="AG172"/>
      <c r="AH172"/>
      <c r="AI172"/>
      <c r="AJ172"/>
    </row>
    <row r="173" spans="29:36" x14ac:dyDescent="0.25">
      <c r="AC173"/>
      <c r="AD173"/>
      <c r="AE173"/>
      <c r="AF173"/>
      <c r="AG173"/>
      <c r="AH173"/>
      <c r="AI173"/>
      <c r="AJ173"/>
    </row>
    <row r="174" spans="29:36" x14ac:dyDescent="0.25">
      <c r="AC174"/>
      <c r="AD174"/>
      <c r="AE174"/>
      <c r="AF174"/>
      <c r="AG174"/>
      <c r="AH174"/>
      <c r="AI174"/>
      <c r="AJ174"/>
    </row>
    <row r="175" spans="29:36" x14ac:dyDescent="0.25">
      <c r="AC175"/>
      <c r="AD175"/>
      <c r="AE175"/>
      <c r="AF175"/>
      <c r="AG175"/>
      <c r="AH175"/>
      <c r="AI175"/>
      <c r="AJ175"/>
    </row>
    <row r="176" spans="29:36" x14ac:dyDescent="0.25">
      <c r="AC176"/>
      <c r="AD176"/>
      <c r="AE176"/>
      <c r="AF176"/>
      <c r="AG176"/>
      <c r="AH176"/>
      <c r="AI176"/>
      <c r="AJ176"/>
    </row>
    <row r="177" spans="29:36" x14ac:dyDescent="0.25">
      <c r="AC177"/>
      <c r="AD177"/>
      <c r="AE177"/>
      <c r="AF177"/>
      <c r="AG177"/>
      <c r="AH177"/>
      <c r="AI177"/>
      <c r="AJ177"/>
    </row>
    <row r="178" spans="29:36" x14ac:dyDescent="0.25">
      <c r="AC178"/>
      <c r="AD178"/>
      <c r="AE178"/>
      <c r="AF178"/>
      <c r="AG178"/>
      <c r="AH178"/>
      <c r="AI178"/>
      <c r="AJ178"/>
    </row>
    <row r="179" spans="29:36" x14ac:dyDescent="0.25">
      <c r="AC179"/>
      <c r="AD179"/>
      <c r="AE179"/>
      <c r="AF179"/>
      <c r="AG179"/>
      <c r="AH179"/>
      <c r="AI179"/>
      <c r="AJ179"/>
    </row>
    <row r="180" spans="29:36" x14ac:dyDescent="0.25">
      <c r="AC180"/>
      <c r="AD180"/>
      <c r="AE180"/>
      <c r="AF180"/>
      <c r="AG180"/>
      <c r="AH180"/>
      <c r="AI180"/>
      <c r="AJ180"/>
    </row>
    <row r="181" spans="29:36" x14ac:dyDescent="0.25">
      <c r="AC181"/>
      <c r="AD181"/>
      <c r="AE181"/>
      <c r="AF181"/>
      <c r="AG181"/>
      <c r="AH181"/>
      <c r="AI181"/>
      <c r="AJ181"/>
    </row>
    <row r="182" spans="29:36" x14ac:dyDescent="0.25">
      <c r="AC182"/>
      <c r="AD182"/>
      <c r="AE182"/>
      <c r="AF182"/>
      <c r="AG182"/>
      <c r="AH182"/>
      <c r="AI182"/>
      <c r="AJ182"/>
    </row>
    <row r="183" spans="29:36" x14ac:dyDescent="0.25">
      <c r="AC183"/>
      <c r="AD183"/>
      <c r="AE183"/>
      <c r="AF183"/>
      <c r="AG183"/>
      <c r="AH183"/>
      <c r="AI183"/>
      <c r="AJ183"/>
    </row>
    <row r="184" spans="29:36" x14ac:dyDescent="0.25">
      <c r="AC184"/>
      <c r="AD184"/>
      <c r="AE184"/>
      <c r="AF184"/>
      <c r="AG184"/>
      <c r="AH184"/>
      <c r="AI184"/>
      <c r="AJ184"/>
    </row>
    <row r="185" spans="29:36" x14ac:dyDescent="0.25">
      <c r="AC185"/>
      <c r="AD185"/>
      <c r="AE185"/>
      <c r="AF185"/>
      <c r="AG185"/>
      <c r="AH185"/>
      <c r="AI185"/>
      <c r="AJ185"/>
    </row>
    <row r="186" spans="29:36" x14ac:dyDescent="0.25">
      <c r="AC186"/>
      <c r="AD186"/>
      <c r="AE186"/>
      <c r="AF186"/>
      <c r="AG186"/>
      <c r="AH186"/>
      <c r="AI186"/>
      <c r="AJ186"/>
    </row>
    <row r="187" spans="29:36" x14ac:dyDescent="0.25">
      <c r="AC187"/>
      <c r="AD187"/>
      <c r="AE187"/>
      <c r="AF187"/>
      <c r="AG187"/>
      <c r="AH187"/>
      <c r="AI187"/>
      <c r="AJ187"/>
    </row>
    <row r="188" spans="29:36" x14ac:dyDescent="0.25">
      <c r="AC188"/>
      <c r="AD188"/>
      <c r="AE188"/>
      <c r="AF188"/>
      <c r="AG188"/>
      <c r="AH188"/>
      <c r="AI188"/>
      <c r="AJ188"/>
    </row>
    <row r="189" spans="29:36" x14ac:dyDescent="0.25">
      <c r="AC189"/>
      <c r="AD189"/>
      <c r="AE189"/>
      <c r="AF189"/>
      <c r="AG189"/>
      <c r="AH189"/>
      <c r="AI189"/>
      <c r="AJ189"/>
    </row>
    <row r="190" spans="29:36" x14ac:dyDescent="0.25">
      <c r="AC190"/>
      <c r="AD190"/>
      <c r="AE190"/>
      <c r="AF190"/>
      <c r="AG190"/>
      <c r="AH190"/>
      <c r="AI190"/>
      <c r="AJ190"/>
    </row>
    <row r="191" spans="29:36" x14ac:dyDescent="0.25">
      <c r="AC191"/>
      <c r="AD191"/>
      <c r="AE191"/>
      <c r="AF191"/>
      <c r="AG191"/>
      <c r="AH191"/>
      <c r="AI191"/>
      <c r="AJ191"/>
    </row>
    <row r="192" spans="29:36" x14ac:dyDescent="0.25">
      <c r="AC192"/>
      <c r="AD192"/>
      <c r="AE192"/>
      <c r="AF192"/>
      <c r="AG192"/>
      <c r="AH192"/>
      <c r="AI192"/>
      <c r="AJ192"/>
    </row>
    <row r="193" spans="29:36" x14ac:dyDescent="0.25">
      <c r="AC193"/>
      <c r="AD193"/>
      <c r="AE193"/>
      <c r="AF193"/>
      <c r="AG193"/>
      <c r="AH193"/>
      <c r="AI193"/>
      <c r="AJ193"/>
    </row>
    <row r="194" spans="29:36" x14ac:dyDescent="0.25">
      <c r="AC194"/>
      <c r="AD194"/>
      <c r="AE194"/>
      <c r="AF194"/>
      <c r="AG194"/>
      <c r="AH194"/>
      <c r="AI194"/>
      <c r="AJ194"/>
    </row>
    <row r="195" spans="29:36" x14ac:dyDescent="0.25">
      <c r="AC195"/>
      <c r="AD195"/>
      <c r="AE195"/>
      <c r="AF195"/>
      <c r="AG195"/>
      <c r="AH195"/>
      <c r="AI195"/>
      <c r="AJ195"/>
    </row>
    <row r="196" spans="29:36" x14ac:dyDescent="0.25">
      <c r="AC196"/>
      <c r="AD196"/>
      <c r="AE196"/>
      <c r="AF196"/>
      <c r="AG196"/>
      <c r="AH196"/>
      <c r="AI196"/>
      <c r="AJ196"/>
    </row>
    <row r="197" spans="29:36" x14ac:dyDescent="0.25">
      <c r="AC197"/>
      <c r="AD197"/>
      <c r="AE197"/>
      <c r="AF197"/>
      <c r="AG197"/>
      <c r="AH197"/>
      <c r="AI197"/>
      <c r="AJ197"/>
    </row>
    <row r="198" spans="29:36" x14ac:dyDescent="0.25">
      <c r="AC198"/>
      <c r="AD198"/>
      <c r="AE198"/>
      <c r="AF198"/>
      <c r="AG198"/>
      <c r="AH198"/>
      <c r="AI198"/>
      <c r="AJ198"/>
    </row>
    <row r="199" spans="29:36" x14ac:dyDescent="0.25">
      <c r="AC199"/>
      <c r="AD199"/>
      <c r="AE199"/>
      <c r="AF199"/>
      <c r="AG199"/>
      <c r="AH199"/>
      <c r="AI199"/>
      <c r="AJ199"/>
    </row>
    <row r="200" spans="29:36" x14ac:dyDescent="0.25">
      <c r="AC200"/>
      <c r="AD200"/>
      <c r="AE200"/>
      <c r="AF200"/>
      <c r="AG200"/>
      <c r="AH200"/>
      <c r="AI200"/>
      <c r="AJ200"/>
    </row>
    <row r="201" spans="29:36" x14ac:dyDescent="0.25">
      <c r="AC201"/>
      <c r="AD201"/>
      <c r="AE201"/>
      <c r="AF201"/>
      <c r="AG201"/>
      <c r="AH201"/>
      <c r="AI201"/>
      <c r="AJ201"/>
    </row>
    <row r="202" spans="29:36" x14ac:dyDescent="0.25">
      <c r="AC202"/>
      <c r="AD202"/>
      <c r="AE202"/>
      <c r="AF202"/>
      <c r="AG202"/>
      <c r="AH202"/>
      <c r="AI202"/>
      <c r="AJ202"/>
    </row>
    <row r="203" spans="29:36" x14ac:dyDescent="0.25">
      <c r="AC203"/>
      <c r="AD203"/>
      <c r="AE203"/>
      <c r="AF203"/>
      <c r="AG203"/>
      <c r="AH203"/>
      <c r="AI203"/>
      <c r="AJ203"/>
    </row>
    <row r="204" spans="29:36" x14ac:dyDescent="0.25">
      <c r="AC204"/>
      <c r="AD204"/>
      <c r="AE204"/>
      <c r="AF204"/>
      <c r="AG204"/>
      <c r="AH204"/>
      <c r="AI204"/>
      <c r="AJ204"/>
    </row>
    <row r="205" spans="29:36" x14ac:dyDescent="0.25">
      <c r="AC205"/>
      <c r="AD205"/>
      <c r="AE205"/>
      <c r="AF205"/>
      <c r="AG205"/>
      <c r="AH205"/>
      <c r="AI205"/>
      <c r="AJ205"/>
    </row>
    <row r="206" spans="29:36" x14ac:dyDescent="0.25">
      <c r="AC206"/>
      <c r="AD206"/>
      <c r="AE206"/>
      <c r="AF206"/>
      <c r="AG206"/>
      <c r="AH206"/>
      <c r="AI206"/>
      <c r="AJ206"/>
    </row>
    <row r="207" spans="29:36" x14ac:dyDescent="0.25">
      <c r="AC207"/>
      <c r="AD207"/>
      <c r="AE207"/>
      <c r="AF207"/>
      <c r="AG207"/>
      <c r="AH207"/>
      <c r="AI207"/>
      <c r="AJ207"/>
    </row>
    <row r="208" spans="29:36" x14ac:dyDescent="0.25">
      <c r="AC208"/>
      <c r="AD208"/>
      <c r="AE208"/>
      <c r="AF208"/>
      <c r="AG208"/>
      <c r="AH208"/>
      <c r="AI208"/>
      <c r="AJ208"/>
    </row>
    <row r="209" spans="29:36" x14ac:dyDescent="0.25">
      <c r="AC209"/>
      <c r="AD209"/>
      <c r="AE209"/>
      <c r="AF209"/>
      <c r="AG209"/>
      <c r="AH209"/>
      <c r="AI209"/>
      <c r="AJ209"/>
    </row>
    <row r="210" spans="29:36" x14ac:dyDescent="0.25">
      <c r="AC210"/>
      <c r="AD210"/>
      <c r="AE210"/>
      <c r="AF210"/>
      <c r="AG210"/>
      <c r="AH210"/>
      <c r="AI210"/>
      <c r="AJ210"/>
    </row>
    <row r="211" spans="29:36" x14ac:dyDescent="0.25">
      <c r="AC211"/>
      <c r="AD211"/>
      <c r="AE211"/>
      <c r="AF211"/>
      <c r="AG211"/>
      <c r="AH211"/>
      <c r="AI211"/>
      <c r="AJ211"/>
    </row>
    <row r="212" spans="29:36" x14ac:dyDescent="0.25">
      <c r="AC212"/>
      <c r="AD212"/>
      <c r="AE212"/>
      <c r="AF212"/>
      <c r="AG212"/>
      <c r="AH212"/>
      <c r="AI212"/>
      <c r="AJ212"/>
    </row>
    <row r="213" spans="29:36" x14ac:dyDescent="0.25">
      <c r="AC213"/>
      <c r="AD213"/>
      <c r="AE213"/>
      <c r="AF213"/>
      <c r="AG213"/>
      <c r="AH213"/>
      <c r="AI213"/>
      <c r="AJ213"/>
    </row>
    <row r="214" spans="29:36" x14ac:dyDescent="0.25">
      <c r="AC214"/>
      <c r="AD214"/>
      <c r="AE214"/>
      <c r="AF214"/>
      <c r="AG214"/>
      <c r="AH214"/>
      <c r="AI214"/>
      <c r="AJ214"/>
    </row>
    <row r="215" spans="29:36" x14ac:dyDescent="0.25">
      <c r="AC215"/>
      <c r="AD215"/>
      <c r="AE215"/>
      <c r="AF215"/>
      <c r="AG215"/>
      <c r="AH215"/>
      <c r="AI215"/>
      <c r="AJ215"/>
    </row>
    <row r="216" spans="29:36" x14ac:dyDescent="0.25">
      <c r="AC216"/>
      <c r="AD216"/>
      <c r="AE216"/>
      <c r="AF216"/>
      <c r="AG216"/>
      <c r="AH216"/>
      <c r="AI216"/>
      <c r="AJ216"/>
    </row>
    <row r="217" spans="29:36" x14ac:dyDescent="0.25">
      <c r="AC217"/>
      <c r="AD217"/>
      <c r="AE217"/>
      <c r="AF217"/>
      <c r="AG217"/>
      <c r="AH217"/>
      <c r="AI217"/>
      <c r="AJ217"/>
    </row>
    <row r="218" spans="29:36" x14ac:dyDescent="0.25">
      <c r="AC218"/>
      <c r="AD218"/>
      <c r="AE218"/>
      <c r="AF218"/>
      <c r="AG218"/>
      <c r="AH218"/>
      <c r="AI218"/>
      <c r="AJ218"/>
    </row>
    <row r="219" spans="29:36" x14ac:dyDescent="0.25">
      <c r="AC219"/>
      <c r="AD219"/>
      <c r="AE219"/>
      <c r="AF219"/>
      <c r="AG219"/>
      <c r="AH219"/>
      <c r="AI219"/>
      <c r="AJ219"/>
    </row>
    <row r="220" spans="29:36" x14ac:dyDescent="0.25">
      <c r="AC220"/>
      <c r="AD220"/>
      <c r="AE220"/>
      <c r="AF220"/>
      <c r="AG220"/>
      <c r="AH220"/>
      <c r="AI220"/>
      <c r="AJ220"/>
    </row>
    <row r="221" spans="29:36" x14ac:dyDescent="0.25">
      <c r="AC221"/>
      <c r="AD221"/>
      <c r="AE221"/>
      <c r="AF221"/>
      <c r="AG221"/>
      <c r="AH221"/>
      <c r="AI221"/>
      <c r="AJ221"/>
    </row>
    <row r="222" spans="29:36" x14ac:dyDescent="0.25">
      <c r="AC222"/>
      <c r="AD222"/>
      <c r="AE222"/>
      <c r="AF222"/>
      <c r="AG222"/>
      <c r="AH222"/>
      <c r="AI222"/>
      <c r="AJ222"/>
    </row>
    <row r="223" spans="29:36" x14ac:dyDescent="0.25">
      <c r="AC223"/>
      <c r="AD223"/>
      <c r="AE223"/>
      <c r="AF223"/>
      <c r="AG223"/>
      <c r="AH223"/>
      <c r="AI223"/>
      <c r="AJ223"/>
    </row>
    <row r="224" spans="29:36" x14ac:dyDescent="0.25">
      <c r="AC224"/>
      <c r="AD224"/>
      <c r="AE224"/>
      <c r="AF224"/>
      <c r="AG224"/>
      <c r="AH224"/>
      <c r="AI224"/>
      <c r="AJ224"/>
    </row>
    <row r="225" spans="29:36" x14ac:dyDescent="0.25">
      <c r="AC225"/>
      <c r="AD225"/>
      <c r="AE225"/>
      <c r="AF225"/>
      <c r="AG225"/>
      <c r="AH225"/>
      <c r="AI225"/>
      <c r="AJ225"/>
    </row>
    <row r="226" spans="29:36" x14ac:dyDescent="0.25">
      <c r="AC226"/>
      <c r="AD226"/>
      <c r="AE226"/>
      <c r="AF226"/>
      <c r="AG226"/>
      <c r="AH226"/>
      <c r="AI226"/>
      <c r="AJ226"/>
    </row>
    <row r="227" spans="29:36" x14ac:dyDescent="0.25">
      <c r="AC227"/>
      <c r="AD227"/>
      <c r="AE227"/>
      <c r="AF227"/>
      <c r="AG227"/>
      <c r="AH227"/>
      <c r="AI227"/>
      <c r="AJ227"/>
    </row>
    <row r="228" spans="29:36" x14ac:dyDescent="0.25">
      <c r="AC228"/>
      <c r="AD228"/>
      <c r="AE228"/>
      <c r="AF228"/>
      <c r="AG228"/>
      <c r="AH228"/>
      <c r="AI228"/>
      <c r="AJ228"/>
    </row>
    <row r="229" spans="29:36" x14ac:dyDescent="0.25">
      <c r="AC229"/>
      <c r="AD229"/>
      <c r="AE229"/>
      <c r="AF229"/>
      <c r="AG229"/>
      <c r="AH229"/>
      <c r="AI229"/>
      <c r="AJ229"/>
    </row>
    <row r="230" spans="29:36" x14ac:dyDescent="0.25">
      <c r="AC230"/>
      <c r="AD230"/>
      <c r="AE230"/>
      <c r="AF230"/>
      <c r="AG230"/>
      <c r="AH230"/>
      <c r="AI230"/>
      <c r="AJ230"/>
    </row>
    <row r="231" spans="29:36" x14ac:dyDescent="0.25">
      <c r="AC231"/>
      <c r="AD231"/>
      <c r="AE231"/>
      <c r="AF231"/>
      <c r="AG231"/>
      <c r="AH231"/>
      <c r="AI231"/>
      <c r="AJ231"/>
    </row>
    <row r="232" spans="29:36" x14ac:dyDescent="0.25">
      <c r="AC232"/>
      <c r="AD232"/>
      <c r="AE232"/>
      <c r="AF232"/>
      <c r="AG232"/>
      <c r="AH232"/>
      <c r="AI232"/>
      <c r="AJ232"/>
    </row>
    <row r="233" spans="29:36" x14ac:dyDescent="0.25">
      <c r="AC233"/>
      <c r="AD233"/>
      <c r="AE233"/>
      <c r="AF233"/>
      <c r="AG233"/>
      <c r="AH233"/>
      <c r="AI233"/>
      <c r="AJ233"/>
    </row>
    <row r="234" spans="29:36" x14ac:dyDescent="0.25">
      <c r="AC234"/>
      <c r="AD234"/>
      <c r="AE234"/>
      <c r="AF234"/>
      <c r="AG234"/>
      <c r="AH234"/>
      <c r="AI234"/>
      <c r="AJ234"/>
    </row>
    <row r="235" spans="29:36" x14ac:dyDescent="0.25">
      <c r="AC235"/>
      <c r="AD235"/>
      <c r="AE235"/>
      <c r="AF235"/>
      <c r="AG235"/>
      <c r="AH235"/>
      <c r="AI235"/>
      <c r="AJ235"/>
    </row>
    <row r="236" spans="29:36" x14ac:dyDescent="0.25">
      <c r="AC236"/>
      <c r="AD236"/>
      <c r="AE236"/>
      <c r="AF236"/>
      <c r="AG236"/>
      <c r="AH236"/>
      <c r="AI236"/>
      <c r="AJ236"/>
    </row>
    <row r="237" spans="29:36" x14ac:dyDescent="0.25">
      <c r="AC237"/>
      <c r="AD237"/>
      <c r="AE237"/>
      <c r="AF237"/>
      <c r="AG237"/>
      <c r="AH237"/>
      <c r="AI237"/>
      <c r="AJ237"/>
    </row>
    <row r="238" spans="29:36" x14ac:dyDescent="0.25">
      <c r="AC238"/>
      <c r="AD238"/>
      <c r="AE238"/>
      <c r="AF238"/>
      <c r="AG238"/>
      <c r="AH238"/>
      <c r="AI238"/>
      <c r="AJ238"/>
    </row>
    <row r="239" spans="29:36" x14ac:dyDescent="0.25">
      <c r="AC239"/>
      <c r="AD239"/>
      <c r="AE239"/>
      <c r="AF239"/>
      <c r="AG239"/>
      <c r="AH239"/>
      <c r="AI239"/>
      <c r="AJ239"/>
    </row>
    <row r="240" spans="29:36" x14ac:dyDescent="0.25">
      <c r="AC240"/>
      <c r="AD240"/>
      <c r="AE240"/>
      <c r="AF240"/>
      <c r="AG240"/>
      <c r="AH240"/>
      <c r="AI240"/>
      <c r="AJ240"/>
    </row>
    <row r="241" spans="29:36" x14ac:dyDescent="0.25">
      <c r="AC241"/>
      <c r="AD241"/>
      <c r="AE241"/>
      <c r="AF241"/>
      <c r="AG241"/>
      <c r="AH241"/>
      <c r="AI241"/>
      <c r="AJ241"/>
    </row>
    <row r="242" spans="29:36" x14ac:dyDescent="0.25">
      <c r="AC242"/>
      <c r="AD242"/>
      <c r="AE242"/>
      <c r="AF242"/>
      <c r="AG242"/>
      <c r="AH242"/>
      <c r="AI242"/>
      <c r="AJ242"/>
    </row>
    <row r="243" spans="29:36" x14ac:dyDescent="0.25">
      <c r="AC243"/>
      <c r="AD243"/>
      <c r="AE243"/>
      <c r="AF243"/>
      <c r="AG243"/>
      <c r="AH243"/>
      <c r="AI243"/>
      <c r="AJ243"/>
    </row>
    <row r="244" spans="29:36" x14ac:dyDescent="0.25">
      <c r="AC244"/>
      <c r="AD244"/>
      <c r="AE244"/>
      <c r="AF244"/>
      <c r="AG244"/>
      <c r="AH244"/>
      <c r="AI244"/>
      <c r="AJ244"/>
    </row>
    <row r="245" spans="29:36" x14ac:dyDescent="0.25">
      <c r="AC245"/>
      <c r="AD245"/>
      <c r="AE245"/>
      <c r="AF245"/>
      <c r="AG245"/>
      <c r="AH245"/>
      <c r="AI245"/>
      <c r="AJ245"/>
    </row>
    <row r="246" spans="29:36" x14ac:dyDescent="0.25">
      <c r="AC246"/>
      <c r="AD246"/>
      <c r="AE246"/>
      <c r="AF246"/>
      <c r="AG246"/>
      <c r="AH246"/>
      <c r="AI246"/>
      <c r="AJ246"/>
    </row>
    <row r="247" spans="29:36" x14ac:dyDescent="0.25">
      <c r="AC247"/>
      <c r="AD247"/>
      <c r="AE247"/>
      <c r="AF247"/>
      <c r="AG247"/>
      <c r="AH247"/>
      <c r="AI247"/>
      <c r="AJ247"/>
    </row>
    <row r="248" spans="29:36" x14ac:dyDescent="0.25">
      <c r="AC248"/>
      <c r="AD248"/>
      <c r="AE248"/>
      <c r="AF248"/>
      <c r="AG248"/>
      <c r="AH248"/>
      <c r="AI248"/>
      <c r="AJ248"/>
    </row>
    <row r="249" spans="29:36" x14ac:dyDescent="0.25">
      <c r="AC249"/>
      <c r="AD249"/>
      <c r="AE249"/>
      <c r="AF249"/>
      <c r="AG249"/>
      <c r="AH249"/>
      <c r="AI249"/>
      <c r="AJ249"/>
    </row>
  </sheetData>
  <autoFilter ref="A3:AB3" xr:uid="{00000000-0009-0000-0000-000004000000}"/>
  <mergeCells count="2">
    <mergeCell ref="AC1:AF1"/>
    <mergeCell ref="AG1:AJ1"/>
  </mergeCells>
  <conditionalFormatting sqref="F1">
    <cfRule type="duplicateValues" dxfId="44" priority="1"/>
  </conditionalFormatting>
  <conditionalFormatting sqref="E1">
    <cfRule type="duplicateValues" dxfId="43" priority="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249"/>
  <sheetViews>
    <sheetView zoomScale="70" zoomScaleNormal="70" workbookViewId="0">
      <pane ySplit="3" topLeftCell="A4" activePane="bottomLeft" state="frozen"/>
      <selection pane="bottomLeft" activeCell="X4" sqref="X4:X20"/>
    </sheetView>
  </sheetViews>
  <sheetFormatPr defaultRowHeight="15" x14ac:dyDescent="0.25"/>
  <cols>
    <col min="2" max="2" width="28.28515625" hidden="1" customWidth="1"/>
    <col min="3" max="3" width="39.7109375" hidden="1" customWidth="1"/>
    <col min="4" max="4" width="46.7109375" customWidth="1"/>
    <col min="5" max="5" width="25.85546875" hidden="1" customWidth="1"/>
    <col min="6" max="6" width="38" style="17" customWidth="1"/>
    <col min="7" max="7" width="18.7109375" style="17" hidden="1" customWidth="1"/>
    <col min="8" max="9" width="21.28515625" style="17" hidden="1" customWidth="1"/>
    <col min="10" max="10" width="10.28515625" style="17" customWidth="1"/>
    <col min="11" max="11" width="9.140625" style="17" customWidth="1"/>
    <col min="12" max="12" width="6.85546875" style="17" customWidth="1"/>
    <col min="13" max="13" width="8.140625" style="17" customWidth="1"/>
    <col min="14" max="14" width="5.7109375" style="17" customWidth="1"/>
    <col min="15" max="15" width="5.140625" style="17" customWidth="1"/>
    <col min="16" max="16" width="4.7109375" style="17" customWidth="1"/>
    <col min="17" max="17" width="5.7109375" style="17" customWidth="1"/>
    <col min="18" max="18" width="12.140625" style="17" customWidth="1"/>
    <col min="19" max="20" width="21.28515625" style="17" hidden="1" customWidth="1"/>
    <col min="21" max="21" width="12.28515625" style="17" hidden="1" customWidth="1"/>
    <col min="22" max="22" width="21.28515625" style="17" hidden="1" customWidth="1"/>
    <col min="23" max="23" width="15" style="17" customWidth="1"/>
    <col min="24" max="24" width="10" style="17" customWidth="1"/>
    <col min="25" max="25" width="8.7109375" style="17" hidden="1" customWidth="1"/>
    <col min="26" max="26" width="35.42578125" style="23" hidden="1" customWidth="1"/>
    <col min="27" max="27" width="11.7109375" hidden="1" customWidth="1"/>
    <col min="28" max="28" width="12.5703125" style="180" hidden="1" customWidth="1"/>
    <col min="29" max="29" width="7.42578125" style="32" hidden="1" customWidth="1"/>
    <col min="30" max="30" width="7.7109375" style="32" hidden="1" customWidth="1"/>
    <col min="31" max="31" width="6.42578125" style="32" hidden="1" customWidth="1"/>
    <col min="32" max="32" width="6.28515625" style="32" hidden="1" customWidth="1"/>
    <col min="33" max="33" width="6.42578125" style="32" customWidth="1"/>
    <col min="34" max="34" width="6.7109375" style="32" customWidth="1"/>
    <col min="35" max="35" width="6.42578125" style="32" customWidth="1"/>
    <col min="36" max="36" width="6.28515625" style="32" customWidth="1"/>
  </cols>
  <sheetData>
    <row r="1" spans="1:36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33" t="s">
        <v>503</v>
      </c>
      <c r="O1" s="133" t="s">
        <v>504</v>
      </c>
      <c r="P1" s="133" t="s">
        <v>505</v>
      </c>
      <c r="Q1" s="133" t="s">
        <v>506</v>
      </c>
      <c r="R1" s="107" t="s">
        <v>13</v>
      </c>
      <c r="S1" s="1" t="s">
        <v>14</v>
      </c>
      <c r="T1" s="1" t="s">
        <v>15</v>
      </c>
      <c r="U1" s="2" t="s">
        <v>16</v>
      </c>
      <c r="V1" s="2" t="s">
        <v>17</v>
      </c>
      <c r="W1" s="3" t="s">
        <v>18</v>
      </c>
      <c r="X1" s="1" t="s">
        <v>19</v>
      </c>
      <c r="Y1" s="1" t="s">
        <v>20</v>
      </c>
      <c r="Z1" s="4" t="s">
        <v>21</v>
      </c>
      <c r="AA1" s="5" t="s">
        <v>22</v>
      </c>
      <c r="AB1" s="179" t="s">
        <v>23</v>
      </c>
      <c r="AC1" s="452" t="s">
        <v>646</v>
      </c>
      <c r="AD1" s="453"/>
      <c r="AE1" s="453"/>
      <c r="AF1" s="454"/>
      <c r="AG1" s="452" t="s">
        <v>979</v>
      </c>
      <c r="AH1" s="453"/>
      <c r="AI1" s="453"/>
      <c r="AJ1" s="454"/>
    </row>
    <row r="2" spans="1:36" x14ac:dyDescent="0.25">
      <c r="A2" s="1"/>
      <c r="B2" s="1"/>
      <c r="C2" s="1"/>
      <c r="D2" s="1"/>
      <c r="E2" s="2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07"/>
      <c r="S2" s="1"/>
      <c r="T2" s="1"/>
      <c r="U2" s="2"/>
      <c r="V2" s="2"/>
      <c r="W2" s="3"/>
      <c r="X2" s="1"/>
      <c r="Y2" s="1"/>
      <c r="Z2" s="4"/>
      <c r="AA2" s="5"/>
      <c r="AB2" s="179"/>
      <c r="AC2" s="36">
        <v>0.3</v>
      </c>
      <c r="AD2" s="36">
        <v>0.35</v>
      </c>
      <c r="AE2" s="36">
        <v>0.2</v>
      </c>
      <c r="AF2" s="36">
        <v>0.15</v>
      </c>
      <c r="AG2" s="36">
        <v>0.3</v>
      </c>
      <c r="AH2" s="36">
        <v>0.35</v>
      </c>
      <c r="AI2" s="36">
        <v>0.2</v>
      </c>
      <c r="AJ2" s="36">
        <v>0.15</v>
      </c>
    </row>
    <row r="3" spans="1:36" x14ac:dyDescent="0.25">
      <c r="A3" s="1"/>
      <c r="B3" s="1"/>
      <c r="C3" s="1"/>
      <c r="D3" s="1"/>
      <c r="E3" s="2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07"/>
      <c r="S3" s="1"/>
      <c r="T3" s="1"/>
      <c r="U3" s="2"/>
      <c r="V3" s="2"/>
      <c r="W3" s="3"/>
      <c r="X3" s="1"/>
      <c r="Y3" s="1"/>
      <c r="Z3" s="4"/>
      <c r="AA3" s="5"/>
      <c r="AB3" s="179"/>
      <c r="AC3" s="91">
        <f t="shared" ref="AC3:AJ3" si="0">SUM(AC4:AC20)</f>
        <v>11.136899999999999</v>
      </c>
      <c r="AD3" s="91">
        <f t="shared" si="0"/>
        <v>12.989900000000002</v>
      </c>
      <c r="AE3" s="91">
        <f t="shared" si="0"/>
        <v>1.9482000000000002</v>
      </c>
      <c r="AF3" s="91">
        <f t="shared" si="0"/>
        <v>0</v>
      </c>
      <c r="AG3" s="91">
        <f t="shared" si="0"/>
        <v>0</v>
      </c>
      <c r="AH3" s="91">
        <f t="shared" si="0"/>
        <v>0</v>
      </c>
      <c r="AI3" s="91">
        <f t="shared" si="0"/>
        <v>3.9226000000000001</v>
      </c>
      <c r="AJ3" s="91">
        <f t="shared" si="0"/>
        <v>0</v>
      </c>
    </row>
    <row r="4" spans="1:36" ht="30" x14ac:dyDescent="0.25">
      <c r="A4" s="28">
        <v>489</v>
      </c>
      <c r="B4" s="28" t="s">
        <v>28</v>
      </c>
      <c r="C4" s="28" t="s">
        <v>541</v>
      </c>
      <c r="D4" s="147" t="s">
        <v>542</v>
      </c>
      <c r="E4" s="24"/>
      <c r="F4" s="28" t="s">
        <v>90</v>
      </c>
      <c r="G4" s="28"/>
      <c r="H4" s="148" t="s">
        <v>31</v>
      </c>
      <c r="I4" s="28"/>
      <c r="J4" s="25">
        <v>5.0000000000000001E-3</v>
      </c>
      <c r="K4" s="25">
        <f t="shared" ref="K4:K20" si="1">L4*J4</f>
        <v>5.0000000000000001E-3</v>
      </c>
      <c r="L4" s="25">
        <v>1</v>
      </c>
      <c r="M4" s="28" t="s">
        <v>33</v>
      </c>
      <c r="N4" s="28">
        <f>R4*0.3</f>
        <v>0.12</v>
      </c>
      <c r="O4" s="28">
        <f>R4*0.35</f>
        <v>0.13999999999999999</v>
      </c>
      <c r="P4" s="28">
        <f>R4*0.2</f>
        <v>8.0000000000000016E-2</v>
      </c>
      <c r="Q4" s="28">
        <f>R4*0.15</f>
        <v>0.06</v>
      </c>
      <c r="R4" s="38">
        <v>0.4</v>
      </c>
      <c r="S4" s="170">
        <v>105991.94</v>
      </c>
      <c r="T4" s="9">
        <v>529.9597</v>
      </c>
      <c r="U4" s="15"/>
      <c r="V4" s="15"/>
      <c r="W4" s="28" t="s">
        <v>91</v>
      </c>
      <c r="X4" s="25">
        <v>73934</v>
      </c>
      <c r="Y4" s="9">
        <v>6.31</v>
      </c>
      <c r="Z4" s="15" t="s">
        <v>90</v>
      </c>
      <c r="AA4" s="178">
        <v>1</v>
      </c>
      <c r="AB4" s="172">
        <v>3736</v>
      </c>
      <c r="AC4" s="99">
        <f t="shared" ref="AC4:AC7" si="2">K4*0.3</f>
        <v>1.5E-3</v>
      </c>
      <c r="AD4" s="90"/>
      <c r="AE4" s="90"/>
      <c r="AF4" s="112"/>
      <c r="AG4" s="94"/>
      <c r="AH4" s="34"/>
      <c r="AI4" s="34"/>
      <c r="AJ4" s="95"/>
    </row>
    <row r="5" spans="1:36" ht="30" x14ac:dyDescent="0.25">
      <c r="A5" s="28">
        <v>490</v>
      </c>
      <c r="B5" s="28" t="s">
        <v>28</v>
      </c>
      <c r="C5" s="28" t="s">
        <v>541</v>
      </c>
      <c r="D5" s="147" t="s">
        <v>542</v>
      </c>
      <c r="E5" s="24"/>
      <c r="F5" s="28" t="s">
        <v>85</v>
      </c>
      <c r="G5" s="28"/>
      <c r="H5" s="148" t="s">
        <v>31</v>
      </c>
      <c r="I5" s="28"/>
      <c r="J5" s="25">
        <v>2.2149999999999999</v>
      </c>
      <c r="K5" s="25">
        <f t="shared" si="1"/>
        <v>2.2149999999999999</v>
      </c>
      <c r="L5" s="25">
        <v>1</v>
      </c>
      <c r="M5" s="28" t="s">
        <v>33</v>
      </c>
      <c r="N5" s="28">
        <f t="shared" ref="N5:N20" si="3">R5*0.3</f>
        <v>23.921999999999997</v>
      </c>
      <c r="O5" s="28">
        <f t="shared" ref="O5:O20" si="4">R5*0.35</f>
        <v>27.908999999999995</v>
      </c>
      <c r="P5" s="28">
        <f t="shared" ref="P5:P20" si="5">R5*0.2</f>
        <v>15.948</v>
      </c>
      <c r="Q5" s="28">
        <f t="shared" ref="Q5:Q20" si="6">R5*0.15</f>
        <v>11.960999999999999</v>
      </c>
      <c r="R5" s="38">
        <v>79.739999999999995</v>
      </c>
      <c r="S5" s="170">
        <v>105991.94</v>
      </c>
      <c r="T5" s="9">
        <v>234772.1471</v>
      </c>
      <c r="U5" s="15"/>
      <c r="V5" s="15"/>
      <c r="W5" s="28" t="s">
        <v>543</v>
      </c>
      <c r="X5" s="25">
        <v>73934</v>
      </c>
      <c r="Y5" s="9">
        <v>6.31</v>
      </c>
      <c r="Z5" s="15" t="s">
        <v>85</v>
      </c>
      <c r="AA5" s="178">
        <v>2</v>
      </c>
      <c r="AB5" s="172">
        <v>3736</v>
      </c>
      <c r="AC5" s="99">
        <f t="shared" si="2"/>
        <v>0.66449999999999998</v>
      </c>
      <c r="AD5" s="41">
        <f t="shared" ref="AD5:AD6" si="7">K5*0.35</f>
        <v>0.77524999999999988</v>
      </c>
      <c r="AE5" s="41">
        <f>K5*0.2</f>
        <v>0.443</v>
      </c>
      <c r="AF5" s="49"/>
      <c r="AG5" s="51"/>
      <c r="AH5" s="48"/>
      <c r="AI5" s="48"/>
      <c r="AJ5" s="262"/>
    </row>
    <row r="6" spans="1:36" ht="30" x14ac:dyDescent="0.25">
      <c r="A6" s="28">
        <v>491</v>
      </c>
      <c r="B6" s="28" t="s">
        <v>28</v>
      </c>
      <c r="C6" s="28" t="s">
        <v>541</v>
      </c>
      <c r="D6" s="147" t="s">
        <v>542</v>
      </c>
      <c r="E6" s="24"/>
      <c r="F6" s="28" t="s">
        <v>85</v>
      </c>
      <c r="G6" s="28"/>
      <c r="H6" s="148" t="s">
        <v>31</v>
      </c>
      <c r="I6" s="28"/>
      <c r="J6" s="25">
        <v>1.8260000000000001</v>
      </c>
      <c r="K6" s="25">
        <f t="shared" si="1"/>
        <v>1.8260000000000001</v>
      </c>
      <c r="L6" s="25">
        <v>1</v>
      </c>
      <c r="M6" s="28" t="s">
        <v>33</v>
      </c>
      <c r="N6" s="28">
        <f t="shared" si="3"/>
        <v>19.720800000000001</v>
      </c>
      <c r="O6" s="28">
        <f t="shared" si="4"/>
        <v>23.0076</v>
      </c>
      <c r="P6" s="28">
        <f t="shared" si="5"/>
        <v>13.147200000000002</v>
      </c>
      <c r="Q6" s="28">
        <f t="shared" si="6"/>
        <v>9.8604000000000003</v>
      </c>
      <c r="R6" s="38">
        <v>65.736000000000004</v>
      </c>
      <c r="S6" s="170">
        <v>105991.94</v>
      </c>
      <c r="T6" s="9">
        <v>193541.28244000001</v>
      </c>
      <c r="U6" s="15"/>
      <c r="V6" s="15"/>
      <c r="W6" s="28" t="s">
        <v>544</v>
      </c>
      <c r="X6" s="25">
        <v>73934</v>
      </c>
      <c r="Y6" s="9">
        <v>6.31</v>
      </c>
      <c r="Z6" s="15" t="s">
        <v>85</v>
      </c>
      <c r="AA6" s="178">
        <v>3</v>
      </c>
      <c r="AB6" s="172">
        <v>3736</v>
      </c>
      <c r="AC6" s="99">
        <f t="shared" si="2"/>
        <v>0.54779999999999995</v>
      </c>
      <c r="AD6" s="41">
        <f t="shared" si="7"/>
        <v>0.6391</v>
      </c>
      <c r="AE6" s="41">
        <f>K6*0.2</f>
        <v>0.36520000000000002</v>
      </c>
      <c r="AF6" s="49"/>
      <c r="AG6" s="51"/>
      <c r="AH6" s="48"/>
      <c r="AI6" s="48"/>
      <c r="AJ6" s="262"/>
    </row>
    <row r="7" spans="1:36" ht="30" x14ac:dyDescent="0.25">
      <c r="A7" s="28">
        <v>492</v>
      </c>
      <c r="B7" s="28" t="s">
        <v>28</v>
      </c>
      <c r="C7" s="28" t="s">
        <v>541</v>
      </c>
      <c r="D7" s="147" t="s">
        <v>542</v>
      </c>
      <c r="E7" s="24"/>
      <c r="F7" s="28" t="s">
        <v>152</v>
      </c>
      <c r="G7" s="28"/>
      <c r="H7" s="148" t="s">
        <v>31</v>
      </c>
      <c r="I7" s="28"/>
      <c r="J7" s="25">
        <v>1E-3</v>
      </c>
      <c r="K7" s="25">
        <f t="shared" si="1"/>
        <v>4.0000000000000001E-3</v>
      </c>
      <c r="L7" s="25">
        <v>4</v>
      </c>
      <c r="M7" s="28" t="s">
        <v>33</v>
      </c>
      <c r="N7" s="28">
        <f t="shared" si="3"/>
        <v>9.6000000000000002E-2</v>
      </c>
      <c r="O7" s="28">
        <f t="shared" si="4"/>
        <v>0.11199999999999999</v>
      </c>
      <c r="P7" s="28">
        <f t="shared" si="5"/>
        <v>6.4000000000000001E-2</v>
      </c>
      <c r="Q7" s="28">
        <f t="shared" si="6"/>
        <v>4.8000000000000001E-2</v>
      </c>
      <c r="R7" s="38">
        <v>0.32</v>
      </c>
      <c r="S7" s="170">
        <v>105991.94</v>
      </c>
      <c r="T7" s="9">
        <v>423.96776</v>
      </c>
      <c r="U7" s="15"/>
      <c r="V7" s="15"/>
      <c r="W7" s="28" t="s">
        <v>116</v>
      </c>
      <c r="X7" s="25">
        <v>73934</v>
      </c>
      <c r="Y7" s="9">
        <v>6.31</v>
      </c>
      <c r="Z7" s="15" t="s">
        <v>152</v>
      </c>
      <c r="AA7" s="178">
        <v>4</v>
      </c>
      <c r="AB7" s="172">
        <v>3736</v>
      </c>
      <c r="AC7" s="99">
        <f t="shared" si="2"/>
        <v>1.1999999999999999E-3</v>
      </c>
      <c r="AD7" s="48"/>
      <c r="AE7" s="48"/>
      <c r="AF7" s="49"/>
      <c r="AG7" s="51"/>
      <c r="AH7" s="263"/>
      <c r="AI7" s="42"/>
      <c r="AJ7" s="59"/>
    </row>
    <row r="8" spans="1:36" ht="30" x14ac:dyDescent="0.25">
      <c r="A8" s="28">
        <v>493</v>
      </c>
      <c r="B8" s="28" t="s">
        <v>28</v>
      </c>
      <c r="C8" s="28" t="s">
        <v>541</v>
      </c>
      <c r="D8" s="147" t="s">
        <v>542</v>
      </c>
      <c r="E8" s="24"/>
      <c r="F8" s="28" t="s">
        <v>60</v>
      </c>
      <c r="G8" s="28"/>
      <c r="H8" s="148" t="s">
        <v>31</v>
      </c>
      <c r="I8" s="28"/>
      <c r="J8" s="25">
        <v>4.3499999999999997E-2</v>
      </c>
      <c r="K8" s="25">
        <f t="shared" si="1"/>
        <v>0.43499999999999994</v>
      </c>
      <c r="L8" s="25">
        <v>10</v>
      </c>
      <c r="M8" s="28" t="s">
        <v>33</v>
      </c>
      <c r="N8" s="28">
        <f t="shared" si="3"/>
        <v>10.44</v>
      </c>
      <c r="O8" s="28">
        <f t="shared" si="4"/>
        <v>12.179999999999998</v>
      </c>
      <c r="P8" s="28">
        <f t="shared" si="5"/>
        <v>6.96</v>
      </c>
      <c r="Q8" s="28">
        <f t="shared" si="6"/>
        <v>5.22</v>
      </c>
      <c r="R8" s="38">
        <v>34.799999999999997</v>
      </c>
      <c r="S8" s="170">
        <v>105991.94</v>
      </c>
      <c r="T8" s="9">
        <v>46106.493899999994</v>
      </c>
      <c r="U8" s="15"/>
      <c r="V8" s="15"/>
      <c r="W8" s="28" t="s">
        <v>545</v>
      </c>
      <c r="X8" s="25">
        <v>73935</v>
      </c>
      <c r="Y8" s="9">
        <v>6.31</v>
      </c>
      <c r="Z8" s="15" t="s">
        <v>60</v>
      </c>
      <c r="AA8" s="178">
        <v>1</v>
      </c>
      <c r="AB8" s="172">
        <v>3736</v>
      </c>
      <c r="AC8" s="99">
        <f t="shared" ref="AC8:AC16" si="8">K8*0.3</f>
        <v>0.13049999999999998</v>
      </c>
      <c r="AD8" s="41">
        <f t="shared" ref="AD8" si="9">K8*0.35</f>
        <v>0.15224999999999997</v>
      </c>
      <c r="AE8" s="41">
        <f t="shared" ref="AE8:AE12" si="10">K8*0.2</f>
        <v>8.6999999999999994E-2</v>
      </c>
      <c r="AF8" s="49"/>
      <c r="AG8" s="51"/>
      <c r="AH8" s="48"/>
      <c r="AI8" s="48"/>
      <c r="AJ8" s="262"/>
    </row>
    <row r="9" spans="1:36" ht="30" x14ac:dyDescent="0.25">
      <c r="A9" s="28">
        <v>494</v>
      </c>
      <c r="B9" s="28" t="s">
        <v>28</v>
      </c>
      <c r="C9" s="28" t="s">
        <v>541</v>
      </c>
      <c r="D9" s="147" t="s">
        <v>542</v>
      </c>
      <c r="E9" s="24"/>
      <c r="F9" s="28" t="s">
        <v>60</v>
      </c>
      <c r="G9" s="28"/>
      <c r="H9" s="148" t="s">
        <v>31</v>
      </c>
      <c r="I9" s="28"/>
      <c r="J9" s="25">
        <v>6.6000000000000003E-2</v>
      </c>
      <c r="K9" s="25">
        <f t="shared" si="1"/>
        <v>0.39600000000000002</v>
      </c>
      <c r="L9" s="25">
        <v>6</v>
      </c>
      <c r="M9" s="28" t="s">
        <v>33</v>
      </c>
      <c r="N9" s="28">
        <f t="shared" si="3"/>
        <v>7.9596</v>
      </c>
      <c r="O9" s="28">
        <f t="shared" si="4"/>
        <v>9.2861999999999991</v>
      </c>
      <c r="P9" s="28">
        <f t="shared" si="5"/>
        <v>5.3064</v>
      </c>
      <c r="Q9" s="28">
        <f t="shared" si="6"/>
        <v>3.9798</v>
      </c>
      <c r="R9" s="38">
        <v>26.532</v>
      </c>
      <c r="S9" s="170">
        <v>105991.94</v>
      </c>
      <c r="T9" s="9">
        <v>41972.808240000006</v>
      </c>
      <c r="U9" s="15"/>
      <c r="V9" s="15"/>
      <c r="W9" s="28" t="s">
        <v>546</v>
      </c>
      <c r="X9" s="25">
        <v>73935</v>
      </c>
      <c r="Y9" s="9">
        <v>6.31</v>
      </c>
      <c r="Z9" s="15" t="s">
        <v>60</v>
      </c>
      <c r="AA9" s="178">
        <v>2</v>
      </c>
      <c r="AB9" s="172">
        <v>3736</v>
      </c>
      <c r="AC9" s="99">
        <f t="shared" si="8"/>
        <v>0.1188</v>
      </c>
      <c r="AD9" s="41">
        <f>K9*0.35</f>
        <v>0.1386</v>
      </c>
      <c r="AE9" s="41">
        <f t="shared" si="10"/>
        <v>7.9200000000000007E-2</v>
      </c>
      <c r="AF9" s="49"/>
      <c r="AG9" s="51"/>
      <c r="AH9" s="48"/>
      <c r="AI9" s="48"/>
      <c r="AJ9" s="262"/>
    </row>
    <row r="10" spans="1:36" ht="30" x14ac:dyDescent="0.25">
      <c r="A10" s="28">
        <v>495</v>
      </c>
      <c r="B10" s="28" t="s">
        <v>28</v>
      </c>
      <c r="C10" s="28" t="s">
        <v>541</v>
      </c>
      <c r="D10" s="147" t="s">
        <v>542</v>
      </c>
      <c r="E10" s="24"/>
      <c r="F10" s="28" t="s">
        <v>85</v>
      </c>
      <c r="G10" s="28"/>
      <c r="H10" s="148" t="s">
        <v>31</v>
      </c>
      <c r="I10" s="28"/>
      <c r="J10" s="25">
        <v>3.839</v>
      </c>
      <c r="K10" s="25">
        <f t="shared" si="1"/>
        <v>3.839</v>
      </c>
      <c r="L10" s="25">
        <v>1</v>
      </c>
      <c r="M10" s="28" t="s">
        <v>33</v>
      </c>
      <c r="N10" s="28">
        <f t="shared" si="3"/>
        <v>41.461199999999998</v>
      </c>
      <c r="O10" s="28">
        <f t="shared" si="4"/>
        <v>48.371400000000001</v>
      </c>
      <c r="P10" s="28">
        <f t="shared" si="5"/>
        <v>27.640800000000002</v>
      </c>
      <c r="Q10" s="28">
        <f t="shared" si="6"/>
        <v>20.730599999999999</v>
      </c>
      <c r="R10" s="38">
        <v>138.20400000000001</v>
      </c>
      <c r="S10" s="170">
        <v>105991.94</v>
      </c>
      <c r="T10" s="9">
        <v>406903.05765999999</v>
      </c>
      <c r="U10" s="15"/>
      <c r="V10" s="15"/>
      <c r="W10" s="28" t="s">
        <v>547</v>
      </c>
      <c r="X10" s="25">
        <v>73935</v>
      </c>
      <c r="Y10" s="9">
        <v>6.31</v>
      </c>
      <c r="Z10" s="15" t="s">
        <v>85</v>
      </c>
      <c r="AA10" s="178">
        <v>3</v>
      </c>
      <c r="AB10" s="172">
        <v>3736</v>
      </c>
      <c r="AC10" s="99">
        <f t="shared" si="8"/>
        <v>1.1516999999999999</v>
      </c>
      <c r="AD10" s="41">
        <f t="shared" ref="AD10:AD16" si="11">K10*0.35</f>
        <v>1.34365</v>
      </c>
      <c r="AE10" s="41">
        <f t="shared" si="10"/>
        <v>0.76780000000000004</v>
      </c>
      <c r="AF10" s="49"/>
      <c r="AG10" s="51"/>
      <c r="AH10" s="48"/>
      <c r="AI10" s="48"/>
      <c r="AJ10" s="262"/>
    </row>
    <row r="11" spans="1:36" ht="30" x14ac:dyDescent="0.25">
      <c r="A11" s="28">
        <v>496</v>
      </c>
      <c r="B11" s="28" t="s">
        <v>28</v>
      </c>
      <c r="C11" s="28" t="s">
        <v>541</v>
      </c>
      <c r="D11" s="147" t="s">
        <v>542</v>
      </c>
      <c r="E11" s="24"/>
      <c r="F11" s="28" t="s">
        <v>40</v>
      </c>
      <c r="G11" s="28"/>
      <c r="H11" s="148" t="s">
        <v>31</v>
      </c>
      <c r="I11" s="28"/>
      <c r="J11" s="25">
        <v>0.25</v>
      </c>
      <c r="K11" s="25">
        <f t="shared" si="1"/>
        <v>0.5</v>
      </c>
      <c r="L11" s="25">
        <v>2</v>
      </c>
      <c r="M11" s="28" t="s">
        <v>33</v>
      </c>
      <c r="N11" s="28">
        <f t="shared" si="3"/>
        <v>8.4</v>
      </c>
      <c r="O11" s="28">
        <f t="shared" si="4"/>
        <v>9.7999999999999989</v>
      </c>
      <c r="P11" s="28">
        <f t="shared" si="5"/>
        <v>5.6000000000000005</v>
      </c>
      <c r="Q11" s="28">
        <f t="shared" si="6"/>
        <v>4.2</v>
      </c>
      <c r="R11" s="38">
        <v>28</v>
      </c>
      <c r="S11" s="170">
        <v>105991.94</v>
      </c>
      <c r="T11" s="9">
        <v>52995.97</v>
      </c>
      <c r="U11" s="15"/>
      <c r="V11" s="15"/>
      <c r="W11" s="28" t="s">
        <v>548</v>
      </c>
      <c r="X11" s="25">
        <v>73935</v>
      </c>
      <c r="Y11" s="9">
        <v>6.31</v>
      </c>
      <c r="Z11" s="15" t="s">
        <v>40</v>
      </c>
      <c r="AA11" s="178">
        <v>4</v>
      </c>
      <c r="AB11" s="172">
        <v>3736</v>
      </c>
      <c r="AC11" s="99">
        <f t="shared" si="8"/>
        <v>0.15</v>
      </c>
      <c r="AD11" s="41">
        <f t="shared" si="11"/>
        <v>0.17499999999999999</v>
      </c>
      <c r="AE11" s="41">
        <f t="shared" si="10"/>
        <v>0.1</v>
      </c>
      <c r="AF11" s="49"/>
      <c r="AG11" s="51"/>
      <c r="AH11" s="48"/>
      <c r="AI11" s="48"/>
      <c r="AJ11" s="262"/>
    </row>
    <row r="12" spans="1:36" ht="30" x14ac:dyDescent="0.25">
      <c r="A12" s="28">
        <v>497</v>
      </c>
      <c r="B12" s="28" t="s">
        <v>28</v>
      </c>
      <c r="C12" s="28" t="s">
        <v>541</v>
      </c>
      <c r="D12" s="147" t="s">
        <v>542</v>
      </c>
      <c r="E12" s="24"/>
      <c r="F12" s="28" t="s">
        <v>40</v>
      </c>
      <c r="G12" s="28"/>
      <c r="H12" s="148" t="s">
        <v>31</v>
      </c>
      <c r="I12" s="28"/>
      <c r="J12" s="25">
        <v>0.26500000000000001</v>
      </c>
      <c r="K12" s="25">
        <f t="shared" si="1"/>
        <v>0.53</v>
      </c>
      <c r="L12" s="25">
        <v>2</v>
      </c>
      <c r="M12" s="28" t="s">
        <v>33</v>
      </c>
      <c r="N12" s="28">
        <f t="shared" si="3"/>
        <v>8.9039999999999999</v>
      </c>
      <c r="O12" s="28">
        <f t="shared" si="4"/>
        <v>10.388</v>
      </c>
      <c r="P12" s="28">
        <f t="shared" si="5"/>
        <v>5.9359999999999999</v>
      </c>
      <c r="Q12" s="28">
        <f t="shared" si="6"/>
        <v>4.452</v>
      </c>
      <c r="R12" s="38">
        <v>29.68</v>
      </c>
      <c r="S12" s="170">
        <v>105991.94</v>
      </c>
      <c r="T12" s="9">
        <v>56175.728200000005</v>
      </c>
      <c r="U12" s="15"/>
      <c r="V12" s="15"/>
      <c r="W12" s="28" t="s">
        <v>549</v>
      </c>
      <c r="X12" s="25">
        <v>73935</v>
      </c>
      <c r="Y12" s="9">
        <v>6.31</v>
      </c>
      <c r="Z12" s="15" t="s">
        <v>40</v>
      </c>
      <c r="AA12" s="178">
        <v>5</v>
      </c>
      <c r="AB12" s="172">
        <v>3736</v>
      </c>
      <c r="AC12" s="99">
        <f t="shared" si="8"/>
        <v>0.159</v>
      </c>
      <c r="AD12" s="41">
        <f t="shared" si="11"/>
        <v>0.1855</v>
      </c>
      <c r="AE12" s="41">
        <f t="shared" si="10"/>
        <v>0.10600000000000001</v>
      </c>
      <c r="AF12" s="49"/>
      <c r="AG12" s="51"/>
      <c r="AH12" s="48"/>
      <c r="AI12" s="48"/>
      <c r="AJ12" s="262"/>
    </row>
    <row r="13" spans="1:36" ht="30" x14ac:dyDescent="0.25">
      <c r="A13" s="28">
        <v>498</v>
      </c>
      <c r="B13" s="28" t="s">
        <v>28</v>
      </c>
      <c r="C13" s="28" t="s">
        <v>541</v>
      </c>
      <c r="D13" s="147" t="s">
        <v>542</v>
      </c>
      <c r="E13" s="24"/>
      <c r="F13" s="28" t="s">
        <v>550</v>
      </c>
      <c r="G13" s="28"/>
      <c r="H13" s="148" t="s">
        <v>31</v>
      </c>
      <c r="I13" s="28"/>
      <c r="J13" s="25">
        <v>0.4</v>
      </c>
      <c r="K13" s="25">
        <f t="shared" si="1"/>
        <v>3.2</v>
      </c>
      <c r="L13" s="25">
        <v>8</v>
      </c>
      <c r="M13" s="28" t="s">
        <v>33</v>
      </c>
      <c r="N13" s="28">
        <f t="shared" si="3"/>
        <v>53.760000000000005</v>
      </c>
      <c r="O13" s="28">
        <f t="shared" si="4"/>
        <v>62.72</v>
      </c>
      <c r="P13" s="28">
        <f t="shared" si="5"/>
        <v>35.840000000000003</v>
      </c>
      <c r="Q13" s="28">
        <f t="shared" si="6"/>
        <v>26.880000000000003</v>
      </c>
      <c r="R13" s="38">
        <v>179.20000000000002</v>
      </c>
      <c r="S13" s="170">
        <v>105991.94</v>
      </c>
      <c r="T13" s="9">
        <v>339174.20800000004</v>
      </c>
      <c r="U13" s="15"/>
      <c r="V13" s="15"/>
      <c r="W13" s="28" t="s">
        <v>551</v>
      </c>
      <c r="X13" s="25">
        <v>73936</v>
      </c>
      <c r="Y13" s="9">
        <v>6.31</v>
      </c>
      <c r="Z13" s="15" t="s">
        <v>550</v>
      </c>
      <c r="AA13" s="178">
        <v>1</v>
      </c>
      <c r="AB13" s="172">
        <v>3736</v>
      </c>
      <c r="AC13" s="99">
        <f t="shared" si="8"/>
        <v>0.96</v>
      </c>
      <c r="AD13" s="41">
        <f t="shared" si="11"/>
        <v>1.1199999999999999</v>
      </c>
      <c r="AE13" s="48"/>
      <c r="AF13" s="49"/>
      <c r="AG13" s="51"/>
      <c r="AH13" s="48"/>
      <c r="AI13" s="41">
        <f>K13*0.2</f>
        <v>0.64000000000000012</v>
      </c>
      <c r="AJ13" s="262"/>
    </row>
    <row r="14" spans="1:36" ht="30" x14ac:dyDescent="0.25">
      <c r="A14" s="28">
        <v>499</v>
      </c>
      <c r="B14" s="28" t="s">
        <v>28</v>
      </c>
      <c r="C14" s="28" t="s">
        <v>541</v>
      </c>
      <c r="D14" s="147" t="s">
        <v>542</v>
      </c>
      <c r="E14" s="24"/>
      <c r="F14" s="28" t="s">
        <v>109</v>
      </c>
      <c r="G14" s="28"/>
      <c r="H14" s="148" t="s">
        <v>31</v>
      </c>
      <c r="I14" s="28"/>
      <c r="J14" s="25">
        <v>0.83199999999999996</v>
      </c>
      <c r="K14" s="25">
        <f t="shared" si="1"/>
        <v>4.16</v>
      </c>
      <c r="L14" s="25">
        <v>5</v>
      </c>
      <c r="M14" s="28" t="s">
        <v>33</v>
      </c>
      <c r="N14" s="28">
        <f t="shared" si="3"/>
        <v>54.912000000000006</v>
      </c>
      <c r="O14" s="28">
        <f t="shared" si="4"/>
        <v>64.064000000000007</v>
      </c>
      <c r="P14" s="28">
        <f t="shared" si="5"/>
        <v>36.608000000000004</v>
      </c>
      <c r="Q14" s="28">
        <f t="shared" si="6"/>
        <v>27.456000000000003</v>
      </c>
      <c r="R14" s="38">
        <v>183.04000000000002</v>
      </c>
      <c r="S14" s="170">
        <v>105991.94</v>
      </c>
      <c r="T14" s="9">
        <v>440926.47040000005</v>
      </c>
      <c r="U14" s="15"/>
      <c r="V14" s="15"/>
      <c r="W14" s="28" t="s">
        <v>552</v>
      </c>
      <c r="X14" s="25">
        <v>73937</v>
      </c>
      <c r="Y14" s="9">
        <v>6.31</v>
      </c>
      <c r="Z14" s="15" t="s">
        <v>109</v>
      </c>
      <c r="AA14" s="178">
        <v>1</v>
      </c>
      <c r="AB14" s="172">
        <v>3736</v>
      </c>
      <c r="AC14" s="99">
        <f t="shared" si="8"/>
        <v>1.248</v>
      </c>
      <c r="AD14" s="41">
        <f t="shared" si="11"/>
        <v>1.456</v>
      </c>
      <c r="AE14" s="48"/>
      <c r="AF14" s="49"/>
      <c r="AG14" s="51"/>
      <c r="AH14" s="48"/>
      <c r="AI14" s="41">
        <f t="shared" ref="AI14:AI18" si="12">K14*0.2</f>
        <v>0.83200000000000007</v>
      </c>
      <c r="AJ14" s="262"/>
    </row>
    <row r="15" spans="1:36" ht="30" x14ac:dyDescent="0.25">
      <c r="A15" s="28">
        <v>500</v>
      </c>
      <c r="B15" s="28" t="s">
        <v>28</v>
      </c>
      <c r="C15" s="28" t="s">
        <v>541</v>
      </c>
      <c r="D15" s="147" t="s">
        <v>542</v>
      </c>
      <c r="E15" s="24"/>
      <c r="F15" s="28" t="s">
        <v>109</v>
      </c>
      <c r="G15" s="28"/>
      <c r="H15" s="148" t="s">
        <v>31</v>
      </c>
      <c r="I15" s="28"/>
      <c r="J15" s="25">
        <v>0.81</v>
      </c>
      <c r="K15" s="25">
        <f t="shared" si="1"/>
        <v>4.0500000000000007</v>
      </c>
      <c r="L15" s="25">
        <v>5</v>
      </c>
      <c r="M15" s="28" t="s">
        <v>33</v>
      </c>
      <c r="N15" s="28">
        <f t="shared" si="3"/>
        <v>53.460000000000015</v>
      </c>
      <c r="O15" s="28">
        <f t="shared" si="4"/>
        <v>62.370000000000012</v>
      </c>
      <c r="P15" s="28">
        <f t="shared" si="5"/>
        <v>35.640000000000008</v>
      </c>
      <c r="Q15" s="28">
        <f t="shared" si="6"/>
        <v>26.730000000000008</v>
      </c>
      <c r="R15" s="38">
        <v>178.20000000000005</v>
      </c>
      <c r="S15" s="170">
        <v>105991.94</v>
      </c>
      <c r="T15" s="9">
        <v>429267.35700000008</v>
      </c>
      <c r="U15" s="15"/>
      <c r="V15" s="15"/>
      <c r="W15" s="28" t="s">
        <v>552</v>
      </c>
      <c r="X15" s="25">
        <v>73938</v>
      </c>
      <c r="Y15" s="9">
        <v>6.31</v>
      </c>
      <c r="Z15" s="15" t="s">
        <v>109</v>
      </c>
      <c r="AA15" s="178">
        <v>1</v>
      </c>
      <c r="AB15" s="172">
        <v>3736</v>
      </c>
      <c r="AC15" s="99">
        <f t="shared" si="8"/>
        <v>1.2150000000000001</v>
      </c>
      <c r="AD15" s="41">
        <f t="shared" si="11"/>
        <v>1.4175000000000002</v>
      </c>
      <c r="AE15" s="48"/>
      <c r="AF15" s="49"/>
      <c r="AG15" s="51"/>
      <c r="AH15" s="48"/>
      <c r="AI15" s="41">
        <f t="shared" si="12"/>
        <v>0.81000000000000016</v>
      </c>
      <c r="AJ15" s="262"/>
    </row>
    <row r="16" spans="1:36" ht="30" x14ac:dyDescent="0.25">
      <c r="A16" s="28">
        <v>501</v>
      </c>
      <c r="B16" s="28" t="s">
        <v>28</v>
      </c>
      <c r="C16" s="28" t="s">
        <v>541</v>
      </c>
      <c r="D16" s="147" t="s">
        <v>542</v>
      </c>
      <c r="E16" s="24"/>
      <c r="F16" s="28" t="s">
        <v>162</v>
      </c>
      <c r="G16" s="28"/>
      <c r="H16" s="148" t="s">
        <v>31</v>
      </c>
      <c r="I16" s="28"/>
      <c r="J16" s="25">
        <v>0.152</v>
      </c>
      <c r="K16" s="25">
        <f t="shared" si="1"/>
        <v>1.52</v>
      </c>
      <c r="L16" s="25">
        <v>10</v>
      </c>
      <c r="M16" s="28" t="s">
        <v>33</v>
      </c>
      <c r="N16" s="28">
        <f t="shared" si="3"/>
        <v>25.536000000000001</v>
      </c>
      <c r="O16" s="28">
        <f t="shared" si="4"/>
        <v>29.791999999999998</v>
      </c>
      <c r="P16" s="28">
        <f t="shared" si="5"/>
        <v>17.024000000000001</v>
      </c>
      <c r="Q16" s="28">
        <f t="shared" si="6"/>
        <v>12.768000000000001</v>
      </c>
      <c r="R16" s="38">
        <v>85.12</v>
      </c>
      <c r="S16" s="170">
        <v>105991.94</v>
      </c>
      <c r="T16" s="9">
        <v>161107.7488</v>
      </c>
      <c r="U16" s="15"/>
      <c r="V16" s="15"/>
      <c r="W16" s="28" t="s">
        <v>553</v>
      </c>
      <c r="X16" s="25">
        <v>73939</v>
      </c>
      <c r="Y16" s="9">
        <v>6.31</v>
      </c>
      <c r="Z16" s="15" t="s">
        <v>162</v>
      </c>
      <c r="AA16" s="178">
        <v>1</v>
      </c>
      <c r="AB16" s="172">
        <v>3736</v>
      </c>
      <c r="AC16" s="99">
        <f t="shared" si="8"/>
        <v>0.45599999999999996</v>
      </c>
      <c r="AD16" s="41">
        <f t="shared" si="11"/>
        <v>0.53199999999999992</v>
      </c>
      <c r="AE16" s="48"/>
      <c r="AF16" s="49"/>
      <c r="AG16" s="51"/>
      <c r="AH16" s="48"/>
      <c r="AI16" s="41">
        <f t="shared" si="12"/>
        <v>0.30400000000000005</v>
      </c>
      <c r="AJ16" s="262"/>
    </row>
    <row r="17" spans="1:36" ht="30" x14ac:dyDescent="0.25">
      <c r="A17" s="28">
        <v>502</v>
      </c>
      <c r="B17" s="28" t="s">
        <v>28</v>
      </c>
      <c r="C17" s="28" t="s">
        <v>541</v>
      </c>
      <c r="D17" s="147" t="s">
        <v>542</v>
      </c>
      <c r="E17" s="24"/>
      <c r="F17" s="28" t="s">
        <v>126</v>
      </c>
      <c r="G17" s="28"/>
      <c r="H17" s="148" t="s">
        <v>31</v>
      </c>
      <c r="I17" s="28"/>
      <c r="J17" s="25">
        <v>3.35</v>
      </c>
      <c r="K17" s="25">
        <f t="shared" si="1"/>
        <v>3.35</v>
      </c>
      <c r="L17" s="25">
        <v>1</v>
      </c>
      <c r="M17" s="28" t="s">
        <v>33</v>
      </c>
      <c r="N17" s="28">
        <f t="shared" si="3"/>
        <v>36.18</v>
      </c>
      <c r="O17" s="28">
        <f t="shared" si="4"/>
        <v>42.21</v>
      </c>
      <c r="P17" s="28">
        <f t="shared" si="5"/>
        <v>24.120000000000005</v>
      </c>
      <c r="Q17" s="28">
        <f t="shared" si="6"/>
        <v>18.09</v>
      </c>
      <c r="R17" s="38">
        <v>120.60000000000001</v>
      </c>
      <c r="S17" s="170">
        <v>105991.94</v>
      </c>
      <c r="T17" s="9">
        <v>355072.99900000001</v>
      </c>
      <c r="U17" s="15"/>
      <c r="V17" s="15"/>
      <c r="W17" s="28" t="s">
        <v>554</v>
      </c>
      <c r="X17" s="25">
        <v>73940</v>
      </c>
      <c r="Y17" s="9">
        <v>6.31</v>
      </c>
      <c r="Z17" s="15" t="s">
        <v>126</v>
      </c>
      <c r="AA17" s="178">
        <v>1</v>
      </c>
      <c r="AB17" s="172">
        <v>3736</v>
      </c>
      <c r="AC17" s="99">
        <f>K17*0.3</f>
        <v>1.0049999999999999</v>
      </c>
      <c r="AD17" s="41">
        <f>K17*0.35</f>
        <v>1.1724999999999999</v>
      </c>
      <c r="AE17" s="48"/>
      <c r="AF17" s="49"/>
      <c r="AG17" s="51"/>
      <c r="AH17" s="48"/>
      <c r="AI17" s="41">
        <f t="shared" si="12"/>
        <v>0.67</v>
      </c>
      <c r="AJ17" s="262"/>
    </row>
    <row r="18" spans="1:36" ht="30" x14ac:dyDescent="0.25">
      <c r="A18" s="28">
        <v>503</v>
      </c>
      <c r="B18" s="28" t="s">
        <v>28</v>
      </c>
      <c r="C18" s="28" t="s">
        <v>541</v>
      </c>
      <c r="D18" s="147" t="s">
        <v>542</v>
      </c>
      <c r="E18" s="24"/>
      <c r="F18" s="28" t="s">
        <v>126</v>
      </c>
      <c r="G18" s="28"/>
      <c r="H18" s="148" t="s">
        <v>31</v>
      </c>
      <c r="I18" s="28"/>
      <c r="J18" s="25">
        <v>3.3330000000000002</v>
      </c>
      <c r="K18" s="25">
        <f t="shared" si="1"/>
        <v>3.3330000000000002</v>
      </c>
      <c r="L18" s="25">
        <v>1</v>
      </c>
      <c r="M18" s="28" t="s">
        <v>33</v>
      </c>
      <c r="N18" s="28">
        <f t="shared" si="3"/>
        <v>35.996400000000001</v>
      </c>
      <c r="O18" s="28">
        <f t="shared" si="4"/>
        <v>41.995799999999996</v>
      </c>
      <c r="P18" s="28">
        <f t="shared" si="5"/>
        <v>23.997600000000002</v>
      </c>
      <c r="Q18" s="28">
        <f t="shared" si="6"/>
        <v>17.998200000000001</v>
      </c>
      <c r="R18" s="38">
        <v>119.988</v>
      </c>
      <c r="S18" s="170">
        <v>105991.94</v>
      </c>
      <c r="T18" s="9">
        <v>353271.13602000003</v>
      </c>
      <c r="U18" s="15"/>
      <c r="V18" s="15"/>
      <c r="W18" s="28" t="s">
        <v>555</v>
      </c>
      <c r="X18" s="25">
        <v>73941</v>
      </c>
      <c r="Y18" s="9">
        <v>6.31</v>
      </c>
      <c r="Z18" s="15" t="s">
        <v>126</v>
      </c>
      <c r="AA18" s="178">
        <v>1</v>
      </c>
      <c r="AB18" s="172">
        <v>3736</v>
      </c>
      <c r="AC18" s="99">
        <f>K18*0.3</f>
        <v>0.99990000000000001</v>
      </c>
      <c r="AD18" s="41">
        <f>K18*0.35</f>
        <v>1.16655</v>
      </c>
      <c r="AE18" s="48"/>
      <c r="AF18" s="49"/>
      <c r="AG18" s="51"/>
      <c r="AH18" s="48"/>
      <c r="AI18" s="41">
        <f t="shared" si="12"/>
        <v>0.66660000000000008</v>
      </c>
      <c r="AJ18" s="262"/>
    </row>
    <row r="19" spans="1:36" ht="30" x14ac:dyDescent="0.25">
      <c r="A19" s="28">
        <v>504</v>
      </c>
      <c r="B19" s="28" t="s">
        <v>28</v>
      </c>
      <c r="C19" s="28" t="s">
        <v>541</v>
      </c>
      <c r="D19" s="147" t="s">
        <v>542</v>
      </c>
      <c r="E19" s="24"/>
      <c r="F19" s="28" t="s">
        <v>130</v>
      </c>
      <c r="G19" s="28"/>
      <c r="H19" s="148" t="s">
        <v>31</v>
      </c>
      <c r="I19" s="28"/>
      <c r="J19" s="25">
        <v>1.5024999999999999</v>
      </c>
      <c r="K19" s="25">
        <f t="shared" si="1"/>
        <v>6.01</v>
      </c>
      <c r="L19" s="25">
        <v>4</v>
      </c>
      <c r="M19" s="28" t="s">
        <v>33</v>
      </c>
      <c r="N19" s="28">
        <f t="shared" si="3"/>
        <v>64.907999999999987</v>
      </c>
      <c r="O19" s="28">
        <f t="shared" si="4"/>
        <v>75.725999999999985</v>
      </c>
      <c r="P19" s="28">
        <f t="shared" si="5"/>
        <v>43.271999999999998</v>
      </c>
      <c r="Q19" s="28">
        <f t="shared" si="6"/>
        <v>32.453999999999994</v>
      </c>
      <c r="R19" s="38">
        <v>216.35999999999999</v>
      </c>
      <c r="S19" s="170">
        <v>105991.94</v>
      </c>
      <c r="T19" s="9">
        <v>637011.55940000003</v>
      </c>
      <c r="U19" s="15"/>
      <c r="V19" s="15"/>
      <c r="W19" s="28" t="s">
        <v>556</v>
      </c>
      <c r="X19" s="25">
        <v>73942</v>
      </c>
      <c r="Y19" s="9">
        <v>6.31</v>
      </c>
      <c r="Z19" s="15" t="s">
        <v>130</v>
      </c>
      <c r="AA19" s="178">
        <v>1</v>
      </c>
      <c r="AB19" s="172">
        <v>3736</v>
      </c>
      <c r="AC19" s="99">
        <f>K19*0.3</f>
        <v>1.8029999999999999</v>
      </c>
      <c r="AD19" s="41">
        <f>K19*0.35</f>
        <v>2.1034999999999999</v>
      </c>
      <c r="AE19" s="48"/>
      <c r="AF19" s="49"/>
      <c r="AG19" s="51"/>
      <c r="AH19" s="48"/>
      <c r="AI19" s="263"/>
      <c r="AJ19" s="262"/>
    </row>
    <row r="20" spans="1:36" ht="30" x14ac:dyDescent="0.25">
      <c r="A20" s="28">
        <v>505</v>
      </c>
      <c r="B20" s="28" t="s">
        <v>28</v>
      </c>
      <c r="C20" s="28" t="s">
        <v>541</v>
      </c>
      <c r="D20" s="147" t="s">
        <v>542</v>
      </c>
      <c r="E20" s="24"/>
      <c r="F20" s="28" t="s">
        <v>60</v>
      </c>
      <c r="G20" s="28"/>
      <c r="H20" s="148" t="s">
        <v>31</v>
      </c>
      <c r="I20" s="28"/>
      <c r="J20" s="25">
        <v>0.875</v>
      </c>
      <c r="K20" s="25">
        <f t="shared" si="1"/>
        <v>1.75</v>
      </c>
      <c r="L20" s="25">
        <v>2</v>
      </c>
      <c r="M20" s="28" t="s">
        <v>33</v>
      </c>
      <c r="N20" s="28">
        <f t="shared" si="3"/>
        <v>23.099999999999998</v>
      </c>
      <c r="O20" s="28">
        <f t="shared" si="4"/>
        <v>26.95</v>
      </c>
      <c r="P20" s="28">
        <f t="shared" si="5"/>
        <v>15.4</v>
      </c>
      <c r="Q20" s="28">
        <f t="shared" si="6"/>
        <v>11.549999999999999</v>
      </c>
      <c r="R20" s="38">
        <v>77</v>
      </c>
      <c r="S20" s="170">
        <v>105991.94</v>
      </c>
      <c r="T20" s="9">
        <v>185485.89500000002</v>
      </c>
      <c r="U20" s="15"/>
      <c r="V20" s="15"/>
      <c r="W20" s="28" t="s">
        <v>557</v>
      </c>
      <c r="X20" s="25">
        <v>73943</v>
      </c>
      <c r="Y20" s="9">
        <v>6.31</v>
      </c>
      <c r="Z20" s="15" t="s">
        <v>60</v>
      </c>
      <c r="AA20" s="178">
        <v>1</v>
      </c>
      <c r="AB20" s="172">
        <v>3736</v>
      </c>
      <c r="AC20" s="99">
        <f>K20*0.3</f>
        <v>0.52500000000000002</v>
      </c>
      <c r="AD20" s="41">
        <f t="shared" ref="AD20" si="13">K20*0.35</f>
        <v>0.61249999999999993</v>
      </c>
      <c r="AE20" s="48"/>
      <c r="AF20" s="49"/>
      <c r="AG20" s="51"/>
      <c r="AH20" s="48"/>
      <c r="AI20" s="263"/>
      <c r="AJ20" s="262"/>
    </row>
    <row r="21" spans="1:36" x14ac:dyDescent="0.25">
      <c r="B21" s="15" t="s">
        <v>28</v>
      </c>
      <c r="AC21"/>
      <c r="AD21"/>
      <c r="AE21"/>
      <c r="AF21"/>
      <c r="AG21"/>
      <c r="AH21"/>
      <c r="AI21"/>
      <c r="AJ21"/>
    </row>
    <row r="22" spans="1:36" x14ac:dyDescent="0.25">
      <c r="AC22"/>
      <c r="AD22"/>
      <c r="AE22"/>
      <c r="AF22"/>
      <c r="AG22"/>
      <c r="AH22"/>
      <c r="AI22"/>
      <c r="AJ22"/>
    </row>
    <row r="23" spans="1:36" x14ac:dyDescent="0.25">
      <c r="AC23"/>
      <c r="AD23"/>
      <c r="AE23"/>
      <c r="AF23"/>
      <c r="AG23"/>
      <c r="AH23"/>
      <c r="AI23"/>
      <c r="AJ23"/>
    </row>
    <row r="24" spans="1:36" x14ac:dyDescent="0.25">
      <c r="AC24"/>
      <c r="AD24"/>
      <c r="AE24"/>
      <c r="AF24"/>
      <c r="AG24"/>
      <c r="AH24"/>
      <c r="AI24"/>
      <c r="AJ24"/>
    </row>
    <row r="25" spans="1:36" x14ac:dyDescent="0.25">
      <c r="AC25"/>
      <c r="AD25"/>
      <c r="AE25"/>
      <c r="AF25"/>
      <c r="AG25"/>
      <c r="AH25"/>
      <c r="AI25"/>
      <c r="AJ25"/>
    </row>
    <row r="26" spans="1:36" x14ac:dyDescent="0.25">
      <c r="AC26"/>
      <c r="AD26"/>
      <c r="AE26"/>
      <c r="AF26"/>
      <c r="AG26"/>
      <c r="AH26"/>
      <c r="AI26"/>
      <c r="AJ26"/>
    </row>
    <row r="27" spans="1:36" x14ac:dyDescent="0.25">
      <c r="AC27"/>
      <c r="AD27"/>
      <c r="AE27"/>
      <c r="AF27"/>
      <c r="AG27"/>
      <c r="AH27"/>
      <c r="AI27"/>
      <c r="AJ27"/>
    </row>
    <row r="28" spans="1:36" x14ac:dyDescent="0.25">
      <c r="AC28"/>
      <c r="AD28"/>
      <c r="AE28"/>
      <c r="AF28"/>
      <c r="AG28"/>
      <c r="AH28"/>
      <c r="AI28"/>
      <c r="AJ28"/>
    </row>
    <row r="29" spans="1:36" x14ac:dyDescent="0.25">
      <c r="AC29"/>
      <c r="AD29"/>
      <c r="AE29"/>
      <c r="AF29"/>
      <c r="AG29"/>
      <c r="AH29"/>
      <c r="AI29"/>
      <c r="AJ29"/>
    </row>
    <row r="30" spans="1:36" x14ac:dyDescent="0.25">
      <c r="AC30"/>
      <c r="AD30"/>
      <c r="AE30"/>
      <c r="AF30"/>
      <c r="AG30"/>
      <c r="AH30"/>
      <c r="AI30"/>
      <c r="AJ30"/>
    </row>
    <row r="31" spans="1:36" x14ac:dyDescent="0.25">
      <c r="AC31"/>
      <c r="AD31"/>
      <c r="AE31"/>
      <c r="AF31"/>
      <c r="AG31"/>
      <c r="AH31"/>
      <c r="AI31"/>
      <c r="AJ31"/>
    </row>
    <row r="32" spans="1:36" x14ac:dyDescent="0.25">
      <c r="AC32"/>
      <c r="AD32"/>
      <c r="AE32"/>
      <c r="AF32"/>
      <c r="AG32"/>
      <c r="AH32"/>
      <c r="AI32"/>
      <c r="AJ32"/>
    </row>
    <row r="33" spans="29:36" x14ac:dyDescent="0.25">
      <c r="AC33"/>
      <c r="AD33"/>
      <c r="AE33"/>
      <c r="AF33"/>
      <c r="AG33"/>
      <c r="AH33"/>
      <c r="AI33"/>
      <c r="AJ33"/>
    </row>
    <row r="34" spans="29:36" x14ac:dyDescent="0.25">
      <c r="AC34"/>
      <c r="AD34"/>
      <c r="AE34"/>
      <c r="AF34"/>
      <c r="AG34"/>
      <c r="AH34"/>
      <c r="AI34"/>
      <c r="AJ34"/>
    </row>
    <row r="35" spans="29:36" x14ac:dyDescent="0.25">
      <c r="AC35"/>
      <c r="AD35"/>
      <c r="AE35"/>
      <c r="AF35"/>
      <c r="AG35"/>
      <c r="AH35"/>
      <c r="AI35"/>
      <c r="AJ35"/>
    </row>
    <row r="36" spans="29:36" x14ac:dyDescent="0.25">
      <c r="AC36"/>
      <c r="AD36"/>
      <c r="AE36"/>
      <c r="AF36"/>
      <c r="AG36"/>
      <c r="AH36"/>
      <c r="AI36"/>
      <c r="AJ36"/>
    </row>
    <row r="37" spans="29:36" x14ac:dyDescent="0.25">
      <c r="AC37"/>
      <c r="AD37"/>
      <c r="AE37"/>
      <c r="AF37"/>
      <c r="AG37"/>
      <c r="AH37"/>
      <c r="AI37"/>
      <c r="AJ37"/>
    </row>
    <row r="38" spans="29:36" x14ac:dyDescent="0.25">
      <c r="AC38"/>
      <c r="AD38"/>
      <c r="AE38"/>
      <c r="AF38"/>
      <c r="AG38"/>
      <c r="AH38"/>
      <c r="AI38"/>
      <c r="AJ38"/>
    </row>
    <row r="39" spans="29:36" x14ac:dyDescent="0.25">
      <c r="AC39"/>
      <c r="AD39"/>
      <c r="AE39"/>
      <c r="AF39"/>
      <c r="AG39"/>
      <c r="AH39"/>
      <c r="AI39"/>
      <c r="AJ39"/>
    </row>
    <row r="40" spans="29:36" x14ac:dyDescent="0.25">
      <c r="AC40"/>
      <c r="AD40"/>
      <c r="AE40"/>
      <c r="AF40"/>
      <c r="AG40"/>
      <c r="AH40"/>
      <c r="AI40"/>
      <c r="AJ40"/>
    </row>
    <row r="41" spans="29:36" x14ac:dyDescent="0.25">
      <c r="AC41"/>
      <c r="AD41"/>
      <c r="AE41"/>
      <c r="AF41"/>
      <c r="AG41"/>
      <c r="AH41"/>
      <c r="AI41"/>
      <c r="AJ41"/>
    </row>
    <row r="42" spans="29:36" x14ac:dyDescent="0.25">
      <c r="AC42"/>
      <c r="AD42"/>
      <c r="AE42"/>
      <c r="AF42"/>
      <c r="AG42"/>
      <c r="AH42"/>
      <c r="AI42"/>
      <c r="AJ42"/>
    </row>
    <row r="43" spans="29:36" x14ac:dyDescent="0.25">
      <c r="AC43"/>
      <c r="AD43"/>
      <c r="AE43"/>
      <c r="AF43"/>
      <c r="AG43"/>
      <c r="AH43"/>
      <c r="AI43"/>
      <c r="AJ43"/>
    </row>
    <row r="44" spans="29:36" x14ac:dyDescent="0.25">
      <c r="AC44"/>
      <c r="AD44"/>
      <c r="AE44"/>
      <c r="AF44"/>
      <c r="AG44"/>
      <c r="AH44"/>
      <c r="AI44"/>
      <c r="AJ44"/>
    </row>
    <row r="45" spans="29:36" x14ac:dyDescent="0.25">
      <c r="AC45"/>
      <c r="AD45"/>
      <c r="AE45"/>
      <c r="AF45"/>
      <c r="AG45"/>
      <c r="AH45"/>
      <c r="AI45"/>
      <c r="AJ45"/>
    </row>
    <row r="46" spans="29:36" x14ac:dyDescent="0.25">
      <c r="AC46"/>
      <c r="AD46"/>
      <c r="AE46"/>
      <c r="AF46"/>
      <c r="AG46"/>
      <c r="AH46"/>
      <c r="AI46"/>
      <c r="AJ46"/>
    </row>
    <row r="47" spans="29:36" x14ac:dyDescent="0.25">
      <c r="AC47"/>
      <c r="AD47"/>
      <c r="AE47"/>
      <c r="AF47"/>
      <c r="AG47"/>
      <c r="AH47"/>
      <c r="AI47"/>
      <c r="AJ47"/>
    </row>
    <row r="48" spans="29:36" x14ac:dyDescent="0.25">
      <c r="AC48"/>
      <c r="AD48"/>
      <c r="AE48"/>
      <c r="AF48"/>
      <c r="AG48"/>
      <c r="AH48"/>
      <c r="AI48"/>
      <c r="AJ48"/>
    </row>
    <row r="49" spans="29:36" x14ac:dyDescent="0.25">
      <c r="AC49"/>
      <c r="AD49"/>
      <c r="AE49"/>
      <c r="AF49"/>
      <c r="AG49"/>
      <c r="AH49"/>
      <c r="AI49"/>
      <c r="AJ49"/>
    </row>
    <row r="50" spans="29:36" x14ac:dyDescent="0.25">
      <c r="AC50"/>
      <c r="AD50"/>
      <c r="AE50"/>
      <c r="AF50"/>
      <c r="AG50"/>
      <c r="AH50"/>
      <c r="AI50"/>
      <c r="AJ50"/>
    </row>
    <row r="51" spans="29:36" x14ac:dyDescent="0.25">
      <c r="AC51"/>
      <c r="AD51"/>
      <c r="AE51"/>
      <c r="AF51"/>
      <c r="AG51"/>
      <c r="AH51"/>
      <c r="AI51"/>
      <c r="AJ51"/>
    </row>
    <row r="52" spans="29:36" x14ac:dyDescent="0.25">
      <c r="AC52"/>
      <c r="AD52"/>
      <c r="AE52"/>
      <c r="AF52"/>
      <c r="AG52"/>
      <c r="AH52"/>
      <c r="AI52"/>
      <c r="AJ52"/>
    </row>
    <row r="53" spans="29:36" x14ac:dyDescent="0.25">
      <c r="AC53"/>
      <c r="AD53"/>
      <c r="AE53"/>
      <c r="AF53"/>
      <c r="AG53"/>
      <c r="AH53"/>
      <c r="AI53"/>
      <c r="AJ53"/>
    </row>
    <row r="54" spans="29:36" x14ac:dyDescent="0.25">
      <c r="AC54"/>
      <c r="AD54"/>
      <c r="AE54"/>
      <c r="AF54"/>
      <c r="AG54"/>
      <c r="AH54"/>
      <c r="AI54"/>
      <c r="AJ54"/>
    </row>
    <row r="55" spans="29:36" x14ac:dyDescent="0.25">
      <c r="AC55"/>
      <c r="AD55"/>
      <c r="AE55"/>
      <c r="AF55"/>
      <c r="AG55"/>
      <c r="AH55"/>
      <c r="AI55"/>
      <c r="AJ55"/>
    </row>
    <row r="56" spans="29:36" x14ac:dyDescent="0.25">
      <c r="AC56"/>
      <c r="AD56"/>
      <c r="AE56"/>
      <c r="AF56"/>
      <c r="AG56"/>
      <c r="AH56"/>
      <c r="AI56"/>
      <c r="AJ56"/>
    </row>
    <row r="57" spans="29:36" x14ac:dyDescent="0.25">
      <c r="AC57"/>
      <c r="AD57"/>
      <c r="AE57"/>
      <c r="AF57"/>
      <c r="AG57"/>
      <c r="AH57"/>
      <c r="AI57"/>
      <c r="AJ57"/>
    </row>
    <row r="58" spans="29:36" x14ac:dyDescent="0.25">
      <c r="AC58"/>
      <c r="AD58"/>
      <c r="AE58"/>
      <c r="AF58"/>
      <c r="AG58"/>
      <c r="AH58"/>
      <c r="AI58"/>
      <c r="AJ58"/>
    </row>
    <row r="59" spans="29:36" x14ac:dyDescent="0.25">
      <c r="AC59"/>
      <c r="AD59"/>
      <c r="AE59"/>
      <c r="AF59"/>
      <c r="AG59"/>
      <c r="AH59"/>
      <c r="AI59"/>
      <c r="AJ59"/>
    </row>
    <row r="60" spans="29:36" x14ac:dyDescent="0.25">
      <c r="AC60"/>
      <c r="AD60"/>
      <c r="AE60"/>
      <c r="AF60"/>
      <c r="AG60"/>
      <c r="AH60"/>
      <c r="AI60"/>
      <c r="AJ60"/>
    </row>
    <row r="61" spans="29:36" x14ac:dyDescent="0.25">
      <c r="AC61"/>
      <c r="AD61"/>
      <c r="AE61"/>
      <c r="AF61"/>
      <c r="AG61"/>
      <c r="AH61"/>
      <c r="AI61"/>
      <c r="AJ61"/>
    </row>
    <row r="62" spans="29:36" x14ac:dyDescent="0.25">
      <c r="AC62"/>
      <c r="AD62"/>
      <c r="AE62"/>
      <c r="AF62"/>
      <c r="AG62"/>
      <c r="AH62"/>
      <c r="AI62"/>
      <c r="AJ62"/>
    </row>
    <row r="63" spans="29:36" x14ac:dyDescent="0.25">
      <c r="AC63"/>
      <c r="AD63"/>
      <c r="AE63"/>
      <c r="AF63"/>
      <c r="AG63"/>
      <c r="AH63"/>
      <c r="AI63"/>
      <c r="AJ63"/>
    </row>
    <row r="64" spans="29:36" x14ac:dyDescent="0.25">
      <c r="AC64"/>
      <c r="AD64"/>
      <c r="AE64"/>
      <c r="AF64"/>
      <c r="AG64"/>
      <c r="AH64"/>
      <c r="AI64"/>
      <c r="AJ64"/>
    </row>
    <row r="65" spans="29:36" x14ac:dyDescent="0.25">
      <c r="AC65"/>
      <c r="AD65"/>
      <c r="AE65"/>
      <c r="AF65"/>
      <c r="AG65"/>
      <c r="AH65"/>
      <c r="AI65"/>
      <c r="AJ65"/>
    </row>
    <row r="66" spans="29:36" x14ac:dyDescent="0.25">
      <c r="AC66"/>
      <c r="AD66"/>
      <c r="AE66"/>
      <c r="AF66"/>
      <c r="AG66"/>
      <c r="AH66"/>
      <c r="AI66"/>
      <c r="AJ66"/>
    </row>
    <row r="67" spans="29:36" x14ac:dyDescent="0.25">
      <c r="AC67"/>
      <c r="AD67"/>
      <c r="AE67"/>
      <c r="AF67"/>
      <c r="AG67"/>
      <c r="AH67"/>
      <c r="AI67"/>
      <c r="AJ67"/>
    </row>
    <row r="68" spans="29:36" x14ac:dyDescent="0.25">
      <c r="AC68"/>
      <c r="AD68"/>
      <c r="AE68"/>
      <c r="AF68"/>
      <c r="AG68"/>
      <c r="AH68"/>
      <c r="AI68"/>
      <c r="AJ68"/>
    </row>
    <row r="69" spans="29:36" x14ac:dyDescent="0.25">
      <c r="AC69"/>
      <c r="AD69"/>
      <c r="AE69"/>
      <c r="AF69"/>
      <c r="AG69"/>
      <c r="AH69"/>
      <c r="AI69"/>
      <c r="AJ69"/>
    </row>
    <row r="70" spans="29:36" x14ac:dyDescent="0.25">
      <c r="AC70"/>
      <c r="AD70"/>
      <c r="AE70"/>
      <c r="AF70"/>
      <c r="AG70"/>
      <c r="AH70"/>
      <c r="AI70"/>
      <c r="AJ70"/>
    </row>
    <row r="71" spans="29:36" x14ac:dyDescent="0.25">
      <c r="AC71"/>
      <c r="AD71"/>
      <c r="AE71"/>
      <c r="AF71"/>
      <c r="AG71"/>
      <c r="AH71"/>
      <c r="AI71"/>
      <c r="AJ71"/>
    </row>
    <row r="72" spans="29:36" x14ac:dyDescent="0.25">
      <c r="AC72"/>
      <c r="AD72"/>
      <c r="AE72"/>
      <c r="AF72"/>
      <c r="AG72"/>
      <c r="AH72"/>
      <c r="AI72"/>
      <c r="AJ72"/>
    </row>
    <row r="73" spans="29:36" x14ac:dyDescent="0.25">
      <c r="AC73"/>
      <c r="AD73"/>
      <c r="AE73"/>
      <c r="AF73"/>
      <c r="AG73"/>
      <c r="AH73"/>
      <c r="AI73"/>
      <c r="AJ73"/>
    </row>
    <row r="74" spans="29:36" x14ac:dyDescent="0.25">
      <c r="AC74"/>
      <c r="AD74"/>
      <c r="AE74"/>
      <c r="AF74"/>
      <c r="AG74"/>
      <c r="AH74"/>
      <c r="AI74"/>
      <c r="AJ74"/>
    </row>
    <row r="75" spans="29:36" x14ac:dyDescent="0.25">
      <c r="AC75"/>
      <c r="AD75"/>
      <c r="AE75"/>
      <c r="AF75"/>
      <c r="AG75"/>
      <c r="AH75"/>
      <c r="AI75"/>
      <c r="AJ75"/>
    </row>
    <row r="76" spans="29:36" x14ac:dyDescent="0.25">
      <c r="AC76"/>
      <c r="AD76"/>
      <c r="AE76"/>
      <c r="AF76"/>
      <c r="AG76"/>
      <c r="AH76"/>
      <c r="AI76"/>
      <c r="AJ76"/>
    </row>
    <row r="77" spans="29:36" x14ac:dyDescent="0.25">
      <c r="AC77"/>
      <c r="AD77"/>
      <c r="AE77"/>
      <c r="AF77"/>
      <c r="AG77"/>
      <c r="AH77"/>
      <c r="AI77"/>
      <c r="AJ77"/>
    </row>
    <row r="78" spans="29:36" x14ac:dyDescent="0.25">
      <c r="AC78"/>
      <c r="AD78"/>
      <c r="AE78"/>
      <c r="AF78"/>
      <c r="AG78"/>
      <c r="AH78"/>
      <c r="AI78"/>
      <c r="AJ78"/>
    </row>
    <row r="79" spans="29:36" x14ac:dyDescent="0.25">
      <c r="AC79"/>
      <c r="AD79"/>
      <c r="AE79"/>
      <c r="AF79"/>
      <c r="AG79"/>
      <c r="AH79"/>
      <c r="AI79"/>
      <c r="AJ79"/>
    </row>
    <row r="80" spans="29:36" x14ac:dyDescent="0.25">
      <c r="AC80"/>
      <c r="AD80"/>
      <c r="AE80"/>
      <c r="AF80"/>
      <c r="AG80"/>
      <c r="AH80"/>
      <c r="AI80"/>
      <c r="AJ80"/>
    </row>
    <row r="81" spans="29:36" x14ac:dyDescent="0.25">
      <c r="AC81"/>
      <c r="AD81"/>
      <c r="AE81"/>
      <c r="AF81"/>
      <c r="AG81"/>
      <c r="AH81"/>
      <c r="AI81"/>
      <c r="AJ81"/>
    </row>
    <row r="82" spans="29:36" x14ac:dyDescent="0.25">
      <c r="AC82"/>
      <c r="AD82"/>
      <c r="AE82"/>
      <c r="AF82"/>
      <c r="AG82"/>
      <c r="AH82"/>
      <c r="AI82"/>
      <c r="AJ82"/>
    </row>
    <row r="83" spans="29:36" x14ac:dyDescent="0.25">
      <c r="AC83"/>
      <c r="AD83"/>
      <c r="AE83"/>
      <c r="AF83"/>
      <c r="AG83"/>
      <c r="AH83"/>
      <c r="AI83"/>
      <c r="AJ83"/>
    </row>
    <row r="84" spans="29:36" x14ac:dyDescent="0.25">
      <c r="AC84"/>
      <c r="AD84"/>
      <c r="AE84"/>
      <c r="AF84"/>
      <c r="AG84"/>
      <c r="AH84"/>
      <c r="AI84"/>
      <c r="AJ84"/>
    </row>
    <row r="85" spans="29:36" x14ac:dyDescent="0.25">
      <c r="AC85"/>
      <c r="AD85"/>
      <c r="AE85"/>
      <c r="AF85"/>
      <c r="AG85"/>
      <c r="AH85"/>
      <c r="AI85"/>
      <c r="AJ85"/>
    </row>
    <row r="86" spans="29:36" x14ac:dyDescent="0.25">
      <c r="AC86"/>
      <c r="AD86"/>
      <c r="AE86"/>
      <c r="AF86"/>
      <c r="AG86"/>
      <c r="AH86"/>
      <c r="AI86"/>
      <c r="AJ86"/>
    </row>
    <row r="87" spans="29:36" x14ac:dyDescent="0.25">
      <c r="AC87"/>
      <c r="AD87"/>
      <c r="AE87"/>
      <c r="AF87"/>
      <c r="AG87"/>
      <c r="AH87"/>
      <c r="AI87"/>
      <c r="AJ87"/>
    </row>
    <row r="88" spans="29:36" x14ac:dyDescent="0.25">
      <c r="AC88"/>
      <c r="AD88"/>
      <c r="AE88"/>
      <c r="AF88"/>
      <c r="AG88"/>
      <c r="AH88"/>
      <c r="AI88"/>
      <c r="AJ88"/>
    </row>
    <row r="89" spans="29:36" x14ac:dyDescent="0.25">
      <c r="AC89"/>
      <c r="AD89"/>
      <c r="AE89"/>
      <c r="AF89"/>
      <c r="AG89"/>
      <c r="AH89"/>
      <c r="AI89"/>
      <c r="AJ89"/>
    </row>
    <row r="90" spans="29:36" x14ac:dyDescent="0.25">
      <c r="AC90"/>
      <c r="AD90"/>
      <c r="AE90"/>
      <c r="AF90"/>
      <c r="AG90"/>
      <c r="AH90"/>
      <c r="AI90"/>
      <c r="AJ90"/>
    </row>
    <row r="91" spans="29:36" x14ac:dyDescent="0.25">
      <c r="AC91"/>
      <c r="AD91"/>
      <c r="AE91"/>
      <c r="AF91"/>
      <c r="AG91"/>
      <c r="AH91"/>
      <c r="AI91"/>
      <c r="AJ91"/>
    </row>
    <row r="92" spans="29:36" x14ac:dyDescent="0.25">
      <c r="AC92"/>
      <c r="AD92"/>
      <c r="AE92"/>
      <c r="AF92"/>
      <c r="AG92"/>
      <c r="AH92"/>
      <c r="AI92"/>
      <c r="AJ92"/>
    </row>
    <row r="93" spans="29:36" x14ac:dyDescent="0.25">
      <c r="AC93"/>
      <c r="AD93"/>
      <c r="AE93"/>
      <c r="AF93"/>
      <c r="AG93"/>
      <c r="AH93"/>
      <c r="AI93"/>
      <c r="AJ93"/>
    </row>
    <row r="94" spans="29:36" x14ac:dyDescent="0.25">
      <c r="AC94"/>
      <c r="AD94"/>
      <c r="AE94"/>
      <c r="AF94"/>
      <c r="AG94"/>
      <c r="AH94"/>
      <c r="AI94"/>
      <c r="AJ94"/>
    </row>
    <row r="95" spans="29:36" x14ac:dyDescent="0.25">
      <c r="AC95"/>
      <c r="AD95"/>
      <c r="AE95"/>
      <c r="AF95"/>
      <c r="AG95"/>
      <c r="AH95"/>
      <c r="AI95"/>
      <c r="AJ95"/>
    </row>
    <row r="96" spans="29:36" x14ac:dyDescent="0.25">
      <c r="AC96"/>
      <c r="AD96"/>
      <c r="AE96"/>
      <c r="AF96"/>
      <c r="AG96"/>
      <c r="AH96"/>
      <c r="AI96"/>
      <c r="AJ96"/>
    </row>
    <row r="97" spans="29:36" x14ac:dyDescent="0.25">
      <c r="AC97"/>
      <c r="AD97"/>
      <c r="AE97"/>
      <c r="AF97"/>
      <c r="AG97"/>
      <c r="AH97"/>
      <c r="AI97"/>
      <c r="AJ97"/>
    </row>
    <row r="98" spans="29:36" x14ac:dyDescent="0.25">
      <c r="AC98"/>
      <c r="AD98"/>
      <c r="AE98"/>
      <c r="AF98"/>
      <c r="AG98"/>
      <c r="AH98"/>
      <c r="AI98"/>
      <c r="AJ98"/>
    </row>
    <row r="99" spans="29:36" x14ac:dyDescent="0.25">
      <c r="AC99"/>
      <c r="AD99"/>
      <c r="AE99"/>
      <c r="AF99"/>
      <c r="AG99"/>
      <c r="AH99"/>
      <c r="AI99"/>
      <c r="AJ99"/>
    </row>
    <row r="100" spans="29:36" x14ac:dyDescent="0.25">
      <c r="AC100"/>
      <c r="AD100"/>
      <c r="AE100"/>
      <c r="AF100"/>
      <c r="AG100"/>
      <c r="AH100"/>
      <c r="AI100"/>
      <c r="AJ100"/>
    </row>
    <row r="101" spans="29:36" x14ac:dyDescent="0.25">
      <c r="AC101"/>
      <c r="AD101"/>
      <c r="AE101"/>
      <c r="AF101"/>
      <c r="AG101"/>
      <c r="AH101"/>
      <c r="AI101"/>
      <c r="AJ101"/>
    </row>
    <row r="102" spans="29:36" x14ac:dyDescent="0.25">
      <c r="AC102"/>
      <c r="AD102"/>
      <c r="AE102"/>
      <c r="AF102"/>
      <c r="AG102"/>
      <c r="AH102"/>
      <c r="AI102"/>
      <c r="AJ102"/>
    </row>
    <row r="103" spans="29:36" x14ac:dyDescent="0.25">
      <c r="AC103"/>
      <c r="AD103"/>
      <c r="AE103"/>
      <c r="AF103"/>
      <c r="AG103"/>
      <c r="AH103"/>
      <c r="AI103"/>
      <c r="AJ103"/>
    </row>
    <row r="104" spans="29:36" x14ac:dyDescent="0.25">
      <c r="AC104"/>
      <c r="AD104"/>
      <c r="AE104"/>
      <c r="AF104"/>
      <c r="AG104"/>
      <c r="AH104"/>
      <c r="AI104"/>
      <c r="AJ104"/>
    </row>
    <row r="105" spans="29:36" x14ac:dyDescent="0.25">
      <c r="AC105"/>
      <c r="AD105"/>
      <c r="AE105"/>
      <c r="AF105"/>
      <c r="AG105"/>
      <c r="AH105"/>
      <c r="AI105"/>
      <c r="AJ105"/>
    </row>
    <row r="106" spans="29:36" x14ac:dyDescent="0.25">
      <c r="AC106"/>
      <c r="AD106"/>
      <c r="AE106"/>
      <c r="AF106"/>
      <c r="AG106"/>
      <c r="AH106"/>
      <c r="AI106"/>
      <c r="AJ106"/>
    </row>
    <row r="107" spans="29:36" x14ac:dyDescent="0.25">
      <c r="AC107"/>
      <c r="AD107"/>
      <c r="AE107"/>
      <c r="AF107"/>
      <c r="AG107"/>
      <c r="AH107"/>
      <c r="AI107"/>
      <c r="AJ107"/>
    </row>
    <row r="108" spans="29:36" x14ac:dyDescent="0.25">
      <c r="AC108"/>
      <c r="AD108"/>
      <c r="AE108"/>
      <c r="AF108"/>
      <c r="AG108"/>
      <c r="AH108"/>
      <c r="AI108"/>
      <c r="AJ108"/>
    </row>
    <row r="109" spans="29:36" x14ac:dyDescent="0.25">
      <c r="AC109"/>
      <c r="AD109"/>
      <c r="AE109"/>
      <c r="AF109"/>
      <c r="AG109"/>
      <c r="AH109"/>
      <c r="AI109"/>
      <c r="AJ109"/>
    </row>
    <row r="110" spans="29:36" x14ac:dyDescent="0.25">
      <c r="AC110"/>
      <c r="AD110"/>
      <c r="AE110"/>
      <c r="AF110"/>
      <c r="AG110"/>
      <c r="AH110"/>
      <c r="AI110"/>
      <c r="AJ110"/>
    </row>
    <row r="111" spans="29:36" x14ac:dyDescent="0.25">
      <c r="AC111"/>
      <c r="AD111"/>
      <c r="AE111"/>
      <c r="AF111"/>
      <c r="AG111"/>
      <c r="AH111"/>
      <c r="AI111"/>
      <c r="AJ111"/>
    </row>
    <row r="112" spans="29:36" x14ac:dyDescent="0.25">
      <c r="AC112"/>
      <c r="AD112"/>
      <c r="AE112"/>
      <c r="AF112"/>
      <c r="AG112"/>
      <c r="AH112"/>
      <c r="AI112"/>
      <c r="AJ112"/>
    </row>
    <row r="113" spans="29:36" x14ac:dyDescent="0.25">
      <c r="AC113"/>
      <c r="AD113"/>
      <c r="AE113"/>
      <c r="AF113"/>
      <c r="AG113"/>
      <c r="AH113"/>
      <c r="AI113"/>
      <c r="AJ113"/>
    </row>
    <row r="114" spans="29:36" x14ac:dyDescent="0.25">
      <c r="AC114"/>
      <c r="AD114"/>
      <c r="AE114"/>
      <c r="AF114"/>
      <c r="AG114"/>
      <c r="AH114"/>
      <c r="AI114"/>
      <c r="AJ114"/>
    </row>
    <row r="115" spans="29:36" x14ac:dyDescent="0.25">
      <c r="AC115"/>
      <c r="AD115"/>
      <c r="AE115"/>
      <c r="AF115"/>
      <c r="AG115"/>
      <c r="AH115"/>
      <c r="AI115"/>
      <c r="AJ115"/>
    </row>
    <row r="116" spans="29:36" x14ac:dyDescent="0.25">
      <c r="AC116"/>
      <c r="AD116"/>
      <c r="AE116"/>
      <c r="AF116"/>
      <c r="AG116"/>
      <c r="AH116"/>
      <c r="AI116"/>
      <c r="AJ116"/>
    </row>
    <row r="117" spans="29:36" x14ac:dyDescent="0.25">
      <c r="AC117"/>
      <c r="AD117"/>
      <c r="AE117"/>
      <c r="AF117"/>
      <c r="AG117"/>
      <c r="AH117"/>
      <c r="AI117"/>
      <c r="AJ117"/>
    </row>
    <row r="118" spans="29:36" x14ac:dyDescent="0.25">
      <c r="AC118"/>
      <c r="AD118"/>
      <c r="AE118"/>
      <c r="AF118"/>
      <c r="AG118"/>
      <c r="AH118"/>
      <c r="AI118"/>
      <c r="AJ118"/>
    </row>
    <row r="119" spans="29:36" x14ac:dyDescent="0.25">
      <c r="AC119"/>
      <c r="AD119"/>
      <c r="AE119"/>
      <c r="AF119"/>
      <c r="AG119"/>
      <c r="AH119"/>
      <c r="AI119"/>
      <c r="AJ119"/>
    </row>
    <row r="120" spans="29:36" x14ac:dyDescent="0.25">
      <c r="AC120"/>
      <c r="AD120"/>
      <c r="AE120"/>
      <c r="AF120"/>
      <c r="AG120"/>
      <c r="AH120"/>
      <c r="AI120"/>
      <c r="AJ120"/>
    </row>
    <row r="121" spans="29:36" x14ac:dyDescent="0.25">
      <c r="AC121"/>
      <c r="AD121"/>
      <c r="AE121"/>
      <c r="AF121"/>
      <c r="AG121"/>
      <c r="AH121"/>
      <c r="AI121"/>
      <c r="AJ121"/>
    </row>
    <row r="122" spans="29:36" x14ac:dyDescent="0.25">
      <c r="AC122"/>
      <c r="AD122"/>
      <c r="AE122"/>
      <c r="AF122"/>
      <c r="AG122"/>
      <c r="AH122"/>
      <c r="AI122"/>
      <c r="AJ122"/>
    </row>
    <row r="123" spans="29:36" x14ac:dyDescent="0.25">
      <c r="AC123"/>
      <c r="AD123"/>
      <c r="AE123"/>
      <c r="AF123"/>
      <c r="AG123"/>
      <c r="AH123"/>
      <c r="AI123"/>
      <c r="AJ123"/>
    </row>
    <row r="124" spans="29:36" x14ac:dyDescent="0.25">
      <c r="AC124"/>
      <c r="AD124"/>
      <c r="AE124"/>
      <c r="AF124"/>
      <c r="AG124"/>
      <c r="AH124"/>
      <c r="AI124"/>
      <c r="AJ124"/>
    </row>
    <row r="125" spans="29:36" x14ac:dyDescent="0.25">
      <c r="AC125"/>
      <c r="AD125"/>
      <c r="AE125"/>
      <c r="AF125"/>
      <c r="AG125"/>
      <c r="AH125"/>
      <c r="AI125"/>
      <c r="AJ125"/>
    </row>
    <row r="126" spans="29:36" x14ac:dyDescent="0.25">
      <c r="AC126"/>
      <c r="AD126"/>
      <c r="AE126"/>
      <c r="AF126"/>
      <c r="AG126"/>
      <c r="AH126"/>
      <c r="AI126"/>
      <c r="AJ126"/>
    </row>
    <row r="127" spans="29:36" x14ac:dyDescent="0.25">
      <c r="AC127"/>
      <c r="AD127"/>
      <c r="AE127"/>
      <c r="AF127"/>
      <c r="AG127"/>
      <c r="AH127"/>
      <c r="AI127"/>
      <c r="AJ127"/>
    </row>
    <row r="128" spans="29:36" x14ac:dyDescent="0.25">
      <c r="AC128"/>
      <c r="AD128"/>
      <c r="AE128"/>
      <c r="AF128"/>
      <c r="AG128"/>
      <c r="AH128"/>
      <c r="AI128"/>
      <c r="AJ128"/>
    </row>
    <row r="129" spans="29:36" x14ac:dyDescent="0.25">
      <c r="AC129"/>
      <c r="AD129"/>
      <c r="AE129"/>
      <c r="AF129"/>
      <c r="AG129"/>
      <c r="AH129"/>
      <c r="AI129"/>
      <c r="AJ129"/>
    </row>
    <row r="130" spans="29:36" x14ac:dyDescent="0.25">
      <c r="AC130"/>
      <c r="AD130"/>
      <c r="AE130"/>
      <c r="AF130"/>
      <c r="AG130"/>
      <c r="AH130"/>
      <c r="AI130"/>
      <c r="AJ130"/>
    </row>
    <row r="131" spans="29:36" x14ac:dyDescent="0.25">
      <c r="AC131"/>
      <c r="AD131"/>
      <c r="AE131"/>
      <c r="AF131"/>
      <c r="AG131"/>
      <c r="AH131"/>
      <c r="AI131"/>
      <c r="AJ131"/>
    </row>
    <row r="132" spans="29:36" x14ac:dyDescent="0.25">
      <c r="AC132"/>
      <c r="AD132"/>
      <c r="AE132"/>
      <c r="AF132"/>
      <c r="AG132"/>
      <c r="AH132"/>
      <c r="AI132"/>
      <c r="AJ132"/>
    </row>
    <row r="133" spans="29:36" x14ac:dyDescent="0.25">
      <c r="AC133"/>
      <c r="AD133"/>
      <c r="AE133"/>
      <c r="AF133"/>
      <c r="AG133"/>
      <c r="AH133"/>
      <c r="AI133"/>
      <c r="AJ133"/>
    </row>
    <row r="134" spans="29:36" x14ac:dyDescent="0.25">
      <c r="AC134"/>
      <c r="AD134"/>
      <c r="AE134"/>
      <c r="AF134"/>
      <c r="AG134"/>
      <c r="AH134"/>
      <c r="AI134"/>
      <c r="AJ134"/>
    </row>
    <row r="135" spans="29:36" x14ac:dyDescent="0.25">
      <c r="AC135"/>
      <c r="AD135"/>
      <c r="AE135"/>
      <c r="AF135"/>
      <c r="AG135"/>
      <c r="AH135"/>
      <c r="AI135"/>
      <c r="AJ135"/>
    </row>
    <row r="136" spans="29:36" x14ac:dyDescent="0.25">
      <c r="AC136"/>
      <c r="AD136"/>
      <c r="AE136"/>
      <c r="AF136"/>
      <c r="AG136"/>
      <c r="AH136"/>
      <c r="AI136"/>
      <c r="AJ136"/>
    </row>
    <row r="137" spans="29:36" x14ac:dyDescent="0.25">
      <c r="AC137"/>
      <c r="AD137"/>
      <c r="AE137"/>
      <c r="AF137"/>
      <c r="AG137"/>
      <c r="AH137"/>
      <c r="AI137"/>
      <c r="AJ137"/>
    </row>
    <row r="138" spans="29:36" x14ac:dyDescent="0.25">
      <c r="AC138"/>
      <c r="AD138"/>
      <c r="AE138"/>
      <c r="AF138"/>
      <c r="AG138"/>
      <c r="AH138"/>
      <c r="AI138"/>
      <c r="AJ138"/>
    </row>
    <row r="139" spans="29:36" x14ac:dyDescent="0.25">
      <c r="AC139"/>
      <c r="AD139"/>
      <c r="AE139"/>
      <c r="AF139"/>
      <c r="AG139"/>
      <c r="AH139"/>
      <c r="AI139"/>
      <c r="AJ139"/>
    </row>
    <row r="140" spans="29:36" x14ac:dyDescent="0.25">
      <c r="AC140"/>
      <c r="AD140"/>
      <c r="AE140"/>
      <c r="AF140"/>
      <c r="AG140"/>
      <c r="AH140"/>
      <c r="AI140"/>
      <c r="AJ140"/>
    </row>
    <row r="141" spans="29:36" x14ac:dyDescent="0.25">
      <c r="AC141"/>
      <c r="AD141"/>
      <c r="AE141"/>
      <c r="AF141"/>
      <c r="AG141"/>
      <c r="AH141"/>
      <c r="AI141"/>
      <c r="AJ141"/>
    </row>
    <row r="142" spans="29:36" x14ac:dyDescent="0.25">
      <c r="AC142"/>
      <c r="AD142"/>
      <c r="AE142"/>
      <c r="AF142"/>
      <c r="AG142"/>
      <c r="AH142"/>
      <c r="AI142"/>
      <c r="AJ142"/>
    </row>
    <row r="143" spans="29:36" x14ac:dyDescent="0.25">
      <c r="AC143"/>
      <c r="AD143"/>
      <c r="AE143"/>
      <c r="AF143"/>
      <c r="AG143"/>
      <c r="AH143"/>
      <c r="AI143"/>
      <c r="AJ143"/>
    </row>
    <row r="144" spans="29:36" x14ac:dyDescent="0.25">
      <c r="AC144"/>
      <c r="AD144"/>
      <c r="AE144"/>
      <c r="AF144"/>
      <c r="AG144"/>
      <c r="AH144"/>
      <c r="AI144"/>
      <c r="AJ144"/>
    </row>
    <row r="145" spans="29:36" x14ac:dyDescent="0.25">
      <c r="AC145"/>
      <c r="AD145"/>
      <c r="AE145"/>
      <c r="AF145"/>
      <c r="AG145"/>
      <c r="AH145"/>
      <c r="AI145"/>
      <c r="AJ145"/>
    </row>
    <row r="146" spans="29:36" x14ac:dyDescent="0.25">
      <c r="AC146"/>
      <c r="AD146"/>
      <c r="AE146"/>
      <c r="AF146"/>
      <c r="AG146"/>
      <c r="AH146"/>
      <c r="AI146"/>
      <c r="AJ146"/>
    </row>
    <row r="147" spans="29:36" x14ac:dyDescent="0.25">
      <c r="AC147"/>
      <c r="AD147"/>
      <c r="AE147"/>
      <c r="AF147"/>
      <c r="AG147"/>
      <c r="AH147"/>
      <c r="AI147"/>
      <c r="AJ147"/>
    </row>
    <row r="148" spans="29:36" x14ac:dyDescent="0.25">
      <c r="AC148"/>
      <c r="AD148"/>
      <c r="AE148"/>
      <c r="AF148"/>
      <c r="AG148"/>
      <c r="AH148"/>
      <c r="AI148"/>
      <c r="AJ148"/>
    </row>
    <row r="149" spans="29:36" x14ac:dyDescent="0.25">
      <c r="AC149"/>
      <c r="AD149"/>
      <c r="AE149"/>
      <c r="AF149"/>
      <c r="AG149"/>
      <c r="AH149"/>
      <c r="AI149"/>
      <c r="AJ149"/>
    </row>
    <row r="150" spans="29:36" x14ac:dyDescent="0.25">
      <c r="AC150"/>
      <c r="AD150"/>
      <c r="AE150"/>
      <c r="AF150"/>
      <c r="AG150"/>
      <c r="AH150"/>
      <c r="AI150"/>
      <c r="AJ150"/>
    </row>
    <row r="151" spans="29:36" x14ac:dyDescent="0.25">
      <c r="AC151"/>
      <c r="AD151"/>
      <c r="AE151"/>
      <c r="AF151"/>
      <c r="AG151"/>
      <c r="AH151"/>
      <c r="AI151"/>
      <c r="AJ151"/>
    </row>
    <row r="152" spans="29:36" x14ac:dyDescent="0.25">
      <c r="AC152"/>
      <c r="AD152"/>
      <c r="AE152"/>
      <c r="AF152"/>
      <c r="AG152"/>
      <c r="AH152"/>
      <c r="AI152"/>
      <c r="AJ152"/>
    </row>
    <row r="153" spans="29:36" x14ac:dyDescent="0.25">
      <c r="AC153"/>
      <c r="AD153"/>
      <c r="AE153"/>
      <c r="AF153"/>
      <c r="AG153"/>
      <c r="AH153"/>
      <c r="AI153"/>
      <c r="AJ153"/>
    </row>
    <row r="154" spans="29:36" x14ac:dyDescent="0.25">
      <c r="AC154"/>
      <c r="AD154"/>
      <c r="AE154"/>
      <c r="AF154"/>
      <c r="AG154"/>
      <c r="AH154"/>
      <c r="AI154"/>
      <c r="AJ154"/>
    </row>
    <row r="155" spans="29:36" x14ac:dyDescent="0.25">
      <c r="AC155"/>
      <c r="AD155"/>
      <c r="AE155"/>
      <c r="AF155"/>
      <c r="AG155"/>
      <c r="AH155"/>
      <c r="AI155"/>
      <c r="AJ155"/>
    </row>
    <row r="156" spans="29:36" x14ac:dyDescent="0.25">
      <c r="AC156"/>
      <c r="AD156"/>
      <c r="AE156"/>
      <c r="AF156"/>
      <c r="AG156"/>
      <c r="AH156"/>
      <c r="AI156"/>
      <c r="AJ156"/>
    </row>
    <row r="157" spans="29:36" x14ac:dyDescent="0.25">
      <c r="AC157"/>
      <c r="AD157"/>
      <c r="AE157"/>
      <c r="AF157"/>
      <c r="AG157"/>
      <c r="AH157"/>
      <c r="AI157"/>
      <c r="AJ157"/>
    </row>
    <row r="158" spans="29:36" x14ac:dyDescent="0.25">
      <c r="AC158"/>
      <c r="AD158"/>
      <c r="AE158"/>
      <c r="AF158"/>
      <c r="AG158"/>
      <c r="AH158"/>
      <c r="AI158"/>
      <c r="AJ158"/>
    </row>
    <row r="159" spans="29:36" x14ac:dyDescent="0.25">
      <c r="AC159"/>
      <c r="AD159"/>
      <c r="AE159"/>
      <c r="AF159"/>
      <c r="AG159"/>
      <c r="AH159"/>
      <c r="AI159"/>
      <c r="AJ159"/>
    </row>
    <row r="160" spans="29:36" x14ac:dyDescent="0.25">
      <c r="AC160"/>
      <c r="AD160"/>
      <c r="AE160"/>
      <c r="AF160"/>
      <c r="AG160"/>
      <c r="AH160"/>
      <c r="AI160"/>
      <c r="AJ160"/>
    </row>
    <row r="161" spans="29:36" x14ac:dyDescent="0.25">
      <c r="AC161"/>
      <c r="AD161"/>
      <c r="AE161"/>
      <c r="AF161"/>
      <c r="AG161"/>
      <c r="AH161"/>
      <c r="AI161"/>
      <c r="AJ161"/>
    </row>
    <row r="162" spans="29:36" x14ac:dyDescent="0.25">
      <c r="AC162"/>
      <c r="AD162"/>
      <c r="AE162"/>
      <c r="AF162"/>
      <c r="AG162"/>
      <c r="AH162"/>
      <c r="AI162"/>
      <c r="AJ162"/>
    </row>
    <row r="163" spans="29:36" x14ac:dyDescent="0.25">
      <c r="AC163"/>
      <c r="AD163"/>
      <c r="AE163"/>
      <c r="AF163"/>
      <c r="AG163"/>
      <c r="AH163"/>
      <c r="AI163"/>
      <c r="AJ163"/>
    </row>
    <row r="164" spans="29:36" x14ac:dyDescent="0.25">
      <c r="AC164"/>
      <c r="AD164"/>
      <c r="AE164"/>
      <c r="AF164"/>
      <c r="AG164"/>
      <c r="AH164"/>
      <c r="AI164"/>
      <c r="AJ164"/>
    </row>
    <row r="165" spans="29:36" x14ac:dyDescent="0.25">
      <c r="AC165"/>
      <c r="AD165"/>
      <c r="AE165"/>
      <c r="AF165"/>
      <c r="AG165"/>
      <c r="AH165"/>
      <c r="AI165"/>
      <c r="AJ165"/>
    </row>
    <row r="166" spans="29:36" x14ac:dyDescent="0.25">
      <c r="AC166"/>
      <c r="AD166"/>
      <c r="AE166"/>
      <c r="AF166"/>
      <c r="AG166"/>
      <c r="AH166"/>
      <c r="AI166"/>
      <c r="AJ166"/>
    </row>
    <row r="167" spans="29:36" x14ac:dyDescent="0.25">
      <c r="AC167"/>
      <c r="AD167"/>
      <c r="AE167"/>
      <c r="AF167"/>
      <c r="AG167"/>
      <c r="AH167"/>
      <c r="AI167"/>
      <c r="AJ167"/>
    </row>
    <row r="168" spans="29:36" x14ac:dyDescent="0.25">
      <c r="AC168"/>
      <c r="AD168"/>
      <c r="AE168"/>
      <c r="AF168"/>
      <c r="AG168"/>
      <c r="AH168"/>
      <c r="AI168"/>
      <c r="AJ168"/>
    </row>
    <row r="169" spans="29:36" x14ac:dyDescent="0.25">
      <c r="AC169"/>
      <c r="AD169"/>
      <c r="AE169"/>
      <c r="AF169"/>
      <c r="AG169"/>
      <c r="AH169"/>
      <c r="AI169"/>
      <c r="AJ169"/>
    </row>
    <row r="170" spans="29:36" x14ac:dyDescent="0.25">
      <c r="AC170"/>
      <c r="AD170"/>
      <c r="AE170"/>
      <c r="AF170"/>
      <c r="AG170"/>
      <c r="AH170"/>
      <c r="AI170"/>
      <c r="AJ170"/>
    </row>
    <row r="171" spans="29:36" x14ac:dyDescent="0.25">
      <c r="AC171"/>
      <c r="AD171"/>
      <c r="AE171"/>
      <c r="AF171"/>
      <c r="AG171"/>
      <c r="AH171"/>
      <c r="AI171"/>
      <c r="AJ171"/>
    </row>
    <row r="172" spans="29:36" x14ac:dyDescent="0.25">
      <c r="AC172"/>
      <c r="AD172"/>
      <c r="AE172"/>
      <c r="AF172"/>
      <c r="AG172"/>
      <c r="AH172"/>
      <c r="AI172"/>
      <c r="AJ172"/>
    </row>
    <row r="173" spans="29:36" x14ac:dyDescent="0.25">
      <c r="AC173"/>
      <c r="AD173"/>
      <c r="AE173"/>
      <c r="AF173"/>
      <c r="AG173"/>
      <c r="AH173"/>
      <c r="AI173"/>
      <c r="AJ173"/>
    </row>
    <row r="174" spans="29:36" x14ac:dyDescent="0.25">
      <c r="AC174"/>
      <c r="AD174"/>
      <c r="AE174"/>
      <c r="AF174"/>
      <c r="AG174"/>
      <c r="AH174"/>
      <c r="AI174"/>
      <c r="AJ174"/>
    </row>
    <row r="175" spans="29:36" x14ac:dyDescent="0.25">
      <c r="AC175"/>
      <c r="AD175"/>
      <c r="AE175"/>
      <c r="AF175"/>
      <c r="AG175"/>
      <c r="AH175"/>
      <c r="AI175"/>
      <c r="AJ175"/>
    </row>
    <row r="176" spans="29:36" x14ac:dyDescent="0.25">
      <c r="AC176"/>
      <c r="AD176"/>
      <c r="AE176"/>
      <c r="AF176"/>
      <c r="AG176"/>
      <c r="AH176"/>
      <c r="AI176"/>
      <c r="AJ176"/>
    </row>
    <row r="177" spans="29:36" x14ac:dyDescent="0.25">
      <c r="AC177"/>
      <c r="AD177"/>
      <c r="AE177"/>
      <c r="AF177"/>
      <c r="AG177"/>
      <c r="AH177"/>
      <c r="AI177"/>
      <c r="AJ177"/>
    </row>
    <row r="178" spans="29:36" x14ac:dyDescent="0.25">
      <c r="AC178"/>
      <c r="AD178"/>
      <c r="AE178"/>
      <c r="AF178"/>
      <c r="AG178"/>
      <c r="AH178"/>
      <c r="AI178"/>
      <c r="AJ178"/>
    </row>
    <row r="179" spans="29:36" x14ac:dyDescent="0.25">
      <c r="AC179"/>
      <c r="AD179"/>
      <c r="AE179"/>
      <c r="AF179"/>
      <c r="AG179"/>
      <c r="AH179"/>
      <c r="AI179"/>
      <c r="AJ179"/>
    </row>
    <row r="180" spans="29:36" x14ac:dyDescent="0.25">
      <c r="AC180"/>
      <c r="AD180"/>
      <c r="AE180"/>
      <c r="AF180"/>
      <c r="AG180"/>
      <c r="AH180"/>
      <c r="AI180"/>
      <c r="AJ180"/>
    </row>
    <row r="181" spans="29:36" x14ac:dyDescent="0.25">
      <c r="AC181"/>
      <c r="AD181"/>
      <c r="AE181"/>
      <c r="AF181"/>
      <c r="AG181"/>
      <c r="AH181"/>
      <c r="AI181"/>
      <c r="AJ181"/>
    </row>
    <row r="182" spans="29:36" x14ac:dyDescent="0.25">
      <c r="AC182"/>
      <c r="AD182"/>
      <c r="AE182"/>
      <c r="AF182"/>
      <c r="AG182"/>
      <c r="AH182"/>
      <c r="AI182"/>
      <c r="AJ182"/>
    </row>
    <row r="183" spans="29:36" x14ac:dyDescent="0.25">
      <c r="AC183"/>
      <c r="AD183"/>
      <c r="AE183"/>
      <c r="AF183"/>
      <c r="AG183"/>
      <c r="AH183"/>
      <c r="AI183"/>
      <c r="AJ183"/>
    </row>
    <row r="184" spans="29:36" x14ac:dyDescent="0.25">
      <c r="AC184"/>
      <c r="AD184"/>
      <c r="AE184"/>
      <c r="AF184"/>
      <c r="AG184"/>
      <c r="AH184"/>
      <c r="AI184"/>
      <c r="AJ184"/>
    </row>
    <row r="185" spans="29:36" x14ac:dyDescent="0.25">
      <c r="AC185"/>
      <c r="AD185"/>
      <c r="AE185"/>
      <c r="AF185"/>
      <c r="AG185"/>
      <c r="AH185"/>
      <c r="AI185"/>
      <c r="AJ185"/>
    </row>
    <row r="186" spans="29:36" x14ac:dyDescent="0.25">
      <c r="AC186"/>
      <c r="AD186"/>
      <c r="AE186"/>
      <c r="AF186"/>
      <c r="AG186"/>
      <c r="AH186"/>
      <c r="AI186"/>
      <c r="AJ186"/>
    </row>
    <row r="187" spans="29:36" x14ac:dyDescent="0.25">
      <c r="AC187"/>
      <c r="AD187"/>
      <c r="AE187"/>
      <c r="AF187"/>
      <c r="AG187"/>
      <c r="AH187"/>
      <c r="AI187"/>
      <c r="AJ187"/>
    </row>
    <row r="188" spans="29:36" x14ac:dyDescent="0.25">
      <c r="AC188"/>
      <c r="AD188"/>
      <c r="AE188"/>
      <c r="AF188"/>
      <c r="AG188"/>
      <c r="AH188"/>
      <c r="AI188"/>
      <c r="AJ188"/>
    </row>
    <row r="189" spans="29:36" x14ac:dyDescent="0.25">
      <c r="AC189"/>
      <c r="AD189"/>
      <c r="AE189"/>
      <c r="AF189"/>
      <c r="AG189"/>
      <c r="AH189"/>
      <c r="AI189"/>
      <c r="AJ189"/>
    </row>
    <row r="190" spans="29:36" x14ac:dyDescent="0.25">
      <c r="AC190"/>
      <c r="AD190"/>
      <c r="AE190"/>
      <c r="AF190"/>
      <c r="AG190"/>
      <c r="AH190"/>
      <c r="AI190"/>
      <c r="AJ190"/>
    </row>
    <row r="191" spans="29:36" x14ac:dyDescent="0.25">
      <c r="AC191"/>
      <c r="AD191"/>
      <c r="AE191"/>
      <c r="AF191"/>
      <c r="AG191"/>
      <c r="AH191"/>
      <c r="AI191"/>
      <c r="AJ191"/>
    </row>
    <row r="192" spans="29:36" x14ac:dyDescent="0.25">
      <c r="AC192"/>
      <c r="AD192"/>
      <c r="AE192"/>
      <c r="AF192"/>
      <c r="AG192"/>
      <c r="AH192"/>
      <c r="AI192"/>
      <c r="AJ192"/>
    </row>
    <row r="193" spans="29:36" x14ac:dyDescent="0.25">
      <c r="AC193"/>
      <c r="AD193"/>
      <c r="AE193"/>
      <c r="AF193"/>
      <c r="AG193"/>
      <c r="AH193"/>
      <c r="AI193"/>
      <c r="AJ193"/>
    </row>
    <row r="194" spans="29:36" x14ac:dyDescent="0.25">
      <c r="AC194"/>
      <c r="AD194"/>
      <c r="AE194"/>
      <c r="AF194"/>
      <c r="AG194"/>
      <c r="AH194"/>
      <c r="AI194"/>
      <c r="AJ194"/>
    </row>
    <row r="195" spans="29:36" x14ac:dyDescent="0.25">
      <c r="AC195"/>
      <c r="AD195"/>
      <c r="AE195"/>
      <c r="AF195"/>
      <c r="AG195"/>
      <c r="AH195"/>
      <c r="AI195"/>
      <c r="AJ195"/>
    </row>
    <row r="196" spans="29:36" x14ac:dyDescent="0.25">
      <c r="AC196"/>
      <c r="AD196"/>
      <c r="AE196"/>
      <c r="AF196"/>
      <c r="AG196"/>
      <c r="AH196"/>
      <c r="AI196"/>
      <c r="AJ196"/>
    </row>
    <row r="197" spans="29:36" x14ac:dyDescent="0.25">
      <c r="AC197"/>
      <c r="AD197"/>
      <c r="AE197"/>
      <c r="AF197"/>
      <c r="AG197"/>
      <c r="AH197"/>
      <c r="AI197"/>
      <c r="AJ197"/>
    </row>
    <row r="198" spans="29:36" x14ac:dyDescent="0.25">
      <c r="AC198"/>
      <c r="AD198"/>
      <c r="AE198"/>
      <c r="AF198"/>
      <c r="AG198"/>
      <c r="AH198"/>
      <c r="AI198"/>
      <c r="AJ198"/>
    </row>
    <row r="199" spans="29:36" x14ac:dyDescent="0.25">
      <c r="AC199"/>
      <c r="AD199"/>
      <c r="AE199"/>
      <c r="AF199"/>
      <c r="AG199"/>
      <c r="AH199"/>
      <c r="AI199"/>
      <c r="AJ199"/>
    </row>
    <row r="200" spans="29:36" x14ac:dyDescent="0.25">
      <c r="AC200"/>
      <c r="AD200"/>
      <c r="AE200"/>
      <c r="AF200"/>
      <c r="AG200"/>
      <c r="AH200"/>
      <c r="AI200"/>
      <c r="AJ200"/>
    </row>
    <row r="201" spans="29:36" x14ac:dyDescent="0.25">
      <c r="AC201"/>
      <c r="AD201"/>
      <c r="AE201"/>
      <c r="AF201"/>
      <c r="AG201"/>
      <c r="AH201"/>
      <c r="AI201"/>
      <c r="AJ201"/>
    </row>
    <row r="202" spans="29:36" x14ac:dyDescent="0.25">
      <c r="AC202"/>
      <c r="AD202"/>
      <c r="AE202"/>
      <c r="AF202"/>
      <c r="AG202"/>
      <c r="AH202"/>
      <c r="AI202"/>
      <c r="AJ202"/>
    </row>
    <row r="203" spans="29:36" x14ac:dyDescent="0.25">
      <c r="AC203"/>
      <c r="AD203"/>
      <c r="AE203"/>
      <c r="AF203"/>
      <c r="AG203"/>
      <c r="AH203"/>
      <c r="AI203"/>
      <c r="AJ203"/>
    </row>
    <row r="204" spans="29:36" x14ac:dyDescent="0.25">
      <c r="AC204"/>
      <c r="AD204"/>
      <c r="AE204"/>
      <c r="AF204"/>
      <c r="AG204"/>
      <c r="AH204"/>
      <c r="AI204"/>
      <c r="AJ204"/>
    </row>
    <row r="205" spans="29:36" x14ac:dyDescent="0.25">
      <c r="AC205"/>
      <c r="AD205"/>
      <c r="AE205"/>
      <c r="AF205"/>
      <c r="AG205"/>
      <c r="AH205"/>
      <c r="AI205"/>
      <c r="AJ205"/>
    </row>
    <row r="206" spans="29:36" x14ac:dyDescent="0.25">
      <c r="AC206"/>
      <c r="AD206"/>
      <c r="AE206"/>
      <c r="AF206"/>
      <c r="AG206"/>
      <c r="AH206"/>
      <c r="AI206"/>
      <c r="AJ206"/>
    </row>
    <row r="207" spans="29:36" x14ac:dyDescent="0.25">
      <c r="AC207"/>
      <c r="AD207"/>
      <c r="AE207"/>
      <c r="AF207"/>
      <c r="AG207"/>
      <c r="AH207"/>
      <c r="AI207"/>
      <c r="AJ207"/>
    </row>
    <row r="208" spans="29:36" x14ac:dyDescent="0.25">
      <c r="AC208"/>
      <c r="AD208"/>
      <c r="AE208"/>
      <c r="AF208"/>
      <c r="AG208"/>
      <c r="AH208"/>
      <c r="AI208"/>
      <c r="AJ208"/>
    </row>
    <row r="209" spans="29:36" x14ac:dyDescent="0.25">
      <c r="AC209"/>
      <c r="AD209"/>
      <c r="AE209"/>
      <c r="AF209"/>
      <c r="AG209"/>
      <c r="AH209"/>
      <c r="AI209"/>
      <c r="AJ209"/>
    </row>
    <row r="210" spans="29:36" x14ac:dyDescent="0.25">
      <c r="AC210"/>
      <c r="AD210"/>
      <c r="AE210"/>
      <c r="AF210"/>
      <c r="AG210"/>
      <c r="AH210"/>
      <c r="AI210"/>
      <c r="AJ210"/>
    </row>
    <row r="211" spans="29:36" x14ac:dyDescent="0.25">
      <c r="AC211"/>
      <c r="AD211"/>
      <c r="AE211"/>
      <c r="AF211"/>
      <c r="AG211"/>
      <c r="AH211"/>
      <c r="AI211"/>
      <c r="AJ211"/>
    </row>
    <row r="212" spans="29:36" x14ac:dyDescent="0.25">
      <c r="AC212"/>
      <c r="AD212"/>
      <c r="AE212"/>
      <c r="AF212"/>
      <c r="AG212"/>
      <c r="AH212"/>
      <c r="AI212"/>
      <c r="AJ212"/>
    </row>
    <row r="213" spans="29:36" x14ac:dyDescent="0.25">
      <c r="AC213"/>
      <c r="AD213"/>
      <c r="AE213"/>
      <c r="AF213"/>
      <c r="AG213"/>
      <c r="AH213"/>
      <c r="AI213"/>
      <c r="AJ213"/>
    </row>
    <row r="214" spans="29:36" x14ac:dyDescent="0.25">
      <c r="AC214"/>
      <c r="AD214"/>
      <c r="AE214"/>
      <c r="AF214"/>
      <c r="AG214"/>
      <c r="AH214"/>
      <c r="AI214"/>
      <c r="AJ214"/>
    </row>
    <row r="215" spans="29:36" x14ac:dyDescent="0.25">
      <c r="AC215"/>
      <c r="AD215"/>
      <c r="AE215"/>
      <c r="AF215"/>
      <c r="AG215"/>
      <c r="AH215"/>
      <c r="AI215"/>
      <c r="AJ215"/>
    </row>
    <row r="216" spans="29:36" x14ac:dyDescent="0.25">
      <c r="AC216"/>
      <c r="AD216"/>
      <c r="AE216"/>
      <c r="AF216"/>
      <c r="AG216"/>
      <c r="AH216"/>
      <c r="AI216"/>
      <c r="AJ216"/>
    </row>
    <row r="217" spans="29:36" x14ac:dyDescent="0.25">
      <c r="AC217"/>
      <c r="AD217"/>
      <c r="AE217"/>
      <c r="AF217"/>
      <c r="AG217"/>
      <c r="AH217"/>
      <c r="AI217"/>
      <c r="AJ217"/>
    </row>
    <row r="218" spans="29:36" x14ac:dyDescent="0.25">
      <c r="AC218"/>
      <c r="AD218"/>
      <c r="AE218"/>
      <c r="AF218"/>
      <c r="AG218"/>
      <c r="AH218"/>
      <c r="AI218"/>
      <c r="AJ218"/>
    </row>
    <row r="219" spans="29:36" x14ac:dyDescent="0.25">
      <c r="AC219"/>
      <c r="AD219"/>
      <c r="AE219"/>
      <c r="AF219"/>
      <c r="AG219"/>
      <c r="AH219"/>
      <c r="AI219"/>
      <c r="AJ219"/>
    </row>
    <row r="220" spans="29:36" x14ac:dyDescent="0.25">
      <c r="AC220"/>
      <c r="AD220"/>
      <c r="AE220"/>
      <c r="AF220"/>
      <c r="AG220"/>
      <c r="AH220"/>
      <c r="AI220"/>
      <c r="AJ220"/>
    </row>
    <row r="221" spans="29:36" x14ac:dyDescent="0.25">
      <c r="AC221"/>
      <c r="AD221"/>
      <c r="AE221"/>
      <c r="AF221"/>
      <c r="AG221"/>
      <c r="AH221"/>
      <c r="AI221"/>
      <c r="AJ221"/>
    </row>
    <row r="222" spans="29:36" x14ac:dyDescent="0.25">
      <c r="AC222"/>
      <c r="AD222"/>
      <c r="AE222"/>
      <c r="AF222"/>
      <c r="AG222"/>
      <c r="AH222"/>
      <c r="AI222"/>
      <c r="AJ222"/>
    </row>
    <row r="223" spans="29:36" x14ac:dyDescent="0.25">
      <c r="AC223"/>
      <c r="AD223"/>
      <c r="AE223"/>
      <c r="AF223"/>
      <c r="AG223"/>
      <c r="AH223"/>
      <c r="AI223"/>
      <c r="AJ223"/>
    </row>
    <row r="224" spans="29:36" x14ac:dyDescent="0.25">
      <c r="AC224"/>
      <c r="AD224"/>
      <c r="AE224"/>
      <c r="AF224"/>
      <c r="AG224"/>
      <c r="AH224"/>
      <c r="AI224"/>
      <c r="AJ224"/>
    </row>
    <row r="225" spans="29:36" x14ac:dyDescent="0.25">
      <c r="AC225"/>
      <c r="AD225"/>
      <c r="AE225"/>
      <c r="AF225"/>
      <c r="AG225"/>
      <c r="AH225"/>
      <c r="AI225"/>
      <c r="AJ225"/>
    </row>
    <row r="226" spans="29:36" x14ac:dyDescent="0.25">
      <c r="AC226"/>
      <c r="AD226"/>
      <c r="AE226"/>
      <c r="AF226"/>
      <c r="AG226"/>
      <c r="AH226"/>
      <c r="AI226"/>
      <c r="AJ226"/>
    </row>
    <row r="227" spans="29:36" x14ac:dyDescent="0.25">
      <c r="AC227"/>
      <c r="AD227"/>
      <c r="AE227"/>
      <c r="AF227"/>
      <c r="AG227"/>
      <c r="AH227"/>
      <c r="AI227"/>
      <c r="AJ227"/>
    </row>
    <row r="228" spans="29:36" x14ac:dyDescent="0.25">
      <c r="AC228"/>
      <c r="AD228"/>
      <c r="AE228"/>
      <c r="AF228"/>
      <c r="AG228"/>
      <c r="AH228"/>
      <c r="AI228"/>
      <c r="AJ228"/>
    </row>
    <row r="229" spans="29:36" x14ac:dyDescent="0.25">
      <c r="AC229"/>
      <c r="AD229"/>
      <c r="AE229"/>
      <c r="AF229"/>
      <c r="AG229"/>
      <c r="AH229"/>
      <c r="AI229"/>
      <c r="AJ229"/>
    </row>
    <row r="230" spans="29:36" x14ac:dyDescent="0.25">
      <c r="AC230"/>
      <c r="AD230"/>
      <c r="AE230"/>
      <c r="AF230"/>
      <c r="AG230"/>
      <c r="AH230"/>
      <c r="AI230"/>
      <c r="AJ230"/>
    </row>
    <row r="231" spans="29:36" x14ac:dyDescent="0.25">
      <c r="AC231"/>
      <c r="AD231"/>
      <c r="AE231"/>
      <c r="AF231"/>
      <c r="AG231"/>
      <c r="AH231"/>
      <c r="AI231"/>
      <c r="AJ231"/>
    </row>
    <row r="232" spans="29:36" x14ac:dyDescent="0.25">
      <c r="AC232"/>
      <c r="AD232"/>
      <c r="AE232"/>
      <c r="AF232"/>
      <c r="AG232"/>
      <c r="AH232"/>
      <c r="AI232"/>
      <c r="AJ232"/>
    </row>
    <row r="233" spans="29:36" x14ac:dyDescent="0.25">
      <c r="AC233"/>
      <c r="AD233"/>
      <c r="AE233"/>
      <c r="AF233"/>
      <c r="AG233"/>
      <c r="AH233"/>
      <c r="AI233"/>
      <c r="AJ233"/>
    </row>
    <row r="234" spans="29:36" x14ac:dyDescent="0.25">
      <c r="AC234"/>
      <c r="AD234"/>
      <c r="AE234"/>
      <c r="AF234"/>
      <c r="AG234"/>
      <c r="AH234"/>
      <c r="AI234"/>
      <c r="AJ234"/>
    </row>
    <row r="235" spans="29:36" x14ac:dyDescent="0.25">
      <c r="AC235"/>
      <c r="AD235"/>
      <c r="AE235"/>
      <c r="AF235"/>
      <c r="AG235"/>
      <c r="AH235"/>
      <c r="AI235"/>
      <c r="AJ235"/>
    </row>
    <row r="236" spans="29:36" x14ac:dyDescent="0.25">
      <c r="AC236"/>
      <c r="AD236"/>
      <c r="AE236"/>
      <c r="AF236"/>
      <c r="AG236"/>
      <c r="AH236"/>
      <c r="AI236"/>
      <c r="AJ236"/>
    </row>
    <row r="237" spans="29:36" x14ac:dyDescent="0.25">
      <c r="AC237"/>
      <c r="AD237"/>
      <c r="AE237"/>
      <c r="AF237"/>
      <c r="AG237"/>
      <c r="AH237"/>
      <c r="AI237"/>
      <c r="AJ237"/>
    </row>
    <row r="238" spans="29:36" x14ac:dyDescent="0.25">
      <c r="AC238"/>
      <c r="AD238"/>
      <c r="AE238"/>
      <c r="AF238"/>
      <c r="AG238"/>
      <c r="AH238"/>
      <c r="AI238"/>
      <c r="AJ238"/>
    </row>
    <row r="239" spans="29:36" x14ac:dyDescent="0.25">
      <c r="AC239"/>
      <c r="AD239"/>
      <c r="AE239"/>
      <c r="AF239"/>
      <c r="AG239"/>
      <c r="AH239"/>
      <c r="AI239"/>
      <c r="AJ239"/>
    </row>
    <row r="240" spans="29:36" x14ac:dyDescent="0.25">
      <c r="AC240"/>
      <c r="AD240"/>
      <c r="AE240"/>
      <c r="AF240"/>
      <c r="AG240"/>
      <c r="AH240"/>
      <c r="AI240"/>
      <c r="AJ240"/>
    </row>
    <row r="241" spans="29:36" x14ac:dyDescent="0.25">
      <c r="AC241"/>
      <c r="AD241"/>
      <c r="AE241"/>
      <c r="AF241"/>
      <c r="AG241"/>
      <c r="AH241"/>
      <c r="AI241"/>
      <c r="AJ241"/>
    </row>
    <row r="242" spans="29:36" x14ac:dyDescent="0.25">
      <c r="AC242"/>
      <c r="AD242"/>
      <c r="AE242"/>
      <c r="AF242"/>
      <c r="AG242"/>
      <c r="AH242"/>
      <c r="AI242"/>
      <c r="AJ242"/>
    </row>
    <row r="243" spans="29:36" x14ac:dyDescent="0.25">
      <c r="AC243"/>
      <c r="AD243"/>
      <c r="AE243"/>
      <c r="AF243"/>
      <c r="AG243"/>
      <c r="AH243"/>
      <c r="AI243"/>
      <c r="AJ243"/>
    </row>
    <row r="244" spans="29:36" x14ac:dyDescent="0.25">
      <c r="AC244"/>
      <c r="AD244"/>
      <c r="AE244"/>
      <c r="AF244"/>
      <c r="AG244"/>
      <c r="AH244"/>
      <c r="AI244"/>
      <c r="AJ244"/>
    </row>
    <row r="245" spans="29:36" x14ac:dyDescent="0.25">
      <c r="AC245"/>
      <c r="AD245"/>
      <c r="AE245"/>
      <c r="AF245"/>
      <c r="AG245"/>
      <c r="AH245"/>
      <c r="AI245"/>
      <c r="AJ245"/>
    </row>
    <row r="246" spans="29:36" x14ac:dyDescent="0.25">
      <c r="AC246"/>
      <c r="AD246"/>
      <c r="AE246"/>
      <c r="AF246"/>
      <c r="AG246"/>
      <c r="AH246"/>
      <c r="AI246"/>
      <c r="AJ246"/>
    </row>
    <row r="247" spans="29:36" x14ac:dyDescent="0.25">
      <c r="AC247"/>
      <c r="AD247"/>
      <c r="AE247"/>
      <c r="AF247"/>
      <c r="AG247"/>
      <c r="AH247"/>
      <c r="AI247"/>
      <c r="AJ247"/>
    </row>
    <row r="248" spans="29:36" x14ac:dyDescent="0.25">
      <c r="AC248"/>
      <c r="AD248"/>
      <c r="AE248"/>
      <c r="AF248"/>
      <c r="AG248"/>
      <c r="AH248"/>
      <c r="AI248"/>
      <c r="AJ248"/>
    </row>
    <row r="249" spans="29:36" x14ac:dyDescent="0.25">
      <c r="AC249"/>
      <c r="AD249"/>
      <c r="AE249"/>
      <c r="AF249"/>
      <c r="AG249"/>
      <c r="AH249"/>
      <c r="AI249"/>
      <c r="AJ249"/>
    </row>
  </sheetData>
  <autoFilter ref="A3:Y3" xr:uid="{00000000-0009-0000-0000-000005000000}"/>
  <mergeCells count="2">
    <mergeCell ref="AC1:AF1"/>
    <mergeCell ref="AG1:AJ1"/>
  </mergeCells>
  <conditionalFormatting sqref="E1:E3">
    <cfRule type="duplicateValues" dxfId="42" priority="2"/>
  </conditionalFormatting>
  <conditionalFormatting sqref="F1:F3">
    <cfRule type="duplicateValues" dxfId="41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AW249"/>
  <sheetViews>
    <sheetView topLeftCell="D1" zoomScale="85" zoomScaleNormal="85" workbookViewId="0">
      <pane ySplit="3" topLeftCell="A66" activePane="bottomLeft" state="frozen"/>
      <selection activeCell="J1" sqref="J1"/>
      <selection pane="bottomLeft" activeCell="X4" sqref="X4:X83"/>
    </sheetView>
  </sheetViews>
  <sheetFormatPr defaultRowHeight="15" x14ac:dyDescent="0.25"/>
  <cols>
    <col min="2" max="2" width="28.28515625" hidden="1" customWidth="1"/>
    <col min="3" max="3" width="39.7109375" hidden="1" customWidth="1"/>
    <col min="4" max="4" width="46.7109375" customWidth="1"/>
    <col min="5" max="5" width="25.85546875" hidden="1" customWidth="1"/>
    <col min="6" max="6" width="31.140625" style="17" customWidth="1"/>
    <col min="7" max="7" width="18.7109375" style="17" hidden="1" customWidth="1"/>
    <col min="8" max="9" width="21.28515625" style="17" hidden="1" customWidth="1"/>
    <col min="10" max="10" width="9.28515625" style="17" customWidth="1"/>
    <col min="11" max="11" width="7.7109375" style="17" customWidth="1"/>
    <col min="12" max="12" width="5" style="17" customWidth="1"/>
    <col min="13" max="13" width="7" style="17" customWidth="1"/>
    <col min="14" max="14" width="5.7109375" style="17" customWidth="1"/>
    <col min="15" max="15" width="4.7109375" style="17" customWidth="1"/>
    <col min="16" max="16" width="5.42578125" style="17" customWidth="1"/>
    <col min="17" max="17" width="4.7109375" style="17" customWidth="1"/>
    <col min="18" max="18" width="9.7109375" style="189" customWidth="1"/>
    <col min="19" max="20" width="21.28515625" style="17" hidden="1" customWidth="1"/>
    <col min="21" max="21" width="12.28515625" style="17" hidden="1" customWidth="1"/>
    <col min="22" max="22" width="21.28515625" style="17" hidden="1" customWidth="1"/>
    <col min="23" max="23" width="15" style="17" customWidth="1"/>
    <col min="24" max="24" width="10" style="17" customWidth="1"/>
    <col min="25" max="25" width="10.28515625" style="17" hidden="1" customWidth="1"/>
    <col min="26" max="26" width="35.42578125" style="23" hidden="1" customWidth="1"/>
    <col min="27" max="27" width="11.7109375" hidden="1" customWidth="1"/>
    <col min="28" max="28" width="16.28515625" style="186" hidden="1" customWidth="1"/>
    <col min="29" max="29" width="14.7109375" style="71" hidden="1" customWidth="1"/>
    <col min="30" max="30" width="6.42578125" style="32" hidden="1" customWidth="1"/>
    <col min="31" max="31" width="6.7109375" style="32" hidden="1" customWidth="1"/>
    <col min="32" max="32" width="6.42578125" style="32" hidden="1" customWidth="1"/>
    <col min="33" max="33" width="6.28515625" style="32" hidden="1" customWidth="1"/>
    <col min="34" max="34" width="6.42578125" style="32" hidden="1" customWidth="1"/>
    <col min="35" max="35" width="6.7109375" style="32" hidden="1" customWidth="1"/>
    <col min="36" max="36" width="6.42578125" style="32" hidden="1" customWidth="1"/>
    <col min="37" max="37" width="6.28515625" style="32" hidden="1" customWidth="1"/>
    <col min="38" max="38" width="6.42578125" style="32" hidden="1" customWidth="1"/>
    <col min="39" max="39" width="6.7109375" style="32" hidden="1" customWidth="1"/>
    <col min="40" max="40" width="6.42578125" style="32" hidden="1" customWidth="1"/>
    <col min="41" max="41" width="6.28515625" style="32" hidden="1" customWidth="1"/>
    <col min="42" max="42" width="6.42578125" style="32" customWidth="1"/>
    <col min="43" max="43" width="6.7109375" style="32" customWidth="1"/>
    <col min="44" max="44" width="6.42578125" style="32" customWidth="1"/>
    <col min="45" max="45" width="6.28515625" style="32" customWidth="1"/>
    <col min="46" max="46" width="6.42578125" style="32" customWidth="1"/>
    <col min="47" max="47" width="6.7109375" style="32" customWidth="1"/>
    <col min="48" max="48" width="6.42578125" style="32" customWidth="1"/>
    <col min="49" max="49" width="6.28515625" style="32" customWidth="1"/>
  </cols>
  <sheetData>
    <row r="1" spans="1:49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33" t="s">
        <v>503</v>
      </c>
      <c r="O1" s="133" t="s">
        <v>504</v>
      </c>
      <c r="P1" s="133" t="s">
        <v>505</v>
      </c>
      <c r="Q1" s="133" t="s">
        <v>506</v>
      </c>
      <c r="R1" s="188" t="s">
        <v>13</v>
      </c>
      <c r="S1" s="1" t="s">
        <v>14</v>
      </c>
      <c r="T1" s="1" t="s">
        <v>15</v>
      </c>
      <c r="U1" s="2" t="s">
        <v>16</v>
      </c>
      <c r="V1" s="2" t="s">
        <v>17</v>
      </c>
      <c r="W1" s="3" t="s">
        <v>18</v>
      </c>
      <c r="X1" s="1" t="s">
        <v>19</v>
      </c>
      <c r="Y1" s="1" t="s">
        <v>20</v>
      </c>
      <c r="Z1" s="4" t="s">
        <v>21</v>
      </c>
      <c r="AA1" s="5" t="s">
        <v>22</v>
      </c>
      <c r="AB1" s="185" t="s">
        <v>23</v>
      </c>
      <c r="AC1" s="134" t="s">
        <v>24</v>
      </c>
      <c r="AD1" s="452" t="s">
        <v>160</v>
      </c>
      <c r="AE1" s="453"/>
      <c r="AF1" s="453"/>
      <c r="AG1" s="454"/>
      <c r="AH1" s="452" t="s">
        <v>258</v>
      </c>
      <c r="AI1" s="453"/>
      <c r="AJ1" s="453"/>
      <c r="AK1" s="454"/>
      <c r="AL1" s="452" t="s">
        <v>646</v>
      </c>
      <c r="AM1" s="453"/>
      <c r="AN1" s="453"/>
      <c r="AO1" s="454"/>
      <c r="AP1" s="452" t="s">
        <v>979</v>
      </c>
      <c r="AQ1" s="453"/>
      <c r="AR1" s="453"/>
      <c r="AS1" s="454"/>
      <c r="AT1" s="452" t="s">
        <v>1145</v>
      </c>
      <c r="AU1" s="453"/>
      <c r="AV1" s="453"/>
      <c r="AW1" s="454"/>
    </row>
    <row r="2" spans="1:49" x14ac:dyDescent="0.25">
      <c r="A2" s="1"/>
      <c r="B2" s="1"/>
      <c r="C2" s="1"/>
      <c r="D2" s="1"/>
      <c r="E2" s="2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88">
        <f>R28/J28</f>
        <v>83.49877149877149</v>
      </c>
      <c r="S2" s="1"/>
      <c r="T2" s="1"/>
      <c r="U2" s="2"/>
      <c r="V2" s="2"/>
      <c r="W2" s="3"/>
      <c r="X2" s="1"/>
      <c r="Y2" s="1"/>
      <c r="Z2" s="4"/>
      <c r="AA2" s="5"/>
      <c r="AB2" s="185"/>
      <c r="AC2" s="134"/>
      <c r="AD2" s="36">
        <v>0.3</v>
      </c>
      <c r="AE2" s="36">
        <v>0.35</v>
      </c>
      <c r="AF2" s="36">
        <v>0.2</v>
      </c>
      <c r="AG2" s="36">
        <v>0.15</v>
      </c>
      <c r="AH2" s="36">
        <v>0.3</v>
      </c>
      <c r="AI2" s="36">
        <v>0.35</v>
      </c>
      <c r="AJ2" s="36">
        <v>0.2</v>
      </c>
      <c r="AK2" s="36">
        <v>0.15</v>
      </c>
      <c r="AL2" s="36">
        <v>0.3</v>
      </c>
      <c r="AM2" s="36">
        <v>0.35</v>
      </c>
      <c r="AN2" s="36">
        <v>0.2</v>
      </c>
      <c r="AO2" s="36">
        <v>0.15</v>
      </c>
      <c r="AP2" s="36">
        <v>0.3</v>
      </c>
      <c r="AQ2" s="36">
        <v>0.35</v>
      </c>
      <c r="AR2" s="36">
        <v>0.2</v>
      </c>
      <c r="AS2" s="36">
        <v>0.15</v>
      </c>
      <c r="AT2" s="36">
        <v>0.3</v>
      </c>
      <c r="AU2" s="36">
        <v>0.35</v>
      </c>
      <c r="AV2" s="36">
        <v>0.2</v>
      </c>
      <c r="AW2" s="36">
        <v>0.15</v>
      </c>
    </row>
    <row r="3" spans="1:49" ht="15.75" thickBot="1" x14ac:dyDescent="0.3">
      <c r="A3" s="1"/>
      <c r="B3" s="1"/>
      <c r="C3" s="1"/>
      <c r="D3" s="1"/>
      <c r="E3" s="2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88"/>
      <c r="S3" s="1"/>
      <c r="T3" s="1"/>
      <c r="U3" s="2"/>
      <c r="V3" s="2"/>
      <c r="W3" s="3"/>
      <c r="X3" s="1"/>
      <c r="Y3" s="1"/>
      <c r="Z3" s="4"/>
      <c r="AA3" s="5"/>
      <c r="AB3" s="185"/>
      <c r="AC3" s="134"/>
      <c r="AD3" s="91">
        <f>SUM(AD4:AD83)</f>
        <v>18.601859999999995</v>
      </c>
      <c r="AE3" s="91">
        <f t="shared" ref="AE3:AK3" si="0">SUM(AE4:AE83)</f>
        <v>0</v>
      </c>
      <c r="AF3" s="91">
        <f t="shared" si="0"/>
        <v>0</v>
      </c>
      <c r="AG3" s="91">
        <f>SUM(AG4:AG83)</f>
        <v>0</v>
      </c>
      <c r="AH3" s="91">
        <f t="shared" si="0"/>
        <v>6.2254139999999998</v>
      </c>
      <c r="AI3" s="91">
        <f t="shared" si="0"/>
        <v>23.826599999999999</v>
      </c>
      <c r="AJ3" s="91">
        <f t="shared" si="0"/>
        <v>0</v>
      </c>
      <c r="AK3" s="91">
        <f t="shared" si="0"/>
        <v>0</v>
      </c>
      <c r="AL3" s="91">
        <f t="shared" ref="AL3:AO3" si="1">SUM(AL4:AL83)</f>
        <v>0</v>
      </c>
      <c r="AM3" s="91">
        <f>SUM(AM4:AM83)</f>
        <v>0</v>
      </c>
      <c r="AN3" s="91">
        <f t="shared" si="1"/>
        <v>13.615199999999998</v>
      </c>
      <c r="AO3" s="91">
        <f t="shared" si="1"/>
        <v>2.0549999999999997</v>
      </c>
      <c r="AP3" s="91">
        <f t="shared" ref="AP3" si="2">SUM(AP4:AP83)</f>
        <v>0</v>
      </c>
      <c r="AQ3" s="91">
        <f>SUM(AQ4:AQ83)</f>
        <v>0</v>
      </c>
      <c r="AR3" s="91">
        <f t="shared" ref="AR3:AT3" si="3">SUM(AR4:AR83)</f>
        <v>0</v>
      </c>
      <c r="AS3" s="91">
        <f t="shared" si="3"/>
        <v>0</v>
      </c>
      <c r="AT3" s="91">
        <f t="shared" si="3"/>
        <v>0</v>
      </c>
      <c r="AU3" s="91">
        <f>SUM(AU4:AU83)</f>
        <v>0</v>
      </c>
      <c r="AV3" s="91">
        <f t="shared" ref="AV3:AW3" si="4">SUM(AV4:AV83)</f>
        <v>0</v>
      </c>
      <c r="AW3" s="91">
        <f t="shared" si="4"/>
        <v>0</v>
      </c>
    </row>
    <row r="4" spans="1:49" ht="30.75" thickBot="1" x14ac:dyDescent="0.3">
      <c r="A4" s="28">
        <v>507</v>
      </c>
      <c r="B4" s="28" t="s">
        <v>28</v>
      </c>
      <c r="C4" s="28" t="s">
        <v>561</v>
      </c>
      <c r="D4" s="147" t="s">
        <v>562</v>
      </c>
      <c r="E4" s="24"/>
      <c r="F4" s="28" t="s">
        <v>126</v>
      </c>
      <c r="G4" s="28"/>
      <c r="H4" s="148" t="s">
        <v>31</v>
      </c>
      <c r="I4" s="28"/>
      <c r="J4" s="25">
        <v>2.38</v>
      </c>
      <c r="K4" s="25">
        <f>8.2/3</f>
        <v>2.7333333333333329</v>
      </c>
      <c r="L4" s="25">
        <v>1</v>
      </c>
      <c r="M4" s="28" t="s">
        <v>33</v>
      </c>
      <c r="N4" s="28">
        <f>R4*0.3</f>
        <v>25.703999999999997</v>
      </c>
      <c r="O4" s="28">
        <f>R4*0.35</f>
        <v>29.987999999999996</v>
      </c>
      <c r="P4" s="28">
        <f>R4*0.2</f>
        <v>17.135999999999999</v>
      </c>
      <c r="Q4" s="28">
        <f>R4*0.15</f>
        <v>12.851999999999999</v>
      </c>
      <c r="R4" s="38">
        <v>85.679999999999993</v>
      </c>
      <c r="S4" s="150">
        <v>105991.94</v>
      </c>
      <c r="T4" s="25">
        <f>K4*S4</f>
        <v>289711.30266666663</v>
      </c>
      <c r="U4" s="28"/>
      <c r="V4" s="28"/>
      <c r="W4" s="28" t="s">
        <v>563</v>
      </c>
      <c r="X4" s="25">
        <v>678030</v>
      </c>
      <c r="Y4" s="9" t="s">
        <v>564</v>
      </c>
      <c r="Z4" s="15" t="s">
        <v>126</v>
      </c>
      <c r="AA4" s="178">
        <v>1</v>
      </c>
      <c r="AB4" s="187">
        <v>2901</v>
      </c>
      <c r="AC4" s="6"/>
      <c r="AD4" s="46">
        <f>K4*0.3</f>
        <v>0.81999999999999984</v>
      </c>
      <c r="AE4" s="199"/>
      <c r="AF4" s="199"/>
      <c r="AG4" s="200"/>
      <c r="AH4" s="201"/>
      <c r="AI4" s="304">
        <f>K4*0.35</f>
        <v>0.95666666666666644</v>
      </c>
      <c r="AJ4" s="199"/>
      <c r="AK4" s="200"/>
      <c r="AL4" s="201"/>
      <c r="AM4" s="199"/>
      <c r="AN4" s="304">
        <f>K4*0.2</f>
        <v>0.54666666666666663</v>
      </c>
      <c r="AO4" s="357">
        <f>K4*0.15</f>
        <v>0.40999999999999992</v>
      </c>
      <c r="AP4" s="201"/>
      <c r="AQ4" s="408"/>
      <c r="AR4" s="199"/>
      <c r="AS4" s="200"/>
      <c r="AT4" s="83"/>
      <c r="AU4" s="34"/>
      <c r="AV4" s="34"/>
      <c r="AW4" s="85"/>
    </row>
    <row r="5" spans="1:49" ht="30.75" thickBot="1" x14ac:dyDescent="0.3">
      <c r="A5" s="28">
        <v>508</v>
      </c>
      <c r="B5" s="28" t="s">
        <v>28</v>
      </c>
      <c r="C5" s="28" t="s">
        <v>561</v>
      </c>
      <c r="D5" s="147" t="s">
        <v>562</v>
      </c>
      <c r="E5" s="24"/>
      <c r="F5" s="28" t="s">
        <v>126</v>
      </c>
      <c r="G5" s="28"/>
      <c r="H5" s="148" t="s">
        <v>31</v>
      </c>
      <c r="I5" s="28"/>
      <c r="J5" s="25">
        <v>2.38</v>
      </c>
      <c r="K5" s="25">
        <f t="shared" ref="K5:K6" si="5">8.2/3</f>
        <v>2.7333333333333329</v>
      </c>
      <c r="L5" s="25">
        <v>1</v>
      </c>
      <c r="M5" s="28" t="s">
        <v>33</v>
      </c>
      <c r="N5" s="28">
        <f t="shared" ref="N5:N68" si="6">R5*0.3</f>
        <v>25.703999999999997</v>
      </c>
      <c r="O5" s="28">
        <f t="shared" ref="O5:O68" si="7">R5*0.35</f>
        <v>29.987999999999996</v>
      </c>
      <c r="P5" s="28">
        <f t="shared" ref="P5:P68" si="8">R5*0.2</f>
        <v>17.135999999999999</v>
      </c>
      <c r="Q5" s="28">
        <f t="shared" ref="Q5:Q68" si="9">R5*0.15</f>
        <v>12.851999999999999</v>
      </c>
      <c r="R5" s="38">
        <v>85.679999999999993</v>
      </c>
      <c r="S5" s="150">
        <v>105991.94</v>
      </c>
      <c r="T5" s="25">
        <f t="shared" ref="T5:T68" si="10">K5*S5</f>
        <v>289711.30266666663</v>
      </c>
      <c r="U5" s="28"/>
      <c r="V5" s="28"/>
      <c r="W5" s="28" t="s">
        <v>563</v>
      </c>
      <c r="X5" s="25">
        <v>678030</v>
      </c>
      <c r="Y5" s="9" t="s">
        <v>564</v>
      </c>
      <c r="Z5" s="15" t="s">
        <v>126</v>
      </c>
      <c r="AA5" s="178">
        <v>2</v>
      </c>
      <c r="AB5" s="187">
        <v>2901</v>
      </c>
      <c r="AC5" s="6"/>
      <c r="AD5" s="46">
        <f t="shared" ref="AD5:AD12" si="11">K5*0.3</f>
        <v>0.81999999999999984</v>
      </c>
      <c r="AE5" s="48"/>
      <c r="AF5" s="48"/>
      <c r="AG5" s="49"/>
      <c r="AH5" s="51"/>
      <c r="AI5" s="304">
        <f t="shared" ref="AI5:AI11" si="12">K5*0.35</f>
        <v>0.95666666666666644</v>
      </c>
      <c r="AJ5" s="48"/>
      <c r="AK5" s="49"/>
      <c r="AL5" s="51"/>
      <c r="AM5" s="199"/>
      <c r="AN5" s="304">
        <f>K5*0.2</f>
        <v>0.54666666666666663</v>
      </c>
      <c r="AO5" s="357">
        <f t="shared" ref="AO5:AO8" si="13">K5*0.15</f>
        <v>0.40999999999999992</v>
      </c>
      <c r="AP5" s="51"/>
      <c r="AQ5" s="90"/>
      <c r="AR5" s="48"/>
      <c r="AS5" s="49"/>
      <c r="AT5" s="58"/>
      <c r="AU5" s="34"/>
      <c r="AV5" s="42"/>
      <c r="AW5" s="59"/>
    </row>
    <row r="6" spans="1:49" ht="30.75" thickBot="1" x14ac:dyDescent="0.3">
      <c r="A6" s="28">
        <v>509</v>
      </c>
      <c r="B6" s="28" t="s">
        <v>28</v>
      </c>
      <c r="C6" s="28" t="s">
        <v>561</v>
      </c>
      <c r="D6" s="147" t="s">
        <v>562</v>
      </c>
      <c r="E6" s="24"/>
      <c r="F6" s="28" t="s">
        <v>126</v>
      </c>
      <c r="G6" s="28"/>
      <c r="H6" s="148" t="s">
        <v>31</v>
      </c>
      <c r="I6" s="28"/>
      <c r="J6" s="25">
        <v>2.38</v>
      </c>
      <c r="K6" s="25">
        <f t="shared" si="5"/>
        <v>2.7333333333333329</v>
      </c>
      <c r="L6" s="25">
        <v>1</v>
      </c>
      <c r="M6" s="28" t="s">
        <v>33</v>
      </c>
      <c r="N6" s="28">
        <f t="shared" si="6"/>
        <v>25.703999999999997</v>
      </c>
      <c r="O6" s="28">
        <f t="shared" si="7"/>
        <v>29.987999999999996</v>
      </c>
      <c r="P6" s="28">
        <f t="shared" si="8"/>
        <v>17.135999999999999</v>
      </c>
      <c r="Q6" s="28">
        <f t="shared" si="9"/>
        <v>12.851999999999999</v>
      </c>
      <c r="R6" s="38">
        <v>85.679999999999993</v>
      </c>
      <c r="S6" s="150">
        <v>105991.94</v>
      </c>
      <c r="T6" s="25">
        <f t="shared" si="10"/>
        <v>289711.30266666663</v>
      </c>
      <c r="U6" s="28"/>
      <c r="V6" s="28"/>
      <c r="W6" s="28" t="s">
        <v>563</v>
      </c>
      <c r="X6" s="25">
        <v>678030</v>
      </c>
      <c r="Y6" s="9" t="s">
        <v>564</v>
      </c>
      <c r="Z6" s="15" t="s">
        <v>126</v>
      </c>
      <c r="AA6" s="178">
        <v>3</v>
      </c>
      <c r="AB6" s="187">
        <v>2901</v>
      </c>
      <c r="AC6" s="6"/>
      <c r="AD6" s="46">
        <f t="shared" si="11"/>
        <v>0.81999999999999984</v>
      </c>
      <c r="AE6" s="48"/>
      <c r="AF6" s="48"/>
      <c r="AG6" s="49"/>
      <c r="AH6" s="51"/>
      <c r="AI6" s="304">
        <f t="shared" si="12"/>
        <v>0.95666666666666644</v>
      </c>
      <c r="AJ6" s="48"/>
      <c r="AK6" s="49"/>
      <c r="AL6" s="51"/>
      <c r="AM6" s="199"/>
      <c r="AN6" s="304">
        <f t="shared" ref="AN6:AN34" si="14">K6*0.2</f>
        <v>0.54666666666666663</v>
      </c>
      <c r="AO6" s="357">
        <f t="shared" si="13"/>
        <v>0.40999999999999992</v>
      </c>
      <c r="AP6" s="51"/>
      <c r="AQ6" s="90"/>
      <c r="AR6" s="48"/>
      <c r="AS6" s="49"/>
      <c r="AT6" s="58"/>
      <c r="AU6" s="34"/>
      <c r="AV6" s="42"/>
      <c r="AW6" s="59"/>
    </row>
    <row r="7" spans="1:49" ht="30.75" thickBot="1" x14ac:dyDescent="0.3">
      <c r="A7" s="28">
        <v>510</v>
      </c>
      <c r="B7" s="28" t="s">
        <v>28</v>
      </c>
      <c r="C7" s="28" t="s">
        <v>561</v>
      </c>
      <c r="D7" s="147" t="s">
        <v>562</v>
      </c>
      <c r="E7" s="24"/>
      <c r="F7" s="28" t="s">
        <v>126</v>
      </c>
      <c r="G7" s="28"/>
      <c r="H7" s="148" t="s">
        <v>31</v>
      </c>
      <c r="I7" s="28"/>
      <c r="J7" s="25">
        <v>2.38</v>
      </c>
      <c r="K7" s="25">
        <f>5.5/2</f>
        <v>2.75</v>
      </c>
      <c r="L7" s="25">
        <v>1</v>
      </c>
      <c r="M7" s="28" t="s">
        <v>33</v>
      </c>
      <c r="N7" s="28">
        <f t="shared" si="6"/>
        <v>25.703999999999997</v>
      </c>
      <c r="O7" s="28">
        <f t="shared" si="7"/>
        <v>29.987999999999996</v>
      </c>
      <c r="P7" s="28">
        <f t="shared" si="8"/>
        <v>17.135999999999999</v>
      </c>
      <c r="Q7" s="28">
        <f t="shared" si="9"/>
        <v>12.851999999999999</v>
      </c>
      <c r="R7" s="38">
        <v>85.679999999999993</v>
      </c>
      <c r="S7" s="150">
        <v>105991.94</v>
      </c>
      <c r="T7" s="25">
        <f t="shared" si="10"/>
        <v>291477.83500000002</v>
      </c>
      <c r="U7" s="28"/>
      <c r="V7" s="28"/>
      <c r="W7" s="28" t="s">
        <v>563</v>
      </c>
      <c r="X7" s="25">
        <v>678031</v>
      </c>
      <c r="Y7" s="9" t="s">
        <v>564</v>
      </c>
      <c r="Z7" s="15" t="s">
        <v>126</v>
      </c>
      <c r="AA7" s="178">
        <v>1</v>
      </c>
      <c r="AB7" s="187">
        <v>2901</v>
      </c>
      <c r="AC7" s="6"/>
      <c r="AD7" s="46">
        <f t="shared" si="11"/>
        <v>0.82499999999999996</v>
      </c>
      <c r="AE7" s="48"/>
      <c r="AF7" s="48"/>
      <c r="AG7" s="49"/>
      <c r="AH7" s="51"/>
      <c r="AI7" s="304">
        <f t="shared" si="12"/>
        <v>0.96249999999999991</v>
      </c>
      <c r="AJ7" s="48"/>
      <c r="AK7" s="49"/>
      <c r="AL7" s="51"/>
      <c r="AM7" s="199"/>
      <c r="AN7" s="304">
        <f t="shared" si="14"/>
        <v>0.55000000000000004</v>
      </c>
      <c r="AO7" s="357">
        <f t="shared" si="13"/>
        <v>0.41249999999999998</v>
      </c>
      <c r="AP7" s="51"/>
      <c r="AQ7" s="90"/>
      <c r="AR7" s="48"/>
      <c r="AS7" s="49"/>
      <c r="AT7" s="58"/>
      <c r="AU7" s="34"/>
      <c r="AV7" s="42"/>
      <c r="AW7" s="59"/>
    </row>
    <row r="8" spans="1:49" ht="30.75" thickBot="1" x14ac:dyDescent="0.3">
      <c r="A8" s="28">
        <v>511</v>
      </c>
      <c r="B8" s="28" t="s">
        <v>28</v>
      </c>
      <c r="C8" s="28" t="s">
        <v>561</v>
      </c>
      <c r="D8" s="147" t="s">
        <v>562</v>
      </c>
      <c r="E8" s="24"/>
      <c r="F8" s="28" t="s">
        <v>126</v>
      </c>
      <c r="G8" s="28"/>
      <c r="H8" s="148" t="s">
        <v>31</v>
      </c>
      <c r="I8" s="28"/>
      <c r="J8" s="25">
        <v>2.38</v>
      </c>
      <c r="K8" s="25">
        <f>5.5/2</f>
        <v>2.75</v>
      </c>
      <c r="L8" s="25">
        <v>1</v>
      </c>
      <c r="M8" s="28" t="s">
        <v>33</v>
      </c>
      <c r="N8" s="28">
        <f t="shared" si="6"/>
        <v>25.703999999999997</v>
      </c>
      <c r="O8" s="28">
        <f t="shared" si="7"/>
        <v>29.987999999999996</v>
      </c>
      <c r="P8" s="28">
        <f t="shared" si="8"/>
        <v>17.135999999999999</v>
      </c>
      <c r="Q8" s="28">
        <f t="shared" si="9"/>
        <v>12.851999999999999</v>
      </c>
      <c r="R8" s="38">
        <v>85.679999999999993</v>
      </c>
      <c r="S8" s="150">
        <v>105991.94</v>
      </c>
      <c r="T8" s="25">
        <f t="shared" si="10"/>
        <v>291477.83500000002</v>
      </c>
      <c r="U8" s="28"/>
      <c r="V8" s="28"/>
      <c r="W8" s="28" t="s">
        <v>563</v>
      </c>
      <c r="X8" s="25">
        <v>678031</v>
      </c>
      <c r="Y8" s="9" t="s">
        <v>564</v>
      </c>
      <c r="Z8" s="15" t="s">
        <v>126</v>
      </c>
      <c r="AA8" s="178">
        <v>2</v>
      </c>
      <c r="AB8" s="187">
        <v>2901</v>
      </c>
      <c r="AC8" s="6"/>
      <c r="AD8" s="46">
        <f t="shared" si="11"/>
        <v>0.82499999999999996</v>
      </c>
      <c r="AE8" s="48"/>
      <c r="AF8" s="48"/>
      <c r="AG8" s="49"/>
      <c r="AH8" s="51"/>
      <c r="AI8" s="304">
        <f t="shared" si="12"/>
        <v>0.96249999999999991</v>
      </c>
      <c r="AJ8" s="48"/>
      <c r="AK8" s="49"/>
      <c r="AL8" s="51"/>
      <c r="AM8" s="199"/>
      <c r="AN8" s="304">
        <f t="shared" si="14"/>
        <v>0.55000000000000004</v>
      </c>
      <c r="AO8" s="357">
        <f t="shared" si="13"/>
        <v>0.41249999999999998</v>
      </c>
      <c r="AP8" s="51"/>
      <c r="AQ8" s="90"/>
      <c r="AR8" s="48"/>
      <c r="AS8" s="49"/>
      <c r="AT8" s="58"/>
      <c r="AU8" s="34"/>
      <c r="AV8" s="42"/>
      <c r="AW8" s="59"/>
    </row>
    <row r="9" spans="1:49" ht="30.75" thickBot="1" x14ac:dyDescent="0.3">
      <c r="A9" s="28">
        <v>512</v>
      </c>
      <c r="B9" s="28" t="s">
        <v>28</v>
      </c>
      <c r="C9" s="28" t="s">
        <v>561</v>
      </c>
      <c r="D9" s="147" t="s">
        <v>562</v>
      </c>
      <c r="E9" s="24"/>
      <c r="F9" s="28" t="s">
        <v>126</v>
      </c>
      <c r="G9" s="28"/>
      <c r="H9" s="148" t="s">
        <v>31</v>
      </c>
      <c r="I9" s="28"/>
      <c r="J9" s="25">
        <v>2.8490000000000002</v>
      </c>
      <c r="K9" s="25">
        <f>7.8-K10-K11-K12</f>
        <v>6.6079999999999997</v>
      </c>
      <c r="L9" s="25">
        <v>1</v>
      </c>
      <c r="M9" s="28" t="s">
        <v>33</v>
      </c>
      <c r="N9" s="28">
        <f t="shared" si="6"/>
        <v>71.366399999999985</v>
      </c>
      <c r="O9" s="28">
        <f t="shared" si="7"/>
        <v>83.260799999999989</v>
      </c>
      <c r="P9" s="28">
        <f t="shared" si="8"/>
        <v>47.577599999999997</v>
      </c>
      <c r="Q9" s="28">
        <f t="shared" si="9"/>
        <v>35.683199999999992</v>
      </c>
      <c r="R9" s="38">
        <f>K9*36</f>
        <v>237.88799999999998</v>
      </c>
      <c r="S9" s="150">
        <v>105991.94</v>
      </c>
      <c r="T9" s="25">
        <f t="shared" si="10"/>
        <v>700394.73951999994</v>
      </c>
      <c r="U9" s="28"/>
      <c r="V9" s="28"/>
      <c r="W9" s="28" t="s">
        <v>565</v>
      </c>
      <c r="X9" s="25">
        <v>678032</v>
      </c>
      <c r="Y9" s="9" t="s">
        <v>564</v>
      </c>
      <c r="Z9" s="15" t="s">
        <v>126</v>
      </c>
      <c r="AA9" s="178">
        <v>1</v>
      </c>
      <c r="AB9" s="187">
        <v>2901</v>
      </c>
      <c r="AC9" s="6"/>
      <c r="AD9" s="46">
        <f t="shared" si="11"/>
        <v>1.9823999999999997</v>
      </c>
      <c r="AE9" s="48"/>
      <c r="AF9" s="48"/>
      <c r="AG9" s="49"/>
      <c r="AH9" s="51"/>
      <c r="AI9" s="304">
        <f t="shared" si="12"/>
        <v>2.3127999999999997</v>
      </c>
      <c r="AJ9" s="48"/>
      <c r="AK9" s="49"/>
      <c r="AL9" s="51"/>
      <c r="AM9" s="199"/>
      <c r="AN9" s="304">
        <f t="shared" si="14"/>
        <v>1.3216000000000001</v>
      </c>
      <c r="AO9" s="49"/>
      <c r="AP9" s="51"/>
      <c r="AQ9" s="90"/>
      <c r="AR9" s="48"/>
      <c r="AS9" s="262"/>
      <c r="AT9" s="58"/>
      <c r="AU9" s="34"/>
      <c r="AV9" s="42"/>
      <c r="AW9" s="59"/>
    </row>
    <row r="10" spans="1:49" ht="30.75" thickBot="1" x14ac:dyDescent="0.3">
      <c r="A10" s="28">
        <v>513</v>
      </c>
      <c r="B10" s="28" t="s">
        <v>28</v>
      </c>
      <c r="C10" s="28" t="s">
        <v>561</v>
      </c>
      <c r="D10" s="147" t="s">
        <v>562</v>
      </c>
      <c r="E10" s="24"/>
      <c r="F10" s="28" t="s">
        <v>60</v>
      </c>
      <c r="G10" s="28"/>
      <c r="H10" s="148" t="s">
        <v>31</v>
      </c>
      <c r="I10" s="28"/>
      <c r="J10" s="25">
        <v>0.28999999999999998</v>
      </c>
      <c r="K10" s="25">
        <v>0.28999999999999998</v>
      </c>
      <c r="L10" s="25">
        <v>1</v>
      </c>
      <c r="M10" s="28" t="s">
        <v>33</v>
      </c>
      <c r="N10" s="28">
        <f t="shared" si="6"/>
        <v>4.5239999999999991</v>
      </c>
      <c r="O10" s="28">
        <f t="shared" si="7"/>
        <v>5.2779999999999987</v>
      </c>
      <c r="P10" s="28">
        <f t="shared" si="8"/>
        <v>3.016</v>
      </c>
      <c r="Q10" s="28">
        <f t="shared" si="9"/>
        <v>2.2619999999999996</v>
      </c>
      <c r="R10" s="38">
        <v>15.079999999999998</v>
      </c>
      <c r="S10" s="150">
        <v>105991.94</v>
      </c>
      <c r="T10" s="25">
        <f t="shared" si="10"/>
        <v>30737.6626</v>
      </c>
      <c r="U10" s="28"/>
      <c r="V10" s="28"/>
      <c r="W10" s="28" t="s">
        <v>566</v>
      </c>
      <c r="X10" s="25">
        <v>678032</v>
      </c>
      <c r="Y10" s="9" t="s">
        <v>564</v>
      </c>
      <c r="Z10" s="15" t="s">
        <v>60</v>
      </c>
      <c r="AA10" s="178">
        <v>2</v>
      </c>
      <c r="AB10" s="187">
        <v>2901</v>
      </c>
      <c r="AC10" s="6"/>
      <c r="AD10" s="46">
        <f t="shared" si="11"/>
        <v>8.6999999999999994E-2</v>
      </c>
      <c r="AE10" s="48"/>
      <c r="AF10" s="48"/>
      <c r="AG10" s="49"/>
      <c r="AH10" s="51"/>
      <c r="AI10" s="304">
        <f t="shared" si="12"/>
        <v>0.10149999999999999</v>
      </c>
      <c r="AJ10" s="48"/>
      <c r="AK10" s="49"/>
      <c r="AL10" s="51"/>
      <c r="AM10" s="199"/>
      <c r="AN10" s="304">
        <f t="shared" si="14"/>
        <v>5.7999999999999996E-2</v>
      </c>
      <c r="AO10" s="49"/>
      <c r="AP10" s="51"/>
      <c r="AQ10" s="90"/>
      <c r="AR10" s="48"/>
      <c r="AS10" s="262"/>
      <c r="AT10" s="58"/>
      <c r="AU10" s="34"/>
      <c r="AV10" s="42"/>
      <c r="AW10" s="59"/>
    </row>
    <row r="11" spans="1:49" ht="30" x14ac:dyDescent="0.25">
      <c r="A11" s="28">
        <v>514</v>
      </c>
      <c r="B11" s="28" t="s">
        <v>28</v>
      </c>
      <c r="C11" s="28" t="s">
        <v>561</v>
      </c>
      <c r="D11" s="147" t="s">
        <v>562</v>
      </c>
      <c r="E11" s="24"/>
      <c r="F11" s="28" t="s">
        <v>60</v>
      </c>
      <c r="G11" s="28"/>
      <c r="H11" s="148" t="s">
        <v>31</v>
      </c>
      <c r="I11" s="28"/>
      <c r="J11" s="25">
        <v>0.28999999999999998</v>
      </c>
      <c r="K11" s="25">
        <v>0.86999999999999988</v>
      </c>
      <c r="L11" s="25">
        <v>3</v>
      </c>
      <c r="M11" s="28" t="s">
        <v>33</v>
      </c>
      <c r="N11" s="28">
        <f t="shared" si="6"/>
        <v>13.571999999999997</v>
      </c>
      <c r="O11" s="28">
        <f t="shared" si="7"/>
        <v>15.833999999999998</v>
      </c>
      <c r="P11" s="28">
        <f t="shared" si="8"/>
        <v>9.048</v>
      </c>
      <c r="Q11" s="28">
        <f t="shared" si="9"/>
        <v>6.7859999999999987</v>
      </c>
      <c r="R11" s="38">
        <v>45.239999999999995</v>
      </c>
      <c r="S11" s="150">
        <v>105991.94</v>
      </c>
      <c r="T11" s="25">
        <f t="shared" si="10"/>
        <v>92212.987799999988</v>
      </c>
      <c r="U11" s="28"/>
      <c r="V11" s="28"/>
      <c r="W11" s="28" t="s">
        <v>567</v>
      </c>
      <c r="X11" s="25">
        <v>678032</v>
      </c>
      <c r="Y11" s="9" t="s">
        <v>564</v>
      </c>
      <c r="Z11" s="15" t="s">
        <v>60</v>
      </c>
      <c r="AA11" s="178">
        <v>3</v>
      </c>
      <c r="AB11" s="187">
        <v>2901</v>
      </c>
      <c r="AC11" s="6"/>
      <c r="AD11" s="46">
        <f t="shared" si="11"/>
        <v>0.26099999999999995</v>
      </c>
      <c r="AE11" s="48"/>
      <c r="AF11" s="48"/>
      <c r="AG11" s="49"/>
      <c r="AH11" s="51"/>
      <c r="AI11" s="304">
        <f t="shared" si="12"/>
        <v>0.30449999999999994</v>
      </c>
      <c r="AJ11" s="48"/>
      <c r="AK11" s="49"/>
      <c r="AL11" s="51"/>
      <c r="AM11" s="199"/>
      <c r="AN11" s="304">
        <f t="shared" si="14"/>
        <v>0.17399999999999999</v>
      </c>
      <c r="AO11" s="49"/>
      <c r="AP11" s="51"/>
      <c r="AQ11" s="90"/>
      <c r="AR11" s="48"/>
      <c r="AS11" s="262"/>
      <c r="AT11" s="58"/>
      <c r="AU11" s="34"/>
      <c r="AV11" s="42"/>
      <c r="AW11" s="59"/>
    </row>
    <row r="12" spans="1:49" ht="30.75" thickBot="1" x14ac:dyDescent="0.3">
      <c r="A12" s="28">
        <v>515</v>
      </c>
      <c r="B12" s="28" t="s">
        <v>28</v>
      </c>
      <c r="C12" s="28" t="s">
        <v>561</v>
      </c>
      <c r="D12" s="147" t="s">
        <v>562</v>
      </c>
      <c r="E12" s="24"/>
      <c r="F12" s="28" t="s">
        <v>63</v>
      </c>
      <c r="G12" s="28"/>
      <c r="H12" s="148" t="s">
        <v>31</v>
      </c>
      <c r="I12" s="28"/>
      <c r="J12" s="25">
        <v>3.2000000000000001E-2</v>
      </c>
      <c r="K12" s="25">
        <v>3.2000000000000001E-2</v>
      </c>
      <c r="L12" s="25">
        <v>1</v>
      </c>
      <c r="M12" s="28" t="s">
        <v>33</v>
      </c>
      <c r="N12" s="28">
        <f t="shared" si="6"/>
        <v>0.68160000000000009</v>
      </c>
      <c r="O12" s="28">
        <f t="shared" si="7"/>
        <v>0.79520000000000002</v>
      </c>
      <c r="P12" s="28">
        <f t="shared" si="8"/>
        <v>0.45440000000000008</v>
      </c>
      <c r="Q12" s="28">
        <f t="shared" si="9"/>
        <v>0.34080000000000005</v>
      </c>
      <c r="R12" s="38">
        <v>2.2720000000000002</v>
      </c>
      <c r="S12" s="150">
        <v>105991.94</v>
      </c>
      <c r="T12" s="25">
        <f t="shared" si="10"/>
        <v>3391.74208</v>
      </c>
      <c r="U12" s="28"/>
      <c r="V12" s="28"/>
      <c r="W12" s="28" t="s">
        <v>568</v>
      </c>
      <c r="X12" s="25">
        <v>678032</v>
      </c>
      <c r="Y12" s="9" t="s">
        <v>564</v>
      </c>
      <c r="Z12" s="15" t="s">
        <v>63</v>
      </c>
      <c r="AA12" s="178">
        <v>4</v>
      </c>
      <c r="AB12" s="187">
        <v>2901</v>
      </c>
      <c r="AC12" s="6"/>
      <c r="AD12" s="46">
        <f t="shared" si="11"/>
        <v>9.5999999999999992E-3</v>
      </c>
      <c r="AE12" s="48"/>
      <c r="AF12" s="48"/>
      <c r="AG12" s="49"/>
      <c r="AH12" s="51"/>
      <c r="AI12" s="48"/>
      <c r="AJ12" s="48"/>
      <c r="AK12" s="49"/>
      <c r="AL12" s="51"/>
      <c r="AM12" s="48"/>
      <c r="AN12" s="48"/>
      <c r="AO12" s="49"/>
      <c r="AP12" s="51"/>
      <c r="AQ12" s="42"/>
      <c r="AR12" s="42"/>
      <c r="AS12" s="59"/>
      <c r="AT12" s="58"/>
      <c r="AU12" s="42"/>
      <c r="AV12" s="42"/>
      <c r="AW12" s="59"/>
    </row>
    <row r="13" spans="1:49" ht="30.75" thickBot="1" x14ac:dyDescent="0.3">
      <c r="A13" s="28">
        <v>516</v>
      </c>
      <c r="B13" s="28" t="s">
        <v>28</v>
      </c>
      <c r="C13" s="28" t="s">
        <v>561</v>
      </c>
      <c r="D13" s="147" t="s">
        <v>562</v>
      </c>
      <c r="E13" s="24"/>
      <c r="F13" s="28" t="s">
        <v>126</v>
      </c>
      <c r="G13" s="28"/>
      <c r="H13" s="148" t="s">
        <v>31</v>
      </c>
      <c r="I13" s="28"/>
      <c r="J13" s="25">
        <v>2.8490000000000002</v>
      </c>
      <c r="K13" s="25">
        <f>7.8-K14-K15</f>
        <v>6.8979999999999997</v>
      </c>
      <c r="L13" s="25">
        <v>1</v>
      </c>
      <c r="M13" s="28" t="s">
        <v>33</v>
      </c>
      <c r="N13" s="28">
        <f t="shared" si="6"/>
        <v>74.49839999999999</v>
      </c>
      <c r="O13" s="28">
        <f t="shared" si="7"/>
        <v>86.914799999999985</v>
      </c>
      <c r="P13" s="28">
        <f t="shared" si="8"/>
        <v>49.665599999999998</v>
      </c>
      <c r="Q13" s="28">
        <f t="shared" si="9"/>
        <v>37.249199999999995</v>
      </c>
      <c r="R13" s="38">
        <f>K13*36</f>
        <v>248.32799999999997</v>
      </c>
      <c r="S13" s="150">
        <v>105991.94</v>
      </c>
      <c r="T13" s="25">
        <f t="shared" si="10"/>
        <v>731132.40211999998</v>
      </c>
      <c r="U13" s="28"/>
      <c r="V13" s="28"/>
      <c r="W13" s="28" t="s">
        <v>565</v>
      </c>
      <c r="X13" s="25">
        <v>678033</v>
      </c>
      <c r="Y13" s="9" t="s">
        <v>564</v>
      </c>
      <c r="Z13" s="15" t="s">
        <v>126</v>
      </c>
      <c r="AA13" s="178">
        <v>1</v>
      </c>
      <c r="AB13" s="187">
        <v>2901</v>
      </c>
      <c r="AC13" s="6"/>
      <c r="AD13" s="51"/>
      <c r="AE13" s="48"/>
      <c r="AF13" s="48"/>
      <c r="AG13" s="49"/>
      <c r="AH13" s="46">
        <f>K13*0.3</f>
        <v>2.0693999999999999</v>
      </c>
      <c r="AI13" s="304">
        <f t="shared" ref="AI13:AI14" si="15">K13*0.35</f>
        <v>2.4142999999999999</v>
      </c>
      <c r="AJ13" s="48"/>
      <c r="AK13" s="49"/>
      <c r="AL13" s="51"/>
      <c r="AM13" s="199"/>
      <c r="AN13" s="304">
        <f t="shared" si="14"/>
        <v>1.3795999999999999</v>
      </c>
      <c r="AO13" s="49"/>
      <c r="AP13" s="51"/>
      <c r="AQ13" s="199"/>
      <c r="AR13" s="48"/>
      <c r="AS13" s="262"/>
      <c r="AT13" s="58"/>
      <c r="AU13" s="34"/>
      <c r="AV13" s="42"/>
      <c r="AW13" s="59"/>
    </row>
    <row r="14" spans="1:49" ht="30" x14ac:dyDescent="0.25">
      <c r="A14" s="28">
        <v>517</v>
      </c>
      <c r="B14" s="28" t="s">
        <v>28</v>
      </c>
      <c r="C14" s="28" t="s">
        <v>561</v>
      </c>
      <c r="D14" s="147" t="s">
        <v>562</v>
      </c>
      <c r="E14" s="24"/>
      <c r="F14" s="28" t="s">
        <v>60</v>
      </c>
      <c r="G14" s="28"/>
      <c r="H14" s="148" t="s">
        <v>31</v>
      </c>
      <c r="I14" s="28"/>
      <c r="J14" s="25">
        <v>0.28999999999999998</v>
      </c>
      <c r="K14" s="25">
        <v>0.86999999999999988</v>
      </c>
      <c r="L14" s="25">
        <v>3</v>
      </c>
      <c r="M14" s="28" t="s">
        <v>33</v>
      </c>
      <c r="N14" s="28">
        <f t="shared" si="6"/>
        <v>13.571999999999997</v>
      </c>
      <c r="O14" s="28">
        <f t="shared" si="7"/>
        <v>15.833999999999998</v>
      </c>
      <c r="P14" s="28">
        <f t="shared" si="8"/>
        <v>9.048</v>
      </c>
      <c r="Q14" s="28">
        <f t="shared" si="9"/>
        <v>6.7859999999999987</v>
      </c>
      <c r="R14" s="38">
        <v>45.239999999999995</v>
      </c>
      <c r="S14" s="150">
        <v>105991.94</v>
      </c>
      <c r="T14" s="25">
        <f t="shared" si="10"/>
        <v>92212.987799999988</v>
      </c>
      <c r="U14" s="28"/>
      <c r="V14" s="28"/>
      <c r="W14" s="28" t="s">
        <v>566</v>
      </c>
      <c r="X14" s="25">
        <v>678033</v>
      </c>
      <c r="Y14" s="9" t="s">
        <v>564</v>
      </c>
      <c r="Z14" s="15" t="s">
        <v>60</v>
      </c>
      <c r="AA14" s="178">
        <v>2</v>
      </c>
      <c r="AB14" s="187">
        <v>2901</v>
      </c>
      <c r="AC14" s="6"/>
      <c r="AD14" s="51"/>
      <c r="AE14" s="48"/>
      <c r="AF14" s="48"/>
      <c r="AG14" s="49"/>
      <c r="AH14" s="46">
        <f>K14*0.3</f>
        <v>0.26099999999999995</v>
      </c>
      <c r="AI14" s="304">
        <f t="shared" si="15"/>
        <v>0.30449999999999994</v>
      </c>
      <c r="AJ14" s="48"/>
      <c r="AK14" s="49"/>
      <c r="AL14" s="51"/>
      <c r="AM14" s="199"/>
      <c r="AN14" s="304">
        <f t="shared" si="14"/>
        <v>0.17399999999999999</v>
      </c>
      <c r="AO14" s="49"/>
      <c r="AP14" s="51"/>
      <c r="AQ14" s="199"/>
      <c r="AR14" s="48"/>
      <c r="AS14" s="262"/>
      <c r="AT14" s="58"/>
      <c r="AU14" s="34"/>
      <c r="AV14" s="42"/>
      <c r="AW14" s="59"/>
    </row>
    <row r="15" spans="1:49" ht="30.75" thickBot="1" x14ac:dyDescent="0.3">
      <c r="A15" s="28">
        <v>518</v>
      </c>
      <c r="B15" s="28" t="s">
        <v>28</v>
      </c>
      <c r="C15" s="28" t="s">
        <v>561</v>
      </c>
      <c r="D15" s="147" t="s">
        <v>562</v>
      </c>
      <c r="E15" s="24"/>
      <c r="F15" s="28" t="s">
        <v>63</v>
      </c>
      <c r="G15" s="28"/>
      <c r="H15" s="148" t="s">
        <v>31</v>
      </c>
      <c r="I15" s="28"/>
      <c r="J15" s="25">
        <v>3.2000000000000001E-2</v>
      </c>
      <c r="K15" s="25">
        <v>3.2000000000000001E-2</v>
      </c>
      <c r="L15" s="25">
        <v>1</v>
      </c>
      <c r="M15" s="28" t="s">
        <v>33</v>
      </c>
      <c r="N15" s="28">
        <f t="shared" si="6"/>
        <v>0.68160000000000009</v>
      </c>
      <c r="O15" s="28">
        <f t="shared" si="7"/>
        <v>0.79520000000000002</v>
      </c>
      <c r="P15" s="28">
        <f t="shared" si="8"/>
        <v>0.45440000000000008</v>
      </c>
      <c r="Q15" s="28">
        <f t="shared" si="9"/>
        <v>0.34080000000000005</v>
      </c>
      <c r="R15" s="38">
        <v>2.2720000000000002</v>
      </c>
      <c r="S15" s="150">
        <v>105991.94</v>
      </c>
      <c r="T15" s="25">
        <f t="shared" si="10"/>
        <v>3391.74208</v>
      </c>
      <c r="U15" s="28"/>
      <c r="V15" s="28"/>
      <c r="W15" s="28" t="s">
        <v>568</v>
      </c>
      <c r="X15" s="25">
        <v>678033</v>
      </c>
      <c r="Y15" s="9" t="s">
        <v>564</v>
      </c>
      <c r="Z15" s="15" t="s">
        <v>63</v>
      </c>
      <c r="AA15" s="178">
        <v>3</v>
      </c>
      <c r="AB15" s="187">
        <v>2901</v>
      </c>
      <c r="AC15" s="6"/>
      <c r="AD15" s="51"/>
      <c r="AE15" s="48"/>
      <c r="AF15" s="48"/>
      <c r="AG15" s="49"/>
      <c r="AH15" s="46">
        <f>K15*0.3</f>
        <v>9.5999999999999992E-3</v>
      </c>
      <c r="AI15" s="48"/>
      <c r="AJ15" s="48"/>
      <c r="AK15" s="49"/>
      <c r="AL15" s="51"/>
      <c r="AM15" s="48"/>
      <c r="AN15" s="48"/>
      <c r="AO15" s="49"/>
      <c r="AP15" s="51"/>
      <c r="AQ15" s="42"/>
      <c r="AR15" s="42"/>
      <c r="AS15" s="59"/>
      <c r="AT15" s="58"/>
      <c r="AU15" s="42"/>
      <c r="AV15" s="42"/>
      <c r="AW15" s="59"/>
    </row>
    <row r="16" spans="1:49" ht="30.75" thickBot="1" x14ac:dyDescent="0.3">
      <c r="A16" s="28">
        <v>519</v>
      </c>
      <c r="B16" s="28" t="s">
        <v>28</v>
      </c>
      <c r="C16" s="28" t="s">
        <v>561</v>
      </c>
      <c r="D16" s="147" t="s">
        <v>562</v>
      </c>
      <c r="E16" s="24"/>
      <c r="F16" s="28" t="s">
        <v>126</v>
      </c>
      <c r="G16" s="28"/>
      <c r="H16" s="148" t="s">
        <v>31</v>
      </c>
      <c r="I16" s="28"/>
      <c r="J16" s="25">
        <v>2.8490000000000002</v>
      </c>
      <c r="K16" s="25">
        <f>7.8-K17-K18-K19</f>
        <v>6.6079999999999997</v>
      </c>
      <c r="L16" s="25">
        <v>1</v>
      </c>
      <c r="M16" s="28" t="s">
        <v>33</v>
      </c>
      <c r="N16" s="28">
        <f t="shared" si="6"/>
        <v>71.366399999999985</v>
      </c>
      <c r="O16" s="28">
        <f t="shared" si="7"/>
        <v>83.260799999999989</v>
      </c>
      <c r="P16" s="28">
        <f t="shared" si="8"/>
        <v>47.577599999999997</v>
      </c>
      <c r="Q16" s="28">
        <f t="shared" si="9"/>
        <v>35.683199999999992</v>
      </c>
      <c r="R16" s="38">
        <f>K16*36</f>
        <v>237.88799999999998</v>
      </c>
      <c r="S16" s="150">
        <v>105991.94</v>
      </c>
      <c r="T16" s="25">
        <f t="shared" si="10"/>
        <v>700394.73951999994</v>
      </c>
      <c r="U16" s="28"/>
      <c r="V16" s="28"/>
      <c r="W16" s="28" t="s">
        <v>565</v>
      </c>
      <c r="X16" s="25">
        <v>678034</v>
      </c>
      <c r="Y16" s="9" t="s">
        <v>564</v>
      </c>
      <c r="Z16" s="15" t="s">
        <v>126</v>
      </c>
      <c r="AA16" s="178">
        <v>1</v>
      </c>
      <c r="AB16" s="187">
        <v>2901</v>
      </c>
      <c r="AC16" s="6"/>
      <c r="AD16" s="46">
        <f t="shared" ref="AD16:AD35" si="16">K16*0.3</f>
        <v>1.9823999999999997</v>
      </c>
      <c r="AE16" s="48"/>
      <c r="AF16" s="48"/>
      <c r="AG16" s="49"/>
      <c r="AH16" s="51"/>
      <c r="AI16" s="304">
        <f t="shared" ref="AI16:AI17" si="17">K16*0.35</f>
        <v>2.3127999999999997</v>
      </c>
      <c r="AJ16" s="48"/>
      <c r="AK16" s="49"/>
      <c r="AL16" s="51"/>
      <c r="AM16" s="199"/>
      <c r="AN16" s="304">
        <f t="shared" si="14"/>
        <v>1.3216000000000001</v>
      </c>
      <c r="AO16" s="49"/>
      <c r="AP16" s="51"/>
      <c r="AQ16" s="199"/>
      <c r="AR16" s="48"/>
      <c r="AS16" s="262"/>
      <c r="AT16" s="58"/>
      <c r="AU16" s="34"/>
      <c r="AV16" s="42"/>
      <c r="AW16" s="59"/>
    </row>
    <row r="17" spans="1:49" ht="30.75" thickBot="1" x14ac:dyDescent="0.3">
      <c r="A17" s="28">
        <v>520</v>
      </c>
      <c r="B17" s="28" t="s">
        <v>28</v>
      </c>
      <c r="C17" s="28" t="s">
        <v>561</v>
      </c>
      <c r="D17" s="147" t="s">
        <v>562</v>
      </c>
      <c r="E17" s="24"/>
      <c r="F17" s="28" t="s">
        <v>60</v>
      </c>
      <c r="G17" s="28"/>
      <c r="H17" s="148" t="s">
        <v>31</v>
      </c>
      <c r="I17" s="28"/>
      <c r="J17" s="25">
        <v>0.28999999999999998</v>
      </c>
      <c r="K17" s="25">
        <v>0.28999999999999998</v>
      </c>
      <c r="L17" s="25">
        <v>1</v>
      </c>
      <c r="M17" s="28" t="s">
        <v>33</v>
      </c>
      <c r="N17" s="28">
        <f t="shared" si="6"/>
        <v>4.5239999999999991</v>
      </c>
      <c r="O17" s="28">
        <f t="shared" si="7"/>
        <v>5.2779999999999987</v>
      </c>
      <c r="P17" s="28">
        <f t="shared" si="8"/>
        <v>3.016</v>
      </c>
      <c r="Q17" s="28">
        <f t="shared" si="9"/>
        <v>2.2619999999999996</v>
      </c>
      <c r="R17" s="38">
        <v>15.079999999999998</v>
      </c>
      <c r="S17" s="150">
        <v>105991.94</v>
      </c>
      <c r="T17" s="25">
        <f t="shared" si="10"/>
        <v>30737.6626</v>
      </c>
      <c r="U17" s="28"/>
      <c r="V17" s="28"/>
      <c r="W17" s="28" t="s">
        <v>566</v>
      </c>
      <c r="X17" s="25">
        <v>678034</v>
      </c>
      <c r="Y17" s="9" t="s">
        <v>564</v>
      </c>
      <c r="Z17" s="15" t="s">
        <v>60</v>
      </c>
      <c r="AA17" s="178">
        <v>2</v>
      </c>
      <c r="AB17" s="187">
        <v>2901</v>
      </c>
      <c r="AC17" s="6"/>
      <c r="AD17" s="46">
        <f t="shared" si="16"/>
        <v>8.6999999999999994E-2</v>
      </c>
      <c r="AE17" s="48"/>
      <c r="AF17" s="48"/>
      <c r="AG17" s="49"/>
      <c r="AH17" s="51"/>
      <c r="AI17" s="304">
        <f t="shared" si="17"/>
        <v>0.10149999999999999</v>
      </c>
      <c r="AJ17" s="48"/>
      <c r="AK17" s="49"/>
      <c r="AL17" s="51"/>
      <c r="AM17" s="199"/>
      <c r="AN17" s="304">
        <f t="shared" si="14"/>
        <v>5.7999999999999996E-2</v>
      </c>
      <c r="AO17" s="49"/>
      <c r="AP17" s="51"/>
      <c r="AQ17" s="199"/>
      <c r="AR17" s="48"/>
      <c r="AS17" s="262"/>
      <c r="AT17" s="58"/>
      <c r="AU17" s="34"/>
      <c r="AV17" s="42"/>
      <c r="AW17" s="59"/>
    </row>
    <row r="18" spans="1:49" ht="30" x14ac:dyDescent="0.25">
      <c r="A18" s="28">
        <v>521</v>
      </c>
      <c r="B18" s="28" t="s">
        <v>28</v>
      </c>
      <c r="C18" s="28" t="s">
        <v>561</v>
      </c>
      <c r="D18" s="147" t="s">
        <v>562</v>
      </c>
      <c r="E18" s="24"/>
      <c r="F18" s="28" t="s">
        <v>60</v>
      </c>
      <c r="G18" s="28"/>
      <c r="H18" s="148" t="s">
        <v>31</v>
      </c>
      <c r="I18" s="28"/>
      <c r="J18" s="25">
        <v>0.28999999999999998</v>
      </c>
      <c r="K18" s="25">
        <v>0.86999999999999988</v>
      </c>
      <c r="L18" s="25">
        <v>3</v>
      </c>
      <c r="M18" s="28" t="s">
        <v>33</v>
      </c>
      <c r="N18" s="28">
        <f t="shared" si="6"/>
        <v>13.571999999999997</v>
      </c>
      <c r="O18" s="28">
        <f t="shared" si="7"/>
        <v>15.833999999999998</v>
      </c>
      <c r="P18" s="28">
        <f t="shared" si="8"/>
        <v>9.048</v>
      </c>
      <c r="Q18" s="28">
        <f t="shared" si="9"/>
        <v>6.7859999999999987</v>
      </c>
      <c r="R18" s="38">
        <v>45.239999999999995</v>
      </c>
      <c r="S18" s="150">
        <v>105991.94</v>
      </c>
      <c r="T18" s="25">
        <f t="shared" si="10"/>
        <v>92212.987799999988</v>
      </c>
      <c r="U18" s="28"/>
      <c r="V18" s="28"/>
      <c r="W18" s="28" t="s">
        <v>567</v>
      </c>
      <c r="X18" s="25">
        <v>678034</v>
      </c>
      <c r="Y18" s="9" t="s">
        <v>564</v>
      </c>
      <c r="Z18" s="15" t="s">
        <v>60</v>
      </c>
      <c r="AA18" s="178">
        <v>3</v>
      </c>
      <c r="AB18" s="187">
        <v>2901</v>
      </c>
      <c r="AC18" s="6"/>
      <c r="AD18" s="46">
        <f t="shared" si="16"/>
        <v>0.26099999999999995</v>
      </c>
      <c r="AE18" s="48"/>
      <c r="AF18" s="48"/>
      <c r="AG18" s="49"/>
      <c r="AH18" s="51"/>
      <c r="AI18" s="304">
        <f>K18*0.35</f>
        <v>0.30449999999999994</v>
      </c>
      <c r="AJ18" s="48"/>
      <c r="AK18" s="49"/>
      <c r="AL18" s="51"/>
      <c r="AM18" s="199"/>
      <c r="AN18" s="304">
        <f t="shared" si="14"/>
        <v>0.17399999999999999</v>
      </c>
      <c r="AO18" s="49"/>
      <c r="AP18" s="51"/>
      <c r="AQ18" s="199"/>
      <c r="AR18" s="48"/>
      <c r="AS18" s="262"/>
      <c r="AT18" s="58"/>
      <c r="AU18" s="34"/>
      <c r="AV18" s="42"/>
      <c r="AW18" s="59"/>
    </row>
    <row r="19" spans="1:49" ht="30.75" thickBot="1" x14ac:dyDescent="0.3">
      <c r="A19" s="28">
        <v>522</v>
      </c>
      <c r="B19" s="28" t="s">
        <v>28</v>
      </c>
      <c r="C19" s="28" t="s">
        <v>561</v>
      </c>
      <c r="D19" s="147" t="s">
        <v>562</v>
      </c>
      <c r="E19" s="24"/>
      <c r="F19" s="28" t="s">
        <v>63</v>
      </c>
      <c r="G19" s="28"/>
      <c r="H19" s="148" t="s">
        <v>31</v>
      </c>
      <c r="I19" s="28"/>
      <c r="J19" s="25">
        <v>3.2000000000000001E-2</v>
      </c>
      <c r="K19" s="25">
        <v>3.2000000000000001E-2</v>
      </c>
      <c r="L19" s="25">
        <v>1</v>
      </c>
      <c r="M19" s="28" t="s">
        <v>33</v>
      </c>
      <c r="N19" s="28">
        <f t="shared" si="6"/>
        <v>0.68160000000000009</v>
      </c>
      <c r="O19" s="28">
        <f t="shared" si="7"/>
        <v>0.79520000000000002</v>
      </c>
      <c r="P19" s="28">
        <f t="shared" si="8"/>
        <v>0.45440000000000008</v>
      </c>
      <c r="Q19" s="28">
        <f t="shared" si="9"/>
        <v>0.34080000000000005</v>
      </c>
      <c r="R19" s="38">
        <v>2.2720000000000002</v>
      </c>
      <c r="S19" s="150">
        <v>105991.94</v>
      </c>
      <c r="T19" s="25">
        <f t="shared" si="10"/>
        <v>3391.74208</v>
      </c>
      <c r="U19" s="28"/>
      <c r="V19" s="28"/>
      <c r="W19" s="28" t="s">
        <v>568</v>
      </c>
      <c r="X19" s="25">
        <v>678034</v>
      </c>
      <c r="Y19" s="9" t="s">
        <v>564</v>
      </c>
      <c r="Z19" s="15" t="s">
        <v>63</v>
      </c>
      <c r="AA19" s="178">
        <v>4</v>
      </c>
      <c r="AB19" s="187">
        <v>2901</v>
      </c>
      <c r="AC19" s="6"/>
      <c r="AD19" s="46">
        <f t="shared" si="16"/>
        <v>9.5999999999999992E-3</v>
      </c>
      <c r="AE19" s="48"/>
      <c r="AF19" s="48"/>
      <c r="AG19" s="49"/>
      <c r="AH19" s="51"/>
      <c r="AI19" s="48"/>
      <c r="AJ19" s="48"/>
      <c r="AK19" s="49"/>
      <c r="AL19" s="51"/>
      <c r="AM19" s="48"/>
      <c r="AN19" s="48"/>
      <c r="AO19" s="49"/>
      <c r="AP19" s="51"/>
      <c r="AQ19" s="42"/>
      <c r="AR19" s="42"/>
      <c r="AS19" s="59"/>
      <c r="AT19" s="58"/>
      <c r="AU19" s="42"/>
      <c r="AV19" s="42"/>
      <c r="AW19" s="59"/>
    </row>
    <row r="20" spans="1:49" ht="30.75" thickBot="1" x14ac:dyDescent="0.3">
      <c r="A20" s="28">
        <v>523</v>
      </c>
      <c r="B20" s="15" t="s">
        <v>28</v>
      </c>
      <c r="C20" s="176" t="s">
        <v>561</v>
      </c>
      <c r="D20" s="147" t="s">
        <v>562</v>
      </c>
      <c r="E20" s="8"/>
      <c r="F20" s="28" t="s">
        <v>126</v>
      </c>
      <c r="G20" s="15"/>
      <c r="H20" s="171" t="s">
        <v>31</v>
      </c>
      <c r="I20" s="15"/>
      <c r="J20" s="25">
        <v>2.8490000000000002</v>
      </c>
      <c r="K20" s="25">
        <f>7.8-K21-K22-K23</f>
        <v>6.6079999999999997</v>
      </c>
      <c r="L20" s="25">
        <v>1</v>
      </c>
      <c r="M20" s="28" t="s">
        <v>33</v>
      </c>
      <c r="N20" s="28">
        <f t="shared" si="6"/>
        <v>71.366399999999985</v>
      </c>
      <c r="O20" s="28">
        <f t="shared" si="7"/>
        <v>83.260799999999989</v>
      </c>
      <c r="P20" s="28">
        <f t="shared" si="8"/>
        <v>47.577599999999997</v>
      </c>
      <c r="Q20" s="28">
        <f t="shared" si="9"/>
        <v>35.683199999999992</v>
      </c>
      <c r="R20" s="38">
        <f>K20*36</f>
        <v>237.88799999999998</v>
      </c>
      <c r="S20" s="170">
        <v>105991.94</v>
      </c>
      <c r="T20" s="9">
        <f t="shared" si="10"/>
        <v>700394.73951999994</v>
      </c>
      <c r="U20" s="15"/>
      <c r="V20" s="15"/>
      <c r="W20" s="28" t="s">
        <v>565</v>
      </c>
      <c r="X20" s="25">
        <v>678035</v>
      </c>
      <c r="Y20" s="9" t="s">
        <v>564</v>
      </c>
      <c r="Z20" s="15" t="s">
        <v>126</v>
      </c>
      <c r="AA20" s="178">
        <v>1</v>
      </c>
      <c r="AB20" s="187">
        <v>2901</v>
      </c>
      <c r="AC20" s="6"/>
      <c r="AD20" s="46">
        <f t="shared" si="16"/>
        <v>1.9823999999999997</v>
      </c>
      <c r="AE20" s="48"/>
      <c r="AF20" s="48"/>
      <c r="AG20" s="49"/>
      <c r="AH20" s="51"/>
      <c r="AI20" s="304">
        <f t="shared" ref="AI20:AI22" si="18">K20*0.35</f>
        <v>2.3127999999999997</v>
      </c>
      <c r="AJ20" s="48"/>
      <c r="AK20" s="49"/>
      <c r="AL20" s="51"/>
      <c r="AM20" s="199"/>
      <c r="AN20" s="304">
        <f t="shared" si="14"/>
        <v>1.3216000000000001</v>
      </c>
      <c r="AO20" s="49"/>
      <c r="AP20" s="51"/>
      <c r="AQ20" s="199"/>
      <c r="AR20" s="48"/>
      <c r="AS20" s="262"/>
      <c r="AT20" s="58"/>
      <c r="AU20" s="34"/>
      <c r="AV20" s="42"/>
      <c r="AW20" s="59"/>
    </row>
    <row r="21" spans="1:49" ht="30.75" thickBot="1" x14ac:dyDescent="0.3">
      <c r="A21" s="28">
        <v>524</v>
      </c>
      <c r="B21" s="15" t="s">
        <v>28</v>
      </c>
      <c r="C21" s="176" t="s">
        <v>561</v>
      </c>
      <c r="D21" s="147" t="s">
        <v>562</v>
      </c>
      <c r="E21" s="8"/>
      <c r="F21" s="28" t="s">
        <v>60</v>
      </c>
      <c r="G21" s="15"/>
      <c r="H21" s="171" t="s">
        <v>31</v>
      </c>
      <c r="I21" s="15"/>
      <c r="J21" s="25">
        <v>0.28999999999999998</v>
      </c>
      <c r="K21" s="25">
        <v>0.28999999999999998</v>
      </c>
      <c r="L21" s="25">
        <v>1</v>
      </c>
      <c r="M21" s="28" t="s">
        <v>33</v>
      </c>
      <c r="N21" s="28">
        <f t="shared" si="6"/>
        <v>4.5239999999999991</v>
      </c>
      <c r="O21" s="28">
        <f t="shared" si="7"/>
        <v>5.2779999999999987</v>
      </c>
      <c r="P21" s="28">
        <f t="shared" si="8"/>
        <v>3.016</v>
      </c>
      <c r="Q21" s="28">
        <f t="shared" si="9"/>
        <v>2.2619999999999996</v>
      </c>
      <c r="R21" s="38">
        <v>15.079999999999998</v>
      </c>
      <c r="S21" s="170">
        <v>105991.94</v>
      </c>
      <c r="T21" s="9">
        <f t="shared" si="10"/>
        <v>30737.6626</v>
      </c>
      <c r="U21" s="15"/>
      <c r="V21" s="15"/>
      <c r="W21" s="28" t="s">
        <v>569</v>
      </c>
      <c r="X21" s="25">
        <v>678035</v>
      </c>
      <c r="Y21" s="9" t="s">
        <v>564</v>
      </c>
      <c r="Z21" s="15" t="s">
        <v>60</v>
      </c>
      <c r="AA21" s="178">
        <v>2</v>
      </c>
      <c r="AB21" s="187">
        <v>2901</v>
      </c>
      <c r="AC21" s="6"/>
      <c r="AD21" s="46">
        <f t="shared" si="16"/>
        <v>8.6999999999999994E-2</v>
      </c>
      <c r="AE21" s="109"/>
      <c r="AF21" s="109"/>
      <c r="AG21" s="110"/>
      <c r="AH21" s="113"/>
      <c r="AI21" s="304">
        <f t="shared" si="18"/>
        <v>0.10149999999999999</v>
      </c>
      <c r="AJ21" s="109"/>
      <c r="AK21" s="110"/>
      <c r="AL21" s="113"/>
      <c r="AM21" s="199"/>
      <c r="AN21" s="304">
        <f t="shared" si="14"/>
        <v>5.7999999999999996E-2</v>
      </c>
      <c r="AO21" s="110"/>
      <c r="AP21" s="113"/>
      <c r="AQ21" s="199"/>
      <c r="AR21" s="109"/>
      <c r="AS21" s="300"/>
      <c r="AT21" s="20"/>
      <c r="AU21" s="34"/>
      <c r="AV21" s="8"/>
      <c r="AW21" s="21"/>
    </row>
    <row r="22" spans="1:49" ht="30" x14ac:dyDescent="0.25">
      <c r="A22" s="28">
        <v>525</v>
      </c>
      <c r="B22" s="15" t="s">
        <v>28</v>
      </c>
      <c r="C22" s="176" t="s">
        <v>561</v>
      </c>
      <c r="D22" s="147" t="s">
        <v>562</v>
      </c>
      <c r="E22" s="8"/>
      <c r="F22" s="28" t="s">
        <v>60</v>
      </c>
      <c r="G22" s="15"/>
      <c r="H22" s="171" t="s">
        <v>31</v>
      </c>
      <c r="I22" s="15"/>
      <c r="J22" s="25">
        <v>0.28999999999999998</v>
      </c>
      <c r="K22" s="25">
        <v>0.86999999999999988</v>
      </c>
      <c r="L22" s="25">
        <v>3</v>
      </c>
      <c r="M22" s="28" t="s">
        <v>33</v>
      </c>
      <c r="N22" s="28">
        <f t="shared" si="6"/>
        <v>13.571999999999997</v>
      </c>
      <c r="O22" s="28">
        <f t="shared" si="7"/>
        <v>15.833999999999998</v>
      </c>
      <c r="P22" s="28">
        <f t="shared" si="8"/>
        <v>9.048</v>
      </c>
      <c r="Q22" s="28">
        <f t="shared" si="9"/>
        <v>6.7859999999999987</v>
      </c>
      <c r="R22" s="38">
        <v>45.239999999999995</v>
      </c>
      <c r="S22" s="170">
        <v>105991.94</v>
      </c>
      <c r="T22" s="9">
        <f t="shared" si="10"/>
        <v>92212.987799999988</v>
      </c>
      <c r="U22" s="15"/>
      <c r="V22" s="15"/>
      <c r="W22" s="28" t="s">
        <v>567</v>
      </c>
      <c r="X22" s="25">
        <v>678035</v>
      </c>
      <c r="Y22" s="9" t="s">
        <v>564</v>
      </c>
      <c r="Z22" s="15" t="s">
        <v>60</v>
      </c>
      <c r="AA22" s="178">
        <v>3</v>
      </c>
      <c r="AB22" s="187">
        <v>2901</v>
      </c>
      <c r="AC22" s="6"/>
      <c r="AD22" s="46">
        <f t="shared" si="16"/>
        <v>0.26099999999999995</v>
      </c>
      <c r="AE22" s="109"/>
      <c r="AF22" s="109"/>
      <c r="AG22" s="110"/>
      <c r="AH22" s="113"/>
      <c r="AI22" s="304">
        <f t="shared" si="18"/>
        <v>0.30449999999999994</v>
      </c>
      <c r="AJ22" s="109"/>
      <c r="AK22" s="110"/>
      <c r="AL22" s="113"/>
      <c r="AM22" s="199"/>
      <c r="AN22" s="304">
        <f t="shared" si="14"/>
        <v>0.17399999999999999</v>
      </c>
      <c r="AO22" s="110"/>
      <c r="AP22" s="113"/>
      <c r="AQ22" s="199"/>
      <c r="AR22" s="109"/>
      <c r="AS22" s="300"/>
      <c r="AT22" s="20"/>
      <c r="AU22" s="34"/>
      <c r="AV22" s="8"/>
      <c r="AW22" s="21"/>
    </row>
    <row r="23" spans="1:49" ht="30.75" thickBot="1" x14ac:dyDescent="0.3">
      <c r="A23" s="28">
        <v>526</v>
      </c>
      <c r="B23" s="15" t="s">
        <v>28</v>
      </c>
      <c r="C23" s="176" t="s">
        <v>561</v>
      </c>
      <c r="D23" s="147" t="s">
        <v>562</v>
      </c>
      <c r="E23" s="8"/>
      <c r="F23" s="28" t="s">
        <v>63</v>
      </c>
      <c r="G23" s="15"/>
      <c r="H23" s="171" t="s">
        <v>31</v>
      </c>
      <c r="I23" s="15"/>
      <c r="J23" s="25">
        <v>3.2000000000000001E-2</v>
      </c>
      <c r="K23" s="25">
        <v>3.2000000000000001E-2</v>
      </c>
      <c r="L23" s="25">
        <v>1</v>
      </c>
      <c r="M23" s="28" t="s">
        <v>33</v>
      </c>
      <c r="N23" s="28">
        <f t="shared" si="6"/>
        <v>0.68160000000000009</v>
      </c>
      <c r="O23" s="28">
        <f t="shared" si="7"/>
        <v>0.79520000000000002</v>
      </c>
      <c r="P23" s="28">
        <f t="shared" si="8"/>
        <v>0.45440000000000008</v>
      </c>
      <c r="Q23" s="28">
        <f t="shared" si="9"/>
        <v>0.34080000000000005</v>
      </c>
      <c r="R23" s="38">
        <v>2.2720000000000002</v>
      </c>
      <c r="S23" s="170">
        <v>105991.94</v>
      </c>
      <c r="T23" s="9">
        <f t="shared" si="10"/>
        <v>3391.74208</v>
      </c>
      <c r="U23" s="15"/>
      <c r="V23" s="15"/>
      <c r="W23" s="28" t="s">
        <v>568</v>
      </c>
      <c r="X23" s="25">
        <v>678035</v>
      </c>
      <c r="Y23" s="9" t="s">
        <v>564</v>
      </c>
      <c r="Z23" s="15" t="s">
        <v>63</v>
      </c>
      <c r="AA23" s="178">
        <v>4</v>
      </c>
      <c r="AB23" s="187">
        <v>2901</v>
      </c>
      <c r="AC23" s="6"/>
      <c r="AD23" s="46">
        <f t="shared" si="16"/>
        <v>9.5999999999999992E-3</v>
      </c>
      <c r="AE23" s="109"/>
      <c r="AF23" s="109"/>
      <c r="AG23" s="110"/>
      <c r="AH23" s="113"/>
      <c r="AI23" s="109"/>
      <c r="AJ23" s="109"/>
      <c r="AK23" s="110"/>
      <c r="AL23" s="113"/>
      <c r="AM23" s="109"/>
      <c r="AN23" s="109"/>
      <c r="AO23" s="110"/>
      <c r="AP23" s="113"/>
      <c r="AQ23" s="8"/>
      <c r="AR23" s="8"/>
      <c r="AS23" s="21"/>
      <c r="AT23" s="20"/>
      <c r="AU23" s="8"/>
      <c r="AV23" s="8"/>
      <c r="AW23" s="21"/>
    </row>
    <row r="24" spans="1:49" ht="30.75" thickBot="1" x14ac:dyDescent="0.3">
      <c r="A24" s="28">
        <v>527</v>
      </c>
      <c r="B24" s="28" t="s">
        <v>28</v>
      </c>
      <c r="C24" s="28" t="s">
        <v>561</v>
      </c>
      <c r="D24" s="147" t="s">
        <v>562</v>
      </c>
      <c r="E24" s="24"/>
      <c r="F24" s="28" t="s">
        <v>126</v>
      </c>
      <c r="G24" s="28"/>
      <c r="H24" s="148" t="s">
        <v>31</v>
      </c>
      <c r="I24" s="28"/>
      <c r="J24" s="25">
        <v>2.8490000000000002</v>
      </c>
      <c r="K24" s="25">
        <f>7.8-K25-K26-K27</f>
        <v>6.6079999999999997</v>
      </c>
      <c r="L24" s="25">
        <v>1</v>
      </c>
      <c r="M24" s="28" t="s">
        <v>33</v>
      </c>
      <c r="N24" s="28">
        <f t="shared" si="6"/>
        <v>71.366399999999985</v>
      </c>
      <c r="O24" s="28">
        <f t="shared" si="7"/>
        <v>83.260799999999989</v>
      </c>
      <c r="P24" s="28">
        <f t="shared" si="8"/>
        <v>47.577599999999997</v>
      </c>
      <c r="Q24" s="28">
        <f t="shared" si="9"/>
        <v>35.683199999999992</v>
      </c>
      <c r="R24" s="38">
        <f>K24*36</f>
        <v>237.88799999999998</v>
      </c>
      <c r="S24" s="150">
        <v>105991.94</v>
      </c>
      <c r="T24" s="25">
        <f t="shared" si="10"/>
        <v>700394.73951999994</v>
      </c>
      <c r="U24" s="28"/>
      <c r="V24" s="28"/>
      <c r="W24" s="28" t="s">
        <v>565</v>
      </c>
      <c r="X24" s="25">
        <v>678036</v>
      </c>
      <c r="Y24" s="9" t="s">
        <v>564</v>
      </c>
      <c r="Z24" s="15" t="s">
        <v>126</v>
      </c>
      <c r="AA24" s="178">
        <v>1</v>
      </c>
      <c r="AB24" s="187">
        <v>2901</v>
      </c>
      <c r="AC24" s="6"/>
      <c r="AD24" s="46">
        <f t="shared" si="16"/>
        <v>1.9823999999999997</v>
      </c>
      <c r="AE24" s="109"/>
      <c r="AF24" s="109"/>
      <c r="AG24" s="110"/>
      <c r="AH24" s="113"/>
      <c r="AI24" s="304">
        <f t="shared" ref="AI24:AI26" si="19">K24*0.35</f>
        <v>2.3127999999999997</v>
      </c>
      <c r="AJ24" s="109"/>
      <c r="AK24" s="110"/>
      <c r="AL24" s="113"/>
      <c r="AM24" s="199"/>
      <c r="AN24" s="304">
        <f t="shared" si="14"/>
        <v>1.3216000000000001</v>
      </c>
      <c r="AO24" s="110"/>
      <c r="AP24" s="113"/>
      <c r="AQ24" s="199"/>
      <c r="AR24" s="109"/>
      <c r="AS24" s="300"/>
      <c r="AT24" s="20"/>
      <c r="AU24" s="34"/>
      <c r="AV24" s="8"/>
      <c r="AW24" s="21"/>
    </row>
    <row r="25" spans="1:49" ht="30.75" thickBot="1" x14ac:dyDescent="0.3">
      <c r="A25" s="28">
        <v>528</v>
      </c>
      <c r="B25" s="28" t="s">
        <v>28</v>
      </c>
      <c r="C25" s="28" t="s">
        <v>561</v>
      </c>
      <c r="D25" s="147" t="s">
        <v>562</v>
      </c>
      <c r="E25" s="24"/>
      <c r="F25" s="28" t="s">
        <v>60</v>
      </c>
      <c r="G25" s="28"/>
      <c r="H25" s="148" t="s">
        <v>31</v>
      </c>
      <c r="I25" s="28"/>
      <c r="J25" s="25">
        <v>0.28999999999999998</v>
      </c>
      <c r="K25" s="25">
        <v>0.28999999999999998</v>
      </c>
      <c r="L25" s="25">
        <v>1</v>
      </c>
      <c r="M25" s="28" t="s">
        <v>33</v>
      </c>
      <c r="N25" s="28">
        <f t="shared" si="6"/>
        <v>4.5239999999999991</v>
      </c>
      <c r="O25" s="28">
        <f t="shared" si="7"/>
        <v>5.2779999999999987</v>
      </c>
      <c r="P25" s="28">
        <f t="shared" si="8"/>
        <v>3.016</v>
      </c>
      <c r="Q25" s="28">
        <f t="shared" si="9"/>
        <v>2.2619999999999996</v>
      </c>
      <c r="R25" s="38">
        <v>15.079999999999998</v>
      </c>
      <c r="S25" s="150">
        <v>105991.94</v>
      </c>
      <c r="T25" s="25">
        <f t="shared" si="10"/>
        <v>30737.6626</v>
      </c>
      <c r="U25" s="28"/>
      <c r="V25" s="28"/>
      <c r="W25" s="28" t="s">
        <v>566</v>
      </c>
      <c r="X25" s="25">
        <v>678036</v>
      </c>
      <c r="Y25" s="9" t="s">
        <v>564</v>
      </c>
      <c r="Z25" s="15" t="s">
        <v>60</v>
      </c>
      <c r="AA25" s="178">
        <v>2</v>
      </c>
      <c r="AB25" s="187">
        <v>2901</v>
      </c>
      <c r="AC25" s="6"/>
      <c r="AD25" s="46">
        <f t="shared" si="16"/>
        <v>8.6999999999999994E-2</v>
      </c>
      <c r="AE25" s="109"/>
      <c r="AF25" s="109"/>
      <c r="AG25" s="110"/>
      <c r="AH25" s="113"/>
      <c r="AI25" s="304">
        <f t="shared" si="19"/>
        <v>0.10149999999999999</v>
      </c>
      <c r="AJ25" s="109"/>
      <c r="AK25" s="110"/>
      <c r="AL25" s="113"/>
      <c r="AM25" s="199"/>
      <c r="AN25" s="304">
        <f t="shared" si="14"/>
        <v>5.7999999999999996E-2</v>
      </c>
      <c r="AO25" s="110"/>
      <c r="AP25" s="113"/>
      <c r="AQ25" s="199"/>
      <c r="AR25" s="109"/>
      <c r="AS25" s="300"/>
      <c r="AT25" s="20"/>
      <c r="AU25" s="34"/>
      <c r="AV25" s="8"/>
      <c r="AW25" s="21"/>
    </row>
    <row r="26" spans="1:49" ht="30" x14ac:dyDescent="0.25">
      <c r="A26" s="28">
        <v>529</v>
      </c>
      <c r="B26" s="28" t="s">
        <v>28</v>
      </c>
      <c r="C26" s="28" t="s">
        <v>561</v>
      </c>
      <c r="D26" s="147" t="s">
        <v>562</v>
      </c>
      <c r="E26" s="24"/>
      <c r="F26" s="28" t="s">
        <v>60</v>
      </c>
      <c r="G26" s="28"/>
      <c r="H26" s="148" t="s">
        <v>31</v>
      </c>
      <c r="I26" s="28"/>
      <c r="J26" s="25">
        <v>0.28999999999999998</v>
      </c>
      <c r="K26" s="25">
        <v>0.86999999999999988</v>
      </c>
      <c r="L26" s="25">
        <v>3</v>
      </c>
      <c r="M26" s="28" t="s">
        <v>33</v>
      </c>
      <c r="N26" s="28">
        <f t="shared" si="6"/>
        <v>13.571999999999997</v>
      </c>
      <c r="O26" s="28">
        <f t="shared" si="7"/>
        <v>15.833999999999998</v>
      </c>
      <c r="P26" s="28">
        <f t="shared" si="8"/>
        <v>9.048</v>
      </c>
      <c r="Q26" s="28">
        <f t="shared" si="9"/>
        <v>6.7859999999999987</v>
      </c>
      <c r="R26" s="38">
        <v>45.239999999999995</v>
      </c>
      <c r="S26" s="150">
        <v>105991.94</v>
      </c>
      <c r="T26" s="25">
        <f t="shared" si="10"/>
        <v>92212.987799999988</v>
      </c>
      <c r="U26" s="28"/>
      <c r="V26" s="28"/>
      <c r="W26" s="28" t="s">
        <v>567</v>
      </c>
      <c r="X26" s="25">
        <v>678036</v>
      </c>
      <c r="Y26" s="9" t="s">
        <v>564</v>
      </c>
      <c r="Z26" s="15" t="s">
        <v>60</v>
      </c>
      <c r="AA26" s="178">
        <v>3</v>
      </c>
      <c r="AB26" s="187">
        <v>2901</v>
      </c>
      <c r="AC26" s="6"/>
      <c r="AD26" s="46">
        <f>K26*0.3</f>
        <v>0.26099999999999995</v>
      </c>
      <c r="AE26" s="109"/>
      <c r="AF26" s="109"/>
      <c r="AG26" s="110"/>
      <c r="AH26" s="113"/>
      <c r="AI26" s="304">
        <f t="shared" si="19"/>
        <v>0.30449999999999994</v>
      </c>
      <c r="AJ26" s="109"/>
      <c r="AK26" s="110"/>
      <c r="AL26" s="113"/>
      <c r="AM26" s="199"/>
      <c r="AN26" s="304">
        <f t="shared" si="14"/>
        <v>0.17399999999999999</v>
      </c>
      <c r="AO26" s="110"/>
      <c r="AP26" s="113"/>
      <c r="AQ26" s="199"/>
      <c r="AR26" s="109"/>
      <c r="AS26" s="300"/>
      <c r="AT26" s="20"/>
      <c r="AU26" s="34"/>
      <c r="AV26" s="8"/>
      <c r="AW26" s="21"/>
    </row>
    <row r="27" spans="1:49" ht="30.75" thickBot="1" x14ac:dyDescent="0.3">
      <c r="A27" s="28">
        <v>530</v>
      </c>
      <c r="B27" s="28" t="s">
        <v>28</v>
      </c>
      <c r="C27" s="28" t="s">
        <v>561</v>
      </c>
      <c r="D27" s="147" t="s">
        <v>562</v>
      </c>
      <c r="E27" s="24"/>
      <c r="F27" s="28" t="s">
        <v>63</v>
      </c>
      <c r="G27" s="28"/>
      <c r="H27" s="148" t="s">
        <v>31</v>
      </c>
      <c r="I27" s="28"/>
      <c r="J27" s="25">
        <v>3.2000000000000001E-2</v>
      </c>
      <c r="K27" s="25">
        <v>3.2000000000000001E-2</v>
      </c>
      <c r="L27" s="25">
        <v>1</v>
      </c>
      <c r="M27" s="28" t="s">
        <v>33</v>
      </c>
      <c r="N27" s="28">
        <f t="shared" si="6"/>
        <v>0.68160000000000009</v>
      </c>
      <c r="O27" s="28">
        <f t="shared" si="7"/>
        <v>0.79520000000000002</v>
      </c>
      <c r="P27" s="28">
        <f t="shared" si="8"/>
        <v>0.45440000000000008</v>
      </c>
      <c r="Q27" s="28">
        <f t="shared" si="9"/>
        <v>0.34080000000000005</v>
      </c>
      <c r="R27" s="38">
        <v>2.2720000000000002</v>
      </c>
      <c r="S27" s="150">
        <v>105991.94</v>
      </c>
      <c r="T27" s="25">
        <f t="shared" si="10"/>
        <v>3391.74208</v>
      </c>
      <c r="U27" s="28"/>
      <c r="V27" s="28"/>
      <c r="W27" s="28" t="s">
        <v>568</v>
      </c>
      <c r="X27" s="25">
        <v>678036</v>
      </c>
      <c r="Y27" s="9" t="s">
        <v>564</v>
      </c>
      <c r="Z27" s="15" t="s">
        <v>63</v>
      </c>
      <c r="AA27" s="178">
        <v>4</v>
      </c>
      <c r="AB27" s="187">
        <v>2901</v>
      </c>
      <c r="AC27" s="6"/>
      <c r="AD27" s="46">
        <f t="shared" si="16"/>
        <v>9.5999999999999992E-3</v>
      </c>
      <c r="AE27" s="109"/>
      <c r="AF27" s="109"/>
      <c r="AG27" s="110"/>
      <c r="AH27" s="113"/>
      <c r="AI27" s="109"/>
      <c r="AJ27" s="109"/>
      <c r="AK27" s="110"/>
      <c r="AL27" s="113"/>
      <c r="AM27" s="109"/>
      <c r="AN27" s="109"/>
      <c r="AO27" s="110"/>
      <c r="AP27" s="113"/>
      <c r="AQ27" s="8"/>
      <c r="AR27" s="8"/>
      <c r="AS27" s="21"/>
      <c r="AT27" s="20"/>
      <c r="AU27" s="8"/>
      <c r="AV27" s="8"/>
      <c r="AW27" s="21"/>
    </row>
    <row r="28" spans="1:49" ht="30.75" thickBot="1" x14ac:dyDescent="0.3">
      <c r="A28" s="28">
        <v>531</v>
      </c>
      <c r="B28" s="28" t="s">
        <v>28</v>
      </c>
      <c r="C28" s="28" t="s">
        <v>561</v>
      </c>
      <c r="D28" s="147" t="s">
        <v>562</v>
      </c>
      <c r="E28" s="24"/>
      <c r="F28" s="28" t="s">
        <v>126</v>
      </c>
      <c r="G28" s="28"/>
      <c r="H28" s="148" t="s">
        <v>31</v>
      </c>
      <c r="I28" s="28"/>
      <c r="J28" s="25">
        <v>2.8490000000000002</v>
      </c>
      <c r="K28" s="25">
        <f>7.8-K29-K30-K31</f>
        <v>6.6079999999999997</v>
      </c>
      <c r="L28" s="25">
        <v>1</v>
      </c>
      <c r="M28" s="28" t="s">
        <v>33</v>
      </c>
      <c r="N28" s="28">
        <f t="shared" si="6"/>
        <v>71.366399999999985</v>
      </c>
      <c r="O28" s="28">
        <f t="shared" si="7"/>
        <v>83.260799999999989</v>
      </c>
      <c r="P28" s="28">
        <f t="shared" si="8"/>
        <v>47.577599999999997</v>
      </c>
      <c r="Q28" s="28">
        <f t="shared" si="9"/>
        <v>35.683199999999992</v>
      </c>
      <c r="R28" s="38">
        <f>K28*36</f>
        <v>237.88799999999998</v>
      </c>
      <c r="S28" s="150">
        <v>105991.94</v>
      </c>
      <c r="T28" s="25">
        <f t="shared" si="10"/>
        <v>700394.73951999994</v>
      </c>
      <c r="U28" s="28"/>
      <c r="V28" s="28"/>
      <c r="W28" s="28" t="s">
        <v>565</v>
      </c>
      <c r="X28" s="25">
        <v>678037</v>
      </c>
      <c r="Y28" s="9" t="s">
        <v>564</v>
      </c>
      <c r="Z28" s="15" t="s">
        <v>126</v>
      </c>
      <c r="AA28" s="178">
        <v>5</v>
      </c>
      <c r="AB28" s="187">
        <v>2901</v>
      </c>
      <c r="AC28" s="6"/>
      <c r="AD28" s="46">
        <f t="shared" si="16"/>
        <v>1.9823999999999997</v>
      </c>
      <c r="AE28" s="109"/>
      <c r="AF28" s="109"/>
      <c r="AG28" s="110"/>
      <c r="AH28" s="113"/>
      <c r="AI28" s="304">
        <f t="shared" ref="AI28:AI30" si="20">K28*0.35</f>
        <v>2.3127999999999997</v>
      </c>
      <c r="AJ28" s="109"/>
      <c r="AK28" s="110"/>
      <c r="AL28" s="113"/>
      <c r="AM28" s="199"/>
      <c r="AN28" s="304">
        <f t="shared" si="14"/>
        <v>1.3216000000000001</v>
      </c>
      <c r="AO28" s="110"/>
      <c r="AP28" s="113"/>
      <c r="AQ28" s="199"/>
      <c r="AR28" s="109"/>
      <c r="AS28" s="300"/>
      <c r="AT28" s="20"/>
      <c r="AU28" s="34"/>
      <c r="AV28" s="8"/>
      <c r="AW28" s="21"/>
    </row>
    <row r="29" spans="1:49" ht="30.75" thickBot="1" x14ac:dyDescent="0.3">
      <c r="A29" s="28">
        <v>532</v>
      </c>
      <c r="B29" s="28" t="s">
        <v>28</v>
      </c>
      <c r="C29" s="28" t="s">
        <v>561</v>
      </c>
      <c r="D29" s="147" t="s">
        <v>562</v>
      </c>
      <c r="E29" s="24"/>
      <c r="F29" s="28" t="s">
        <v>60</v>
      </c>
      <c r="G29" s="28"/>
      <c r="H29" s="148" t="s">
        <v>31</v>
      </c>
      <c r="I29" s="28"/>
      <c r="J29" s="25">
        <v>0.28999999999999998</v>
      </c>
      <c r="K29" s="25">
        <v>0.28999999999999998</v>
      </c>
      <c r="L29" s="25">
        <v>1</v>
      </c>
      <c r="M29" s="28" t="s">
        <v>33</v>
      </c>
      <c r="N29" s="28">
        <f t="shared" si="6"/>
        <v>4.5239999999999991</v>
      </c>
      <c r="O29" s="28">
        <f t="shared" si="7"/>
        <v>5.2779999999999987</v>
      </c>
      <c r="P29" s="28">
        <f t="shared" si="8"/>
        <v>3.016</v>
      </c>
      <c r="Q29" s="28">
        <f t="shared" si="9"/>
        <v>2.2619999999999996</v>
      </c>
      <c r="R29" s="38">
        <v>15.079999999999998</v>
      </c>
      <c r="S29" s="150">
        <v>105991.94</v>
      </c>
      <c r="T29" s="25">
        <f t="shared" si="10"/>
        <v>30737.6626</v>
      </c>
      <c r="U29" s="28"/>
      <c r="V29" s="28"/>
      <c r="W29" s="28" t="s">
        <v>566</v>
      </c>
      <c r="X29" s="25">
        <v>678037</v>
      </c>
      <c r="Y29" s="9" t="s">
        <v>564</v>
      </c>
      <c r="Z29" s="15" t="s">
        <v>60</v>
      </c>
      <c r="AA29" s="178">
        <v>6</v>
      </c>
      <c r="AB29" s="187">
        <v>2901</v>
      </c>
      <c r="AC29" s="6"/>
      <c r="AD29" s="46">
        <f t="shared" si="16"/>
        <v>8.6999999999999994E-2</v>
      </c>
      <c r="AE29" s="109"/>
      <c r="AF29" s="109"/>
      <c r="AG29" s="110"/>
      <c r="AH29" s="113"/>
      <c r="AI29" s="304">
        <f t="shared" si="20"/>
        <v>0.10149999999999999</v>
      </c>
      <c r="AJ29" s="109"/>
      <c r="AK29" s="110"/>
      <c r="AL29" s="113"/>
      <c r="AM29" s="199"/>
      <c r="AN29" s="304">
        <f t="shared" si="14"/>
        <v>5.7999999999999996E-2</v>
      </c>
      <c r="AO29" s="110"/>
      <c r="AP29" s="113"/>
      <c r="AQ29" s="199"/>
      <c r="AR29" s="109"/>
      <c r="AS29" s="300"/>
      <c r="AT29" s="20"/>
      <c r="AU29" s="34"/>
      <c r="AV29" s="8"/>
      <c r="AW29" s="21"/>
    </row>
    <row r="30" spans="1:49" ht="30" x14ac:dyDescent="0.25">
      <c r="A30" s="28">
        <v>533</v>
      </c>
      <c r="B30" s="28" t="s">
        <v>28</v>
      </c>
      <c r="C30" s="28" t="s">
        <v>561</v>
      </c>
      <c r="D30" s="147" t="s">
        <v>562</v>
      </c>
      <c r="E30" s="24"/>
      <c r="F30" s="28" t="s">
        <v>60</v>
      </c>
      <c r="G30" s="28"/>
      <c r="H30" s="148" t="s">
        <v>31</v>
      </c>
      <c r="I30" s="28"/>
      <c r="J30" s="25">
        <v>0.28999999999999998</v>
      </c>
      <c r="K30" s="25">
        <v>0.86999999999999988</v>
      </c>
      <c r="L30" s="25">
        <v>3</v>
      </c>
      <c r="M30" s="28" t="s">
        <v>33</v>
      </c>
      <c r="N30" s="28">
        <f t="shared" si="6"/>
        <v>13.571999999999997</v>
      </c>
      <c r="O30" s="28">
        <f t="shared" si="7"/>
        <v>15.833999999999998</v>
      </c>
      <c r="P30" s="28">
        <f t="shared" si="8"/>
        <v>9.048</v>
      </c>
      <c r="Q30" s="28">
        <f t="shared" si="9"/>
        <v>6.7859999999999987</v>
      </c>
      <c r="R30" s="38">
        <v>45.239999999999995</v>
      </c>
      <c r="S30" s="150">
        <v>105991.94</v>
      </c>
      <c r="T30" s="25">
        <f t="shared" si="10"/>
        <v>92212.987799999988</v>
      </c>
      <c r="U30" s="28"/>
      <c r="V30" s="28"/>
      <c r="W30" s="28" t="s">
        <v>567</v>
      </c>
      <c r="X30" s="25">
        <v>678037</v>
      </c>
      <c r="Y30" s="9" t="s">
        <v>564</v>
      </c>
      <c r="Z30" s="15" t="s">
        <v>60</v>
      </c>
      <c r="AA30" s="178">
        <v>7</v>
      </c>
      <c r="AB30" s="187">
        <v>2901</v>
      </c>
      <c r="AC30" s="6"/>
      <c r="AD30" s="46">
        <f t="shared" si="16"/>
        <v>0.26099999999999995</v>
      </c>
      <c r="AE30" s="109"/>
      <c r="AF30" s="109"/>
      <c r="AG30" s="110"/>
      <c r="AH30" s="113"/>
      <c r="AI30" s="304">
        <f t="shared" si="20"/>
        <v>0.30449999999999994</v>
      </c>
      <c r="AJ30" s="109"/>
      <c r="AK30" s="110"/>
      <c r="AL30" s="113"/>
      <c r="AM30" s="199"/>
      <c r="AN30" s="304">
        <f t="shared" si="14"/>
        <v>0.17399999999999999</v>
      </c>
      <c r="AO30" s="110"/>
      <c r="AP30" s="113"/>
      <c r="AQ30" s="199"/>
      <c r="AR30" s="109"/>
      <c r="AS30" s="300"/>
      <c r="AT30" s="20"/>
      <c r="AU30" s="34"/>
      <c r="AV30" s="8"/>
      <c r="AW30" s="21"/>
    </row>
    <row r="31" spans="1:49" ht="30.75" thickBot="1" x14ac:dyDescent="0.3">
      <c r="A31" s="28">
        <v>534</v>
      </c>
      <c r="B31" s="28" t="s">
        <v>28</v>
      </c>
      <c r="C31" s="28" t="s">
        <v>561</v>
      </c>
      <c r="D31" s="147" t="s">
        <v>562</v>
      </c>
      <c r="E31" s="24"/>
      <c r="F31" s="28" t="s">
        <v>63</v>
      </c>
      <c r="G31" s="28"/>
      <c r="H31" s="148" t="s">
        <v>31</v>
      </c>
      <c r="I31" s="28"/>
      <c r="J31" s="25">
        <v>3.2000000000000001E-2</v>
      </c>
      <c r="K31" s="25">
        <v>3.2000000000000001E-2</v>
      </c>
      <c r="L31" s="25">
        <v>1</v>
      </c>
      <c r="M31" s="28" t="s">
        <v>33</v>
      </c>
      <c r="N31" s="28">
        <f t="shared" si="6"/>
        <v>0.68160000000000009</v>
      </c>
      <c r="O31" s="28">
        <f t="shared" si="7"/>
        <v>0.79520000000000002</v>
      </c>
      <c r="P31" s="28">
        <f t="shared" si="8"/>
        <v>0.45440000000000008</v>
      </c>
      <c r="Q31" s="28">
        <f t="shared" si="9"/>
        <v>0.34080000000000005</v>
      </c>
      <c r="R31" s="38">
        <v>2.2720000000000002</v>
      </c>
      <c r="S31" s="150">
        <v>105991.94</v>
      </c>
      <c r="T31" s="25">
        <f t="shared" si="10"/>
        <v>3391.74208</v>
      </c>
      <c r="U31" s="28"/>
      <c r="V31" s="28"/>
      <c r="W31" s="28" t="s">
        <v>568</v>
      </c>
      <c r="X31" s="25">
        <v>678037</v>
      </c>
      <c r="Y31" s="9" t="s">
        <v>564</v>
      </c>
      <c r="Z31" s="15" t="s">
        <v>63</v>
      </c>
      <c r="AA31" s="178">
        <v>8</v>
      </c>
      <c r="AB31" s="187">
        <v>2901</v>
      </c>
      <c r="AC31" s="6"/>
      <c r="AD31" s="46">
        <f t="shared" si="16"/>
        <v>9.5999999999999992E-3</v>
      </c>
      <c r="AE31" s="109"/>
      <c r="AF31" s="109"/>
      <c r="AG31" s="110"/>
      <c r="AH31" s="113"/>
      <c r="AI31" s="109"/>
      <c r="AJ31" s="109"/>
      <c r="AK31" s="110"/>
      <c r="AL31" s="113"/>
      <c r="AM31" s="109"/>
      <c r="AN31" s="109"/>
      <c r="AO31" s="110"/>
      <c r="AP31" s="113"/>
      <c r="AQ31" s="8"/>
      <c r="AR31" s="8"/>
      <c r="AS31" s="21"/>
      <c r="AT31" s="20"/>
      <c r="AU31" s="8"/>
      <c r="AV31" s="8"/>
      <c r="AW31" s="21"/>
    </row>
    <row r="32" spans="1:49" ht="30.75" thickBot="1" x14ac:dyDescent="0.3">
      <c r="A32" s="28">
        <v>535</v>
      </c>
      <c r="B32" s="15" t="s">
        <v>28</v>
      </c>
      <c r="C32" s="176" t="s">
        <v>561</v>
      </c>
      <c r="D32" s="147" t="s">
        <v>562</v>
      </c>
      <c r="E32" s="8"/>
      <c r="F32" s="28" t="s">
        <v>126</v>
      </c>
      <c r="G32" s="15"/>
      <c r="H32" s="171" t="s">
        <v>31</v>
      </c>
      <c r="I32" s="15"/>
      <c r="J32" s="25">
        <v>2.8490000000000002</v>
      </c>
      <c r="K32" s="25">
        <f>7.8-K33-K34-K35</f>
        <v>6.6079999999999997</v>
      </c>
      <c r="L32" s="25">
        <v>1</v>
      </c>
      <c r="M32" s="28" t="s">
        <v>33</v>
      </c>
      <c r="N32" s="28">
        <f t="shared" si="6"/>
        <v>71.366399999999985</v>
      </c>
      <c r="O32" s="28">
        <f t="shared" si="7"/>
        <v>83.260799999999989</v>
      </c>
      <c r="P32" s="28">
        <f t="shared" si="8"/>
        <v>47.577599999999997</v>
      </c>
      <c r="Q32" s="28">
        <f t="shared" si="9"/>
        <v>35.683199999999992</v>
      </c>
      <c r="R32" s="38">
        <f>K32*36</f>
        <v>237.88799999999998</v>
      </c>
      <c r="S32" s="170">
        <v>105991.94</v>
      </c>
      <c r="T32" s="9">
        <f t="shared" si="10"/>
        <v>700394.73951999994</v>
      </c>
      <c r="U32" s="15"/>
      <c r="V32" s="15"/>
      <c r="W32" s="28" t="s">
        <v>565</v>
      </c>
      <c r="X32" s="25">
        <v>678038</v>
      </c>
      <c r="Y32" s="9" t="s">
        <v>564</v>
      </c>
      <c r="Z32" s="15" t="s">
        <v>126</v>
      </c>
      <c r="AA32" s="178">
        <v>1</v>
      </c>
      <c r="AB32" s="187">
        <v>2901</v>
      </c>
      <c r="AC32" s="6"/>
      <c r="AD32" s="46">
        <f t="shared" si="16"/>
        <v>1.9823999999999997</v>
      </c>
      <c r="AE32" s="109"/>
      <c r="AF32" s="109"/>
      <c r="AG32" s="110"/>
      <c r="AH32" s="113"/>
      <c r="AI32" s="304">
        <f t="shared" ref="AI32:AI34" si="21">K32*0.35</f>
        <v>2.3127999999999997</v>
      </c>
      <c r="AJ32" s="109"/>
      <c r="AK32" s="110"/>
      <c r="AL32" s="113"/>
      <c r="AM32" s="199"/>
      <c r="AN32" s="304">
        <f t="shared" si="14"/>
        <v>1.3216000000000001</v>
      </c>
      <c r="AO32" s="110"/>
      <c r="AP32" s="113"/>
      <c r="AQ32" s="199"/>
      <c r="AR32" s="109"/>
      <c r="AS32" s="300"/>
      <c r="AT32" s="20"/>
      <c r="AU32" s="34"/>
      <c r="AV32" s="8"/>
      <c r="AW32" s="21"/>
    </row>
    <row r="33" spans="1:49" ht="30.75" thickBot="1" x14ac:dyDescent="0.3">
      <c r="A33" s="28">
        <v>536</v>
      </c>
      <c r="B33" s="15" t="s">
        <v>28</v>
      </c>
      <c r="C33" s="176" t="s">
        <v>561</v>
      </c>
      <c r="D33" s="147" t="s">
        <v>562</v>
      </c>
      <c r="E33" s="8"/>
      <c r="F33" s="28" t="s">
        <v>60</v>
      </c>
      <c r="G33" s="15"/>
      <c r="H33" s="171" t="s">
        <v>31</v>
      </c>
      <c r="I33" s="15"/>
      <c r="J33" s="25">
        <v>0.28999999999999998</v>
      </c>
      <c r="K33" s="25">
        <v>0.28999999999999998</v>
      </c>
      <c r="L33" s="25">
        <v>1</v>
      </c>
      <c r="M33" s="28" t="s">
        <v>33</v>
      </c>
      <c r="N33" s="28">
        <f t="shared" si="6"/>
        <v>4.5239999999999991</v>
      </c>
      <c r="O33" s="28">
        <f t="shared" si="7"/>
        <v>5.2779999999999987</v>
      </c>
      <c r="P33" s="28">
        <f t="shared" si="8"/>
        <v>3.016</v>
      </c>
      <c r="Q33" s="28">
        <f t="shared" si="9"/>
        <v>2.2619999999999996</v>
      </c>
      <c r="R33" s="38">
        <v>15.079999999999998</v>
      </c>
      <c r="S33" s="170">
        <v>105991.94</v>
      </c>
      <c r="T33" s="9">
        <f t="shared" si="10"/>
        <v>30737.6626</v>
      </c>
      <c r="U33" s="15"/>
      <c r="V33" s="15"/>
      <c r="W33" s="28" t="s">
        <v>566</v>
      </c>
      <c r="X33" s="25">
        <v>678038</v>
      </c>
      <c r="Y33" s="9" t="s">
        <v>564</v>
      </c>
      <c r="Z33" s="15" t="s">
        <v>60</v>
      </c>
      <c r="AA33" s="178">
        <v>2</v>
      </c>
      <c r="AB33" s="187">
        <v>2901</v>
      </c>
      <c r="AC33" s="6"/>
      <c r="AD33" s="46">
        <f t="shared" si="16"/>
        <v>8.6999999999999994E-2</v>
      </c>
      <c r="AE33" s="109"/>
      <c r="AF33" s="109"/>
      <c r="AG33" s="110"/>
      <c r="AH33" s="113"/>
      <c r="AI33" s="304">
        <f t="shared" si="21"/>
        <v>0.10149999999999999</v>
      </c>
      <c r="AJ33" s="109"/>
      <c r="AK33" s="110"/>
      <c r="AL33" s="113"/>
      <c r="AM33" s="199"/>
      <c r="AN33" s="304">
        <f t="shared" si="14"/>
        <v>5.7999999999999996E-2</v>
      </c>
      <c r="AO33" s="110"/>
      <c r="AP33" s="113"/>
      <c r="AQ33" s="199"/>
      <c r="AR33" s="109"/>
      <c r="AS33" s="300"/>
      <c r="AT33" s="20"/>
      <c r="AU33" s="34"/>
      <c r="AV33" s="8"/>
      <c r="AW33" s="21"/>
    </row>
    <row r="34" spans="1:49" ht="30" x14ac:dyDescent="0.25">
      <c r="A34" s="28">
        <v>537</v>
      </c>
      <c r="B34" s="15" t="s">
        <v>28</v>
      </c>
      <c r="C34" s="176" t="s">
        <v>561</v>
      </c>
      <c r="D34" s="147" t="s">
        <v>562</v>
      </c>
      <c r="E34" s="8"/>
      <c r="F34" s="28" t="s">
        <v>60</v>
      </c>
      <c r="G34" s="15"/>
      <c r="H34" s="171" t="s">
        <v>31</v>
      </c>
      <c r="I34" s="15"/>
      <c r="J34" s="25">
        <v>0.28999999999999998</v>
      </c>
      <c r="K34" s="25">
        <v>0.86999999999999988</v>
      </c>
      <c r="L34" s="25">
        <v>3</v>
      </c>
      <c r="M34" s="28" t="s">
        <v>33</v>
      </c>
      <c r="N34" s="28">
        <f t="shared" si="6"/>
        <v>13.571999999999997</v>
      </c>
      <c r="O34" s="28">
        <f t="shared" si="7"/>
        <v>15.833999999999998</v>
      </c>
      <c r="P34" s="28">
        <f t="shared" si="8"/>
        <v>9.048</v>
      </c>
      <c r="Q34" s="28">
        <f t="shared" si="9"/>
        <v>6.7859999999999987</v>
      </c>
      <c r="R34" s="38">
        <v>45.239999999999995</v>
      </c>
      <c r="S34" s="170">
        <v>105991.94</v>
      </c>
      <c r="T34" s="9">
        <f t="shared" si="10"/>
        <v>92212.987799999988</v>
      </c>
      <c r="U34" s="15"/>
      <c r="V34" s="15"/>
      <c r="W34" s="28" t="s">
        <v>567</v>
      </c>
      <c r="X34" s="25">
        <v>678038</v>
      </c>
      <c r="Y34" s="9" t="s">
        <v>564</v>
      </c>
      <c r="Z34" s="15" t="s">
        <v>60</v>
      </c>
      <c r="AA34" s="178">
        <v>3</v>
      </c>
      <c r="AB34" s="187">
        <v>2901</v>
      </c>
      <c r="AC34" s="6"/>
      <c r="AD34" s="46">
        <f t="shared" si="16"/>
        <v>0.26099999999999995</v>
      </c>
      <c r="AE34" s="109"/>
      <c r="AF34" s="109"/>
      <c r="AG34" s="110"/>
      <c r="AH34" s="113"/>
      <c r="AI34" s="304">
        <f t="shared" si="21"/>
        <v>0.30449999999999994</v>
      </c>
      <c r="AJ34" s="109"/>
      <c r="AK34" s="110"/>
      <c r="AL34" s="113"/>
      <c r="AM34" s="199"/>
      <c r="AN34" s="304">
        <f t="shared" si="14"/>
        <v>0.17399999999999999</v>
      </c>
      <c r="AO34" s="110"/>
      <c r="AP34" s="113"/>
      <c r="AQ34" s="199"/>
      <c r="AR34" s="109"/>
      <c r="AS34" s="300"/>
      <c r="AT34" s="20"/>
      <c r="AU34" s="34"/>
      <c r="AV34" s="8"/>
      <c r="AW34" s="21"/>
    </row>
    <row r="35" spans="1:49" ht="30" x14ac:dyDescent="0.25">
      <c r="A35" s="28">
        <v>538</v>
      </c>
      <c r="B35" s="15" t="s">
        <v>28</v>
      </c>
      <c r="C35" s="176" t="s">
        <v>561</v>
      </c>
      <c r="D35" s="147" t="s">
        <v>562</v>
      </c>
      <c r="E35" s="8"/>
      <c r="F35" s="28" t="s">
        <v>63</v>
      </c>
      <c r="G35" s="15"/>
      <c r="H35" s="171" t="s">
        <v>31</v>
      </c>
      <c r="I35" s="15"/>
      <c r="J35" s="25">
        <v>3.2000000000000001E-2</v>
      </c>
      <c r="K35" s="25">
        <v>3.2000000000000001E-2</v>
      </c>
      <c r="L35" s="25">
        <v>1</v>
      </c>
      <c r="M35" s="28" t="s">
        <v>33</v>
      </c>
      <c r="N35" s="28">
        <f t="shared" si="6"/>
        <v>0.68160000000000009</v>
      </c>
      <c r="O35" s="28">
        <f t="shared" si="7"/>
        <v>0.79520000000000002</v>
      </c>
      <c r="P35" s="28">
        <f t="shared" si="8"/>
        <v>0.45440000000000008</v>
      </c>
      <c r="Q35" s="28">
        <f t="shared" si="9"/>
        <v>0.34080000000000005</v>
      </c>
      <c r="R35" s="38">
        <v>2.2720000000000002</v>
      </c>
      <c r="S35" s="170">
        <v>105991.94</v>
      </c>
      <c r="T35" s="9">
        <f t="shared" si="10"/>
        <v>3391.74208</v>
      </c>
      <c r="U35" s="15"/>
      <c r="V35" s="15"/>
      <c r="W35" s="28" t="s">
        <v>568</v>
      </c>
      <c r="X35" s="25">
        <v>678038</v>
      </c>
      <c r="Y35" s="9" t="s">
        <v>564</v>
      </c>
      <c r="Z35" s="15" t="s">
        <v>63</v>
      </c>
      <c r="AA35" s="178">
        <v>4</v>
      </c>
      <c r="AB35" s="187">
        <v>2901</v>
      </c>
      <c r="AC35" s="6"/>
      <c r="AD35" s="46">
        <f t="shared" si="16"/>
        <v>9.5999999999999992E-3</v>
      </c>
      <c r="AE35" s="109"/>
      <c r="AF35" s="109"/>
      <c r="AG35" s="110"/>
      <c r="AH35" s="113"/>
      <c r="AI35" s="109"/>
      <c r="AJ35" s="109"/>
      <c r="AK35" s="110"/>
      <c r="AL35" s="113"/>
      <c r="AM35" s="109"/>
      <c r="AN35" s="109"/>
      <c r="AO35" s="110"/>
      <c r="AP35" s="113"/>
      <c r="AQ35" s="8"/>
      <c r="AR35" s="8"/>
      <c r="AS35" s="21"/>
      <c r="AT35" s="20"/>
      <c r="AU35" s="8"/>
      <c r="AV35" s="8"/>
      <c r="AW35" s="21"/>
    </row>
    <row r="36" spans="1:49" ht="30" hidden="1" x14ac:dyDescent="0.25">
      <c r="A36" s="15">
        <v>539</v>
      </c>
      <c r="B36" s="15" t="s">
        <v>28</v>
      </c>
      <c r="C36" s="176" t="s">
        <v>561</v>
      </c>
      <c r="D36" s="30" t="s">
        <v>562</v>
      </c>
      <c r="E36" s="8"/>
      <c r="F36" s="15" t="s">
        <v>109</v>
      </c>
      <c r="G36" s="15"/>
      <c r="H36" s="171" t="s">
        <v>31</v>
      </c>
      <c r="I36" s="15"/>
      <c r="J36" s="9">
        <v>1.48</v>
      </c>
      <c r="K36" s="9">
        <v>1.48</v>
      </c>
      <c r="L36" s="9">
        <v>1</v>
      </c>
      <c r="M36" s="15" t="s">
        <v>33</v>
      </c>
      <c r="N36" s="15">
        <f t="shared" si="6"/>
        <v>15.984</v>
      </c>
      <c r="O36" s="15">
        <f t="shared" si="7"/>
        <v>18.648</v>
      </c>
      <c r="P36" s="15">
        <f t="shared" si="8"/>
        <v>10.656000000000001</v>
      </c>
      <c r="Q36" s="15">
        <f t="shared" si="9"/>
        <v>7.992</v>
      </c>
      <c r="R36" s="38">
        <v>53.28</v>
      </c>
      <c r="S36" s="170">
        <v>105991.94</v>
      </c>
      <c r="T36" s="9">
        <f t="shared" si="10"/>
        <v>156868.07120000001</v>
      </c>
      <c r="U36" s="15"/>
      <c r="V36" s="15"/>
      <c r="W36" s="12" t="s">
        <v>570</v>
      </c>
      <c r="X36" s="9">
        <v>678039</v>
      </c>
      <c r="Y36" s="9" t="s">
        <v>564</v>
      </c>
      <c r="Z36" s="15" t="s">
        <v>109</v>
      </c>
      <c r="AA36" s="178">
        <v>1</v>
      </c>
      <c r="AB36" s="187">
        <v>2901</v>
      </c>
      <c r="AC36" s="6"/>
      <c r="AD36" s="113"/>
      <c r="AE36" s="109"/>
      <c r="AF36" s="109"/>
      <c r="AG36" s="110"/>
      <c r="AH36" s="113"/>
      <c r="AI36" s="109"/>
      <c r="AJ36" s="109"/>
      <c r="AK36" s="110"/>
      <c r="AL36" s="113"/>
      <c r="AM36" s="109"/>
      <c r="AN36" s="109"/>
      <c r="AO36" s="110"/>
      <c r="AP36" s="20"/>
      <c r="AQ36" s="8"/>
      <c r="AR36" s="8"/>
      <c r="AS36" s="21"/>
      <c r="AT36" s="20"/>
      <c r="AU36" s="8"/>
      <c r="AV36" s="8"/>
      <c r="AW36" s="21"/>
    </row>
    <row r="37" spans="1:49" ht="30" hidden="1" x14ac:dyDescent="0.25">
      <c r="A37" s="15">
        <v>540</v>
      </c>
      <c r="B37" s="15" t="s">
        <v>28</v>
      </c>
      <c r="C37" s="176" t="s">
        <v>561</v>
      </c>
      <c r="D37" s="30" t="s">
        <v>562</v>
      </c>
      <c r="E37" s="8"/>
      <c r="F37" s="15" t="s">
        <v>109</v>
      </c>
      <c r="G37" s="15"/>
      <c r="H37" s="171" t="s">
        <v>31</v>
      </c>
      <c r="I37" s="15"/>
      <c r="J37" s="9">
        <v>1.48</v>
      </c>
      <c r="K37" s="9">
        <v>1.48</v>
      </c>
      <c r="L37" s="9">
        <v>1</v>
      </c>
      <c r="M37" s="15" t="s">
        <v>33</v>
      </c>
      <c r="N37" s="15">
        <f t="shared" si="6"/>
        <v>15.984</v>
      </c>
      <c r="O37" s="15">
        <f t="shared" si="7"/>
        <v>18.648</v>
      </c>
      <c r="P37" s="15">
        <f t="shared" si="8"/>
        <v>10.656000000000001</v>
      </c>
      <c r="Q37" s="15">
        <f t="shared" si="9"/>
        <v>7.992</v>
      </c>
      <c r="R37" s="38">
        <v>53.28</v>
      </c>
      <c r="S37" s="170">
        <v>105991.94</v>
      </c>
      <c r="T37" s="9">
        <f t="shared" si="10"/>
        <v>156868.07120000001</v>
      </c>
      <c r="U37" s="15"/>
      <c r="V37" s="15"/>
      <c r="W37" s="12" t="s">
        <v>570</v>
      </c>
      <c r="X37" s="9">
        <v>678039</v>
      </c>
      <c r="Y37" s="9" t="s">
        <v>564</v>
      </c>
      <c r="Z37" s="15" t="s">
        <v>109</v>
      </c>
      <c r="AA37" s="178">
        <v>2</v>
      </c>
      <c r="AB37" s="187">
        <v>2901</v>
      </c>
      <c r="AC37" s="6"/>
      <c r="AD37" s="113"/>
      <c r="AE37" s="109"/>
      <c r="AF37" s="109"/>
      <c r="AG37" s="110"/>
      <c r="AH37" s="113"/>
      <c r="AI37" s="109"/>
      <c r="AJ37" s="109"/>
      <c r="AK37" s="110"/>
      <c r="AL37" s="113"/>
      <c r="AM37" s="109"/>
      <c r="AN37" s="109"/>
      <c r="AO37" s="110"/>
      <c r="AP37" s="20"/>
      <c r="AQ37" s="8"/>
      <c r="AR37" s="8"/>
      <c r="AS37" s="21"/>
      <c r="AT37" s="20"/>
      <c r="AU37" s="8"/>
      <c r="AV37" s="8"/>
      <c r="AW37" s="21"/>
    </row>
    <row r="38" spans="1:49" ht="30" hidden="1" x14ac:dyDescent="0.25">
      <c r="A38" s="15">
        <v>541</v>
      </c>
      <c r="B38" s="15" t="s">
        <v>28</v>
      </c>
      <c r="C38" s="176" t="s">
        <v>561</v>
      </c>
      <c r="D38" s="30" t="s">
        <v>562</v>
      </c>
      <c r="E38" s="8"/>
      <c r="F38" s="15" t="s">
        <v>109</v>
      </c>
      <c r="G38" s="15"/>
      <c r="H38" s="171" t="s">
        <v>31</v>
      </c>
      <c r="I38" s="15"/>
      <c r="J38" s="9">
        <v>1.48</v>
      </c>
      <c r="K38" s="9">
        <v>1.48</v>
      </c>
      <c r="L38" s="9">
        <v>1</v>
      </c>
      <c r="M38" s="15" t="s">
        <v>33</v>
      </c>
      <c r="N38" s="15">
        <f t="shared" si="6"/>
        <v>15.984</v>
      </c>
      <c r="O38" s="15">
        <f t="shared" si="7"/>
        <v>18.648</v>
      </c>
      <c r="P38" s="15">
        <f t="shared" si="8"/>
        <v>10.656000000000001</v>
      </c>
      <c r="Q38" s="15">
        <f t="shared" si="9"/>
        <v>7.992</v>
      </c>
      <c r="R38" s="38">
        <v>53.28</v>
      </c>
      <c r="S38" s="170">
        <v>105991.94</v>
      </c>
      <c r="T38" s="9">
        <f t="shared" si="10"/>
        <v>156868.07120000001</v>
      </c>
      <c r="U38" s="15"/>
      <c r="V38" s="15"/>
      <c r="W38" s="12" t="s">
        <v>570</v>
      </c>
      <c r="X38" s="9">
        <v>678039</v>
      </c>
      <c r="Y38" s="9" t="s">
        <v>564</v>
      </c>
      <c r="Z38" s="15" t="s">
        <v>109</v>
      </c>
      <c r="AA38" s="178">
        <v>3</v>
      </c>
      <c r="AB38" s="187">
        <v>2901</v>
      </c>
      <c r="AC38" s="6"/>
      <c r="AD38" s="113"/>
      <c r="AE38" s="109"/>
      <c r="AF38" s="109"/>
      <c r="AG38" s="110"/>
      <c r="AH38" s="113"/>
      <c r="AI38" s="109"/>
      <c r="AJ38" s="109"/>
      <c r="AK38" s="110"/>
      <c r="AL38" s="113"/>
      <c r="AM38" s="109"/>
      <c r="AN38" s="109"/>
      <c r="AO38" s="110"/>
      <c r="AP38" s="20"/>
      <c r="AQ38" s="8"/>
      <c r="AR38" s="8"/>
      <c r="AS38" s="21"/>
      <c r="AT38" s="20"/>
      <c r="AU38" s="8"/>
      <c r="AV38" s="8"/>
      <c r="AW38" s="21"/>
    </row>
    <row r="39" spans="1:49" ht="30" hidden="1" x14ac:dyDescent="0.25">
      <c r="A39" s="15">
        <v>542</v>
      </c>
      <c r="B39" s="15" t="s">
        <v>28</v>
      </c>
      <c r="C39" s="176" t="s">
        <v>561</v>
      </c>
      <c r="D39" s="30" t="s">
        <v>562</v>
      </c>
      <c r="E39" s="8"/>
      <c r="F39" s="15" t="s">
        <v>109</v>
      </c>
      <c r="G39" s="15"/>
      <c r="H39" s="171" t="s">
        <v>31</v>
      </c>
      <c r="I39" s="15"/>
      <c r="J39" s="9">
        <v>1.48</v>
      </c>
      <c r="K39" s="9">
        <v>1.48</v>
      </c>
      <c r="L39" s="9">
        <v>1</v>
      </c>
      <c r="M39" s="15" t="s">
        <v>33</v>
      </c>
      <c r="N39" s="15">
        <f t="shared" si="6"/>
        <v>15.984</v>
      </c>
      <c r="O39" s="15">
        <f t="shared" si="7"/>
        <v>18.648</v>
      </c>
      <c r="P39" s="15">
        <f t="shared" si="8"/>
        <v>10.656000000000001</v>
      </c>
      <c r="Q39" s="15">
        <f t="shared" si="9"/>
        <v>7.992</v>
      </c>
      <c r="R39" s="38">
        <v>53.28</v>
      </c>
      <c r="S39" s="170">
        <v>105991.94</v>
      </c>
      <c r="T39" s="9">
        <f t="shared" si="10"/>
        <v>156868.07120000001</v>
      </c>
      <c r="U39" s="15"/>
      <c r="V39" s="15"/>
      <c r="W39" s="12" t="s">
        <v>570</v>
      </c>
      <c r="X39" s="9">
        <v>678039</v>
      </c>
      <c r="Y39" s="9" t="s">
        <v>564</v>
      </c>
      <c r="Z39" s="15" t="s">
        <v>109</v>
      </c>
      <c r="AA39" s="178">
        <v>4</v>
      </c>
      <c r="AB39" s="187">
        <v>2901</v>
      </c>
      <c r="AC39" s="6"/>
      <c r="AD39" s="113"/>
      <c r="AE39" s="109"/>
      <c r="AF39" s="109"/>
      <c r="AG39" s="110"/>
      <c r="AH39" s="113"/>
      <c r="AI39" s="109"/>
      <c r="AJ39" s="109"/>
      <c r="AK39" s="110"/>
      <c r="AL39" s="113"/>
      <c r="AM39" s="109"/>
      <c r="AN39" s="109"/>
      <c r="AO39" s="110"/>
      <c r="AP39" s="20"/>
      <c r="AQ39" s="8"/>
      <c r="AR39" s="8"/>
      <c r="AS39" s="21"/>
      <c r="AT39" s="20"/>
      <c r="AU39" s="8"/>
      <c r="AV39" s="8"/>
      <c r="AW39" s="21"/>
    </row>
    <row r="40" spans="1:49" ht="30" hidden="1" x14ac:dyDescent="0.25">
      <c r="A40" s="15">
        <v>543</v>
      </c>
      <c r="B40" s="15" t="s">
        <v>28</v>
      </c>
      <c r="C40" s="176" t="s">
        <v>561</v>
      </c>
      <c r="D40" s="30" t="s">
        <v>562</v>
      </c>
      <c r="E40" s="8"/>
      <c r="F40" s="15" t="s">
        <v>109</v>
      </c>
      <c r="G40" s="15"/>
      <c r="H40" s="171" t="s">
        <v>31</v>
      </c>
      <c r="I40" s="15"/>
      <c r="J40" s="9">
        <v>1.48</v>
      </c>
      <c r="K40" s="9">
        <v>1.48</v>
      </c>
      <c r="L40" s="9">
        <v>1</v>
      </c>
      <c r="M40" s="15" t="s">
        <v>33</v>
      </c>
      <c r="N40" s="15">
        <f t="shared" si="6"/>
        <v>15.984</v>
      </c>
      <c r="O40" s="15">
        <f t="shared" si="7"/>
        <v>18.648</v>
      </c>
      <c r="P40" s="15">
        <f t="shared" si="8"/>
        <v>10.656000000000001</v>
      </c>
      <c r="Q40" s="15">
        <f t="shared" si="9"/>
        <v>7.992</v>
      </c>
      <c r="R40" s="38">
        <v>53.28</v>
      </c>
      <c r="S40" s="170">
        <v>105991.94</v>
      </c>
      <c r="T40" s="9">
        <f t="shared" si="10"/>
        <v>156868.07120000001</v>
      </c>
      <c r="U40" s="15"/>
      <c r="V40" s="15"/>
      <c r="W40" s="12" t="s">
        <v>570</v>
      </c>
      <c r="X40" s="9">
        <v>678039</v>
      </c>
      <c r="Y40" s="9" t="s">
        <v>564</v>
      </c>
      <c r="Z40" s="15" t="s">
        <v>109</v>
      </c>
      <c r="AA40" s="178">
        <v>5</v>
      </c>
      <c r="AB40" s="187">
        <v>2901</v>
      </c>
      <c r="AC40" s="6"/>
      <c r="AD40" s="113"/>
      <c r="AE40" s="109"/>
      <c r="AF40" s="109"/>
      <c r="AG40" s="110"/>
      <c r="AH40" s="113"/>
      <c r="AI40" s="109"/>
      <c r="AJ40" s="109"/>
      <c r="AK40" s="110"/>
      <c r="AL40" s="113"/>
      <c r="AM40" s="109"/>
      <c r="AN40" s="109"/>
      <c r="AO40" s="110"/>
      <c r="AP40" s="20"/>
      <c r="AQ40" s="8"/>
      <c r="AR40" s="8"/>
      <c r="AS40" s="21"/>
      <c r="AT40" s="20"/>
      <c r="AU40" s="8"/>
      <c r="AV40" s="8"/>
      <c r="AW40" s="21"/>
    </row>
    <row r="41" spans="1:49" ht="30" hidden="1" x14ac:dyDescent="0.25">
      <c r="A41" s="15">
        <v>544</v>
      </c>
      <c r="B41" s="15" t="s">
        <v>28</v>
      </c>
      <c r="C41" s="176" t="s">
        <v>561</v>
      </c>
      <c r="D41" s="30" t="s">
        <v>562</v>
      </c>
      <c r="E41" s="8"/>
      <c r="F41" s="15" t="s">
        <v>109</v>
      </c>
      <c r="G41" s="15"/>
      <c r="H41" s="171" t="s">
        <v>31</v>
      </c>
      <c r="I41" s="15"/>
      <c r="J41" s="9">
        <v>1.48</v>
      </c>
      <c r="K41" s="9">
        <v>1.48</v>
      </c>
      <c r="L41" s="9">
        <v>1</v>
      </c>
      <c r="M41" s="15" t="s">
        <v>33</v>
      </c>
      <c r="N41" s="15">
        <f t="shared" si="6"/>
        <v>15.984</v>
      </c>
      <c r="O41" s="15">
        <f t="shared" si="7"/>
        <v>18.648</v>
      </c>
      <c r="P41" s="15">
        <f t="shared" si="8"/>
        <v>10.656000000000001</v>
      </c>
      <c r="Q41" s="15">
        <f t="shared" si="9"/>
        <v>7.992</v>
      </c>
      <c r="R41" s="38">
        <v>53.28</v>
      </c>
      <c r="S41" s="170">
        <v>105991.94</v>
      </c>
      <c r="T41" s="9">
        <f t="shared" si="10"/>
        <v>156868.07120000001</v>
      </c>
      <c r="U41" s="15"/>
      <c r="V41" s="15"/>
      <c r="W41" s="12" t="s">
        <v>570</v>
      </c>
      <c r="X41" s="9">
        <v>678039</v>
      </c>
      <c r="Y41" s="9" t="s">
        <v>564</v>
      </c>
      <c r="Z41" s="15" t="s">
        <v>109</v>
      </c>
      <c r="AA41" s="178">
        <v>6</v>
      </c>
      <c r="AB41" s="187">
        <v>2901</v>
      </c>
      <c r="AC41" s="6"/>
      <c r="AD41" s="113"/>
      <c r="AE41" s="109"/>
      <c r="AF41" s="109"/>
      <c r="AG41" s="110"/>
      <c r="AH41" s="113"/>
      <c r="AI41" s="109"/>
      <c r="AJ41" s="109"/>
      <c r="AK41" s="110"/>
      <c r="AL41" s="113"/>
      <c r="AM41" s="109"/>
      <c r="AN41" s="109"/>
      <c r="AO41" s="110"/>
      <c r="AP41" s="20"/>
      <c r="AQ41" s="8"/>
      <c r="AR41" s="8"/>
      <c r="AS41" s="21"/>
      <c r="AT41" s="20"/>
      <c r="AU41" s="8"/>
      <c r="AV41" s="8"/>
      <c r="AW41" s="21"/>
    </row>
    <row r="42" spans="1:49" ht="30" hidden="1" x14ac:dyDescent="0.25">
      <c r="A42" s="15">
        <v>545</v>
      </c>
      <c r="B42" s="15" t="s">
        <v>28</v>
      </c>
      <c r="C42" s="176" t="s">
        <v>561</v>
      </c>
      <c r="D42" s="30" t="s">
        <v>562</v>
      </c>
      <c r="E42" s="8"/>
      <c r="F42" s="15" t="s">
        <v>109</v>
      </c>
      <c r="G42" s="15"/>
      <c r="H42" s="171" t="s">
        <v>31</v>
      </c>
      <c r="I42" s="15"/>
      <c r="J42" s="9">
        <v>1.48</v>
      </c>
      <c r="K42" s="9">
        <v>1.48</v>
      </c>
      <c r="L42" s="9">
        <v>1</v>
      </c>
      <c r="M42" s="15" t="s">
        <v>33</v>
      </c>
      <c r="N42" s="15">
        <f t="shared" si="6"/>
        <v>15.984</v>
      </c>
      <c r="O42" s="15">
        <f t="shared" si="7"/>
        <v>18.648</v>
      </c>
      <c r="P42" s="15">
        <f t="shared" si="8"/>
        <v>10.656000000000001</v>
      </c>
      <c r="Q42" s="15">
        <f t="shared" si="9"/>
        <v>7.992</v>
      </c>
      <c r="R42" s="38">
        <v>53.28</v>
      </c>
      <c r="S42" s="170">
        <v>105991.94</v>
      </c>
      <c r="T42" s="9">
        <f t="shared" si="10"/>
        <v>156868.07120000001</v>
      </c>
      <c r="U42" s="15"/>
      <c r="V42" s="15"/>
      <c r="W42" s="12" t="s">
        <v>570</v>
      </c>
      <c r="X42" s="9">
        <v>678039</v>
      </c>
      <c r="Y42" s="9" t="s">
        <v>564</v>
      </c>
      <c r="Z42" s="15" t="s">
        <v>109</v>
      </c>
      <c r="AA42" s="178">
        <v>7</v>
      </c>
      <c r="AB42" s="187">
        <v>2901</v>
      </c>
      <c r="AC42" s="6"/>
      <c r="AD42" s="113"/>
      <c r="AE42" s="109"/>
      <c r="AF42" s="109"/>
      <c r="AG42" s="110"/>
      <c r="AH42" s="113"/>
      <c r="AI42" s="109"/>
      <c r="AJ42" s="109"/>
      <c r="AK42" s="110"/>
      <c r="AL42" s="113"/>
      <c r="AM42" s="109"/>
      <c r="AN42" s="109"/>
      <c r="AO42" s="110"/>
      <c r="AP42" s="20"/>
      <c r="AQ42" s="8"/>
      <c r="AR42" s="8"/>
      <c r="AS42" s="21"/>
      <c r="AT42" s="20"/>
      <c r="AU42" s="8"/>
      <c r="AV42" s="8"/>
      <c r="AW42" s="21"/>
    </row>
    <row r="43" spans="1:49" ht="30" hidden="1" x14ac:dyDescent="0.25">
      <c r="A43" s="15">
        <v>546</v>
      </c>
      <c r="B43" s="15" t="s">
        <v>28</v>
      </c>
      <c r="C43" s="176" t="s">
        <v>561</v>
      </c>
      <c r="D43" s="30" t="s">
        <v>562</v>
      </c>
      <c r="E43" s="8"/>
      <c r="F43" s="15" t="s">
        <v>109</v>
      </c>
      <c r="G43" s="15"/>
      <c r="H43" s="171" t="s">
        <v>31</v>
      </c>
      <c r="I43" s="15"/>
      <c r="J43" s="9">
        <v>1.48</v>
      </c>
      <c r="K43" s="9">
        <v>1.48</v>
      </c>
      <c r="L43" s="9">
        <v>1</v>
      </c>
      <c r="M43" s="15" t="s">
        <v>33</v>
      </c>
      <c r="N43" s="15">
        <f t="shared" si="6"/>
        <v>15.984</v>
      </c>
      <c r="O43" s="15">
        <f t="shared" si="7"/>
        <v>18.648</v>
      </c>
      <c r="P43" s="15">
        <f t="shared" si="8"/>
        <v>10.656000000000001</v>
      </c>
      <c r="Q43" s="15">
        <f t="shared" si="9"/>
        <v>7.992</v>
      </c>
      <c r="R43" s="38">
        <v>53.28</v>
      </c>
      <c r="S43" s="170">
        <v>105991.94</v>
      </c>
      <c r="T43" s="9">
        <f t="shared" si="10"/>
        <v>156868.07120000001</v>
      </c>
      <c r="U43" s="15"/>
      <c r="V43" s="15"/>
      <c r="W43" s="12" t="s">
        <v>570</v>
      </c>
      <c r="X43" s="9">
        <v>678039</v>
      </c>
      <c r="Y43" s="9" t="s">
        <v>564</v>
      </c>
      <c r="Z43" s="15" t="s">
        <v>109</v>
      </c>
      <c r="AA43" s="178">
        <v>8</v>
      </c>
      <c r="AB43" s="187">
        <v>2901</v>
      </c>
      <c r="AC43" s="6"/>
      <c r="AD43" s="113"/>
      <c r="AE43" s="109"/>
      <c r="AF43" s="109"/>
      <c r="AG43" s="110"/>
      <c r="AH43" s="113"/>
      <c r="AI43" s="109"/>
      <c r="AJ43" s="109"/>
      <c r="AK43" s="110"/>
      <c r="AL43" s="113"/>
      <c r="AM43" s="109"/>
      <c r="AN43" s="109"/>
      <c r="AO43" s="110"/>
      <c r="AP43" s="20"/>
      <c r="AQ43" s="8"/>
      <c r="AR43" s="8"/>
      <c r="AS43" s="21"/>
      <c r="AT43" s="20"/>
      <c r="AU43" s="8"/>
      <c r="AV43" s="8"/>
      <c r="AW43" s="21"/>
    </row>
    <row r="44" spans="1:49" ht="30" x14ac:dyDescent="0.25">
      <c r="A44" s="28">
        <v>547</v>
      </c>
      <c r="B44" s="28" t="s">
        <v>28</v>
      </c>
      <c r="C44" s="28" t="s">
        <v>561</v>
      </c>
      <c r="D44" s="147" t="s">
        <v>562</v>
      </c>
      <c r="E44" s="24"/>
      <c r="F44" s="28" t="s">
        <v>109</v>
      </c>
      <c r="G44" s="28"/>
      <c r="H44" s="148" t="s">
        <v>31</v>
      </c>
      <c r="I44" s="28"/>
      <c r="J44" s="25">
        <v>0.03</v>
      </c>
      <c r="K44" s="25">
        <v>0.27</v>
      </c>
      <c r="L44" s="25">
        <v>9</v>
      </c>
      <c r="M44" s="28" t="s">
        <v>33</v>
      </c>
      <c r="N44" s="28">
        <f t="shared" si="6"/>
        <v>5.7510000000000003</v>
      </c>
      <c r="O44" s="28">
        <f t="shared" si="7"/>
        <v>6.7095000000000002</v>
      </c>
      <c r="P44" s="28">
        <f t="shared" si="8"/>
        <v>3.8340000000000005</v>
      </c>
      <c r="Q44" s="28">
        <f t="shared" si="9"/>
        <v>2.8755000000000002</v>
      </c>
      <c r="R44" s="38">
        <v>19.170000000000002</v>
      </c>
      <c r="S44" s="150">
        <v>105991.94</v>
      </c>
      <c r="T44" s="25">
        <f t="shared" si="10"/>
        <v>28617.823800000002</v>
      </c>
      <c r="U44" s="28"/>
      <c r="V44" s="28"/>
      <c r="W44" s="28" t="s">
        <v>571</v>
      </c>
      <c r="X44" s="25">
        <v>678043</v>
      </c>
      <c r="Y44" s="9" t="s">
        <v>564</v>
      </c>
      <c r="Z44" s="15" t="s">
        <v>109</v>
      </c>
      <c r="AA44" s="178">
        <v>1</v>
      </c>
      <c r="AB44" s="187">
        <v>2901</v>
      </c>
      <c r="AC44" s="6"/>
      <c r="AD44" s="46">
        <f t="shared" ref="AD44:AD48" si="22">J44*0.3</f>
        <v>8.9999999999999993E-3</v>
      </c>
      <c r="AE44" s="109"/>
      <c r="AF44" s="109"/>
      <c r="AG44" s="110"/>
      <c r="AH44" s="113"/>
      <c r="AI44" s="109"/>
      <c r="AJ44" s="109"/>
      <c r="AK44" s="110"/>
      <c r="AL44" s="113"/>
      <c r="AM44" s="109"/>
      <c r="AN44" s="109"/>
      <c r="AO44" s="110"/>
      <c r="AP44" s="113"/>
      <c r="AQ44" s="8"/>
      <c r="AR44" s="8"/>
      <c r="AS44" s="21"/>
      <c r="AT44" s="20"/>
      <c r="AU44" s="8"/>
      <c r="AV44" s="8"/>
      <c r="AW44" s="21"/>
    </row>
    <row r="45" spans="1:49" ht="30" x14ac:dyDescent="0.25">
      <c r="A45" s="28">
        <v>548</v>
      </c>
      <c r="B45" s="28" t="s">
        <v>28</v>
      </c>
      <c r="C45" s="28" t="s">
        <v>561</v>
      </c>
      <c r="D45" s="147" t="s">
        <v>562</v>
      </c>
      <c r="E45" s="24"/>
      <c r="F45" s="28" t="s">
        <v>109</v>
      </c>
      <c r="G45" s="28"/>
      <c r="H45" s="148" t="s">
        <v>31</v>
      </c>
      <c r="I45" s="28"/>
      <c r="J45" s="25">
        <v>0.6</v>
      </c>
      <c r="K45" s="25">
        <v>1.7999999999999998</v>
      </c>
      <c r="L45" s="25">
        <v>3</v>
      </c>
      <c r="M45" s="28" t="s">
        <v>33</v>
      </c>
      <c r="N45" s="28">
        <f t="shared" si="6"/>
        <v>22.679999999999996</v>
      </c>
      <c r="O45" s="28">
        <f t="shared" si="7"/>
        <v>26.459999999999997</v>
      </c>
      <c r="P45" s="28">
        <f t="shared" si="8"/>
        <v>15.12</v>
      </c>
      <c r="Q45" s="28">
        <f t="shared" si="9"/>
        <v>11.339999999999998</v>
      </c>
      <c r="R45" s="38">
        <v>75.599999999999994</v>
      </c>
      <c r="S45" s="150">
        <v>105991.94</v>
      </c>
      <c r="T45" s="25">
        <f t="shared" si="10"/>
        <v>190785.492</v>
      </c>
      <c r="U45" s="28"/>
      <c r="V45" s="28"/>
      <c r="W45" s="28" t="s">
        <v>572</v>
      </c>
      <c r="X45" s="25">
        <v>678043</v>
      </c>
      <c r="Y45" s="9" t="s">
        <v>564</v>
      </c>
      <c r="Z45" s="15" t="s">
        <v>109</v>
      </c>
      <c r="AA45" s="178">
        <v>2</v>
      </c>
      <c r="AB45" s="187">
        <v>2901</v>
      </c>
      <c r="AC45" s="6"/>
      <c r="AD45" s="46">
        <f t="shared" si="22"/>
        <v>0.18</v>
      </c>
      <c r="AE45" s="109"/>
      <c r="AF45" s="109"/>
      <c r="AG45" s="110"/>
      <c r="AH45" s="113"/>
      <c r="AI45" s="109"/>
      <c r="AJ45" s="109"/>
      <c r="AK45" s="110"/>
      <c r="AL45" s="113"/>
      <c r="AM45" s="109"/>
      <c r="AN45" s="109"/>
      <c r="AO45" s="110"/>
      <c r="AP45" s="113"/>
      <c r="AQ45" s="8"/>
      <c r="AR45" s="8"/>
      <c r="AS45" s="21"/>
      <c r="AT45" s="20"/>
      <c r="AU45" s="8"/>
      <c r="AV45" s="8"/>
      <c r="AW45" s="21"/>
    </row>
    <row r="46" spans="1:49" ht="30" x14ac:dyDescent="0.25">
      <c r="A46" s="28">
        <v>549</v>
      </c>
      <c r="B46" s="28" t="s">
        <v>28</v>
      </c>
      <c r="C46" s="28" t="s">
        <v>561</v>
      </c>
      <c r="D46" s="147" t="s">
        <v>562</v>
      </c>
      <c r="E46" s="24"/>
      <c r="F46" s="28" t="s">
        <v>109</v>
      </c>
      <c r="G46" s="28"/>
      <c r="H46" s="148" t="s">
        <v>31</v>
      </c>
      <c r="I46" s="28"/>
      <c r="J46" s="25">
        <v>0.51</v>
      </c>
      <c r="K46" s="25">
        <v>2.04</v>
      </c>
      <c r="L46" s="25">
        <v>4</v>
      </c>
      <c r="M46" s="28" t="s">
        <v>33</v>
      </c>
      <c r="N46" s="28">
        <f t="shared" si="6"/>
        <v>25.704000000000001</v>
      </c>
      <c r="O46" s="28">
        <f t="shared" si="7"/>
        <v>29.988</v>
      </c>
      <c r="P46" s="28">
        <f t="shared" si="8"/>
        <v>17.136000000000003</v>
      </c>
      <c r="Q46" s="28">
        <f t="shared" si="9"/>
        <v>12.852</v>
      </c>
      <c r="R46" s="38">
        <v>85.68</v>
      </c>
      <c r="S46" s="150">
        <v>105991.94</v>
      </c>
      <c r="T46" s="25">
        <f t="shared" si="10"/>
        <v>216223.5576</v>
      </c>
      <c r="U46" s="28"/>
      <c r="V46" s="28"/>
      <c r="W46" s="28" t="s">
        <v>573</v>
      </c>
      <c r="X46" s="25">
        <v>678043</v>
      </c>
      <c r="Y46" s="9" t="s">
        <v>564</v>
      </c>
      <c r="Z46" s="15" t="s">
        <v>109</v>
      </c>
      <c r="AA46" s="178">
        <v>3</v>
      </c>
      <c r="AB46" s="187">
        <v>2901</v>
      </c>
      <c r="AC46" s="6"/>
      <c r="AD46" s="46">
        <f t="shared" si="22"/>
        <v>0.153</v>
      </c>
      <c r="AE46" s="109"/>
      <c r="AF46" s="109"/>
      <c r="AG46" s="110"/>
      <c r="AH46" s="113"/>
      <c r="AI46" s="109"/>
      <c r="AJ46" s="109"/>
      <c r="AK46" s="110"/>
      <c r="AL46" s="113"/>
      <c r="AM46" s="109"/>
      <c r="AN46" s="109"/>
      <c r="AO46" s="110"/>
      <c r="AP46" s="113"/>
      <c r="AQ46" s="8"/>
      <c r="AR46" s="8"/>
      <c r="AS46" s="21"/>
      <c r="AT46" s="20"/>
      <c r="AU46" s="8"/>
      <c r="AV46" s="8"/>
      <c r="AW46" s="21"/>
    </row>
    <row r="47" spans="1:49" ht="30" x14ac:dyDescent="0.25">
      <c r="A47" s="28">
        <v>550</v>
      </c>
      <c r="B47" s="28" t="s">
        <v>28</v>
      </c>
      <c r="C47" s="28" t="s">
        <v>561</v>
      </c>
      <c r="D47" s="147" t="s">
        <v>562</v>
      </c>
      <c r="E47" s="24"/>
      <c r="F47" s="28" t="s">
        <v>40</v>
      </c>
      <c r="G47" s="28"/>
      <c r="H47" s="148" t="s">
        <v>31</v>
      </c>
      <c r="I47" s="28"/>
      <c r="J47" s="25">
        <v>1.12E-2</v>
      </c>
      <c r="K47" s="25">
        <v>0.112</v>
      </c>
      <c r="L47" s="25">
        <v>10</v>
      </c>
      <c r="M47" s="28" t="s">
        <v>33</v>
      </c>
      <c r="N47" s="28">
        <f t="shared" si="6"/>
        <v>2.3855999999999997</v>
      </c>
      <c r="O47" s="28">
        <f t="shared" si="7"/>
        <v>2.7831999999999999</v>
      </c>
      <c r="P47" s="28">
        <f t="shared" si="8"/>
        <v>1.5904</v>
      </c>
      <c r="Q47" s="28">
        <f t="shared" si="9"/>
        <v>1.1927999999999999</v>
      </c>
      <c r="R47" s="38">
        <v>7.952</v>
      </c>
      <c r="S47" s="150">
        <v>105991.94</v>
      </c>
      <c r="T47" s="25">
        <f t="shared" si="10"/>
        <v>11871.09728</v>
      </c>
      <c r="U47" s="28"/>
      <c r="V47" s="28"/>
      <c r="W47" s="28" t="s">
        <v>574</v>
      </c>
      <c r="X47" s="25">
        <v>678043</v>
      </c>
      <c r="Y47" s="9" t="s">
        <v>564</v>
      </c>
      <c r="Z47" s="15" t="s">
        <v>40</v>
      </c>
      <c r="AA47" s="178">
        <v>4</v>
      </c>
      <c r="AB47" s="187">
        <v>2901</v>
      </c>
      <c r="AC47" s="6"/>
      <c r="AD47" s="46">
        <f t="shared" si="22"/>
        <v>3.3599999999999997E-3</v>
      </c>
      <c r="AE47" s="109"/>
      <c r="AF47" s="109"/>
      <c r="AG47" s="110"/>
      <c r="AH47" s="113"/>
      <c r="AI47" s="109"/>
      <c r="AJ47" s="109"/>
      <c r="AK47" s="110"/>
      <c r="AL47" s="113"/>
      <c r="AM47" s="109"/>
      <c r="AN47" s="109"/>
      <c r="AO47" s="110"/>
      <c r="AP47" s="113"/>
      <c r="AQ47" s="8"/>
      <c r="AR47" s="8"/>
      <c r="AS47" s="21"/>
      <c r="AT47" s="20"/>
      <c r="AU47" s="8"/>
      <c r="AV47" s="8"/>
      <c r="AW47" s="21"/>
    </row>
    <row r="48" spans="1:49" ht="30" x14ac:dyDescent="0.25">
      <c r="A48" s="28">
        <v>551</v>
      </c>
      <c r="B48" s="28" t="s">
        <v>28</v>
      </c>
      <c r="C48" s="28" t="s">
        <v>561</v>
      </c>
      <c r="D48" s="147" t="s">
        <v>562</v>
      </c>
      <c r="E48" s="24"/>
      <c r="F48" s="28" t="s">
        <v>575</v>
      </c>
      <c r="G48" s="28"/>
      <c r="H48" s="148" t="s">
        <v>31</v>
      </c>
      <c r="I48" s="28"/>
      <c r="J48" s="25">
        <v>0.35499999999999998</v>
      </c>
      <c r="K48" s="25">
        <v>0.35499999999999998</v>
      </c>
      <c r="L48" s="25">
        <v>1</v>
      </c>
      <c r="M48" s="28" t="s">
        <v>33</v>
      </c>
      <c r="N48" s="28">
        <f t="shared" si="6"/>
        <v>5.5380000000000003</v>
      </c>
      <c r="O48" s="28">
        <f t="shared" si="7"/>
        <v>6.4610000000000003</v>
      </c>
      <c r="P48" s="28">
        <f t="shared" si="8"/>
        <v>3.6920000000000002</v>
      </c>
      <c r="Q48" s="28">
        <f t="shared" si="9"/>
        <v>2.7690000000000001</v>
      </c>
      <c r="R48" s="38">
        <v>18.46</v>
      </c>
      <c r="S48" s="150">
        <v>105991.94</v>
      </c>
      <c r="T48" s="25">
        <f t="shared" si="10"/>
        <v>37627.138699999996</v>
      </c>
      <c r="U48" s="28"/>
      <c r="V48" s="28"/>
      <c r="W48" s="28" t="s">
        <v>576</v>
      </c>
      <c r="X48" s="25">
        <v>678043</v>
      </c>
      <c r="Y48" s="9" t="s">
        <v>564</v>
      </c>
      <c r="Z48" s="15" t="s">
        <v>575</v>
      </c>
      <c r="AA48" s="178">
        <v>5</v>
      </c>
      <c r="AB48" s="187">
        <v>2901</v>
      </c>
      <c r="AC48" s="6"/>
      <c r="AD48" s="46">
        <f t="shared" si="22"/>
        <v>0.1065</v>
      </c>
      <c r="AE48" s="109"/>
      <c r="AF48" s="109"/>
      <c r="AG48" s="110"/>
      <c r="AH48" s="113"/>
      <c r="AI48" s="109"/>
      <c r="AJ48" s="109"/>
      <c r="AK48" s="110"/>
      <c r="AL48" s="113"/>
      <c r="AM48" s="109"/>
      <c r="AN48" s="109"/>
      <c r="AO48" s="110"/>
      <c r="AP48" s="113"/>
      <c r="AQ48" s="8"/>
      <c r="AR48" s="8"/>
      <c r="AS48" s="21"/>
      <c r="AT48" s="20"/>
      <c r="AU48" s="8"/>
      <c r="AV48" s="8"/>
      <c r="AW48" s="21"/>
    </row>
    <row r="49" spans="1:49" ht="30" hidden="1" x14ac:dyDescent="0.25">
      <c r="A49" s="15">
        <v>552</v>
      </c>
      <c r="B49" s="15" t="s">
        <v>28</v>
      </c>
      <c r="C49" s="176" t="s">
        <v>561</v>
      </c>
      <c r="D49" s="30" t="s">
        <v>562</v>
      </c>
      <c r="E49" s="8"/>
      <c r="F49" s="15" t="s">
        <v>575</v>
      </c>
      <c r="G49" s="15"/>
      <c r="H49" s="171" t="s">
        <v>31</v>
      </c>
      <c r="I49" s="15"/>
      <c r="J49" s="9">
        <v>0.37</v>
      </c>
      <c r="K49" s="9">
        <v>0.37</v>
      </c>
      <c r="L49" s="9">
        <v>1</v>
      </c>
      <c r="M49" s="15" t="s">
        <v>33</v>
      </c>
      <c r="N49" s="15">
        <f t="shared" si="6"/>
        <v>5.7719999999999994</v>
      </c>
      <c r="O49" s="15">
        <f t="shared" si="7"/>
        <v>6.7339999999999991</v>
      </c>
      <c r="P49" s="15">
        <f t="shared" si="8"/>
        <v>3.8479999999999999</v>
      </c>
      <c r="Q49" s="15">
        <f t="shared" si="9"/>
        <v>2.8859999999999997</v>
      </c>
      <c r="R49" s="38">
        <v>19.239999999999998</v>
      </c>
      <c r="S49" s="170">
        <v>105991.94</v>
      </c>
      <c r="T49" s="9">
        <f t="shared" si="10"/>
        <v>39217.017800000001</v>
      </c>
      <c r="U49" s="15"/>
      <c r="V49" s="15"/>
      <c r="W49" s="12" t="s">
        <v>577</v>
      </c>
      <c r="X49" s="9">
        <v>678043</v>
      </c>
      <c r="Y49" s="9" t="s">
        <v>564</v>
      </c>
      <c r="Z49" s="15" t="s">
        <v>575</v>
      </c>
      <c r="AA49" s="178">
        <v>6</v>
      </c>
      <c r="AB49" s="187">
        <v>2901</v>
      </c>
      <c r="AC49" s="6"/>
      <c r="AD49" s="113"/>
      <c r="AE49" s="109"/>
      <c r="AF49" s="109"/>
      <c r="AG49" s="110"/>
      <c r="AH49" s="113"/>
      <c r="AI49" s="109"/>
      <c r="AJ49" s="109"/>
      <c r="AK49" s="110"/>
      <c r="AL49" s="113"/>
      <c r="AM49" s="109"/>
      <c r="AN49" s="109"/>
      <c r="AO49" s="110"/>
      <c r="AP49" s="20"/>
      <c r="AQ49" s="8"/>
      <c r="AR49" s="8"/>
      <c r="AS49" s="21"/>
      <c r="AT49" s="20"/>
      <c r="AU49" s="8"/>
      <c r="AV49" s="8"/>
      <c r="AW49" s="21"/>
    </row>
    <row r="50" spans="1:49" ht="30" hidden="1" x14ac:dyDescent="0.25">
      <c r="A50" s="15">
        <v>553</v>
      </c>
      <c r="B50" s="15" t="s">
        <v>28</v>
      </c>
      <c r="C50" s="176" t="s">
        <v>561</v>
      </c>
      <c r="D50" s="30" t="s">
        <v>562</v>
      </c>
      <c r="E50" s="8"/>
      <c r="F50" s="15" t="s">
        <v>109</v>
      </c>
      <c r="G50" s="15"/>
      <c r="H50" s="171" t="s">
        <v>31</v>
      </c>
      <c r="I50" s="15"/>
      <c r="J50" s="9">
        <v>3.61</v>
      </c>
      <c r="K50" s="9">
        <v>3.61</v>
      </c>
      <c r="L50" s="9">
        <v>1</v>
      </c>
      <c r="M50" s="15" t="s">
        <v>33</v>
      </c>
      <c r="N50" s="15">
        <f t="shared" si="6"/>
        <v>38.988</v>
      </c>
      <c r="O50" s="15">
        <f t="shared" si="7"/>
        <v>45.485999999999997</v>
      </c>
      <c r="P50" s="15">
        <f t="shared" si="8"/>
        <v>25.992000000000004</v>
      </c>
      <c r="Q50" s="15">
        <f t="shared" si="9"/>
        <v>19.494</v>
      </c>
      <c r="R50" s="38">
        <v>129.96</v>
      </c>
      <c r="S50" s="170">
        <v>105991.94</v>
      </c>
      <c r="T50" s="9">
        <f t="shared" si="10"/>
        <v>382630.90340000001</v>
      </c>
      <c r="U50" s="15"/>
      <c r="V50" s="15"/>
      <c r="W50" s="12" t="s">
        <v>578</v>
      </c>
      <c r="X50" s="9">
        <v>678042</v>
      </c>
      <c r="Y50" s="9" t="s">
        <v>564</v>
      </c>
      <c r="Z50" s="15" t="s">
        <v>109</v>
      </c>
      <c r="AA50" s="178">
        <v>1</v>
      </c>
      <c r="AB50" s="187">
        <v>2901</v>
      </c>
      <c r="AC50" s="6"/>
      <c r="AD50" s="113"/>
      <c r="AE50" s="109"/>
      <c r="AF50" s="109"/>
      <c r="AG50" s="110"/>
      <c r="AH50" s="113"/>
      <c r="AI50" s="109"/>
      <c r="AJ50" s="109"/>
      <c r="AK50" s="110"/>
      <c r="AL50" s="113"/>
      <c r="AM50" s="109"/>
      <c r="AN50" s="109"/>
      <c r="AO50" s="110"/>
      <c r="AP50" s="20"/>
      <c r="AQ50" s="8"/>
      <c r="AR50" s="8"/>
      <c r="AS50" s="21"/>
      <c r="AT50" s="20"/>
      <c r="AU50" s="8"/>
      <c r="AV50" s="8"/>
      <c r="AW50" s="21"/>
    </row>
    <row r="51" spans="1:49" ht="30" hidden="1" x14ac:dyDescent="0.25">
      <c r="A51" s="15">
        <v>554</v>
      </c>
      <c r="B51" s="15" t="s">
        <v>28</v>
      </c>
      <c r="C51" s="176" t="s">
        <v>561</v>
      </c>
      <c r="D51" s="30" t="s">
        <v>562</v>
      </c>
      <c r="E51" s="8"/>
      <c r="F51" s="15" t="s">
        <v>109</v>
      </c>
      <c r="G51" s="15"/>
      <c r="H51" s="171" t="s">
        <v>31</v>
      </c>
      <c r="I51" s="15"/>
      <c r="J51" s="9">
        <v>2.6</v>
      </c>
      <c r="K51" s="9">
        <v>2.6</v>
      </c>
      <c r="L51" s="9">
        <v>1</v>
      </c>
      <c r="M51" s="15" t="s">
        <v>33</v>
      </c>
      <c r="N51" s="15">
        <f t="shared" si="6"/>
        <v>28.080000000000002</v>
      </c>
      <c r="O51" s="15">
        <f t="shared" si="7"/>
        <v>32.76</v>
      </c>
      <c r="P51" s="15">
        <f t="shared" si="8"/>
        <v>18.720000000000002</v>
      </c>
      <c r="Q51" s="15">
        <f t="shared" si="9"/>
        <v>14.040000000000001</v>
      </c>
      <c r="R51" s="38">
        <v>93.600000000000009</v>
      </c>
      <c r="S51" s="170">
        <v>105991.94</v>
      </c>
      <c r="T51" s="9">
        <f t="shared" si="10"/>
        <v>275579.04399999999</v>
      </c>
      <c r="U51" s="15"/>
      <c r="V51" s="15"/>
      <c r="W51" s="12" t="s">
        <v>579</v>
      </c>
      <c r="X51" s="9">
        <v>678042</v>
      </c>
      <c r="Y51" s="9" t="s">
        <v>564</v>
      </c>
      <c r="Z51" s="15" t="s">
        <v>109</v>
      </c>
      <c r="AA51" s="178">
        <v>2</v>
      </c>
      <c r="AB51" s="187">
        <v>2901</v>
      </c>
      <c r="AC51" s="6"/>
      <c r="AD51" s="113"/>
      <c r="AE51" s="109"/>
      <c r="AF51" s="109"/>
      <c r="AG51" s="110"/>
      <c r="AH51" s="113"/>
      <c r="AI51" s="109"/>
      <c r="AJ51" s="109"/>
      <c r="AK51" s="110"/>
      <c r="AL51" s="113"/>
      <c r="AM51" s="109"/>
      <c r="AN51" s="109"/>
      <c r="AO51" s="110"/>
      <c r="AP51" s="20"/>
      <c r="AQ51" s="8"/>
      <c r="AR51" s="8"/>
      <c r="AS51" s="21"/>
      <c r="AT51" s="20"/>
      <c r="AU51" s="8"/>
      <c r="AV51" s="8"/>
      <c r="AW51" s="21"/>
    </row>
    <row r="52" spans="1:49" ht="30" hidden="1" x14ac:dyDescent="0.25">
      <c r="A52" s="15">
        <v>555</v>
      </c>
      <c r="B52" s="15" t="s">
        <v>28</v>
      </c>
      <c r="C52" s="176" t="s">
        <v>561</v>
      </c>
      <c r="D52" s="30" t="s">
        <v>562</v>
      </c>
      <c r="E52" s="8"/>
      <c r="F52" s="15" t="s">
        <v>109</v>
      </c>
      <c r="G52" s="15"/>
      <c r="H52" s="171" t="s">
        <v>31</v>
      </c>
      <c r="I52" s="15"/>
      <c r="J52" s="9">
        <v>3.22</v>
      </c>
      <c r="K52" s="9">
        <v>6.44</v>
      </c>
      <c r="L52" s="9">
        <v>2</v>
      </c>
      <c r="M52" s="15" t="s">
        <v>33</v>
      </c>
      <c r="N52" s="15">
        <f t="shared" si="6"/>
        <v>69.551999999999992</v>
      </c>
      <c r="O52" s="15">
        <f t="shared" si="7"/>
        <v>81.143999999999991</v>
      </c>
      <c r="P52" s="15">
        <f t="shared" si="8"/>
        <v>46.368000000000002</v>
      </c>
      <c r="Q52" s="15">
        <f t="shared" si="9"/>
        <v>34.775999999999996</v>
      </c>
      <c r="R52" s="38">
        <v>231.84</v>
      </c>
      <c r="S52" s="170">
        <v>105991.94</v>
      </c>
      <c r="T52" s="9">
        <f t="shared" si="10"/>
        <v>682588.09360000002</v>
      </c>
      <c r="U52" s="15"/>
      <c r="V52" s="15"/>
      <c r="W52" s="12" t="s">
        <v>580</v>
      </c>
      <c r="X52" s="9">
        <v>678042</v>
      </c>
      <c r="Y52" s="9" t="s">
        <v>564</v>
      </c>
      <c r="Z52" s="15" t="s">
        <v>109</v>
      </c>
      <c r="AA52" s="178">
        <v>3</v>
      </c>
      <c r="AB52" s="187">
        <v>2901</v>
      </c>
      <c r="AC52" s="6"/>
      <c r="AD52" s="113"/>
      <c r="AE52" s="109"/>
      <c r="AF52" s="109"/>
      <c r="AG52" s="110"/>
      <c r="AH52" s="113"/>
      <c r="AI52" s="109"/>
      <c r="AJ52" s="109"/>
      <c r="AK52" s="110"/>
      <c r="AL52" s="113"/>
      <c r="AM52" s="109"/>
      <c r="AN52" s="109"/>
      <c r="AO52" s="110"/>
      <c r="AP52" s="20"/>
      <c r="AQ52" s="8"/>
      <c r="AR52" s="8"/>
      <c r="AS52" s="21"/>
      <c r="AT52" s="20"/>
      <c r="AU52" s="8"/>
      <c r="AV52" s="8"/>
      <c r="AW52" s="21"/>
    </row>
    <row r="53" spans="1:49" ht="30" x14ac:dyDescent="0.25">
      <c r="A53" s="28">
        <v>556</v>
      </c>
      <c r="B53" s="28" t="s">
        <v>28</v>
      </c>
      <c r="C53" s="28" t="s">
        <v>561</v>
      </c>
      <c r="D53" s="147" t="s">
        <v>562</v>
      </c>
      <c r="E53" s="24"/>
      <c r="F53" s="28" t="s">
        <v>581</v>
      </c>
      <c r="G53" s="28"/>
      <c r="H53" s="148" t="s">
        <v>31</v>
      </c>
      <c r="I53" s="28"/>
      <c r="J53" s="25">
        <v>3.5999999999999997E-4</v>
      </c>
      <c r="K53" s="25">
        <v>6.4799999999999996E-3</v>
      </c>
      <c r="L53" s="25">
        <v>18</v>
      </c>
      <c r="M53" s="28" t="s">
        <v>33</v>
      </c>
      <c r="N53" s="28">
        <f t="shared" si="6"/>
        <v>0.13802399999999998</v>
      </c>
      <c r="O53" s="28">
        <f t="shared" si="7"/>
        <v>0.16102799999999998</v>
      </c>
      <c r="P53" s="28">
        <f t="shared" si="8"/>
        <v>9.2016000000000001E-2</v>
      </c>
      <c r="Q53" s="28">
        <f t="shared" si="9"/>
        <v>6.901199999999999E-2</v>
      </c>
      <c r="R53" s="38">
        <v>0.46007999999999999</v>
      </c>
      <c r="S53" s="150">
        <v>105991.94</v>
      </c>
      <c r="T53" s="25">
        <f t="shared" si="10"/>
        <v>686.82777120000003</v>
      </c>
      <c r="U53" s="28"/>
      <c r="V53" s="28"/>
      <c r="W53" s="28" t="s">
        <v>582</v>
      </c>
      <c r="X53" s="25">
        <v>678040</v>
      </c>
      <c r="Y53" s="9" t="s">
        <v>564</v>
      </c>
      <c r="Z53" s="15" t="s">
        <v>581</v>
      </c>
      <c r="AA53" s="178">
        <v>1</v>
      </c>
      <c r="AB53" s="187">
        <v>2901</v>
      </c>
      <c r="AC53" s="6"/>
      <c r="AD53" s="113"/>
      <c r="AE53" s="109"/>
      <c r="AF53" s="109"/>
      <c r="AG53" s="110"/>
      <c r="AH53" s="198">
        <f>K53*0.3</f>
        <v>1.9439999999999998E-3</v>
      </c>
      <c r="AI53" s="109"/>
      <c r="AJ53" s="109"/>
      <c r="AK53" s="110"/>
      <c r="AL53" s="113"/>
      <c r="AM53" s="109"/>
      <c r="AN53" s="109"/>
      <c r="AO53" s="110"/>
      <c r="AP53" s="113"/>
      <c r="AQ53" s="8"/>
      <c r="AR53" s="8"/>
      <c r="AS53" s="21"/>
      <c r="AT53" s="20"/>
      <c r="AU53" s="8"/>
      <c r="AV53" s="8"/>
      <c r="AW53" s="21"/>
    </row>
    <row r="54" spans="1:49" ht="60" x14ac:dyDescent="0.25">
      <c r="A54" s="28">
        <v>557</v>
      </c>
      <c r="B54" s="28" t="s">
        <v>28</v>
      </c>
      <c r="C54" s="28" t="s">
        <v>561</v>
      </c>
      <c r="D54" s="147" t="s">
        <v>562</v>
      </c>
      <c r="E54" s="24"/>
      <c r="F54" s="28" t="s">
        <v>583</v>
      </c>
      <c r="G54" s="28"/>
      <c r="H54" s="148" t="s">
        <v>31</v>
      </c>
      <c r="I54" s="28"/>
      <c r="J54" s="25">
        <v>2.2000000000000001E-4</v>
      </c>
      <c r="K54" s="25">
        <v>2.2880000000000001E-2</v>
      </c>
      <c r="L54" s="25">
        <v>104</v>
      </c>
      <c r="M54" s="28" t="s">
        <v>33</v>
      </c>
      <c r="N54" s="28">
        <f t="shared" si="6"/>
        <v>0.487344</v>
      </c>
      <c r="O54" s="28">
        <f t="shared" si="7"/>
        <v>0.56856799999999996</v>
      </c>
      <c r="P54" s="28">
        <f t="shared" si="8"/>
        <v>0.32489600000000007</v>
      </c>
      <c r="Q54" s="28">
        <f t="shared" si="9"/>
        <v>0.243672</v>
      </c>
      <c r="R54" s="38">
        <v>1.6244800000000001</v>
      </c>
      <c r="S54" s="150">
        <v>105991.94</v>
      </c>
      <c r="T54" s="25">
        <f t="shared" si="10"/>
        <v>2425.0955872</v>
      </c>
      <c r="U54" s="28"/>
      <c r="V54" s="28"/>
      <c r="W54" s="28" t="s">
        <v>584</v>
      </c>
      <c r="X54" s="25">
        <v>678040</v>
      </c>
      <c r="Y54" s="9" t="s">
        <v>564</v>
      </c>
      <c r="Z54" s="15" t="s">
        <v>583</v>
      </c>
      <c r="AA54" s="178">
        <v>2</v>
      </c>
      <c r="AB54" s="187">
        <v>2901</v>
      </c>
      <c r="AC54" s="6"/>
      <c r="AD54" s="113"/>
      <c r="AE54" s="109"/>
      <c r="AF54" s="109"/>
      <c r="AG54" s="110"/>
      <c r="AH54" s="198">
        <f t="shared" ref="AH54:AH81" si="23">K54*0.3</f>
        <v>6.8640000000000003E-3</v>
      </c>
      <c r="AI54" s="109"/>
      <c r="AJ54" s="109"/>
      <c r="AK54" s="110"/>
      <c r="AL54" s="113"/>
      <c r="AM54" s="109"/>
      <c r="AN54" s="109"/>
      <c r="AO54" s="110"/>
      <c r="AP54" s="113"/>
      <c r="AQ54" s="8"/>
      <c r="AR54" s="8"/>
      <c r="AS54" s="21"/>
      <c r="AT54" s="20"/>
      <c r="AU54" s="8"/>
      <c r="AV54" s="8"/>
      <c r="AW54" s="21"/>
    </row>
    <row r="55" spans="1:49" ht="75" x14ac:dyDescent="0.25">
      <c r="A55" s="28">
        <v>558</v>
      </c>
      <c r="B55" s="28" t="s">
        <v>28</v>
      </c>
      <c r="C55" s="28" t="s">
        <v>561</v>
      </c>
      <c r="D55" s="147" t="s">
        <v>562</v>
      </c>
      <c r="E55" s="24"/>
      <c r="F55" s="28" t="s">
        <v>585</v>
      </c>
      <c r="G55" s="28"/>
      <c r="H55" s="148" t="s">
        <v>31</v>
      </c>
      <c r="I55" s="28"/>
      <c r="J55" s="25">
        <v>2.6000000000000003E-4</v>
      </c>
      <c r="K55" s="25">
        <v>1.8720000000000001E-2</v>
      </c>
      <c r="L55" s="25">
        <v>72</v>
      </c>
      <c r="M55" s="28" t="s">
        <v>33</v>
      </c>
      <c r="N55" s="28">
        <f t="shared" si="6"/>
        <v>0.39873600000000003</v>
      </c>
      <c r="O55" s="28">
        <f t="shared" si="7"/>
        <v>0.46519199999999999</v>
      </c>
      <c r="P55" s="28">
        <f t="shared" si="8"/>
        <v>0.265824</v>
      </c>
      <c r="Q55" s="28">
        <f t="shared" si="9"/>
        <v>0.19936800000000002</v>
      </c>
      <c r="R55" s="38">
        <v>1.3291200000000001</v>
      </c>
      <c r="S55" s="150">
        <v>105991.94</v>
      </c>
      <c r="T55" s="25">
        <f t="shared" si="10"/>
        <v>1984.1691168000002</v>
      </c>
      <c r="U55" s="28"/>
      <c r="V55" s="28"/>
      <c r="W55" s="28" t="s">
        <v>586</v>
      </c>
      <c r="X55" s="25">
        <v>678040</v>
      </c>
      <c r="Y55" s="9" t="s">
        <v>564</v>
      </c>
      <c r="Z55" s="15" t="s">
        <v>585</v>
      </c>
      <c r="AA55" s="178">
        <v>3</v>
      </c>
      <c r="AB55" s="38">
        <v>2901</v>
      </c>
      <c r="AC55" s="6"/>
      <c r="AD55" s="113"/>
      <c r="AE55" s="109"/>
      <c r="AF55" s="109"/>
      <c r="AG55" s="110"/>
      <c r="AH55" s="198">
        <f t="shared" si="23"/>
        <v>5.6160000000000003E-3</v>
      </c>
      <c r="AI55" s="109"/>
      <c r="AJ55" s="109"/>
      <c r="AK55" s="110"/>
      <c r="AL55" s="113"/>
      <c r="AM55" s="109"/>
      <c r="AN55" s="109"/>
      <c r="AO55" s="110"/>
      <c r="AP55" s="113"/>
      <c r="AQ55" s="8"/>
      <c r="AR55" s="8"/>
      <c r="AS55" s="21"/>
      <c r="AT55" s="20"/>
      <c r="AU55" s="8"/>
      <c r="AV55" s="8"/>
      <c r="AW55" s="21"/>
    </row>
    <row r="56" spans="1:49" ht="60" x14ac:dyDescent="0.25">
      <c r="A56" s="28">
        <v>559</v>
      </c>
      <c r="B56" s="28" t="s">
        <v>28</v>
      </c>
      <c r="C56" s="28" t="s">
        <v>561</v>
      </c>
      <c r="D56" s="147" t="s">
        <v>562</v>
      </c>
      <c r="E56" s="24"/>
      <c r="F56" s="28" t="s">
        <v>587</v>
      </c>
      <c r="G56" s="28"/>
      <c r="H56" s="148" t="s">
        <v>31</v>
      </c>
      <c r="I56" s="28"/>
      <c r="J56" s="25">
        <v>7.7000000000000007E-4</v>
      </c>
      <c r="K56" s="25">
        <v>2.4640000000000002E-2</v>
      </c>
      <c r="L56" s="25">
        <v>32</v>
      </c>
      <c r="M56" s="28" t="s">
        <v>33</v>
      </c>
      <c r="N56" s="28">
        <f t="shared" si="6"/>
        <v>0.52483199999999997</v>
      </c>
      <c r="O56" s="28">
        <f t="shared" si="7"/>
        <v>0.61230399999999996</v>
      </c>
      <c r="P56" s="28">
        <f t="shared" si="8"/>
        <v>0.34988800000000003</v>
      </c>
      <c r="Q56" s="28">
        <f t="shared" si="9"/>
        <v>0.26241599999999998</v>
      </c>
      <c r="R56" s="38">
        <v>1.7494400000000001</v>
      </c>
      <c r="S56" s="150">
        <v>105991.94</v>
      </c>
      <c r="T56" s="25">
        <f t="shared" si="10"/>
        <v>2611.6414016000003</v>
      </c>
      <c r="U56" s="28"/>
      <c r="V56" s="28"/>
      <c r="W56" s="28" t="s">
        <v>588</v>
      </c>
      <c r="X56" s="25">
        <v>678040</v>
      </c>
      <c r="Y56" s="9" t="s">
        <v>564</v>
      </c>
      <c r="Z56" s="15" t="s">
        <v>587</v>
      </c>
      <c r="AA56" s="178">
        <v>4</v>
      </c>
      <c r="AB56" s="187">
        <v>2901</v>
      </c>
      <c r="AC56" s="6"/>
      <c r="AD56" s="113"/>
      <c r="AE56" s="109"/>
      <c r="AF56" s="109"/>
      <c r="AG56" s="110"/>
      <c r="AH56" s="198">
        <f t="shared" si="23"/>
        <v>7.3920000000000001E-3</v>
      </c>
      <c r="AI56" s="109"/>
      <c r="AJ56" s="109"/>
      <c r="AK56" s="110"/>
      <c r="AL56" s="113"/>
      <c r="AM56" s="109"/>
      <c r="AN56" s="109"/>
      <c r="AO56" s="110"/>
      <c r="AP56" s="113"/>
      <c r="AQ56" s="8"/>
      <c r="AR56" s="8"/>
      <c r="AS56" s="21"/>
      <c r="AT56" s="20"/>
      <c r="AU56" s="8"/>
      <c r="AV56" s="8"/>
      <c r="AW56" s="21"/>
    </row>
    <row r="57" spans="1:49" ht="30" x14ac:dyDescent="0.25">
      <c r="A57" s="28">
        <v>560</v>
      </c>
      <c r="B57" s="28" t="s">
        <v>28</v>
      </c>
      <c r="C57" s="28" t="s">
        <v>561</v>
      </c>
      <c r="D57" s="147" t="s">
        <v>562</v>
      </c>
      <c r="E57" s="24"/>
      <c r="F57" s="28" t="s">
        <v>589</v>
      </c>
      <c r="G57" s="28"/>
      <c r="H57" s="148" t="s">
        <v>31</v>
      </c>
      <c r="I57" s="28"/>
      <c r="J57" s="25">
        <v>2.4000000000000001E-4</v>
      </c>
      <c r="K57" s="25">
        <v>6.7200000000000003E-3</v>
      </c>
      <c r="L57" s="25">
        <v>28</v>
      </c>
      <c r="M57" s="28" t="s">
        <v>33</v>
      </c>
      <c r="N57" s="28">
        <f t="shared" si="6"/>
        <v>0.14313600000000001</v>
      </c>
      <c r="O57" s="28">
        <f t="shared" si="7"/>
        <v>0.166992</v>
      </c>
      <c r="P57" s="28">
        <f t="shared" si="8"/>
        <v>9.5424000000000009E-2</v>
      </c>
      <c r="Q57" s="28">
        <f t="shared" si="9"/>
        <v>7.1568000000000007E-2</v>
      </c>
      <c r="R57" s="38">
        <v>0.47712000000000004</v>
      </c>
      <c r="S57" s="150">
        <v>105991.94</v>
      </c>
      <c r="T57" s="25">
        <f t="shared" si="10"/>
        <v>712.2658368000001</v>
      </c>
      <c r="U57" s="28"/>
      <c r="V57" s="28"/>
      <c r="W57" s="28" t="s">
        <v>590</v>
      </c>
      <c r="X57" s="25">
        <v>678040</v>
      </c>
      <c r="Y57" s="9" t="s">
        <v>564</v>
      </c>
      <c r="Z57" s="15" t="s">
        <v>589</v>
      </c>
      <c r="AA57" s="178">
        <v>5</v>
      </c>
      <c r="AB57" s="187">
        <v>2901</v>
      </c>
      <c r="AC57" s="6"/>
      <c r="AD57" s="113"/>
      <c r="AE57" s="109"/>
      <c r="AF57" s="109"/>
      <c r="AG57" s="110"/>
      <c r="AH57" s="198">
        <f t="shared" si="23"/>
        <v>2.016E-3</v>
      </c>
      <c r="AI57" s="109"/>
      <c r="AJ57" s="109"/>
      <c r="AK57" s="110"/>
      <c r="AL57" s="113"/>
      <c r="AM57" s="109"/>
      <c r="AN57" s="109"/>
      <c r="AO57" s="110"/>
      <c r="AP57" s="113"/>
      <c r="AQ57" s="8"/>
      <c r="AR57" s="8"/>
      <c r="AS57" s="21"/>
      <c r="AT57" s="20"/>
      <c r="AU57" s="8"/>
      <c r="AV57" s="8"/>
      <c r="AW57" s="21"/>
    </row>
    <row r="58" spans="1:49" ht="60" x14ac:dyDescent="0.25">
      <c r="A58" s="28">
        <v>561</v>
      </c>
      <c r="B58" s="28" t="s">
        <v>28</v>
      </c>
      <c r="C58" s="28" t="s">
        <v>561</v>
      </c>
      <c r="D58" s="147" t="s">
        <v>562</v>
      </c>
      <c r="E58" s="24"/>
      <c r="F58" s="28" t="s">
        <v>591</v>
      </c>
      <c r="G58" s="28"/>
      <c r="H58" s="148" t="s">
        <v>31</v>
      </c>
      <c r="I58" s="28"/>
      <c r="J58" s="25">
        <v>2.0000000000000001E-4</v>
      </c>
      <c r="K58" s="25">
        <v>4.8000000000000004E-3</v>
      </c>
      <c r="L58" s="25">
        <v>24</v>
      </c>
      <c r="M58" s="28" t="s">
        <v>33</v>
      </c>
      <c r="N58" s="28">
        <f t="shared" si="6"/>
        <v>0.10224000000000001</v>
      </c>
      <c r="O58" s="28">
        <f t="shared" si="7"/>
        <v>0.11928000000000001</v>
      </c>
      <c r="P58" s="28">
        <f t="shared" si="8"/>
        <v>6.8160000000000012E-2</v>
      </c>
      <c r="Q58" s="28">
        <f t="shared" si="9"/>
        <v>5.1120000000000006E-2</v>
      </c>
      <c r="R58" s="38">
        <v>0.34080000000000005</v>
      </c>
      <c r="S58" s="150">
        <v>105991.94</v>
      </c>
      <c r="T58" s="25">
        <f t="shared" si="10"/>
        <v>508.76131200000003</v>
      </c>
      <c r="U58" s="28"/>
      <c r="V58" s="28"/>
      <c r="W58" s="28" t="s">
        <v>592</v>
      </c>
      <c r="X58" s="25">
        <v>678040</v>
      </c>
      <c r="Y58" s="9" t="s">
        <v>564</v>
      </c>
      <c r="Z58" s="15" t="s">
        <v>591</v>
      </c>
      <c r="AA58" s="178">
        <v>6</v>
      </c>
      <c r="AB58" s="187">
        <v>2901</v>
      </c>
      <c r="AC58" s="6"/>
      <c r="AD58" s="113"/>
      <c r="AE58" s="109"/>
      <c r="AF58" s="109"/>
      <c r="AG58" s="110"/>
      <c r="AH58" s="198">
        <f t="shared" si="23"/>
        <v>1.4400000000000001E-3</v>
      </c>
      <c r="AI58" s="109"/>
      <c r="AJ58" s="109"/>
      <c r="AK58" s="110"/>
      <c r="AL58" s="113"/>
      <c r="AM58" s="109"/>
      <c r="AN58" s="109"/>
      <c r="AO58" s="110"/>
      <c r="AP58" s="113"/>
      <c r="AQ58" s="8"/>
      <c r="AR58" s="8"/>
      <c r="AS58" s="21"/>
      <c r="AT58" s="20"/>
      <c r="AU58" s="8"/>
      <c r="AV58" s="8"/>
      <c r="AW58" s="21"/>
    </row>
    <row r="59" spans="1:49" ht="60" x14ac:dyDescent="0.25">
      <c r="A59" s="28">
        <v>562</v>
      </c>
      <c r="B59" s="28" t="s">
        <v>28</v>
      </c>
      <c r="C59" s="28" t="s">
        <v>561</v>
      </c>
      <c r="D59" s="147" t="s">
        <v>562</v>
      </c>
      <c r="E59" s="24"/>
      <c r="F59" s="28" t="s">
        <v>593</v>
      </c>
      <c r="G59" s="28"/>
      <c r="H59" s="148" t="s">
        <v>31</v>
      </c>
      <c r="I59" s="28"/>
      <c r="J59" s="25">
        <v>2.8000000000000003E-4</v>
      </c>
      <c r="K59" s="25">
        <v>6.7200000000000003E-3</v>
      </c>
      <c r="L59" s="25">
        <v>24</v>
      </c>
      <c r="M59" s="28" t="s">
        <v>33</v>
      </c>
      <c r="N59" s="28">
        <f t="shared" si="6"/>
        <v>0.14313600000000001</v>
      </c>
      <c r="O59" s="28">
        <f t="shared" si="7"/>
        <v>0.166992</v>
      </c>
      <c r="P59" s="28">
        <f t="shared" si="8"/>
        <v>9.5424000000000009E-2</v>
      </c>
      <c r="Q59" s="28">
        <f t="shared" si="9"/>
        <v>7.1568000000000007E-2</v>
      </c>
      <c r="R59" s="38">
        <v>0.47712000000000004</v>
      </c>
      <c r="S59" s="150">
        <v>105991.94</v>
      </c>
      <c r="T59" s="25">
        <f t="shared" si="10"/>
        <v>712.2658368000001</v>
      </c>
      <c r="U59" s="28"/>
      <c r="V59" s="28"/>
      <c r="W59" s="28" t="s">
        <v>594</v>
      </c>
      <c r="X59" s="25">
        <v>678040</v>
      </c>
      <c r="Y59" s="9" t="s">
        <v>564</v>
      </c>
      <c r="Z59" s="15" t="s">
        <v>593</v>
      </c>
      <c r="AA59" s="178">
        <v>7</v>
      </c>
      <c r="AB59" s="187">
        <v>2901</v>
      </c>
      <c r="AC59" s="6"/>
      <c r="AD59" s="113"/>
      <c r="AE59" s="109"/>
      <c r="AF59" s="109"/>
      <c r="AG59" s="110"/>
      <c r="AH59" s="198">
        <f t="shared" si="23"/>
        <v>2.016E-3</v>
      </c>
      <c r="AI59" s="109"/>
      <c r="AJ59" s="109"/>
      <c r="AK59" s="110"/>
      <c r="AL59" s="113"/>
      <c r="AM59" s="109"/>
      <c r="AN59" s="109"/>
      <c r="AO59" s="110"/>
      <c r="AP59" s="113"/>
      <c r="AQ59" s="8"/>
      <c r="AR59" s="8"/>
      <c r="AS59" s="21"/>
      <c r="AT59" s="20"/>
      <c r="AU59" s="8"/>
      <c r="AV59" s="8"/>
      <c r="AW59" s="21"/>
    </row>
    <row r="60" spans="1:49" ht="60" x14ac:dyDescent="0.25">
      <c r="A60" s="28">
        <v>563</v>
      </c>
      <c r="B60" s="28" t="s">
        <v>28</v>
      </c>
      <c r="C60" s="28" t="s">
        <v>561</v>
      </c>
      <c r="D60" s="147" t="s">
        <v>562</v>
      </c>
      <c r="E60" s="24"/>
      <c r="F60" s="28" t="s">
        <v>595</v>
      </c>
      <c r="G60" s="28"/>
      <c r="H60" s="148" t="s">
        <v>31</v>
      </c>
      <c r="I60" s="28"/>
      <c r="J60" s="25">
        <v>1E-3</v>
      </c>
      <c r="K60" s="25">
        <v>3.2000000000000001E-2</v>
      </c>
      <c r="L60" s="25">
        <v>32</v>
      </c>
      <c r="M60" s="28" t="s">
        <v>33</v>
      </c>
      <c r="N60" s="28">
        <f t="shared" si="6"/>
        <v>0.68160000000000009</v>
      </c>
      <c r="O60" s="28">
        <f t="shared" si="7"/>
        <v>0.79520000000000002</v>
      </c>
      <c r="P60" s="28">
        <f t="shared" si="8"/>
        <v>0.45440000000000008</v>
      </c>
      <c r="Q60" s="28">
        <f t="shared" si="9"/>
        <v>0.34080000000000005</v>
      </c>
      <c r="R60" s="38">
        <v>2.2720000000000002</v>
      </c>
      <c r="S60" s="150">
        <v>105991.94</v>
      </c>
      <c r="T60" s="25">
        <f t="shared" si="10"/>
        <v>3391.74208</v>
      </c>
      <c r="U60" s="28"/>
      <c r="V60" s="28"/>
      <c r="W60" s="28" t="s">
        <v>596</v>
      </c>
      <c r="X60" s="25">
        <v>678040</v>
      </c>
      <c r="Y60" s="9" t="s">
        <v>564</v>
      </c>
      <c r="Z60" s="15" t="s">
        <v>595</v>
      </c>
      <c r="AA60" s="178">
        <v>8</v>
      </c>
      <c r="AB60" s="187">
        <v>2901</v>
      </c>
      <c r="AC60" s="6"/>
      <c r="AD60" s="113"/>
      <c r="AE60" s="109"/>
      <c r="AF60" s="109"/>
      <c r="AG60" s="110"/>
      <c r="AH60" s="198">
        <f t="shared" si="23"/>
        <v>9.5999999999999992E-3</v>
      </c>
      <c r="AI60" s="109"/>
      <c r="AJ60" s="109"/>
      <c r="AK60" s="110"/>
      <c r="AL60" s="113"/>
      <c r="AM60" s="109"/>
      <c r="AN60" s="109"/>
      <c r="AO60" s="110"/>
      <c r="AP60" s="113"/>
      <c r="AQ60" s="8"/>
      <c r="AR60" s="8"/>
      <c r="AS60" s="21"/>
      <c r="AT60" s="20"/>
      <c r="AU60" s="8"/>
      <c r="AV60" s="8"/>
      <c r="AW60" s="21"/>
    </row>
    <row r="61" spans="1:49" ht="75" x14ac:dyDescent="0.25">
      <c r="A61" s="28">
        <v>564</v>
      </c>
      <c r="B61" s="28" t="s">
        <v>28</v>
      </c>
      <c r="C61" s="28" t="s">
        <v>561</v>
      </c>
      <c r="D61" s="147" t="s">
        <v>562</v>
      </c>
      <c r="E61" s="24"/>
      <c r="F61" s="28" t="s">
        <v>597</v>
      </c>
      <c r="G61" s="28"/>
      <c r="H61" s="148" t="s">
        <v>31</v>
      </c>
      <c r="I61" s="28"/>
      <c r="J61" s="25">
        <v>2.2000000000000001E-4</v>
      </c>
      <c r="K61" s="25">
        <v>3.5200000000000001E-3</v>
      </c>
      <c r="L61" s="25">
        <v>16</v>
      </c>
      <c r="M61" s="28" t="s">
        <v>33</v>
      </c>
      <c r="N61" s="28">
        <f t="shared" si="6"/>
        <v>7.4976000000000001E-2</v>
      </c>
      <c r="O61" s="28">
        <f t="shared" si="7"/>
        <v>8.7471999999999994E-2</v>
      </c>
      <c r="P61" s="28">
        <f t="shared" si="8"/>
        <v>4.9984000000000001E-2</v>
      </c>
      <c r="Q61" s="28">
        <f t="shared" si="9"/>
        <v>3.7488E-2</v>
      </c>
      <c r="R61" s="38">
        <v>0.24992</v>
      </c>
      <c r="S61" s="150">
        <v>105991.94</v>
      </c>
      <c r="T61" s="25">
        <f t="shared" si="10"/>
        <v>373.09162880000002</v>
      </c>
      <c r="U61" s="28"/>
      <c r="V61" s="28"/>
      <c r="W61" s="28" t="s">
        <v>598</v>
      </c>
      <c r="X61" s="25">
        <v>678040</v>
      </c>
      <c r="Y61" s="9" t="s">
        <v>564</v>
      </c>
      <c r="Z61" s="15" t="s">
        <v>597</v>
      </c>
      <c r="AA61" s="178">
        <v>9</v>
      </c>
      <c r="AB61" s="187">
        <v>2901</v>
      </c>
      <c r="AC61" s="6"/>
      <c r="AD61" s="113"/>
      <c r="AE61" s="109"/>
      <c r="AF61" s="109"/>
      <c r="AG61" s="110"/>
      <c r="AH61" s="198">
        <f t="shared" si="23"/>
        <v>1.0560000000000001E-3</v>
      </c>
      <c r="AI61" s="109"/>
      <c r="AJ61" s="109"/>
      <c r="AK61" s="110"/>
      <c r="AL61" s="113"/>
      <c r="AM61" s="109"/>
      <c r="AN61" s="109"/>
      <c r="AO61" s="110"/>
      <c r="AP61" s="113"/>
      <c r="AQ61" s="8"/>
      <c r="AR61" s="8"/>
      <c r="AS61" s="21"/>
      <c r="AT61" s="20"/>
      <c r="AU61" s="8"/>
      <c r="AV61" s="8"/>
      <c r="AW61" s="21"/>
    </row>
    <row r="62" spans="1:49" ht="60" x14ac:dyDescent="0.25">
      <c r="A62" s="28">
        <v>565</v>
      </c>
      <c r="B62" s="28" t="s">
        <v>28</v>
      </c>
      <c r="C62" s="28" t="s">
        <v>561</v>
      </c>
      <c r="D62" s="147" t="s">
        <v>562</v>
      </c>
      <c r="E62" s="24"/>
      <c r="F62" s="28" t="s">
        <v>599</v>
      </c>
      <c r="G62" s="28"/>
      <c r="H62" s="148" t="s">
        <v>31</v>
      </c>
      <c r="I62" s="28"/>
      <c r="J62" s="25">
        <v>2.2700000000000001E-2</v>
      </c>
      <c r="K62" s="25">
        <v>0.45400000000000001</v>
      </c>
      <c r="L62" s="25">
        <v>20</v>
      </c>
      <c r="M62" s="28" t="s">
        <v>33</v>
      </c>
      <c r="N62" s="28">
        <f t="shared" si="6"/>
        <v>9.6701999999999995</v>
      </c>
      <c r="O62" s="28">
        <f t="shared" si="7"/>
        <v>11.2819</v>
      </c>
      <c r="P62" s="28">
        <f t="shared" si="8"/>
        <v>6.4468000000000005</v>
      </c>
      <c r="Q62" s="28">
        <f t="shared" si="9"/>
        <v>4.8350999999999997</v>
      </c>
      <c r="R62" s="38">
        <v>32.234000000000002</v>
      </c>
      <c r="S62" s="150">
        <v>105991.94</v>
      </c>
      <c r="T62" s="25">
        <f t="shared" si="10"/>
        <v>48120.340759999999</v>
      </c>
      <c r="U62" s="28"/>
      <c r="V62" s="28"/>
      <c r="W62" s="28" t="s">
        <v>600</v>
      </c>
      <c r="X62" s="25">
        <v>678040</v>
      </c>
      <c r="Y62" s="9" t="s">
        <v>564</v>
      </c>
      <c r="Z62" s="15" t="s">
        <v>599</v>
      </c>
      <c r="AA62" s="178">
        <v>10</v>
      </c>
      <c r="AB62" s="187">
        <v>2901</v>
      </c>
      <c r="AC62" s="6"/>
      <c r="AD62" s="113"/>
      <c r="AE62" s="109"/>
      <c r="AF62" s="109"/>
      <c r="AG62" s="110"/>
      <c r="AH62" s="198">
        <f t="shared" si="23"/>
        <v>0.13619999999999999</v>
      </c>
      <c r="AI62" s="109"/>
      <c r="AJ62" s="109"/>
      <c r="AK62" s="110"/>
      <c r="AL62" s="113"/>
      <c r="AM62" s="109"/>
      <c r="AN62" s="109"/>
      <c r="AO62" s="110"/>
      <c r="AP62" s="113"/>
      <c r="AQ62" s="8"/>
      <c r="AR62" s="8"/>
      <c r="AS62" s="21"/>
      <c r="AT62" s="20"/>
      <c r="AU62" s="8"/>
      <c r="AV62" s="8"/>
      <c r="AW62" s="21"/>
    </row>
    <row r="63" spans="1:49" ht="60" x14ac:dyDescent="0.25">
      <c r="A63" s="28">
        <v>566</v>
      </c>
      <c r="B63" s="28" t="s">
        <v>28</v>
      </c>
      <c r="C63" s="28" t="s">
        <v>561</v>
      </c>
      <c r="D63" s="147" t="s">
        <v>562</v>
      </c>
      <c r="E63" s="24"/>
      <c r="F63" s="28" t="s">
        <v>601</v>
      </c>
      <c r="G63" s="28"/>
      <c r="H63" s="148" t="s">
        <v>31</v>
      </c>
      <c r="I63" s="28"/>
      <c r="J63" s="25">
        <v>1.2060000000000001E-2</v>
      </c>
      <c r="K63" s="25">
        <v>0.24120000000000003</v>
      </c>
      <c r="L63" s="25">
        <v>20</v>
      </c>
      <c r="M63" s="28" t="s">
        <v>33</v>
      </c>
      <c r="N63" s="28">
        <f t="shared" si="6"/>
        <v>5.1375600000000006</v>
      </c>
      <c r="O63" s="28">
        <f t="shared" si="7"/>
        <v>5.9938200000000004</v>
      </c>
      <c r="P63" s="28">
        <f t="shared" si="8"/>
        <v>3.425040000000001</v>
      </c>
      <c r="Q63" s="28">
        <f t="shared" si="9"/>
        <v>2.5687800000000003</v>
      </c>
      <c r="R63" s="38">
        <v>17.125200000000003</v>
      </c>
      <c r="S63" s="150">
        <v>105991.94</v>
      </c>
      <c r="T63" s="25">
        <f t="shared" si="10"/>
        <v>25565.255928000002</v>
      </c>
      <c r="U63" s="28"/>
      <c r="V63" s="28"/>
      <c r="W63" s="28" t="s">
        <v>602</v>
      </c>
      <c r="X63" s="25">
        <v>678040</v>
      </c>
      <c r="Y63" s="9" t="s">
        <v>564</v>
      </c>
      <c r="Z63" s="15" t="s">
        <v>601</v>
      </c>
      <c r="AA63" s="178">
        <v>11</v>
      </c>
      <c r="AB63" s="187">
        <v>2901</v>
      </c>
      <c r="AC63" s="6"/>
      <c r="AD63" s="113"/>
      <c r="AE63" s="109"/>
      <c r="AF63" s="109"/>
      <c r="AG63" s="110"/>
      <c r="AH63" s="198">
        <f t="shared" si="23"/>
        <v>7.2360000000000008E-2</v>
      </c>
      <c r="AI63" s="109"/>
      <c r="AJ63" s="109"/>
      <c r="AK63" s="110"/>
      <c r="AL63" s="113"/>
      <c r="AM63" s="109"/>
      <c r="AN63" s="109"/>
      <c r="AO63" s="110"/>
      <c r="AP63" s="113"/>
      <c r="AQ63" s="8"/>
      <c r="AR63" s="8"/>
      <c r="AS63" s="21"/>
      <c r="AT63" s="20"/>
      <c r="AU63" s="8"/>
      <c r="AV63" s="8"/>
      <c r="AW63" s="21"/>
    </row>
    <row r="64" spans="1:49" ht="45" x14ac:dyDescent="0.25">
      <c r="A64" s="28">
        <v>567</v>
      </c>
      <c r="B64" s="28" t="s">
        <v>28</v>
      </c>
      <c r="C64" s="28" t="s">
        <v>561</v>
      </c>
      <c r="D64" s="147" t="s">
        <v>562</v>
      </c>
      <c r="E64" s="24"/>
      <c r="F64" s="28" t="s">
        <v>603</v>
      </c>
      <c r="G64" s="28"/>
      <c r="H64" s="148" t="s">
        <v>31</v>
      </c>
      <c r="I64" s="28"/>
      <c r="J64" s="25">
        <v>7.0599999999999994E-3</v>
      </c>
      <c r="K64" s="25">
        <v>0.70599999999999996</v>
      </c>
      <c r="L64" s="25">
        <v>100</v>
      </c>
      <c r="M64" s="28" t="s">
        <v>33</v>
      </c>
      <c r="N64" s="28">
        <f t="shared" si="6"/>
        <v>15.037799999999999</v>
      </c>
      <c r="O64" s="28">
        <f t="shared" si="7"/>
        <v>17.544099999999997</v>
      </c>
      <c r="P64" s="28">
        <f t="shared" si="8"/>
        <v>10.0252</v>
      </c>
      <c r="Q64" s="28">
        <f t="shared" si="9"/>
        <v>7.5188999999999995</v>
      </c>
      <c r="R64" s="38">
        <v>50.125999999999998</v>
      </c>
      <c r="S64" s="150">
        <v>105991.94</v>
      </c>
      <c r="T64" s="25">
        <f t="shared" si="10"/>
        <v>74830.309639999992</v>
      </c>
      <c r="U64" s="28"/>
      <c r="V64" s="28"/>
      <c r="W64" s="28" t="s">
        <v>604</v>
      </c>
      <c r="X64" s="25">
        <v>678040</v>
      </c>
      <c r="Y64" s="9" t="s">
        <v>564</v>
      </c>
      <c r="Z64" s="15" t="s">
        <v>603</v>
      </c>
      <c r="AA64" s="178">
        <v>12</v>
      </c>
      <c r="AB64" s="187">
        <v>2901</v>
      </c>
      <c r="AC64" s="6"/>
      <c r="AD64" s="113"/>
      <c r="AE64" s="109"/>
      <c r="AF64" s="109"/>
      <c r="AG64" s="110"/>
      <c r="AH64" s="198">
        <f t="shared" si="23"/>
        <v>0.21179999999999999</v>
      </c>
      <c r="AI64" s="109"/>
      <c r="AJ64" s="109"/>
      <c r="AK64" s="110"/>
      <c r="AL64" s="113"/>
      <c r="AM64" s="109"/>
      <c r="AN64" s="109"/>
      <c r="AO64" s="110"/>
      <c r="AP64" s="113"/>
      <c r="AQ64" s="8"/>
      <c r="AR64" s="8"/>
      <c r="AS64" s="21"/>
      <c r="AT64" s="20"/>
      <c r="AU64" s="8"/>
      <c r="AV64" s="8"/>
      <c r="AW64" s="21"/>
    </row>
    <row r="65" spans="1:49" ht="45" x14ac:dyDescent="0.25">
      <c r="A65" s="28">
        <v>568</v>
      </c>
      <c r="B65" s="28" t="s">
        <v>28</v>
      </c>
      <c r="C65" s="28" t="s">
        <v>561</v>
      </c>
      <c r="D65" s="147" t="s">
        <v>562</v>
      </c>
      <c r="E65" s="24"/>
      <c r="F65" s="28" t="s">
        <v>605</v>
      </c>
      <c r="G65" s="28"/>
      <c r="H65" s="148" t="s">
        <v>31</v>
      </c>
      <c r="I65" s="28"/>
      <c r="J65" s="25">
        <v>2.2000000000000001E-3</v>
      </c>
      <c r="K65" s="25">
        <v>0.22</v>
      </c>
      <c r="L65" s="25">
        <v>100</v>
      </c>
      <c r="M65" s="28" t="s">
        <v>33</v>
      </c>
      <c r="N65" s="28">
        <f t="shared" si="6"/>
        <v>4.6859999999999999</v>
      </c>
      <c r="O65" s="28">
        <f t="shared" si="7"/>
        <v>5.4669999999999996</v>
      </c>
      <c r="P65" s="28">
        <f t="shared" si="8"/>
        <v>3.1240000000000001</v>
      </c>
      <c r="Q65" s="28">
        <f t="shared" si="9"/>
        <v>2.343</v>
      </c>
      <c r="R65" s="38">
        <v>15.62</v>
      </c>
      <c r="S65" s="150">
        <v>105991.94</v>
      </c>
      <c r="T65" s="25">
        <f t="shared" si="10"/>
        <v>23318.2268</v>
      </c>
      <c r="U65" s="28"/>
      <c r="V65" s="28"/>
      <c r="W65" s="28" t="s">
        <v>606</v>
      </c>
      <c r="X65" s="25">
        <v>678040</v>
      </c>
      <c r="Y65" s="9" t="s">
        <v>564</v>
      </c>
      <c r="Z65" s="15" t="s">
        <v>607</v>
      </c>
      <c r="AA65" s="178">
        <v>13</v>
      </c>
      <c r="AB65" s="187">
        <v>2901</v>
      </c>
      <c r="AC65" s="6"/>
      <c r="AD65" s="113"/>
      <c r="AE65" s="109"/>
      <c r="AF65" s="109"/>
      <c r="AG65" s="110"/>
      <c r="AH65" s="198">
        <f t="shared" si="23"/>
        <v>6.6000000000000003E-2</v>
      </c>
      <c r="AI65" s="109"/>
      <c r="AJ65" s="109"/>
      <c r="AK65" s="110"/>
      <c r="AL65" s="113"/>
      <c r="AM65" s="109"/>
      <c r="AN65" s="109"/>
      <c r="AO65" s="110"/>
      <c r="AP65" s="113"/>
      <c r="AQ65" s="8"/>
      <c r="AR65" s="8"/>
      <c r="AS65" s="21"/>
      <c r="AT65" s="20"/>
      <c r="AU65" s="8"/>
      <c r="AV65" s="8"/>
      <c r="AW65" s="21"/>
    </row>
    <row r="66" spans="1:49" ht="45" x14ac:dyDescent="0.25">
      <c r="A66" s="28">
        <v>569</v>
      </c>
      <c r="B66" s="28" t="s">
        <v>28</v>
      </c>
      <c r="C66" s="28" t="s">
        <v>561</v>
      </c>
      <c r="D66" s="147" t="s">
        <v>562</v>
      </c>
      <c r="E66" s="24"/>
      <c r="F66" s="28" t="s">
        <v>608</v>
      </c>
      <c r="G66" s="28"/>
      <c r="H66" s="148" t="s">
        <v>31</v>
      </c>
      <c r="I66" s="28"/>
      <c r="J66" s="25">
        <v>6.2E-4</v>
      </c>
      <c r="K66" s="25">
        <v>6.1999999999999998E-3</v>
      </c>
      <c r="L66" s="25">
        <v>10</v>
      </c>
      <c r="M66" s="28" t="s">
        <v>33</v>
      </c>
      <c r="N66" s="28">
        <f t="shared" si="6"/>
        <v>0.13205999999999998</v>
      </c>
      <c r="O66" s="28">
        <f t="shared" si="7"/>
        <v>0.15406999999999998</v>
      </c>
      <c r="P66" s="28">
        <f t="shared" si="8"/>
        <v>8.8040000000000007E-2</v>
      </c>
      <c r="Q66" s="28">
        <f t="shared" si="9"/>
        <v>6.6029999999999991E-2</v>
      </c>
      <c r="R66" s="38">
        <v>0.44019999999999998</v>
      </c>
      <c r="S66" s="150">
        <v>105991.94</v>
      </c>
      <c r="T66" s="25">
        <f t="shared" si="10"/>
        <v>657.15002800000002</v>
      </c>
      <c r="U66" s="28"/>
      <c r="V66" s="28"/>
      <c r="W66" s="28" t="s">
        <v>609</v>
      </c>
      <c r="X66" s="25">
        <v>678040</v>
      </c>
      <c r="Y66" s="9" t="s">
        <v>564</v>
      </c>
      <c r="Z66" s="15" t="s">
        <v>608</v>
      </c>
      <c r="AA66" s="178">
        <v>14</v>
      </c>
      <c r="AB66" s="187">
        <v>2901</v>
      </c>
      <c r="AC66" s="6"/>
      <c r="AD66" s="113"/>
      <c r="AE66" s="109"/>
      <c r="AF66" s="109"/>
      <c r="AG66" s="110"/>
      <c r="AH66" s="198">
        <f t="shared" si="23"/>
        <v>1.8599999999999999E-3</v>
      </c>
      <c r="AI66" s="109"/>
      <c r="AJ66" s="109"/>
      <c r="AK66" s="110"/>
      <c r="AL66" s="113"/>
      <c r="AM66" s="109"/>
      <c r="AN66" s="109"/>
      <c r="AO66" s="110"/>
      <c r="AP66" s="113"/>
      <c r="AQ66" s="8"/>
      <c r="AR66" s="8"/>
      <c r="AS66" s="21"/>
      <c r="AT66" s="20"/>
      <c r="AU66" s="8"/>
      <c r="AV66" s="8"/>
      <c r="AW66" s="21"/>
    </row>
    <row r="67" spans="1:49" ht="30" x14ac:dyDescent="0.25">
      <c r="A67" s="28">
        <v>570</v>
      </c>
      <c r="B67" s="28" t="s">
        <v>28</v>
      </c>
      <c r="C67" s="28" t="s">
        <v>561</v>
      </c>
      <c r="D67" s="147" t="s">
        <v>562</v>
      </c>
      <c r="E67" s="24"/>
      <c r="F67" s="28" t="s">
        <v>126</v>
      </c>
      <c r="G67" s="28"/>
      <c r="H67" s="148" t="s">
        <v>31</v>
      </c>
      <c r="I67" s="28"/>
      <c r="J67" s="25">
        <v>7.92</v>
      </c>
      <c r="K67" s="25">
        <v>7.92</v>
      </c>
      <c r="L67" s="25">
        <v>1</v>
      </c>
      <c r="M67" s="28" t="s">
        <v>33</v>
      </c>
      <c r="N67" s="28">
        <f t="shared" si="6"/>
        <v>76.031999999999996</v>
      </c>
      <c r="O67" s="28">
        <f t="shared" si="7"/>
        <v>88.703999999999994</v>
      </c>
      <c r="P67" s="28">
        <f t="shared" si="8"/>
        <v>50.688000000000002</v>
      </c>
      <c r="Q67" s="28">
        <f t="shared" si="9"/>
        <v>38.015999999999998</v>
      </c>
      <c r="R67" s="38">
        <v>253.44</v>
      </c>
      <c r="S67" s="150">
        <v>105991.94</v>
      </c>
      <c r="T67" s="25">
        <f t="shared" si="10"/>
        <v>839456.16480000003</v>
      </c>
      <c r="U67" s="28"/>
      <c r="V67" s="28"/>
      <c r="W67" s="28" t="s">
        <v>610</v>
      </c>
      <c r="X67" s="25">
        <v>678040</v>
      </c>
      <c r="Y67" s="9" t="s">
        <v>564</v>
      </c>
      <c r="Z67" s="15" t="s">
        <v>126</v>
      </c>
      <c r="AA67" s="178">
        <v>15</v>
      </c>
      <c r="AB67" s="187">
        <v>2901</v>
      </c>
      <c r="AC67" s="6"/>
      <c r="AD67" s="113"/>
      <c r="AE67" s="109"/>
      <c r="AF67" s="109"/>
      <c r="AG67" s="110"/>
      <c r="AH67" s="198">
        <f t="shared" si="23"/>
        <v>2.3759999999999999</v>
      </c>
      <c r="AI67" s="109"/>
      <c r="AJ67" s="109"/>
      <c r="AK67" s="110"/>
      <c r="AL67" s="113"/>
      <c r="AM67" s="109"/>
      <c r="AN67" s="109"/>
      <c r="AO67" s="110"/>
      <c r="AP67" s="113"/>
      <c r="AQ67" s="8"/>
      <c r="AR67" s="8"/>
      <c r="AS67" s="21"/>
      <c r="AT67" s="20"/>
      <c r="AU67" s="8"/>
      <c r="AV67" s="8"/>
      <c r="AW67" s="21"/>
    </row>
    <row r="68" spans="1:49" ht="30" x14ac:dyDescent="0.25">
      <c r="A68" s="28">
        <v>571</v>
      </c>
      <c r="B68" s="28" t="s">
        <v>28</v>
      </c>
      <c r="C68" s="28" t="s">
        <v>561</v>
      </c>
      <c r="D68" s="147" t="s">
        <v>562</v>
      </c>
      <c r="E68" s="24"/>
      <c r="F68" s="28" t="s">
        <v>227</v>
      </c>
      <c r="G68" s="28"/>
      <c r="H68" s="148" t="s">
        <v>31</v>
      </c>
      <c r="I68" s="28"/>
      <c r="J68" s="25">
        <v>9.0000000000000011E-3</v>
      </c>
      <c r="K68" s="25">
        <v>0.14400000000000002</v>
      </c>
      <c r="L68" s="25">
        <v>16</v>
      </c>
      <c r="M68" s="28" t="s">
        <v>33</v>
      </c>
      <c r="N68" s="28">
        <f t="shared" si="6"/>
        <v>3.0672000000000006</v>
      </c>
      <c r="O68" s="28">
        <f t="shared" si="7"/>
        <v>3.5784000000000002</v>
      </c>
      <c r="P68" s="28">
        <f t="shared" si="8"/>
        <v>2.0448000000000004</v>
      </c>
      <c r="Q68" s="28">
        <f t="shared" si="9"/>
        <v>1.5336000000000003</v>
      </c>
      <c r="R68" s="38">
        <v>10.224000000000002</v>
      </c>
      <c r="S68" s="150">
        <v>105991.94</v>
      </c>
      <c r="T68" s="25">
        <f t="shared" si="10"/>
        <v>15262.839360000002</v>
      </c>
      <c r="U68" s="28"/>
      <c r="V68" s="28"/>
      <c r="W68" s="28" t="s">
        <v>611</v>
      </c>
      <c r="X68" s="25">
        <v>678040</v>
      </c>
      <c r="Y68" s="9" t="s">
        <v>564</v>
      </c>
      <c r="Z68" s="15" t="s">
        <v>227</v>
      </c>
      <c r="AA68" s="178">
        <v>16</v>
      </c>
      <c r="AB68" s="187">
        <v>2901</v>
      </c>
      <c r="AC68" s="6"/>
      <c r="AD68" s="113"/>
      <c r="AE68" s="109"/>
      <c r="AF68" s="109"/>
      <c r="AG68" s="110"/>
      <c r="AH68" s="198">
        <f t="shared" si="23"/>
        <v>4.3200000000000002E-2</v>
      </c>
      <c r="AI68" s="109"/>
      <c r="AJ68" s="109"/>
      <c r="AK68" s="110"/>
      <c r="AL68" s="113"/>
      <c r="AM68" s="109"/>
      <c r="AN68" s="109"/>
      <c r="AO68" s="110"/>
      <c r="AP68" s="113"/>
      <c r="AQ68" s="8"/>
      <c r="AR68" s="8"/>
      <c r="AS68" s="21"/>
      <c r="AT68" s="20"/>
      <c r="AU68" s="8"/>
      <c r="AV68" s="8"/>
      <c r="AW68" s="21"/>
    </row>
    <row r="69" spans="1:49" ht="30" x14ac:dyDescent="0.25">
      <c r="A69" s="28">
        <v>572</v>
      </c>
      <c r="B69" s="28" t="s">
        <v>28</v>
      </c>
      <c r="C69" s="28" t="s">
        <v>561</v>
      </c>
      <c r="D69" s="147" t="s">
        <v>562</v>
      </c>
      <c r="E69" s="24"/>
      <c r="F69" s="28" t="s">
        <v>145</v>
      </c>
      <c r="G69" s="28"/>
      <c r="H69" s="148" t="s">
        <v>31</v>
      </c>
      <c r="I69" s="28"/>
      <c r="J69" s="25">
        <v>1.4500000000000001E-2</v>
      </c>
      <c r="K69" s="25">
        <v>0.60899999999999999</v>
      </c>
      <c r="L69" s="25">
        <v>42</v>
      </c>
      <c r="M69" s="28" t="s">
        <v>33</v>
      </c>
      <c r="N69" s="28">
        <f t="shared" ref="N69:N83" si="24">R69*0.3</f>
        <v>12.971699999999998</v>
      </c>
      <c r="O69" s="28">
        <f t="shared" ref="O69:O83" si="25">R69*0.35</f>
        <v>15.133649999999998</v>
      </c>
      <c r="P69" s="28">
        <f t="shared" ref="P69:P83" si="26">R69*0.2</f>
        <v>8.6478000000000002</v>
      </c>
      <c r="Q69" s="28">
        <f t="shared" ref="Q69:Q83" si="27">R69*0.15</f>
        <v>6.4858499999999992</v>
      </c>
      <c r="R69" s="38">
        <v>43.238999999999997</v>
      </c>
      <c r="S69" s="150">
        <v>105991.94</v>
      </c>
      <c r="T69" s="25">
        <f t="shared" ref="T69:T83" si="28">K69*S69</f>
        <v>64549.091460000003</v>
      </c>
      <c r="U69" s="28"/>
      <c r="V69" s="28"/>
      <c r="W69" s="28" t="s">
        <v>612</v>
      </c>
      <c r="X69" s="25">
        <v>678040</v>
      </c>
      <c r="Y69" s="9" t="s">
        <v>564</v>
      </c>
      <c r="Z69" s="15" t="s">
        <v>145</v>
      </c>
      <c r="AA69" s="178">
        <v>17</v>
      </c>
      <c r="AB69" s="187">
        <v>2901</v>
      </c>
      <c r="AC69" s="6"/>
      <c r="AD69" s="113"/>
      <c r="AE69" s="109"/>
      <c r="AF69" s="109"/>
      <c r="AG69" s="110"/>
      <c r="AH69" s="198">
        <f t="shared" si="23"/>
        <v>0.1827</v>
      </c>
      <c r="AI69" s="109"/>
      <c r="AJ69" s="109"/>
      <c r="AK69" s="110"/>
      <c r="AL69" s="113"/>
      <c r="AM69" s="109"/>
      <c r="AN69" s="109"/>
      <c r="AO69" s="110"/>
      <c r="AP69" s="113"/>
      <c r="AQ69" s="8"/>
      <c r="AR69" s="8"/>
      <c r="AS69" s="21"/>
      <c r="AT69" s="20"/>
      <c r="AU69" s="8"/>
      <c r="AV69" s="8"/>
      <c r="AW69" s="21"/>
    </row>
    <row r="70" spans="1:49" ht="30" x14ac:dyDescent="0.25">
      <c r="A70" s="28">
        <v>573</v>
      </c>
      <c r="B70" s="28" t="s">
        <v>28</v>
      </c>
      <c r="C70" s="28" t="s">
        <v>561</v>
      </c>
      <c r="D70" s="147" t="s">
        <v>562</v>
      </c>
      <c r="E70" s="24"/>
      <c r="F70" s="28" t="s">
        <v>145</v>
      </c>
      <c r="G70" s="28"/>
      <c r="H70" s="148" t="s">
        <v>31</v>
      </c>
      <c r="I70" s="28"/>
      <c r="J70" s="25">
        <v>2.7E-2</v>
      </c>
      <c r="K70" s="25">
        <v>0.216</v>
      </c>
      <c r="L70" s="25">
        <v>8</v>
      </c>
      <c r="M70" s="28" t="s">
        <v>33</v>
      </c>
      <c r="N70" s="28">
        <f t="shared" si="24"/>
        <v>4.6007999999999996</v>
      </c>
      <c r="O70" s="28">
        <f t="shared" si="25"/>
        <v>5.3675999999999995</v>
      </c>
      <c r="P70" s="28">
        <f t="shared" si="26"/>
        <v>3.0672000000000001</v>
      </c>
      <c r="Q70" s="28">
        <f t="shared" si="27"/>
        <v>2.3003999999999998</v>
      </c>
      <c r="R70" s="38">
        <v>15.336</v>
      </c>
      <c r="S70" s="150">
        <v>105991.94</v>
      </c>
      <c r="T70" s="25">
        <f t="shared" si="28"/>
        <v>22894.259040000001</v>
      </c>
      <c r="U70" s="28"/>
      <c r="V70" s="28"/>
      <c r="W70" s="28" t="s">
        <v>613</v>
      </c>
      <c r="X70" s="25">
        <v>678040</v>
      </c>
      <c r="Y70" s="9" t="s">
        <v>564</v>
      </c>
      <c r="Z70" s="15" t="s">
        <v>145</v>
      </c>
      <c r="AA70" s="178">
        <v>18</v>
      </c>
      <c r="AB70" s="187">
        <v>2901</v>
      </c>
      <c r="AC70" s="6"/>
      <c r="AD70" s="113"/>
      <c r="AE70" s="109"/>
      <c r="AF70" s="109"/>
      <c r="AG70" s="110"/>
      <c r="AH70" s="198">
        <f t="shared" si="23"/>
        <v>6.4799999999999996E-2</v>
      </c>
      <c r="AI70" s="109"/>
      <c r="AJ70" s="109"/>
      <c r="AK70" s="110"/>
      <c r="AL70" s="113"/>
      <c r="AM70" s="109"/>
      <c r="AN70" s="109"/>
      <c r="AO70" s="110"/>
      <c r="AP70" s="113"/>
      <c r="AQ70" s="8"/>
      <c r="AR70" s="8"/>
      <c r="AS70" s="21"/>
      <c r="AT70" s="20"/>
      <c r="AU70" s="8"/>
      <c r="AV70" s="8"/>
      <c r="AW70" s="21"/>
    </row>
    <row r="71" spans="1:49" ht="30" x14ac:dyDescent="0.25">
      <c r="A71" s="28">
        <v>574</v>
      </c>
      <c r="B71" s="28" t="s">
        <v>28</v>
      </c>
      <c r="C71" s="28" t="s">
        <v>561</v>
      </c>
      <c r="D71" s="147" t="s">
        <v>562</v>
      </c>
      <c r="E71" s="24"/>
      <c r="F71" s="28" t="s">
        <v>614</v>
      </c>
      <c r="G71" s="28"/>
      <c r="H71" s="148" t="s">
        <v>31</v>
      </c>
      <c r="I71" s="28"/>
      <c r="J71" s="25">
        <v>2.1000000000000001E-2</v>
      </c>
      <c r="K71" s="25">
        <v>8.4000000000000005E-2</v>
      </c>
      <c r="L71" s="25">
        <v>4</v>
      </c>
      <c r="M71" s="28" t="s">
        <v>33</v>
      </c>
      <c r="N71" s="28">
        <f t="shared" si="24"/>
        <v>1.7892000000000001</v>
      </c>
      <c r="O71" s="28">
        <f t="shared" si="25"/>
        <v>2.0874000000000001</v>
      </c>
      <c r="P71" s="28">
        <f t="shared" si="26"/>
        <v>1.1928000000000001</v>
      </c>
      <c r="Q71" s="28">
        <f t="shared" si="27"/>
        <v>0.89460000000000006</v>
      </c>
      <c r="R71" s="38">
        <v>5.9640000000000004</v>
      </c>
      <c r="S71" s="150">
        <v>105991.94</v>
      </c>
      <c r="T71" s="25">
        <f t="shared" si="28"/>
        <v>8903.3229600000013</v>
      </c>
      <c r="U71" s="28"/>
      <c r="V71" s="28"/>
      <c r="W71" s="28" t="s">
        <v>615</v>
      </c>
      <c r="X71" s="25">
        <v>678040</v>
      </c>
      <c r="Y71" s="9" t="s">
        <v>564</v>
      </c>
      <c r="Z71" s="15" t="s">
        <v>614</v>
      </c>
      <c r="AA71" s="178">
        <v>19</v>
      </c>
      <c r="AB71" s="187">
        <v>2901</v>
      </c>
      <c r="AC71" s="6"/>
      <c r="AD71" s="113"/>
      <c r="AE71" s="109"/>
      <c r="AF71" s="109"/>
      <c r="AG71" s="110"/>
      <c r="AH71" s="198">
        <f t="shared" si="23"/>
        <v>2.52E-2</v>
      </c>
      <c r="AI71" s="109"/>
      <c r="AJ71" s="109"/>
      <c r="AK71" s="110"/>
      <c r="AL71" s="113"/>
      <c r="AM71" s="109"/>
      <c r="AN71" s="109"/>
      <c r="AO71" s="110"/>
      <c r="AP71" s="113"/>
      <c r="AQ71" s="8"/>
      <c r="AR71" s="8"/>
      <c r="AS71" s="21"/>
      <c r="AT71" s="20"/>
      <c r="AU71" s="8"/>
      <c r="AV71" s="8"/>
      <c r="AW71" s="21"/>
    </row>
    <row r="72" spans="1:49" ht="30" x14ac:dyDescent="0.25">
      <c r="A72" s="28">
        <v>575</v>
      </c>
      <c r="B72" s="28" t="s">
        <v>28</v>
      </c>
      <c r="C72" s="28" t="s">
        <v>561</v>
      </c>
      <c r="D72" s="147" t="s">
        <v>562</v>
      </c>
      <c r="E72" s="24"/>
      <c r="F72" s="28" t="s">
        <v>111</v>
      </c>
      <c r="G72" s="28"/>
      <c r="H72" s="148" t="s">
        <v>31</v>
      </c>
      <c r="I72" s="28"/>
      <c r="J72" s="25">
        <v>2.5000000000000001E-3</v>
      </c>
      <c r="K72" s="25">
        <v>2.2499999999999999E-2</v>
      </c>
      <c r="L72" s="25">
        <v>9</v>
      </c>
      <c r="M72" s="28" t="s">
        <v>33</v>
      </c>
      <c r="N72" s="28">
        <f t="shared" si="24"/>
        <v>0.47924999999999995</v>
      </c>
      <c r="O72" s="28">
        <f t="shared" si="25"/>
        <v>0.55912499999999998</v>
      </c>
      <c r="P72" s="28">
        <f t="shared" si="26"/>
        <v>0.31950000000000001</v>
      </c>
      <c r="Q72" s="28">
        <f t="shared" si="27"/>
        <v>0.23962499999999998</v>
      </c>
      <c r="R72" s="38">
        <v>1.5974999999999999</v>
      </c>
      <c r="S72" s="150">
        <v>105991.94</v>
      </c>
      <c r="T72" s="25">
        <f t="shared" si="28"/>
        <v>2384.8186500000002</v>
      </c>
      <c r="U72" s="28"/>
      <c r="V72" s="28"/>
      <c r="W72" s="28" t="s">
        <v>616</v>
      </c>
      <c r="X72" s="25">
        <v>678040</v>
      </c>
      <c r="Y72" s="9" t="s">
        <v>564</v>
      </c>
      <c r="Z72" s="15" t="s">
        <v>111</v>
      </c>
      <c r="AA72" s="178">
        <v>20</v>
      </c>
      <c r="AB72" s="187">
        <v>2901</v>
      </c>
      <c r="AC72" s="6"/>
      <c r="AD72" s="113"/>
      <c r="AE72" s="109"/>
      <c r="AF72" s="109"/>
      <c r="AG72" s="110"/>
      <c r="AH72" s="198">
        <f t="shared" si="23"/>
        <v>6.7499999999999999E-3</v>
      </c>
      <c r="AI72" s="109"/>
      <c r="AJ72" s="109"/>
      <c r="AK72" s="110"/>
      <c r="AL72" s="113"/>
      <c r="AM72" s="109"/>
      <c r="AN72" s="109"/>
      <c r="AO72" s="110"/>
      <c r="AP72" s="113"/>
      <c r="AQ72" s="8"/>
      <c r="AR72" s="8"/>
      <c r="AS72" s="21"/>
      <c r="AT72" s="20"/>
      <c r="AU72" s="8"/>
      <c r="AV72" s="8"/>
      <c r="AW72" s="21"/>
    </row>
    <row r="73" spans="1:49" ht="30" x14ac:dyDescent="0.25">
      <c r="A73" s="28">
        <v>576</v>
      </c>
      <c r="B73" s="28" t="s">
        <v>28</v>
      </c>
      <c r="C73" s="28" t="s">
        <v>561</v>
      </c>
      <c r="D73" s="147" t="s">
        <v>562</v>
      </c>
      <c r="E73" s="24"/>
      <c r="F73" s="28" t="s">
        <v>111</v>
      </c>
      <c r="G73" s="28"/>
      <c r="H73" s="148" t="s">
        <v>31</v>
      </c>
      <c r="I73" s="28"/>
      <c r="J73" s="25">
        <v>7.0999999999999995E-3</v>
      </c>
      <c r="K73" s="25">
        <v>0.11359999999999999</v>
      </c>
      <c r="L73" s="25">
        <v>16</v>
      </c>
      <c r="M73" s="28" t="s">
        <v>33</v>
      </c>
      <c r="N73" s="28">
        <f t="shared" si="24"/>
        <v>2.4196800000000001</v>
      </c>
      <c r="O73" s="28">
        <f t="shared" si="25"/>
        <v>2.8229599999999997</v>
      </c>
      <c r="P73" s="28">
        <f t="shared" si="26"/>
        <v>1.6131200000000001</v>
      </c>
      <c r="Q73" s="28">
        <f t="shared" si="27"/>
        <v>1.20984</v>
      </c>
      <c r="R73" s="38">
        <v>8.0655999999999999</v>
      </c>
      <c r="S73" s="150">
        <v>105991.94</v>
      </c>
      <c r="T73" s="25">
        <f t="shared" si="28"/>
        <v>12040.684384</v>
      </c>
      <c r="U73" s="28"/>
      <c r="V73" s="28"/>
      <c r="W73" s="28" t="s">
        <v>617</v>
      </c>
      <c r="X73" s="25">
        <v>678040</v>
      </c>
      <c r="Y73" s="9" t="s">
        <v>564</v>
      </c>
      <c r="Z73" s="15" t="s">
        <v>111</v>
      </c>
      <c r="AA73" s="178">
        <v>21</v>
      </c>
      <c r="AB73" s="187">
        <v>2901</v>
      </c>
      <c r="AC73" s="6"/>
      <c r="AD73" s="113"/>
      <c r="AE73" s="109"/>
      <c r="AF73" s="109"/>
      <c r="AG73" s="110"/>
      <c r="AH73" s="198">
        <f t="shared" si="23"/>
        <v>3.4079999999999999E-2</v>
      </c>
      <c r="AI73" s="109"/>
      <c r="AJ73" s="109"/>
      <c r="AK73" s="110"/>
      <c r="AL73" s="113"/>
      <c r="AM73" s="109"/>
      <c r="AN73" s="109"/>
      <c r="AO73" s="110"/>
      <c r="AP73" s="113"/>
      <c r="AQ73" s="8"/>
      <c r="AR73" s="8"/>
      <c r="AS73" s="21"/>
      <c r="AT73" s="20"/>
      <c r="AU73" s="8"/>
      <c r="AV73" s="8"/>
      <c r="AW73" s="21"/>
    </row>
    <row r="74" spans="1:49" ht="30" x14ac:dyDescent="0.25">
      <c r="A74" s="28">
        <v>577</v>
      </c>
      <c r="B74" s="28" t="s">
        <v>28</v>
      </c>
      <c r="C74" s="28" t="s">
        <v>561</v>
      </c>
      <c r="D74" s="147" t="s">
        <v>562</v>
      </c>
      <c r="E74" s="24"/>
      <c r="F74" s="28" t="s">
        <v>111</v>
      </c>
      <c r="G74" s="28"/>
      <c r="H74" s="148" t="s">
        <v>31</v>
      </c>
      <c r="I74" s="28"/>
      <c r="J74" s="25">
        <v>4.2000000000000006E-3</v>
      </c>
      <c r="K74" s="25">
        <v>3.3600000000000005E-2</v>
      </c>
      <c r="L74" s="25">
        <v>8</v>
      </c>
      <c r="M74" s="28" t="s">
        <v>33</v>
      </c>
      <c r="N74" s="28">
        <f t="shared" si="24"/>
        <v>0.71567999999999998</v>
      </c>
      <c r="O74" s="28">
        <f t="shared" si="25"/>
        <v>0.83496000000000004</v>
      </c>
      <c r="P74" s="28">
        <f t="shared" si="26"/>
        <v>0.47712000000000004</v>
      </c>
      <c r="Q74" s="28">
        <f t="shared" si="27"/>
        <v>0.35783999999999999</v>
      </c>
      <c r="R74" s="38">
        <v>2.3856000000000002</v>
      </c>
      <c r="S74" s="150">
        <v>105991.94</v>
      </c>
      <c r="T74" s="25">
        <f t="shared" si="28"/>
        <v>3561.3291840000006</v>
      </c>
      <c r="U74" s="28"/>
      <c r="V74" s="28"/>
      <c r="W74" s="28" t="s">
        <v>618</v>
      </c>
      <c r="X74" s="25">
        <v>678040</v>
      </c>
      <c r="Y74" s="9" t="s">
        <v>564</v>
      </c>
      <c r="Z74" s="15" t="s">
        <v>111</v>
      </c>
      <c r="AA74" s="178">
        <v>22</v>
      </c>
      <c r="AB74" s="187">
        <v>2901</v>
      </c>
      <c r="AC74" s="6"/>
      <c r="AD74" s="113"/>
      <c r="AE74" s="109"/>
      <c r="AF74" s="109"/>
      <c r="AG74" s="110"/>
      <c r="AH74" s="198">
        <f t="shared" si="23"/>
        <v>1.008E-2</v>
      </c>
      <c r="AI74" s="109"/>
      <c r="AJ74" s="109"/>
      <c r="AK74" s="110"/>
      <c r="AL74" s="113"/>
      <c r="AM74" s="109"/>
      <c r="AN74" s="109"/>
      <c r="AO74" s="110"/>
      <c r="AP74" s="113"/>
      <c r="AQ74" s="8"/>
      <c r="AR74" s="8"/>
      <c r="AS74" s="21"/>
      <c r="AT74" s="20"/>
      <c r="AU74" s="8"/>
      <c r="AV74" s="8"/>
      <c r="AW74" s="21"/>
    </row>
    <row r="75" spans="1:49" ht="30" x14ac:dyDescent="0.25">
      <c r="A75" s="28">
        <v>578</v>
      </c>
      <c r="B75" s="28" t="s">
        <v>28</v>
      </c>
      <c r="C75" s="28" t="s">
        <v>561</v>
      </c>
      <c r="D75" s="147" t="s">
        <v>562</v>
      </c>
      <c r="E75" s="24"/>
      <c r="F75" s="28" t="s">
        <v>111</v>
      </c>
      <c r="G75" s="28"/>
      <c r="H75" s="148" t="s">
        <v>31</v>
      </c>
      <c r="I75" s="28"/>
      <c r="J75" s="25">
        <v>2E-3</v>
      </c>
      <c r="K75" s="25">
        <v>7.2000000000000008E-2</v>
      </c>
      <c r="L75" s="25">
        <v>36</v>
      </c>
      <c r="M75" s="28" t="s">
        <v>33</v>
      </c>
      <c r="N75" s="28">
        <f t="shared" si="24"/>
        <v>1.5336000000000003</v>
      </c>
      <c r="O75" s="28">
        <f t="shared" si="25"/>
        <v>1.7892000000000001</v>
      </c>
      <c r="P75" s="28">
        <f t="shared" si="26"/>
        <v>1.0224000000000002</v>
      </c>
      <c r="Q75" s="28">
        <f t="shared" si="27"/>
        <v>0.76680000000000015</v>
      </c>
      <c r="R75" s="38">
        <v>5.112000000000001</v>
      </c>
      <c r="S75" s="150">
        <v>105991.94</v>
      </c>
      <c r="T75" s="25">
        <f t="shared" si="28"/>
        <v>7631.4196800000009</v>
      </c>
      <c r="U75" s="28"/>
      <c r="V75" s="28"/>
      <c r="W75" s="28" t="s">
        <v>619</v>
      </c>
      <c r="X75" s="25">
        <v>678040</v>
      </c>
      <c r="Y75" s="9" t="s">
        <v>564</v>
      </c>
      <c r="Z75" s="15" t="s">
        <v>111</v>
      </c>
      <c r="AA75" s="178">
        <v>23</v>
      </c>
      <c r="AB75" s="187">
        <v>2901</v>
      </c>
      <c r="AC75" s="6"/>
      <c r="AD75" s="113"/>
      <c r="AE75" s="109"/>
      <c r="AF75" s="109"/>
      <c r="AG75" s="110"/>
      <c r="AH75" s="198">
        <f t="shared" si="23"/>
        <v>2.1600000000000001E-2</v>
      </c>
      <c r="AI75" s="109"/>
      <c r="AJ75" s="109"/>
      <c r="AK75" s="110"/>
      <c r="AL75" s="113"/>
      <c r="AM75" s="109"/>
      <c r="AN75" s="109"/>
      <c r="AO75" s="110"/>
      <c r="AP75" s="113"/>
      <c r="AQ75" s="8"/>
      <c r="AR75" s="8"/>
      <c r="AS75" s="21"/>
      <c r="AT75" s="20"/>
      <c r="AU75" s="8"/>
      <c r="AV75" s="8"/>
      <c r="AW75" s="21"/>
    </row>
    <row r="76" spans="1:49" ht="30" x14ac:dyDescent="0.25">
      <c r="A76" s="28">
        <v>579</v>
      </c>
      <c r="B76" s="28" t="s">
        <v>28</v>
      </c>
      <c r="C76" s="28" t="s">
        <v>561</v>
      </c>
      <c r="D76" s="147" t="s">
        <v>562</v>
      </c>
      <c r="E76" s="24"/>
      <c r="F76" s="28" t="s">
        <v>111</v>
      </c>
      <c r="G76" s="28"/>
      <c r="H76" s="148" t="s">
        <v>31</v>
      </c>
      <c r="I76" s="28"/>
      <c r="J76" s="25">
        <v>6.4000000000000003E-3</v>
      </c>
      <c r="K76" s="25">
        <v>0.1024</v>
      </c>
      <c r="L76" s="25">
        <v>16</v>
      </c>
      <c r="M76" s="28" t="s">
        <v>33</v>
      </c>
      <c r="N76" s="28">
        <f t="shared" si="24"/>
        <v>2.1811199999999999</v>
      </c>
      <c r="O76" s="28">
        <f t="shared" si="25"/>
        <v>2.5446399999999998</v>
      </c>
      <c r="P76" s="28">
        <f t="shared" si="26"/>
        <v>1.4540800000000003</v>
      </c>
      <c r="Q76" s="28">
        <f t="shared" si="27"/>
        <v>1.09056</v>
      </c>
      <c r="R76" s="38">
        <v>7.2704000000000004</v>
      </c>
      <c r="S76" s="150">
        <v>105991.94</v>
      </c>
      <c r="T76" s="25">
        <f t="shared" si="28"/>
        <v>10853.574656000001</v>
      </c>
      <c r="U76" s="28"/>
      <c r="V76" s="28"/>
      <c r="W76" s="28" t="s">
        <v>620</v>
      </c>
      <c r="X76" s="25">
        <v>678040</v>
      </c>
      <c r="Y76" s="9" t="s">
        <v>564</v>
      </c>
      <c r="Z76" s="15" t="s">
        <v>111</v>
      </c>
      <c r="AA76" s="178">
        <v>24</v>
      </c>
      <c r="AB76" s="187">
        <v>2901</v>
      </c>
      <c r="AC76" s="6"/>
      <c r="AD76" s="113"/>
      <c r="AE76" s="109"/>
      <c r="AF76" s="109"/>
      <c r="AG76" s="110"/>
      <c r="AH76" s="198">
        <f t="shared" si="23"/>
        <v>3.0720000000000001E-2</v>
      </c>
      <c r="AI76" s="109"/>
      <c r="AJ76" s="109"/>
      <c r="AK76" s="110"/>
      <c r="AL76" s="113"/>
      <c r="AM76" s="109"/>
      <c r="AN76" s="109"/>
      <c r="AO76" s="110"/>
      <c r="AP76" s="113"/>
      <c r="AQ76" s="8"/>
      <c r="AR76" s="8"/>
      <c r="AS76" s="21"/>
      <c r="AT76" s="20"/>
      <c r="AU76" s="8"/>
      <c r="AV76" s="8"/>
      <c r="AW76" s="21"/>
    </row>
    <row r="77" spans="1:49" ht="30" x14ac:dyDescent="0.25">
      <c r="A77" s="28">
        <v>580</v>
      </c>
      <c r="B77" s="28" t="s">
        <v>28</v>
      </c>
      <c r="C77" s="28" t="s">
        <v>561</v>
      </c>
      <c r="D77" s="147" t="s">
        <v>562</v>
      </c>
      <c r="E77" s="24"/>
      <c r="F77" s="28" t="s">
        <v>621</v>
      </c>
      <c r="G77" s="28"/>
      <c r="H77" s="148" t="s">
        <v>31</v>
      </c>
      <c r="I77" s="28"/>
      <c r="J77" s="25">
        <v>9.7000000000000003E-2</v>
      </c>
      <c r="K77" s="25">
        <v>9.7000000000000003E-2</v>
      </c>
      <c r="L77" s="25">
        <v>1</v>
      </c>
      <c r="M77" s="28" t="s">
        <v>33</v>
      </c>
      <c r="N77" s="28">
        <f t="shared" si="24"/>
        <v>1.8042</v>
      </c>
      <c r="O77" s="28">
        <f t="shared" si="25"/>
        <v>2.1048999999999998</v>
      </c>
      <c r="P77" s="28">
        <f t="shared" si="26"/>
        <v>1.2028000000000001</v>
      </c>
      <c r="Q77" s="28">
        <f t="shared" si="27"/>
        <v>0.90210000000000001</v>
      </c>
      <c r="R77" s="38">
        <v>6.0140000000000002</v>
      </c>
      <c r="S77" s="150">
        <v>105991.94</v>
      </c>
      <c r="T77" s="25">
        <f t="shared" si="28"/>
        <v>10281.21818</v>
      </c>
      <c r="U77" s="28"/>
      <c r="V77" s="28"/>
      <c r="W77" s="28" t="s">
        <v>622</v>
      </c>
      <c r="X77" s="25">
        <v>678040</v>
      </c>
      <c r="Y77" s="9" t="s">
        <v>564</v>
      </c>
      <c r="Z77" s="15" t="s">
        <v>621</v>
      </c>
      <c r="AA77" s="178">
        <v>25</v>
      </c>
      <c r="AB77" s="187">
        <v>2901</v>
      </c>
      <c r="AC77" s="6"/>
      <c r="AD77" s="113"/>
      <c r="AE77" s="109"/>
      <c r="AF77" s="109"/>
      <c r="AG77" s="110"/>
      <c r="AH77" s="198">
        <f t="shared" si="23"/>
        <v>2.9100000000000001E-2</v>
      </c>
      <c r="AI77" s="109"/>
      <c r="AJ77" s="109"/>
      <c r="AK77" s="110"/>
      <c r="AL77" s="113"/>
      <c r="AM77" s="109"/>
      <c r="AN77" s="109"/>
      <c r="AO77" s="110"/>
      <c r="AP77" s="113"/>
      <c r="AQ77" s="8"/>
      <c r="AR77" s="8"/>
      <c r="AS77" s="21"/>
      <c r="AT77" s="20"/>
      <c r="AU77" s="8"/>
      <c r="AV77" s="8"/>
      <c r="AW77" s="21"/>
    </row>
    <row r="78" spans="1:49" ht="30" x14ac:dyDescent="0.25">
      <c r="A78" s="28">
        <v>581</v>
      </c>
      <c r="B78" s="28" t="s">
        <v>28</v>
      </c>
      <c r="C78" s="28" t="s">
        <v>561</v>
      </c>
      <c r="D78" s="147" t="s">
        <v>562</v>
      </c>
      <c r="E78" s="24"/>
      <c r="F78" s="28" t="s">
        <v>621</v>
      </c>
      <c r="G78" s="28"/>
      <c r="H78" s="148" t="s">
        <v>31</v>
      </c>
      <c r="I78" s="28"/>
      <c r="J78" s="25">
        <v>0.1</v>
      </c>
      <c r="K78" s="25">
        <v>0.1</v>
      </c>
      <c r="L78" s="25">
        <v>1</v>
      </c>
      <c r="M78" s="28" t="s">
        <v>33</v>
      </c>
      <c r="N78" s="28">
        <f t="shared" si="24"/>
        <v>1.8599999999999999</v>
      </c>
      <c r="O78" s="28">
        <f t="shared" si="25"/>
        <v>2.17</v>
      </c>
      <c r="P78" s="28">
        <f t="shared" si="26"/>
        <v>1.2400000000000002</v>
      </c>
      <c r="Q78" s="28">
        <f t="shared" si="27"/>
        <v>0.92999999999999994</v>
      </c>
      <c r="R78" s="38">
        <v>6.2</v>
      </c>
      <c r="S78" s="150">
        <v>105991.94</v>
      </c>
      <c r="T78" s="25">
        <f t="shared" si="28"/>
        <v>10599.194000000001</v>
      </c>
      <c r="U78" s="28"/>
      <c r="V78" s="28"/>
      <c r="W78" s="28" t="s">
        <v>623</v>
      </c>
      <c r="X78" s="25">
        <v>678040</v>
      </c>
      <c r="Y78" s="9" t="s">
        <v>564</v>
      </c>
      <c r="Z78" s="15" t="s">
        <v>621</v>
      </c>
      <c r="AA78" s="178">
        <v>26</v>
      </c>
      <c r="AB78" s="187">
        <v>2901</v>
      </c>
      <c r="AC78" s="6"/>
      <c r="AD78" s="113"/>
      <c r="AE78" s="109"/>
      <c r="AF78" s="109"/>
      <c r="AG78" s="110"/>
      <c r="AH78" s="198">
        <f t="shared" si="23"/>
        <v>0.03</v>
      </c>
      <c r="AI78" s="109"/>
      <c r="AJ78" s="109"/>
      <c r="AK78" s="110"/>
      <c r="AL78" s="113"/>
      <c r="AM78" s="109"/>
      <c r="AN78" s="109"/>
      <c r="AO78" s="110"/>
      <c r="AP78" s="113"/>
      <c r="AQ78" s="8"/>
      <c r="AR78" s="8"/>
      <c r="AS78" s="21"/>
      <c r="AT78" s="20"/>
      <c r="AU78" s="8"/>
      <c r="AV78" s="8"/>
      <c r="AW78" s="21"/>
    </row>
    <row r="79" spans="1:49" ht="30" x14ac:dyDescent="0.25">
      <c r="A79" s="28">
        <v>582</v>
      </c>
      <c r="B79" s="28" t="s">
        <v>28</v>
      </c>
      <c r="C79" s="28" t="s">
        <v>561</v>
      </c>
      <c r="D79" s="147" t="s">
        <v>562</v>
      </c>
      <c r="E79" s="24"/>
      <c r="F79" s="28" t="s">
        <v>621</v>
      </c>
      <c r="G79" s="28"/>
      <c r="H79" s="148" t="s">
        <v>31</v>
      </c>
      <c r="I79" s="28"/>
      <c r="J79" s="25">
        <v>0.05</v>
      </c>
      <c r="K79" s="25">
        <v>0.1</v>
      </c>
      <c r="L79" s="25">
        <v>2</v>
      </c>
      <c r="M79" s="28" t="s">
        <v>33</v>
      </c>
      <c r="N79" s="28">
        <f t="shared" si="24"/>
        <v>2.13</v>
      </c>
      <c r="O79" s="28">
        <f t="shared" si="25"/>
        <v>2.4849999999999999</v>
      </c>
      <c r="P79" s="28">
        <f t="shared" si="26"/>
        <v>1.4200000000000002</v>
      </c>
      <c r="Q79" s="28">
        <f t="shared" si="27"/>
        <v>1.0649999999999999</v>
      </c>
      <c r="R79" s="38">
        <v>7.1000000000000005</v>
      </c>
      <c r="S79" s="150">
        <v>105991.94</v>
      </c>
      <c r="T79" s="25">
        <f t="shared" si="28"/>
        <v>10599.194000000001</v>
      </c>
      <c r="U79" s="28"/>
      <c r="V79" s="28"/>
      <c r="W79" s="28" t="s">
        <v>624</v>
      </c>
      <c r="X79" s="25">
        <v>678040</v>
      </c>
      <c r="Y79" s="9" t="s">
        <v>564</v>
      </c>
      <c r="Z79" s="15" t="s">
        <v>621</v>
      </c>
      <c r="AA79" s="178">
        <v>27</v>
      </c>
      <c r="AB79" s="187">
        <v>2901</v>
      </c>
      <c r="AC79" s="6"/>
      <c r="AD79" s="113"/>
      <c r="AE79" s="109"/>
      <c r="AF79" s="109"/>
      <c r="AG79" s="110"/>
      <c r="AH79" s="198">
        <f t="shared" si="23"/>
        <v>0.03</v>
      </c>
      <c r="AI79" s="109"/>
      <c r="AJ79" s="109"/>
      <c r="AK79" s="110"/>
      <c r="AL79" s="113"/>
      <c r="AM79" s="109"/>
      <c r="AN79" s="109"/>
      <c r="AO79" s="110"/>
      <c r="AP79" s="113"/>
      <c r="AQ79" s="8"/>
      <c r="AR79" s="8"/>
      <c r="AS79" s="21"/>
      <c r="AT79" s="20"/>
      <c r="AU79" s="8"/>
      <c r="AV79" s="8"/>
      <c r="AW79" s="21"/>
    </row>
    <row r="80" spans="1:49" ht="30" x14ac:dyDescent="0.25">
      <c r="A80" s="28">
        <v>583</v>
      </c>
      <c r="B80" s="28" t="s">
        <v>28</v>
      </c>
      <c r="C80" s="28" t="s">
        <v>561</v>
      </c>
      <c r="D80" s="147" t="s">
        <v>562</v>
      </c>
      <c r="E80" s="24"/>
      <c r="F80" s="28" t="s">
        <v>111</v>
      </c>
      <c r="G80" s="28"/>
      <c r="H80" s="148" t="s">
        <v>31</v>
      </c>
      <c r="I80" s="28"/>
      <c r="J80" s="25">
        <v>9.1000000000000004E-3</v>
      </c>
      <c r="K80" s="25">
        <v>1.5288000000000002</v>
      </c>
      <c r="L80" s="25">
        <v>168</v>
      </c>
      <c r="M80" s="28" t="s">
        <v>33</v>
      </c>
      <c r="N80" s="28">
        <f t="shared" si="24"/>
        <v>32.56344</v>
      </c>
      <c r="O80" s="28">
        <f t="shared" si="25"/>
        <v>37.990679999999998</v>
      </c>
      <c r="P80" s="28">
        <f t="shared" si="26"/>
        <v>21.708960000000005</v>
      </c>
      <c r="Q80" s="28">
        <f t="shared" si="27"/>
        <v>16.28172</v>
      </c>
      <c r="R80" s="38">
        <v>108.54480000000001</v>
      </c>
      <c r="S80" s="150">
        <v>105991.94</v>
      </c>
      <c r="T80" s="25">
        <f t="shared" si="28"/>
        <v>162040.47787200002</v>
      </c>
      <c r="U80" s="28"/>
      <c r="V80" s="28"/>
      <c r="W80" s="28" t="s">
        <v>625</v>
      </c>
      <c r="X80" s="25">
        <v>678040</v>
      </c>
      <c r="Y80" s="9" t="s">
        <v>564</v>
      </c>
      <c r="Z80" s="15" t="s">
        <v>111</v>
      </c>
      <c r="AA80" s="178">
        <v>28</v>
      </c>
      <c r="AB80" s="187">
        <v>2901</v>
      </c>
      <c r="AC80" s="6"/>
      <c r="AD80" s="113"/>
      <c r="AE80" s="109"/>
      <c r="AF80" s="109"/>
      <c r="AG80" s="110"/>
      <c r="AH80" s="198">
        <f t="shared" si="23"/>
        <v>0.45864000000000005</v>
      </c>
      <c r="AI80" s="109"/>
      <c r="AJ80" s="109"/>
      <c r="AK80" s="110"/>
      <c r="AL80" s="113"/>
      <c r="AM80" s="109"/>
      <c r="AN80" s="109"/>
      <c r="AO80" s="110"/>
      <c r="AP80" s="113"/>
      <c r="AQ80" s="8"/>
      <c r="AR80" s="8"/>
      <c r="AS80" s="21"/>
      <c r="AT80" s="20"/>
      <c r="AU80" s="8"/>
      <c r="AV80" s="8"/>
      <c r="AW80" s="21"/>
    </row>
    <row r="81" spans="1:49" ht="30" x14ac:dyDescent="0.25">
      <c r="A81" s="28">
        <v>584</v>
      </c>
      <c r="B81" s="28" t="s">
        <v>28</v>
      </c>
      <c r="C81" s="28" t="s">
        <v>561</v>
      </c>
      <c r="D81" s="147" t="s">
        <v>562</v>
      </c>
      <c r="E81" s="24"/>
      <c r="F81" s="28" t="s">
        <v>177</v>
      </c>
      <c r="G81" s="28"/>
      <c r="H81" s="148" t="s">
        <v>31</v>
      </c>
      <c r="I81" s="28"/>
      <c r="J81" s="25">
        <v>1.3000000000000002E-3</v>
      </c>
      <c r="K81" s="25">
        <v>5.460000000000001E-2</v>
      </c>
      <c r="L81" s="25">
        <v>42</v>
      </c>
      <c r="M81" s="28" t="s">
        <v>33</v>
      </c>
      <c r="N81" s="28">
        <f t="shared" si="24"/>
        <v>1.1629800000000001</v>
      </c>
      <c r="O81" s="28">
        <f t="shared" si="25"/>
        <v>1.3568100000000001</v>
      </c>
      <c r="P81" s="28">
        <f t="shared" si="26"/>
        <v>0.77532000000000023</v>
      </c>
      <c r="Q81" s="28">
        <f t="shared" si="27"/>
        <v>0.58149000000000006</v>
      </c>
      <c r="R81" s="38">
        <v>3.8766000000000007</v>
      </c>
      <c r="S81" s="150">
        <v>105991.94</v>
      </c>
      <c r="T81" s="25">
        <f t="shared" si="28"/>
        <v>5787.1599240000014</v>
      </c>
      <c r="U81" s="28"/>
      <c r="V81" s="28"/>
      <c r="W81" s="28" t="s">
        <v>626</v>
      </c>
      <c r="X81" s="25">
        <v>678040</v>
      </c>
      <c r="Y81" s="9" t="s">
        <v>564</v>
      </c>
      <c r="Z81" s="15" t="s">
        <v>177</v>
      </c>
      <c r="AA81" s="178">
        <v>29</v>
      </c>
      <c r="AB81" s="187">
        <v>2901</v>
      </c>
      <c r="AC81" s="6"/>
      <c r="AD81" s="113"/>
      <c r="AE81" s="109"/>
      <c r="AF81" s="109"/>
      <c r="AG81" s="110"/>
      <c r="AH81" s="198">
        <f t="shared" si="23"/>
        <v>1.6380000000000002E-2</v>
      </c>
      <c r="AI81" s="109"/>
      <c r="AJ81" s="109"/>
      <c r="AK81" s="110"/>
      <c r="AL81" s="113"/>
      <c r="AM81" s="109"/>
      <c r="AN81" s="109"/>
      <c r="AO81" s="110"/>
      <c r="AP81" s="113"/>
      <c r="AQ81" s="8"/>
      <c r="AR81" s="8"/>
      <c r="AS81" s="21"/>
      <c r="AT81" s="20"/>
      <c r="AU81" s="8"/>
      <c r="AV81" s="8"/>
      <c r="AW81" s="21"/>
    </row>
    <row r="82" spans="1:49" ht="30" x14ac:dyDescent="0.25">
      <c r="A82" s="28">
        <v>585</v>
      </c>
      <c r="B82" s="28" t="s">
        <v>28</v>
      </c>
      <c r="C82" s="28" t="s">
        <v>561</v>
      </c>
      <c r="D82" s="147" t="s">
        <v>562</v>
      </c>
      <c r="E82" s="24"/>
      <c r="F82" s="28" t="s">
        <v>126</v>
      </c>
      <c r="G82" s="28"/>
      <c r="H82" s="148" t="s">
        <v>31</v>
      </c>
      <c r="I82" s="28"/>
      <c r="J82" s="25">
        <v>6</v>
      </c>
      <c r="K82" s="25">
        <v>6</v>
      </c>
      <c r="L82" s="25">
        <v>1</v>
      </c>
      <c r="M82" s="28" t="s">
        <v>33</v>
      </c>
      <c r="N82" s="28">
        <f t="shared" si="24"/>
        <v>57.599999999999994</v>
      </c>
      <c r="O82" s="28">
        <f t="shared" si="25"/>
        <v>67.199999999999989</v>
      </c>
      <c r="P82" s="28">
        <f t="shared" si="26"/>
        <v>38.400000000000006</v>
      </c>
      <c r="Q82" s="28">
        <f t="shared" si="27"/>
        <v>28.799999999999997</v>
      </c>
      <c r="R82" s="38">
        <v>192</v>
      </c>
      <c r="S82" s="170">
        <v>105991.94</v>
      </c>
      <c r="T82" s="9">
        <f t="shared" si="28"/>
        <v>635951.64</v>
      </c>
      <c r="U82" s="15"/>
      <c r="V82" s="15"/>
      <c r="W82" s="28" t="s">
        <v>627</v>
      </c>
      <c r="X82" s="25">
        <v>678041</v>
      </c>
      <c r="Y82" s="9" t="s">
        <v>564</v>
      </c>
      <c r="Z82" s="15" t="s">
        <v>126</v>
      </c>
      <c r="AA82" s="178">
        <v>1</v>
      </c>
      <c r="AB82" s="187">
        <v>2901</v>
      </c>
      <c r="AC82" s="6"/>
      <c r="AD82" s="113"/>
      <c r="AE82" s="109"/>
      <c r="AF82" s="109"/>
      <c r="AG82" s="110"/>
      <c r="AH82" s="113"/>
      <c r="AI82" s="109"/>
      <c r="AJ82" s="109"/>
      <c r="AK82" s="110"/>
      <c r="AL82" s="113"/>
      <c r="AM82" s="109"/>
      <c r="AN82" s="109"/>
      <c r="AO82" s="110"/>
      <c r="AP82" s="20"/>
      <c r="AQ82" s="8"/>
      <c r="AR82" s="8"/>
      <c r="AS82" s="21"/>
      <c r="AT82" s="20"/>
      <c r="AU82" s="8"/>
      <c r="AV82" s="8"/>
      <c r="AW82" s="21"/>
    </row>
    <row r="83" spans="1:49" ht="30.75" thickBot="1" x14ac:dyDescent="0.3">
      <c r="A83" s="28">
        <v>586</v>
      </c>
      <c r="B83" s="28" t="s">
        <v>28</v>
      </c>
      <c r="C83" s="28" t="s">
        <v>561</v>
      </c>
      <c r="D83" s="147" t="s">
        <v>562</v>
      </c>
      <c r="E83" s="24"/>
      <c r="F83" s="28" t="s">
        <v>126</v>
      </c>
      <c r="G83" s="28"/>
      <c r="H83" s="148" t="s">
        <v>31</v>
      </c>
      <c r="I83" s="28"/>
      <c r="J83" s="25">
        <v>3.5</v>
      </c>
      <c r="K83" s="25">
        <v>3.5</v>
      </c>
      <c r="L83" s="25">
        <v>1</v>
      </c>
      <c r="M83" s="28" t="s">
        <v>33</v>
      </c>
      <c r="N83" s="28">
        <f t="shared" si="24"/>
        <v>37.799999999999997</v>
      </c>
      <c r="O83" s="28">
        <f t="shared" si="25"/>
        <v>44.099999999999994</v>
      </c>
      <c r="P83" s="28">
        <f t="shared" si="26"/>
        <v>25.200000000000003</v>
      </c>
      <c r="Q83" s="28">
        <f t="shared" si="27"/>
        <v>18.899999999999999</v>
      </c>
      <c r="R83" s="38">
        <v>126</v>
      </c>
      <c r="S83" s="170">
        <v>105991.94</v>
      </c>
      <c r="T83" s="9">
        <f t="shared" si="28"/>
        <v>370971.79000000004</v>
      </c>
      <c r="U83" s="15"/>
      <c r="V83" s="15"/>
      <c r="W83" s="28" t="s">
        <v>628</v>
      </c>
      <c r="X83" s="25">
        <v>678041</v>
      </c>
      <c r="Y83" s="9" t="s">
        <v>564</v>
      </c>
      <c r="Z83" s="15" t="s">
        <v>126</v>
      </c>
      <c r="AA83" s="178">
        <v>2</v>
      </c>
      <c r="AB83" s="187">
        <v>2901</v>
      </c>
      <c r="AC83" s="6"/>
      <c r="AD83" s="114"/>
      <c r="AE83" s="115"/>
      <c r="AF83" s="115"/>
      <c r="AG83" s="116"/>
      <c r="AH83" s="114"/>
      <c r="AI83" s="115"/>
      <c r="AJ83" s="115"/>
      <c r="AK83" s="116"/>
      <c r="AL83" s="114"/>
      <c r="AM83" s="115"/>
      <c r="AN83" s="115"/>
      <c r="AO83" s="116"/>
      <c r="AP83" s="190"/>
      <c r="AQ83" s="96"/>
      <c r="AR83" s="96"/>
      <c r="AS83" s="22"/>
      <c r="AT83" s="190"/>
      <c r="AU83" s="96"/>
      <c r="AV83" s="96"/>
      <c r="AW83" s="22"/>
    </row>
    <row r="84" spans="1:49" x14ac:dyDescent="0.25"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</row>
    <row r="85" spans="1:49" x14ac:dyDescent="0.25"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</row>
    <row r="86" spans="1:49" x14ac:dyDescent="0.25"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</row>
    <row r="87" spans="1:49" x14ac:dyDescent="0.25"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</row>
    <row r="88" spans="1:49" x14ac:dyDescent="0.25"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</row>
    <row r="89" spans="1:49" x14ac:dyDescent="0.25"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</row>
    <row r="90" spans="1:49" x14ac:dyDescent="0.25"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</row>
    <row r="91" spans="1:49" x14ac:dyDescent="0.25"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</row>
    <row r="92" spans="1:49" x14ac:dyDescent="0.25"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</row>
    <row r="93" spans="1:49" x14ac:dyDescent="0.25"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</row>
    <row r="94" spans="1:49" x14ac:dyDescent="0.25"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</row>
    <row r="95" spans="1:49" x14ac:dyDescent="0.25"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</row>
    <row r="96" spans="1:49" x14ac:dyDescent="0.25"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</row>
    <row r="97" spans="30:49" x14ac:dyDescent="0.25"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</row>
    <row r="98" spans="30:49" x14ac:dyDescent="0.25"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</row>
    <row r="99" spans="30:49" x14ac:dyDescent="0.25"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</row>
    <row r="100" spans="30:49" x14ac:dyDescent="0.25"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</row>
    <row r="101" spans="30:49" x14ac:dyDescent="0.25"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</row>
    <row r="102" spans="30:49" x14ac:dyDescent="0.25"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</row>
    <row r="103" spans="30:49" x14ac:dyDescent="0.25"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</row>
    <row r="104" spans="30:49" x14ac:dyDescent="0.25"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</row>
    <row r="105" spans="30:49" x14ac:dyDescent="0.25"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</row>
    <row r="106" spans="30:49" x14ac:dyDescent="0.25"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</row>
    <row r="107" spans="30:49" x14ac:dyDescent="0.25"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</row>
    <row r="108" spans="30:49" x14ac:dyDescent="0.25"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</row>
    <row r="109" spans="30:49" x14ac:dyDescent="0.25"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</row>
    <row r="110" spans="30:49" x14ac:dyDescent="0.25"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</row>
    <row r="111" spans="30:49" x14ac:dyDescent="0.25"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</row>
    <row r="112" spans="30:49" x14ac:dyDescent="0.25"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</row>
    <row r="113" spans="30:49" x14ac:dyDescent="0.25"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</row>
    <row r="114" spans="30:49" x14ac:dyDescent="0.25"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</row>
    <row r="115" spans="30:49" x14ac:dyDescent="0.25"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</row>
    <row r="116" spans="30:49" x14ac:dyDescent="0.25"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</row>
    <row r="117" spans="30:49" x14ac:dyDescent="0.25"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</row>
    <row r="118" spans="30:49" x14ac:dyDescent="0.25"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</row>
    <row r="119" spans="30:49" x14ac:dyDescent="0.25"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</row>
    <row r="120" spans="30:49" x14ac:dyDescent="0.25"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</row>
    <row r="121" spans="30:49" x14ac:dyDescent="0.25"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</row>
    <row r="122" spans="30:49" x14ac:dyDescent="0.25"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</row>
    <row r="123" spans="30:49" x14ac:dyDescent="0.25"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</row>
    <row r="124" spans="30:49" x14ac:dyDescent="0.25"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</row>
    <row r="125" spans="30:49" x14ac:dyDescent="0.25"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</row>
    <row r="126" spans="30:49" x14ac:dyDescent="0.25"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</row>
    <row r="127" spans="30:49" x14ac:dyDescent="0.25"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</row>
    <row r="128" spans="30:49" x14ac:dyDescent="0.25"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</row>
    <row r="129" spans="30:49" x14ac:dyDescent="0.25"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</row>
    <row r="130" spans="30:49" x14ac:dyDescent="0.25"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</row>
    <row r="131" spans="30:49" x14ac:dyDescent="0.25"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</row>
    <row r="132" spans="30:49" x14ac:dyDescent="0.25"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</row>
    <row r="133" spans="30:49" x14ac:dyDescent="0.25"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</row>
    <row r="134" spans="30:49" x14ac:dyDescent="0.25"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</row>
    <row r="135" spans="30:49" x14ac:dyDescent="0.25"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</row>
    <row r="136" spans="30:49" x14ac:dyDescent="0.25"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</row>
    <row r="137" spans="30:49" x14ac:dyDescent="0.25"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</row>
    <row r="138" spans="30:49" x14ac:dyDescent="0.25"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</row>
    <row r="139" spans="30:49" x14ac:dyDescent="0.25"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</row>
    <row r="140" spans="30:49" x14ac:dyDescent="0.25"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</row>
    <row r="141" spans="30:49" x14ac:dyDescent="0.25"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</row>
    <row r="142" spans="30:49" x14ac:dyDescent="0.25"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</row>
    <row r="143" spans="30:49" x14ac:dyDescent="0.25"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</row>
    <row r="144" spans="30:49" x14ac:dyDescent="0.25"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</row>
    <row r="145" spans="30:49" x14ac:dyDescent="0.25"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</row>
    <row r="146" spans="30:49" x14ac:dyDescent="0.25"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</row>
    <row r="147" spans="30:49" x14ac:dyDescent="0.25"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</row>
    <row r="148" spans="30:49" x14ac:dyDescent="0.25"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</row>
    <row r="149" spans="30:49" x14ac:dyDescent="0.25"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</row>
    <row r="150" spans="30:49" x14ac:dyDescent="0.25"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</row>
    <row r="151" spans="30:49" x14ac:dyDescent="0.25"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</row>
    <row r="152" spans="30:49" x14ac:dyDescent="0.25"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</row>
    <row r="153" spans="30:49" x14ac:dyDescent="0.25"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</row>
    <row r="154" spans="30:49" x14ac:dyDescent="0.25"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</row>
    <row r="155" spans="30:49" x14ac:dyDescent="0.25"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</row>
    <row r="156" spans="30:49" x14ac:dyDescent="0.25"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</row>
    <row r="157" spans="30:49" x14ac:dyDescent="0.25"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</row>
    <row r="158" spans="30:49" x14ac:dyDescent="0.25"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</row>
    <row r="159" spans="30:49" x14ac:dyDescent="0.25"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</row>
    <row r="160" spans="30:49" x14ac:dyDescent="0.25"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</row>
    <row r="161" spans="30:49" x14ac:dyDescent="0.25"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</row>
    <row r="162" spans="30:49" x14ac:dyDescent="0.25"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</row>
    <row r="163" spans="30:49" x14ac:dyDescent="0.25"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</row>
    <row r="164" spans="30:49" x14ac:dyDescent="0.25"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</row>
    <row r="165" spans="30:49" x14ac:dyDescent="0.25"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</row>
    <row r="166" spans="30:49" x14ac:dyDescent="0.25"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</row>
    <row r="167" spans="30:49" x14ac:dyDescent="0.25"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</row>
    <row r="168" spans="30:49" x14ac:dyDescent="0.25"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</row>
    <row r="169" spans="30:49" x14ac:dyDescent="0.25"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</row>
    <row r="170" spans="30:49" x14ac:dyDescent="0.25"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</row>
    <row r="171" spans="30:49" x14ac:dyDescent="0.25"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</row>
    <row r="172" spans="30:49" x14ac:dyDescent="0.25"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</row>
    <row r="173" spans="30:49" x14ac:dyDescent="0.25"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</row>
    <row r="174" spans="30:49" x14ac:dyDescent="0.25"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</row>
    <row r="175" spans="30:49" x14ac:dyDescent="0.25"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</row>
    <row r="176" spans="30:49" x14ac:dyDescent="0.25"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</row>
    <row r="177" spans="30:49" x14ac:dyDescent="0.25"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</row>
    <row r="178" spans="30:49" x14ac:dyDescent="0.25"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</row>
    <row r="179" spans="30:49" x14ac:dyDescent="0.25"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</row>
    <row r="180" spans="30:49" x14ac:dyDescent="0.25"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</row>
    <row r="181" spans="30:49" x14ac:dyDescent="0.25"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</row>
    <row r="182" spans="30:49" x14ac:dyDescent="0.25"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</row>
    <row r="183" spans="30:49" x14ac:dyDescent="0.25"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</row>
    <row r="184" spans="30:49" x14ac:dyDescent="0.25"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</row>
    <row r="185" spans="30:49" x14ac:dyDescent="0.25"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</row>
    <row r="186" spans="30:49" x14ac:dyDescent="0.25"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</row>
    <row r="187" spans="30:49" x14ac:dyDescent="0.25"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</row>
    <row r="188" spans="30:49" x14ac:dyDescent="0.25"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</row>
    <row r="189" spans="30:49" x14ac:dyDescent="0.25"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</row>
    <row r="190" spans="30:49" x14ac:dyDescent="0.25"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</row>
    <row r="191" spans="30:49" x14ac:dyDescent="0.25"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</row>
    <row r="192" spans="30:49" x14ac:dyDescent="0.25"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</row>
    <row r="193" spans="30:49" x14ac:dyDescent="0.25"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</row>
    <row r="194" spans="30:49" x14ac:dyDescent="0.25"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</row>
    <row r="195" spans="30:49" x14ac:dyDescent="0.25"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</row>
    <row r="196" spans="30:49" x14ac:dyDescent="0.25"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</row>
    <row r="197" spans="30:49" x14ac:dyDescent="0.25"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</row>
    <row r="198" spans="30:49" x14ac:dyDescent="0.25"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</row>
    <row r="199" spans="30:49" x14ac:dyDescent="0.25"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</row>
    <row r="200" spans="30:49" x14ac:dyDescent="0.25"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</row>
    <row r="201" spans="30:49" x14ac:dyDescent="0.25"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</row>
    <row r="202" spans="30:49" x14ac:dyDescent="0.25"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</row>
    <row r="203" spans="30:49" x14ac:dyDescent="0.25"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</row>
    <row r="204" spans="30:49" x14ac:dyDescent="0.25"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</row>
    <row r="205" spans="30:49" x14ac:dyDescent="0.25"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</row>
    <row r="206" spans="30:49" x14ac:dyDescent="0.25"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</row>
    <row r="207" spans="30:49" x14ac:dyDescent="0.25"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</row>
    <row r="208" spans="30:49" x14ac:dyDescent="0.25"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</row>
    <row r="209" spans="30:49" x14ac:dyDescent="0.25"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</row>
    <row r="210" spans="30:49" x14ac:dyDescent="0.25"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</row>
    <row r="211" spans="30:49" x14ac:dyDescent="0.25"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</row>
    <row r="212" spans="30:49" x14ac:dyDescent="0.25"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</row>
    <row r="213" spans="30:49" x14ac:dyDescent="0.25"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</row>
    <row r="214" spans="30:49" x14ac:dyDescent="0.25"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</row>
    <row r="215" spans="30:49" x14ac:dyDescent="0.25"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</row>
    <row r="216" spans="30:49" x14ac:dyDescent="0.25"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</row>
    <row r="217" spans="30:49" x14ac:dyDescent="0.25"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</row>
    <row r="218" spans="30:49" x14ac:dyDescent="0.25"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</row>
    <row r="219" spans="30:49" x14ac:dyDescent="0.25"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</row>
    <row r="220" spans="30:49" x14ac:dyDescent="0.25"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</row>
    <row r="221" spans="30:49" x14ac:dyDescent="0.25"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</row>
    <row r="222" spans="30:49" x14ac:dyDescent="0.25"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</row>
    <row r="223" spans="30:49" x14ac:dyDescent="0.25"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</row>
    <row r="224" spans="30:49" x14ac:dyDescent="0.25"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</row>
    <row r="225" spans="30:49" x14ac:dyDescent="0.25"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</row>
    <row r="226" spans="30:49" x14ac:dyDescent="0.25"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</row>
    <row r="227" spans="30:49" x14ac:dyDescent="0.25"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</row>
    <row r="228" spans="30:49" x14ac:dyDescent="0.25"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</row>
    <row r="229" spans="30:49" x14ac:dyDescent="0.25"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</row>
    <row r="230" spans="30:49" x14ac:dyDescent="0.25"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</row>
    <row r="231" spans="30:49" x14ac:dyDescent="0.25"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</row>
    <row r="232" spans="30:49" x14ac:dyDescent="0.25"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</row>
    <row r="233" spans="30:49" x14ac:dyDescent="0.25"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</row>
    <row r="234" spans="30:49" x14ac:dyDescent="0.25"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</row>
    <row r="235" spans="30:49" x14ac:dyDescent="0.25"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</row>
    <row r="236" spans="30:49" x14ac:dyDescent="0.25"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</row>
    <row r="237" spans="30:49" x14ac:dyDescent="0.25"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</row>
    <row r="238" spans="30:49" x14ac:dyDescent="0.25"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</row>
    <row r="239" spans="30:49" x14ac:dyDescent="0.25"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</row>
    <row r="240" spans="30:49" x14ac:dyDescent="0.25"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</row>
    <row r="241" spans="30:49" x14ac:dyDescent="0.25"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</row>
    <row r="242" spans="30:49" x14ac:dyDescent="0.25"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</row>
    <row r="243" spans="30:49" x14ac:dyDescent="0.25"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</row>
    <row r="244" spans="30:49" x14ac:dyDescent="0.25"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</row>
    <row r="245" spans="30:49" x14ac:dyDescent="0.25"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</row>
    <row r="246" spans="30:49" x14ac:dyDescent="0.25"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</row>
    <row r="247" spans="30:49" x14ac:dyDescent="0.25"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</row>
    <row r="248" spans="30:49" x14ac:dyDescent="0.25"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</row>
    <row r="249" spans="30:49" x14ac:dyDescent="0.25"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</row>
  </sheetData>
  <autoFilter ref="A3:X83" xr:uid="{00000000-0009-0000-0000-000006000000}">
    <filterColumn colId="23">
      <colorFilter dxfId="8"/>
    </filterColumn>
  </autoFilter>
  <mergeCells count="5">
    <mergeCell ref="AD1:AG1"/>
    <mergeCell ref="AH1:AK1"/>
    <mergeCell ref="AL1:AO1"/>
    <mergeCell ref="AP1:AS1"/>
    <mergeCell ref="AT1:AW1"/>
  </mergeCells>
  <conditionalFormatting sqref="E1:E3">
    <cfRule type="duplicateValues" dxfId="40" priority="2"/>
  </conditionalFormatting>
  <conditionalFormatting sqref="F1:F3">
    <cfRule type="duplicateValues" dxfId="39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AY355"/>
  <sheetViews>
    <sheetView zoomScale="70" zoomScaleNormal="70" workbookViewId="0">
      <pane ySplit="3" topLeftCell="A315" activePane="bottomLeft" state="frozen"/>
      <selection pane="bottomLeft" activeCell="Y206" sqref="Y206:Y355"/>
    </sheetView>
  </sheetViews>
  <sheetFormatPr defaultRowHeight="15" x14ac:dyDescent="0.25"/>
  <cols>
    <col min="1" max="1" width="4" style="17" bestFit="1" customWidth="1"/>
    <col min="2" max="2" width="11.140625" style="17" customWidth="1"/>
    <col min="3" max="3" width="26.5703125" style="17" hidden="1" customWidth="1"/>
    <col min="4" max="4" width="50" style="17" bestFit="1" customWidth="1"/>
    <col min="5" max="5" width="19.28515625" style="17" hidden="1" customWidth="1"/>
    <col min="6" max="6" width="61.28515625" style="23" customWidth="1"/>
    <col min="7" max="7" width="22.42578125" style="17" hidden="1" customWidth="1"/>
    <col min="8" max="8" width="14.28515625" style="17" hidden="1" customWidth="1"/>
    <col min="9" max="10" width="10.28515625" style="17" hidden="1" customWidth="1"/>
    <col min="11" max="11" width="9.28515625" style="17" customWidth="1"/>
    <col min="12" max="12" width="10.140625" style="17" customWidth="1"/>
    <col min="13" max="13" width="9.28515625" style="17" bestFit="1" customWidth="1"/>
    <col min="14" max="14" width="7.28515625" style="17" bestFit="1" customWidth="1"/>
    <col min="15" max="17" width="7.28515625" style="17" customWidth="1"/>
    <col min="18" max="18" width="6.5703125" style="17" customWidth="1"/>
    <col min="19" max="19" width="17.28515625" style="17" bestFit="1" customWidth="1"/>
    <col min="20" max="20" width="20.42578125" style="17" hidden="1" customWidth="1"/>
    <col min="21" max="21" width="22.42578125" style="17" hidden="1" customWidth="1"/>
    <col min="22" max="22" width="11.85546875" style="17" hidden="1" customWidth="1"/>
    <col min="23" max="23" width="13.28515625" style="17" hidden="1" customWidth="1"/>
    <col min="24" max="24" width="16.7109375" style="17" customWidth="1"/>
    <col min="25" max="25" width="12" style="17" customWidth="1"/>
    <col min="26" max="26" width="10.28515625" style="17" hidden="1" customWidth="1"/>
    <col min="27" max="27" width="78.28515625" style="23" hidden="1" customWidth="1"/>
    <col min="28" max="28" width="16" style="17" hidden="1" customWidth="1"/>
    <col min="29" max="36" width="7.5703125" style="32" hidden="1" customWidth="1"/>
    <col min="37" max="44" width="7.5703125" style="32" customWidth="1"/>
    <col min="45" max="45" width="10" style="17" customWidth="1"/>
    <col min="46" max="46" width="4.85546875" style="17" bestFit="1" customWidth="1"/>
    <col min="47" max="47" width="13.5703125" style="17" customWidth="1"/>
    <col min="48" max="48" width="13.28515625" style="17" bestFit="1" customWidth="1"/>
    <col min="49" max="50" width="8.85546875" style="17"/>
    <col min="51" max="51" width="11.7109375" style="17" customWidth="1"/>
  </cols>
  <sheetData>
    <row r="1" spans="1:51" ht="7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750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259</v>
      </c>
      <c r="P1" s="1" t="s">
        <v>259</v>
      </c>
      <c r="Q1" s="1" t="s">
        <v>259</v>
      </c>
      <c r="R1" s="1" t="s">
        <v>259</v>
      </c>
      <c r="S1" s="247" t="s">
        <v>13</v>
      </c>
      <c r="T1" s="1" t="s">
        <v>14</v>
      </c>
      <c r="U1" s="1" t="s">
        <v>15</v>
      </c>
      <c r="V1" s="2" t="s">
        <v>16</v>
      </c>
      <c r="W1" s="2" t="s">
        <v>17</v>
      </c>
      <c r="X1" s="3" t="s">
        <v>18</v>
      </c>
      <c r="Y1" s="1" t="s">
        <v>19</v>
      </c>
      <c r="Z1" s="1" t="s">
        <v>20</v>
      </c>
      <c r="AA1" s="4" t="s">
        <v>21</v>
      </c>
      <c r="AB1" s="3" t="s">
        <v>22</v>
      </c>
      <c r="AC1" s="452" t="s">
        <v>258</v>
      </c>
      <c r="AD1" s="453"/>
      <c r="AE1" s="453"/>
      <c r="AF1" s="454"/>
      <c r="AG1" s="452" t="s">
        <v>646</v>
      </c>
      <c r="AH1" s="453"/>
      <c r="AI1" s="453"/>
      <c r="AJ1" s="454"/>
      <c r="AK1" s="452" t="s">
        <v>979</v>
      </c>
      <c r="AL1" s="453"/>
      <c r="AM1" s="453"/>
      <c r="AN1" s="454"/>
      <c r="AO1" s="452" t="s">
        <v>1145</v>
      </c>
      <c r="AP1" s="453"/>
      <c r="AQ1" s="453"/>
      <c r="AR1" s="454"/>
      <c r="AS1" s="236" t="s">
        <v>23</v>
      </c>
      <c r="AT1" s="248" t="s">
        <v>24</v>
      </c>
      <c r="AU1" s="249" t="s">
        <v>751</v>
      </c>
      <c r="AV1" s="249"/>
      <c r="AW1" s="15"/>
      <c r="AX1" s="15"/>
      <c r="AY1" s="15" t="s">
        <v>752</v>
      </c>
    </row>
    <row r="2" spans="1:51" x14ac:dyDescent="0.25">
      <c r="A2" s="1"/>
      <c r="B2" s="1"/>
      <c r="C2" s="1"/>
      <c r="D2" s="1"/>
      <c r="E2" s="2"/>
      <c r="F2" s="1"/>
      <c r="G2" s="1"/>
      <c r="H2" s="1"/>
      <c r="I2" s="1"/>
      <c r="J2" s="1"/>
      <c r="K2" s="1"/>
      <c r="L2" s="1"/>
      <c r="M2" s="1"/>
      <c r="N2" s="1"/>
      <c r="O2" s="133">
        <v>0.3</v>
      </c>
      <c r="P2" s="133">
        <v>0.35</v>
      </c>
      <c r="Q2" s="133">
        <v>0.2</v>
      </c>
      <c r="R2" s="133">
        <v>0.15</v>
      </c>
      <c r="S2" s="247"/>
      <c r="T2" s="1"/>
      <c r="U2" s="1"/>
      <c r="V2" s="2"/>
      <c r="W2" s="2"/>
      <c r="X2" s="3"/>
      <c r="Y2" s="1"/>
      <c r="Z2" s="1"/>
      <c r="AA2" s="4"/>
      <c r="AB2" s="3"/>
      <c r="AC2" s="36">
        <v>0.3</v>
      </c>
      <c r="AD2" s="36">
        <v>0.35</v>
      </c>
      <c r="AE2" s="36">
        <v>0.2</v>
      </c>
      <c r="AF2" s="36">
        <v>0.15</v>
      </c>
      <c r="AG2" s="36">
        <v>0.3</v>
      </c>
      <c r="AH2" s="36">
        <v>0.35</v>
      </c>
      <c r="AI2" s="36">
        <v>0.2</v>
      </c>
      <c r="AJ2" s="36">
        <v>0.15</v>
      </c>
      <c r="AK2" s="36">
        <v>0.3</v>
      </c>
      <c r="AL2" s="36">
        <v>0.35</v>
      </c>
      <c r="AM2" s="36">
        <v>0.2</v>
      </c>
      <c r="AN2" s="36">
        <v>0.15</v>
      </c>
      <c r="AO2" s="36">
        <v>0.3</v>
      </c>
      <c r="AP2" s="36">
        <v>0.35</v>
      </c>
      <c r="AQ2" s="36">
        <v>0.2</v>
      </c>
      <c r="AR2" s="36">
        <v>0.15</v>
      </c>
      <c r="AS2" s="236"/>
      <c r="AT2" s="255"/>
      <c r="AU2" s="23"/>
      <c r="AV2" s="23"/>
      <c r="AW2" s="23"/>
      <c r="AX2" s="23"/>
      <c r="AY2" s="23"/>
    </row>
    <row r="3" spans="1:51" x14ac:dyDescent="0.25">
      <c r="A3" s="1"/>
      <c r="B3" s="1"/>
      <c r="C3" s="1"/>
      <c r="D3" s="1"/>
      <c r="E3" s="2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247"/>
      <c r="T3" s="1"/>
      <c r="U3" s="1"/>
      <c r="V3" s="2"/>
      <c r="W3" s="2"/>
      <c r="X3" s="3"/>
      <c r="Y3" s="1"/>
      <c r="Z3" s="1"/>
      <c r="AA3" s="4"/>
      <c r="AB3" s="3"/>
      <c r="AC3" s="91">
        <f>SUM(AC4:AC355)</f>
        <v>5.3537999999999988</v>
      </c>
      <c r="AD3" s="91">
        <f t="shared" ref="AD3:AJ3" si="0">SUM(AD4:AD355)</f>
        <v>3.0799999999999996</v>
      </c>
      <c r="AE3" s="91">
        <f t="shared" si="0"/>
        <v>0</v>
      </c>
      <c r="AF3" s="91">
        <f t="shared" si="0"/>
        <v>0</v>
      </c>
      <c r="AG3" s="91">
        <f>SUM(AG4:AG355)</f>
        <v>9.1411139999999982</v>
      </c>
      <c r="AH3" s="91">
        <f t="shared" si="0"/>
        <v>12.67</v>
      </c>
      <c r="AI3" s="91">
        <f t="shared" si="0"/>
        <v>0</v>
      </c>
      <c r="AJ3" s="91">
        <f t="shared" si="0"/>
        <v>0</v>
      </c>
      <c r="AK3" s="91">
        <f>SUM(AK4:AK355)</f>
        <v>0</v>
      </c>
      <c r="AL3" s="91">
        <f t="shared" ref="AL3:AN3" si="1">SUM(AL4:AL355)</f>
        <v>0</v>
      </c>
      <c r="AM3" s="91">
        <f t="shared" si="1"/>
        <v>0</v>
      </c>
      <c r="AN3" s="91">
        <f t="shared" si="1"/>
        <v>0</v>
      </c>
      <c r="AO3" s="91">
        <f>SUM(AO4:AO355)</f>
        <v>0</v>
      </c>
      <c r="AP3" s="91">
        <f t="shared" ref="AP3:AR3" si="2">SUM(AP4:AP355)</f>
        <v>0</v>
      </c>
      <c r="AQ3" s="91">
        <f t="shared" si="2"/>
        <v>0</v>
      </c>
      <c r="AR3" s="91">
        <f t="shared" si="2"/>
        <v>0</v>
      </c>
      <c r="AS3" s="236"/>
      <c r="AT3" s="255"/>
      <c r="AU3" s="23"/>
      <c r="AV3" s="23"/>
      <c r="AW3" s="23"/>
      <c r="AX3" s="23"/>
      <c r="AY3" s="23"/>
    </row>
    <row r="4" spans="1:51" hidden="1" x14ac:dyDescent="0.25">
      <c r="A4" s="38">
        <v>1</v>
      </c>
      <c r="B4" s="38" t="s">
        <v>28</v>
      </c>
      <c r="C4" s="38" t="s">
        <v>753</v>
      </c>
      <c r="D4" s="38" t="s">
        <v>754</v>
      </c>
      <c r="E4" s="38"/>
      <c r="F4" s="143"/>
      <c r="G4" s="38"/>
      <c r="H4" s="38" t="s">
        <v>31</v>
      </c>
      <c r="I4" s="38"/>
      <c r="J4" s="38"/>
      <c r="K4" s="38"/>
      <c r="L4" s="38">
        <v>72.344540000000023</v>
      </c>
      <c r="M4" s="38"/>
      <c r="N4" s="38"/>
      <c r="O4" s="38"/>
      <c r="P4" s="38"/>
      <c r="Q4" s="38"/>
      <c r="R4" s="38"/>
      <c r="S4" s="38">
        <v>3248.8127599999984</v>
      </c>
      <c r="T4" s="250"/>
      <c r="U4" s="38">
        <v>7667938.1430076035</v>
      </c>
      <c r="V4" s="38"/>
      <c r="W4" s="38"/>
      <c r="X4" s="38"/>
      <c r="Y4" s="38"/>
      <c r="Z4" s="251"/>
      <c r="AA4" s="143"/>
      <c r="AB4" s="257"/>
      <c r="AC4" s="122"/>
      <c r="AD4" s="123"/>
      <c r="AE4" s="123"/>
      <c r="AF4" s="93"/>
      <c r="AG4" s="122"/>
      <c r="AH4" s="123"/>
      <c r="AI4" s="123"/>
      <c r="AJ4" s="93"/>
      <c r="AK4" s="122"/>
      <c r="AL4" s="123"/>
      <c r="AM4" s="123"/>
      <c r="AN4" s="93"/>
      <c r="AO4" s="122"/>
      <c r="AP4" s="123"/>
      <c r="AQ4" s="123"/>
      <c r="AR4" s="93"/>
      <c r="AS4" s="259"/>
    </row>
    <row r="5" spans="1:51" ht="30" hidden="1" x14ac:dyDescent="0.25">
      <c r="A5" s="9">
        <v>2</v>
      </c>
      <c r="B5" s="9" t="s">
        <v>28</v>
      </c>
      <c r="C5" s="9" t="s">
        <v>753</v>
      </c>
      <c r="D5" s="9" t="s">
        <v>754</v>
      </c>
      <c r="E5" s="9"/>
      <c r="F5" s="15" t="str">
        <f t="shared" ref="F5" si="3">AA5</f>
        <v>КВАДРАТНЫЙ ПРУТОК GB/T 702 30 Q235B-GB/T 700 СЕРТИФИЦ. GB/T 210</v>
      </c>
      <c r="G5" s="9"/>
      <c r="H5" s="9" t="s">
        <v>31</v>
      </c>
      <c r="I5" s="9"/>
      <c r="J5" s="9"/>
      <c r="K5" s="9">
        <v>7.0600000000000003E-3</v>
      </c>
      <c r="L5" s="9">
        <v>0.45890000000000003</v>
      </c>
      <c r="M5" s="9">
        <v>65</v>
      </c>
      <c r="N5" s="9" t="s">
        <v>51</v>
      </c>
      <c r="O5" s="9">
        <f>S5*0.3</f>
        <v>13.766999999999999</v>
      </c>
      <c r="P5" s="9">
        <f>S5*0.35</f>
        <v>16.061499999999999</v>
      </c>
      <c r="Q5" s="9">
        <f>S5*0.2</f>
        <v>9.1780000000000008</v>
      </c>
      <c r="R5" s="9">
        <f>S5*0.15</f>
        <v>6.8834999999999997</v>
      </c>
      <c r="S5" s="38">
        <v>45.89</v>
      </c>
      <c r="T5" s="252">
        <v>105991.94</v>
      </c>
      <c r="U5" s="194">
        <v>48639.701266000004</v>
      </c>
      <c r="V5" s="9"/>
      <c r="W5" s="9"/>
      <c r="X5" s="9" t="s">
        <v>604</v>
      </c>
      <c r="Y5" s="321">
        <v>70793</v>
      </c>
      <c r="Z5" s="19" t="s">
        <v>755</v>
      </c>
      <c r="AA5" s="15" t="s">
        <v>756</v>
      </c>
      <c r="AB5" s="16">
        <v>1</v>
      </c>
      <c r="AC5" s="94"/>
      <c r="AD5" s="90"/>
      <c r="AE5" s="90"/>
      <c r="AF5" s="112"/>
      <c r="AG5" s="169">
        <f t="shared" ref="AG5:AG68" si="4">L5*0.3</f>
        <v>0.13767000000000001</v>
      </c>
      <c r="AH5" s="90"/>
      <c r="AI5" s="90"/>
      <c r="AJ5" s="112"/>
      <c r="AK5" s="94"/>
      <c r="AL5" s="266"/>
      <c r="AM5" s="266"/>
      <c r="AN5" s="95"/>
      <c r="AO5" s="124"/>
      <c r="AP5" s="34"/>
      <c r="AQ5" s="34"/>
      <c r="AR5" s="95"/>
      <c r="AS5" s="256" t="s">
        <v>757</v>
      </c>
      <c r="AT5" s="87"/>
      <c r="AV5" s="253" t="s">
        <v>758</v>
      </c>
      <c r="AW5" s="17" t="s">
        <v>759</v>
      </c>
      <c r="AX5" s="253" t="s">
        <v>760</v>
      </c>
    </row>
    <row r="6" spans="1:51" ht="30" hidden="1" x14ac:dyDescent="0.25">
      <c r="A6" s="9">
        <v>3</v>
      </c>
      <c r="B6" s="9" t="s">
        <v>28</v>
      </c>
      <c r="C6" s="9" t="s">
        <v>753</v>
      </c>
      <c r="D6" s="9" t="s">
        <v>754</v>
      </c>
      <c r="E6" s="9"/>
      <c r="F6" s="15" t="s">
        <v>761</v>
      </c>
      <c r="G6" s="9"/>
      <c r="H6" s="9" t="s">
        <v>31</v>
      </c>
      <c r="I6" s="9"/>
      <c r="J6" s="9"/>
      <c r="K6" s="9">
        <v>2.5999999999999998E-4</v>
      </c>
      <c r="L6" s="9">
        <v>1.2479999999999998E-2</v>
      </c>
      <c r="M6" s="9" t="s">
        <v>762</v>
      </c>
      <c r="N6" s="9" t="s">
        <v>33</v>
      </c>
      <c r="O6" s="9">
        <f t="shared" ref="O6:O69" si="5">S6*0.3</f>
        <v>0.3743999999999999</v>
      </c>
      <c r="P6" s="9">
        <f t="shared" ref="P6:P69" si="6">S6*0.35</f>
        <v>0.43679999999999991</v>
      </c>
      <c r="Q6" s="9">
        <f t="shared" ref="Q6:Q69" si="7">S6*0.2</f>
        <v>0.24959999999999996</v>
      </c>
      <c r="R6" s="9">
        <f t="shared" ref="R6:R69" si="8">S6*0.15</f>
        <v>0.18719999999999995</v>
      </c>
      <c r="S6" s="38">
        <v>1.2479999999999998</v>
      </c>
      <c r="T6" s="252">
        <v>105991.94</v>
      </c>
      <c r="U6" s="194">
        <v>1322.7794111999999</v>
      </c>
      <c r="V6" s="9"/>
      <c r="W6" s="9"/>
      <c r="X6" s="9" t="s">
        <v>763</v>
      </c>
      <c r="Y6" s="321">
        <v>70793</v>
      </c>
      <c r="Z6" s="19" t="s">
        <v>755</v>
      </c>
      <c r="AA6" s="15" t="s">
        <v>761</v>
      </c>
      <c r="AB6" s="16">
        <v>2</v>
      </c>
      <c r="AC6" s="51"/>
      <c r="AD6" s="48"/>
      <c r="AE6" s="48"/>
      <c r="AF6" s="49"/>
      <c r="AG6" s="169">
        <f t="shared" si="4"/>
        <v>3.7439999999999991E-3</v>
      </c>
      <c r="AH6" s="48"/>
      <c r="AI6" s="48"/>
      <c r="AJ6" s="49"/>
      <c r="AK6" s="51"/>
      <c r="AL6" s="263"/>
      <c r="AM6" s="263"/>
      <c r="AN6" s="59"/>
      <c r="AO6" s="58"/>
      <c r="AP6" s="42"/>
      <c r="AQ6" s="42"/>
      <c r="AR6" s="59"/>
      <c r="AS6" s="256" t="s">
        <v>757</v>
      </c>
      <c r="AT6" s="87"/>
      <c r="AU6" s="253"/>
      <c r="AV6" s="254">
        <f>SUM(S5:S355)</f>
        <v>3248.8127599999984</v>
      </c>
      <c r="AW6" s="17">
        <v>3426</v>
      </c>
      <c r="AX6" s="253">
        <f>AW6-AV6</f>
        <v>177.18724000000157</v>
      </c>
      <c r="AY6" s="17" t="s">
        <v>649</v>
      </c>
    </row>
    <row r="7" spans="1:51" ht="30" hidden="1" x14ac:dyDescent="0.25">
      <c r="A7" s="9">
        <v>4</v>
      </c>
      <c r="B7" s="9" t="s">
        <v>28</v>
      </c>
      <c r="C7" s="9" t="s">
        <v>753</v>
      </c>
      <c r="D7" s="9" t="s">
        <v>754</v>
      </c>
      <c r="E7" s="9"/>
      <c r="F7" s="15" t="s">
        <v>764</v>
      </c>
      <c r="G7" s="9"/>
      <c r="H7" s="9" t="s">
        <v>31</v>
      </c>
      <c r="I7" s="9"/>
      <c r="J7" s="9"/>
      <c r="K7" s="9">
        <v>2.0000000000000002E-5</v>
      </c>
      <c r="L7" s="9">
        <v>9.6000000000000013E-4</v>
      </c>
      <c r="M7" s="9" t="s">
        <v>762</v>
      </c>
      <c r="N7" s="9" t="s">
        <v>33</v>
      </c>
      <c r="O7" s="9">
        <f t="shared" si="5"/>
        <v>2.8800000000000003E-2</v>
      </c>
      <c r="P7" s="9">
        <f t="shared" si="6"/>
        <v>3.3600000000000005E-2</v>
      </c>
      <c r="Q7" s="9">
        <f t="shared" si="7"/>
        <v>1.9200000000000005E-2</v>
      </c>
      <c r="R7" s="9">
        <f t="shared" si="8"/>
        <v>1.4400000000000001E-2</v>
      </c>
      <c r="S7" s="38">
        <v>9.6000000000000016E-2</v>
      </c>
      <c r="T7" s="252">
        <v>105991.94</v>
      </c>
      <c r="U7" s="194">
        <v>101.75226240000002</v>
      </c>
      <c r="V7" s="9"/>
      <c r="W7" s="9"/>
      <c r="X7" s="9" t="s">
        <v>765</v>
      </c>
      <c r="Y7" s="321">
        <v>70793</v>
      </c>
      <c r="Z7" s="19" t="s">
        <v>755</v>
      </c>
      <c r="AA7" s="15" t="s">
        <v>764</v>
      </c>
      <c r="AB7" s="16">
        <v>3</v>
      </c>
      <c r="AC7" s="51"/>
      <c r="AD7" s="48"/>
      <c r="AE7" s="48"/>
      <c r="AF7" s="49"/>
      <c r="AG7" s="169">
        <f t="shared" si="4"/>
        <v>2.8800000000000001E-4</v>
      </c>
      <c r="AH7" s="48"/>
      <c r="AI7" s="48"/>
      <c r="AJ7" s="49"/>
      <c r="AK7" s="51"/>
      <c r="AL7" s="263"/>
      <c r="AM7" s="263"/>
      <c r="AN7" s="59"/>
      <c r="AO7" s="58"/>
      <c r="AP7" s="42"/>
      <c r="AQ7" s="42"/>
      <c r="AR7" s="59"/>
      <c r="AS7" s="256" t="s">
        <v>757</v>
      </c>
      <c r="AT7" s="87"/>
      <c r="AW7" s="17">
        <f>AW6*0.05</f>
        <v>171.3</v>
      </c>
    </row>
    <row r="8" spans="1:51" ht="30.75" hidden="1" thickBot="1" x14ac:dyDescent="0.3">
      <c r="A8" s="9">
        <v>5</v>
      </c>
      <c r="B8" s="9" t="s">
        <v>28</v>
      </c>
      <c r="C8" s="9" t="s">
        <v>753</v>
      </c>
      <c r="D8" s="9" t="s">
        <v>754</v>
      </c>
      <c r="E8" s="9"/>
      <c r="F8" s="15" t="s">
        <v>766</v>
      </c>
      <c r="G8" s="9"/>
      <c r="H8" s="9" t="s">
        <v>31</v>
      </c>
      <c r="I8" s="9"/>
      <c r="J8" s="9"/>
      <c r="K8" s="9">
        <v>3.14E-3</v>
      </c>
      <c r="L8" s="9">
        <v>7.5359999999999996E-2</v>
      </c>
      <c r="M8" s="9" t="s">
        <v>767</v>
      </c>
      <c r="N8" s="9" t="s">
        <v>33</v>
      </c>
      <c r="O8" s="9">
        <f t="shared" si="5"/>
        <v>2.2607999999999997</v>
      </c>
      <c r="P8" s="9">
        <f t="shared" si="6"/>
        <v>2.6375999999999995</v>
      </c>
      <c r="Q8" s="9">
        <f t="shared" si="7"/>
        <v>1.5072000000000001</v>
      </c>
      <c r="R8" s="9">
        <f t="shared" si="8"/>
        <v>1.1303999999999998</v>
      </c>
      <c r="S8" s="38">
        <v>7.5359999999999996</v>
      </c>
      <c r="T8" s="252">
        <v>105991.94</v>
      </c>
      <c r="U8" s="194">
        <v>7987.5525983999996</v>
      </c>
      <c r="V8" s="9"/>
      <c r="W8" s="9"/>
      <c r="X8" s="9" t="s">
        <v>176</v>
      </c>
      <c r="Y8" s="321">
        <v>70793</v>
      </c>
      <c r="Z8" s="19" t="s">
        <v>755</v>
      </c>
      <c r="AA8" s="15" t="s">
        <v>766</v>
      </c>
      <c r="AB8" s="16">
        <v>4</v>
      </c>
      <c r="AC8" s="51"/>
      <c r="AD8" s="48"/>
      <c r="AE8" s="48"/>
      <c r="AF8" s="49"/>
      <c r="AG8" s="169">
        <f t="shared" si="4"/>
        <v>2.2608E-2</v>
      </c>
      <c r="AH8" s="48"/>
      <c r="AI8" s="48"/>
      <c r="AJ8" s="49"/>
      <c r="AK8" s="51"/>
      <c r="AL8" s="263"/>
      <c r="AM8" s="263"/>
      <c r="AN8" s="59"/>
      <c r="AO8" s="58"/>
      <c r="AP8" s="42"/>
      <c r="AQ8" s="42"/>
      <c r="AR8" s="59"/>
      <c r="AS8" s="256" t="s">
        <v>757</v>
      </c>
      <c r="AT8" s="87"/>
      <c r="AW8" s="455" t="s">
        <v>658</v>
      </c>
      <c r="AX8" s="456"/>
      <c r="AY8" s="224" t="s">
        <v>659</v>
      </c>
    </row>
    <row r="9" spans="1:51" hidden="1" x14ac:dyDescent="0.25">
      <c r="A9" s="9">
        <v>6</v>
      </c>
      <c r="B9" s="9" t="s">
        <v>28</v>
      </c>
      <c r="C9" s="9" t="s">
        <v>753</v>
      </c>
      <c r="D9" s="9" t="s">
        <v>754</v>
      </c>
      <c r="E9" s="9"/>
      <c r="F9" s="15" t="s">
        <v>145</v>
      </c>
      <c r="G9" s="9"/>
      <c r="H9" s="9" t="s">
        <v>31</v>
      </c>
      <c r="I9" s="9"/>
      <c r="J9" s="9"/>
      <c r="K9" s="9">
        <v>1.8499999999999999E-2</v>
      </c>
      <c r="L9" s="9">
        <v>0.11099999999999999</v>
      </c>
      <c r="M9" s="9" t="s">
        <v>768</v>
      </c>
      <c r="N9" s="9" t="s">
        <v>33</v>
      </c>
      <c r="O9" s="9">
        <f t="shared" si="5"/>
        <v>3.3299999999999992</v>
      </c>
      <c r="P9" s="9">
        <f t="shared" si="6"/>
        <v>3.8849999999999989</v>
      </c>
      <c r="Q9" s="9">
        <f t="shared" si="7"/>
        <v>2.2199999999999998</v>
      </c>
      <c r="R9" s="9">
        <f t="shared" si="8"/>
        <v>1.6649999999999996</v>
      </c>
      <c r="S9" s="38">
        <v>11.099999999999998</v>
      </c>
      <c r="T9" s="252">
        <v>105991.94</v>
      </c>
      <c r="U9" s="194">
        <v>11765.105339999998</v>
      </c>
      <c r="V9" s="9"/>
      <c r="W9" s="9"/>
      <c r="X9" s="9" t="s">
        <v>769</v>
      </c>
      <c r="Y9" s="321">
        <v>70793</v>
      </c>
      <c r="Z9" s="19" t="s">
        <v>755</v>
      </c>
      <c r="AA9" s="15" t="s">
        <v>145</v>
      </c>
      <c r="AB9" s="16">
        <v>5</v>
      </c>
      <c r="AC9" s="51"/>
      <c r="AD9" s="48"/>
      <c r="AE9" s="48"/>
      <c r="AF9" s="49"/>
      <c r="AG9" s="169">
        <f t="shared" si="4"/>
        <v>3.3299999999999996E-2</v>
      </c>
      <c r="AH9" s="48"/>
      <c r="AI9" s="48"/>
      <c r="AJ9" s="49"/>
      <c r="AK9" s="51"/>
      <c r="AL9" s="263"/>
      <c r="AM9" s="263"/>
      <c r="AN9" s="59"/>
      <c r="AO9" s="58"/>
      <c r="AP9" s="42"/>
      <c r="AQ9" s="42"/>
      <c r="AR9" s="59"/>
      <c r="AS9" s="256" t="s">
        <v>757</v>
      </c>
      <c r="AT9" s="87"/>
      <c r="AW9" s="226" t="s">
        <v>660</v>
      </c>
      <c r="AX9" s="227">
        <v>0.05</v>
      </c>
      <c r="AY9" s="228">
        <v>100</v>
      </c>
    </row>
    <row r="10" spans="1:51" hidden="1" x14ac:dyDescent="0.25">
      <c r="A10" s="9">
        <v>7</v>
      </c>
      <c r="B10" s="9" t="s">
        <v>28</v>
      </c>
      <c r="C10" s="9" t="s">
        <v>753</v>
      </c>
      <c r="D10" s="9" t="s">
        <v>754</v>
      </c>
      <c r="E10" s="9"/>
      <c r="F10" s="15" t="s">
        <v>770</v>
      </c>
      <c r="G10" s="9"/>
      <c r="H10" s="9" t="s">
        <v>31</v>
      </c>
      <c r="I10" s="9"/>
      <c r="J10" s="9"/>
      <c r="K10" s="9">
        <v>2.8999999999999998E-3</v>
      </c>
      <c r="L10" s="9">
        <v>6.9599999999999995E-2</v>
      </c>
      <c r="M10" s="9" t="s">
        <v>767</v>
      </c>
      <c r="N10" s="9" t="s">
        <v>33</v>
      </c>
      <c r="O10" s="9">
        <f t="shared" si="5"/>
        <v>2.0879999999999996</v>
      </c>
      <c r="P10" s="9">
        <f t="shared" si="6"/>
        <v>2.4359999999999995</v>
      </c>
      <c r="Q10" s="9">
        <f t="shared" si="7"/>
        <v>1.3919999999999999</v>
      </c>
      <c r="R10" s="9">
        <f t="shared" si="8"/>
        <v>1.0439999999999998</v>
      </c>
      <c r="S10" s="38">
        <v>6.9599999999999991</v>
      </c>
      <c r="T10" s="252">
        <v>105991.94</v>
      </c>
      <c r="U10" s="194">
        <v>7377.0390239999997</v>
      </c>
      <c r="V10" s="9"/>
      <c r="W10" s="9"/>
      <c r="X10" s="9" t="s">
        <v>771</v>
      </c>
      <c r="Y10" s="321">
        <v>70793</v>
      </c>
      <c r="Z10" s="19" t="s">
        <v>755</v>
      </c>
      <c r="AA10" s="15" t="s">
        <v>770</v>
      </c>
      <c r="AB10" s="16">
        <v>6</v>
      </c>
      <c r="AC10" s="51"/>
      <c r="AD10" s="48"/>
      <c r="AE10" s="48"/>
      <c r="AF10" s="49"/>
      <c r="AG10" s="169">
        <f t="shared" si="4"/>
        <v>2.0879999999999999E-2</v>
      </c>
      <c r="AH10" s="48"/>
      <c r="AI10" s="48"/>
      <c r="AJ10" s="49"/>
      <c r="AK10" s="51"/>
      <c r="AL10" s="263"/>
      <c r="AM10" s="263"/>
      <c r="AN10" s="59"/>
      <c r="AO10" s="58"/>
      <c r="AP10" s="42"/>
      <c r="AQ10" s="42"/>
      <c r="AR10" s="59"/>
      <c r="AS10" s="256" t="s">
        <v>757</v>
      </c>
      <c r="AT10" s="87"/>
      <c r="AW10" s="229">
        <v>0.05</v>
      </c>
      <c r="AX10" s="230">
        <v>0.1</v>
      </c>
      <c r="AY10" s="231">
        <v>96</v>
      </c>
    </row>
    <row r="11" spans="1:51" hidden="1" x14ac:dyDescent="0.25">
      <c r="A11" s="9">
        <v>8</v>
      </c>
      <c r="B11" s="9" t="s">
        <v>28</v>
      </c>
      <c r="C11" s="9" t="s">
        <v>753</v>
      </c>
      <c r="D11" s="9" t="s">
        <v>754</v>
      </c>
      <c r="E11" s="9"/>
      <c r="F11" s="15" t="s">
        <v>772</v>
      </c>
      <c r="G11" s="9"/>
      <c r="H11" s="9" t="s">
        <v>31</v>
      </c>
      <c r="I11" s="9"/>
      <c r="J11" s="9"/>
      <c r="K11" s="9">
        <v>3.7000000000000002E-3</v>
      </c>
      <c r="L11" s="9">
        <v>8.8800000000000004E-2</v>
      </c>
      <c r="M11" s="9" t="s">
        <v>767</v>
      </c>
      <c r="N11" s="9" t="s">
        <v>33</v>
      </c>
      <c r="O11" s="9">
        <f t="shared" si="5"/>
        <v>2.6640000000000001</v>
      </c>
      <c r="P11" s="9">
        <f t="shared" si="6"/>
        <v>3.1080000000000001</v>
      </c>
      <c r="Q11" s="9">
        <f t="shared" si="7"/>
        <v>1.7760000000000002</v>
      </c>
      <c r="R11" s="9">
        <f t="shared" si="8"/>
        <v>1.3320000000000001</v>
      </c>
      <c r="S11" s="38">
        <v>8.8800000000000008</v>
      </c>
      <c r="T11" s="252">
        <v>105991.94</v>
      </c>
      <c r="U11" s="194">
        <v>9412.0842720000001</v>
      </c>
      <c r="V11" s="9"/>
      <c r="W11" s="9"/>
      <c r="X11" s="9" t="s">
        <v>773</v>
      </c>
      <c r="Y11" s="321">
        <v>70793</v>
      </c>
      <c r="Z11" s="19" t="s">
        <v>755</v>
      </c>
      <c r="AA11" s="15" t="s">
        <v>772</v>
      </c>
      <c r="AB11" s="16">
        <v>7</v>
      </c>
      <c r="AC11" s="51"/>
      <c r="AD11" s="48"/>
      <c r="AE11" s="48"/>
      <c r="AF11" s="49"/>
      <c r="AG11" s="169">
        <f t="shared" si="4"/>
        <v>2.664E-2</v>
      </c>
      <c r="AH11" s="48"/>
      <c r="AI11" s="48"/>
      <c r="AJ11" s="49"/>
      <c r="AK11" s="51"/>
      <c r="AL11" s="263"/>
      <c r="AM11" s="263"/>
      <c r="AN11" s="59"/>
      <c r="AO11" s="58"/>
      <c r="AP11" s="42"/>
      <c r="AQ11" s="42"/>
      <c r="AR11" s="59"/>
      <c r="AS11" s="256" t="s">
        <v>757</v>
      </c>
      <c r="AT11" s="87"/>
      <c r="AW11" s="229">
        <v>0.1</v>
      </c>
      <c r="AX11" s="230">
        <v>0.5</v>
      </c>
      <c r="AY11" s="231">
        <v>86</v>
      </c>
    </row>
    <row r="12" spans="1:51" ht="30" hidden="1" x14ac:dyDescent="0.25">
      <c r="A12" s="9">
        <v>9</v>
      </c>
      <c r="B12" s="9" t="s">
        <v>28</v>
      </c>
      <c r="C12" s="9" t="s">
        <v>753</v>
      </c>
      <c r="D12" s="9" t="s">
        <v>754</v>
      </c>
      <c r="E12" s="9"/>
      <c r="F12" s="15" t="s">
        <v>774</v>
      </c>
      <c r="G12" s="9"/>
      <c r="H12" s="9" t="s">
        <v>31</v>
      </c>
      <c r="I12" s="9"/>
      <c r="J12" s="9"/>
      <c r="K12" s="9">
        <v>1.2E-4</v>
      </c>
      <c r="L12" s="9">
        <v>1.92E-3</v>
      </c>
      <c r="M12" s="9" t="s">
        <v>775</v>
      </c>
      <c r="N12" s="9" t="s">
        <v>33</v>
      </c>
      <c r="O12" s="9">
        <f t="shared" si="5"/>
        <v>5.7599999999999998E-2</v>
      </c>
      <c r="P12" s="9">
        <f t="shared" si="6"/>
        <v>6.7199999999999996E-2</v>
      </c>
      <c r="Q12" s="9">
        <f t="shared" si="7"/>
        <v>3.8400000000000004E-2</v>
      </c>
      <c r="R12" s="9">
        <f t="shared" si="8"/>
        <v>2.8799999999999999E-2</v>
      </c>
      <c r="S12" s="38">
        <v>0.192</v>
      </c>
      <c r="T12" s="252">
        <v>105991.94</v>
      </c>
      <c r="U12" s="194">
        <v>203.50452480000001</v>
      </c>
      <c r="V12" s="9"/>
      <c r="W12" s="9"/>
      <c r="X12" s="9" t="s">
        <v>776</v>
      </c>
      <c r="Y12" s="321">
        <v>70793</v>
      </c>
      <c r="Z12" s="19" t="s">
        <v>755</v>
      </c>
      <c r="AA12" s="15" t="s">
        <v>774</v>
      </c>
      <c r="AB12" s="16">
        <v>8</v>
      </c>
      <c r="AC12" s="51"/>
      <c r="AD12" s="48"/>
      <c r="AE12" s="48"/>
      <c r="AF12" s="49"/>
      <c r="AG12" s="169">
        <f t="shared" si="4"/>
        <v>5.7600000000000001E-4</v>
      </c>
      <c r="AH12" s="48"/>
      <c r="AI12" s="48"/>
      <c r="AJ12" s="49"/>
      <c r="AK12" s="51"/>
      <c r="AL12" s="263"/>
      <c r="AM12" s="263"/>
      <c r="AN12" s="59"/>
      <c r="AO12" s="58"/>
      <c r="AP12" s="42"/>
      <c r="AQ12" s="42"/>
      <c r="AR12" s="59"/>
      <c r="AS12" s="256" t="s">
        <v>757</v>
      </c>
      <c r="AT12" s="87"/>
      <c r="AW12" s="229">
        <v>0.5</v>
      </c>
      <c r="AX12" s="230">
        <v>1</v>
      </c>
      <c r="AY12" s="231">
        <v>61</v>
      </c>
    </row>
    <row r="13" spans="1:51" ht="30" hidden="1" x14ac:dyDescent="0.25">
      <c r="A13" s="9">
        <v>10</v>
      </c>
      <c r="B13" s="9" t="s">
        <v>28</v>
      </c>
      <c r="C13" s="9" t="s">
        <v>753</v>
      </c>
      <c r="D13" s="9" t="s">
        <v>754</v>
      </c>
      <c r="E13" s="9"/>
      <c r="F13" s="15" t="s">
        <v>777</v>
      </c>
      <c r="G13" s="9"/>
      <c r="H13" s="9" t="s">
        <v>31</v>
      </c>
      <c r="I13" s="9"/>
      <c r="J13" s="9"/>
      <c r="K13" s="9">
        <v>2.5999999999999998E-4</v>
      </c>
      <c r="L13" s="9">
        <v>8.3199999999999993E-3</v>
      </c>
      <c r="M13" s="9" t="s">
        <v>778</v>
      </c>
      <c r="N13" s="9" t="s">
        <v>33</v>
      </c>
      <c r="O13" s="9">
        <f t="shared" si="5"/>
        <v>0.24959999999999999</v>
      </c>
      <c r="P13" s="9">
        <f t="shared" si="6"/>
        <v>0.29119999999999996</v>
      </c>
      <c r="Q13" s="9">
        <f t="shared" si="7"/>
        <v>0.16639999999999999</v>
      </c>
      <c r="R13" s="9">
        <f t="shared" si="8"/>
        <v>0.12479999999999999</v>
      </c>
      <c r="S13" s="38">
        <v>0.83199999999999996</v>
      </c>
      <c r="T13" s="252">
        <v>105991.94</v>
      </c>
      <c r="U13" s="194">
        <v>881.85294079999994</v>
      </c>
      <c r="V13" s="9"/>
      <c r="W13" s="9"/>
      <c r="X13" s="9" t="s">
        <v>586</v>
      </c>
      <c r="Y13" s="321">
        <v>70793</v>
      </c>
      <c r="Z13" s="19" t="s">
        <v>755</v>
      </c>
      <c r="AA13" s="15" t="s">
        <v>777</v>
      </c>
      <c r="AB13" s="16">
        <v>9</v>
      </c>
      <c r="AC13" s="51"/>
      <c r="AD13" s="48"/>
      <c r="AE13" s="48"/>
      <c r="AF13" s="49"/>
      <c r="AG13" s="169">
        <f t="shared" si="4"/>
        <v>2.4959999999999995E-3</v>
      </c>
      <c r="AH13" s="48"/>
      <c r="AI13" s="48"/>
      <c r="AJ13" s="49"/>
      <c r="AK13" s="51"/>
      <c r="AL13" s="263"/>
      <c r="AM13" s="263"/>
      <c r="AN13" s="59"/>
      <c r="AO13" s="58"/>
      <c r="AP13" s="42"/>
      <c r="AQ13" s="42"/>
      <c r="AR13" s="59"/>
      <c r="AS13" s="256" t="s">
        <v>757</v>
      </c>
      <c r="AT13" s="87"/>
      <c r="AW13" s="229">
        <v>1</v>
      </c>
      <c r="AX13" s="230">
        <v>5</v>
      </c>
      <c r="AY13" s="231">
        <v>0</v>
      </c>
    </row>
    <row r="14" spans="1:51" ht="30" hidden="1" x14ac:dyDescent="0.25">
      <c r="A14" s="9">
        <v>11</v>
      </c>
      <c r="B14" s="9" t="s">
        <v>28</v>
      </c>
      <c r="C14" s="9" t="s">
        <v>753</v>
      </c>
      <c r="D14" s="9" t="s">
        <v>754</v>
      </c>
      <c r="E14" s="9"/>
      <c r="F14" s="15" t="s">
        <v>779</v>
      </c>
      <c r="G14" s="9"/>
      <c r="H14" s="9" t="s">
        <v>31</v>
      </c>
      <c r="I14" s="9"/>
      <c r="J14" s="9"/>
      <c r="K14" s="9">
        <v>1.0000000000000001E-5</v>
      </c>
      <c r="L14" s="9">
        <v>3.2000000000000003E-4</v>
      </c>
      <c r="M14" s="9" t="s">
        <v>778</v>
      </c>
      <c r="N14" s="9" t="s">
        <v>33</v>
      </c>
      <c r="O14" s="9">
        <f t="shared" si="5"/>
        <v>9.5999999999999992E-3</v>
      </c>
      <c r="P14" s="9">
        <f t="shared" si="6"/>
        <v>1.12E-2</v>
      </c>
      <c r="Q14" s="9">
        <f t="shared" si="7"/>
        <v>6.4000000000000003E-3</v>
      </c>
      <c r="R14" s="9">
        <f t="shared" si="8"/>
        <v>4.7999999999999996E-3</v>
      </c>
      <c r="S14" s="38">
        <v>3.2000000000000001E-2</v>
      </c>
      <c r="T14" s="252">
        <v>105991.94</v>
      </c>
      <c r="U14" s="194">
        <v>33.917420800000002</v>
      </c>
      <c r="V14" s="9"/>
      <c r="W14" s="9"/>
      <c r="X14" s="9" t="s">
        <v>780</v>
      </c>
      <c r="Y14" s="321">
        <v>70793</v>
      </c>
      <c r="Z14" s="19" t="s">
        <v>755</v>
      </c>
      <c r="AA14" s="15" t="s">
        <v>779</v>
      </c>
      <c r="AB14" s="16">
        <v>10</v>
      </c>
      <c r="AC14" s="51"/>
      <c r="AD14" s="48"/>
      <c r="AE14" s="48"/>
      <c r="AF14" s="49"/>
      <c r="AG14" s="169">
        <f t="shared" si="4"/>
        <v>9.6000000000000002E-5</v>
      </c>
      <c r="AH14" s="48"/>
      <c r="AI14" s="48"/>
      <c r="AJ14" s="49"/>
      <c r="AK14" s="51"/>
      <c r="AL14" s="263"/>
      <c r="AM14" s="263"/>
      <c r="AN14" s="59"/>
      <c r="AO14" s="58"/>
      <c r="AP14" s="42"/>
      <c r="AQ14" s="42"/>
      <c r="AR14" s="59"/>
      <c r="AS14" s="256" t="s">
        <v>757</v>
      </c>
      <c r="AT14" s="87"/>
      <c r="AW14" s="229">
        <v>5</v>
      </c>
      <c r="AX14" s="230">
        <v>10</v>
      </c>
      <c r="AY14" s="231">
        <v>36</v>
      </c>
    </row>
    <row r="15" spans="1:51" ht="30.75" hidden="1" thickBot="1" x14ac:dyDescent="0.3">
      <c r="A15" s="9">
        <v>12</v>
      </c>
      <c r="B15" s="9" t="s">
        <v>28</v>
      </c>
      <c r="C15" s="9" t="s">
        <v>753</v>
      </c>
      <c r="D15" s="9" t="s">
        <v>754</v>
      </c>
      <c r="E15" s="9"/>
      <c r="F15" s="15" t="s">
        <v>781</v>
      </c>
      <c r="G15" s="9"/>
      <c r="H15" s="9" t="s">
        <v>31</v>
      </c>
      <c r="I15" s="9"/>
      <c r="J15" s="9"/>
      <c r="K15" s="9">
        <v>1.0000000000000001E-5</v>
      </c>
      <c r="L15" s="9">
        <v>3.2000000000000003E-4</v>
      </c>
      <c r="M15" s="9" t="s">
        <v>778</v>
      </c>
      <c r="N15" s="9" t="s">
        <v>33</v>
      </c>
      <c r="O15" s="9">
        <f t="shared" si="5"/>
        <v>9.5999999999999992E-3</v>
      </c>
      <c r="P15" s="9">
        <f t="shared" si="6"/>
        <v>1.12E-2</v>
      </c>
      <c r="Q15" s="9">
        <f t="shared" si="7"/>
        <v>6.4000000000000003E-3</v>
      </c>
      <c r="R15" s="9">
        <f t="shared" si="8"/>
        <v>4.7999999999999996E-3</v>
      </c>
      <c r="S15" s="38">
        <v>3.2000000000000001E-2</v>
      </c>
      <c r="T15" s="252">
        <v>105991.94</v>
      </c>
      <c r="U15" s="194">
        <v>33.917420800000002</v>
      </c>
      <c r="V15" s="9"/>
      <c r="W15" s="9"/>
      <c r="X15" s="9" t="s">
        <v>782</v>
      </c>
      <c r="Y15" s="321">
        <v>70793</v>
      </c>
      <c r="Z15" s="19" t="s">
        <v>755</v>
      </c>
      <c r="AA15" s="15" t="s">
        <v>781</v>
      </c>
      <c r="AB15" s="16">
        <v>11</v>
      </c>
      <c r="AC15" s="51"/>
      <c r="AD15" s="48"/>
      <c r="AE15" s="48"/>
      <c r="AF15" s="49"/>
      <c r="AG15" s="169">
        <f t="shared" si="4"/>
        <v>9.6000000000000002E-5</v>
      </c>
      <c r="AH15" s="48"/>
      <c r="AI15" s="48"/>
      <c r="AJ15" s="49"/>
      <c r="AK15" s="51"/>
      <c r="AL15" s="263"/>
      <c r="AM15" s="263"/>
      <c r="AN15" s="59"/>
      <c r="AO15" s="58"/>
      <c r="AP15" s="42"/>
      <c r="AQ15" s="42"/>
      <c r="AR15" s="59"/>
      <c r="AS15" s="256" t="s">
        <v>757</v>
      </c>
      <c r="AT15" s="87"/>
      <c r="AW15" s="232" t="s">
        <v>669</v>
      </c>
      <c r="AX15" s="233">
        <v>10</v>
      </c>
      <c r="AY15" s="234">
        <v>0</v>
      </c>
    </row>
    <row r="16" spans="1:51" ht="30" hidden="1" x14ac:dyDescent="0.25">
      <c r="A16" s="9">
        <v>13</v>
      </c>
      <c r="B16" s="9" t="s">
        <v>28</v>
      </c>
      <c r="C16" s="9" t="s">
        <v>753</v>
      </c>
      <c r="D16" s="9" t="s">
        <v>754</v>
      </c>
      <c r="E16" s="9"/>
      <c r="F16" s="15" t="s">
        <v>783</v>
      </c>
      <c r="G16" s="9"/>
      <c r="H16" s="9" t="s">
        <v>31</v>
      </c>
      <c r="I16" s="9"/>
      <c r="J16" s="9"/>
      <c r="K16" s="9">
        <v>8.0000000000000007E-5</v>
      </c>
      <c r="L16" s="9">
        <v>2.5600000000000002E-3</v>
      </c>
      <c r="M16" s="9" t="s">
        <v>778</v>
      </c>
      <c r="N16" s="9" t="s">
        <v>33</v>
      </c>
      <c r="O16" s="9">
        <f t="shared" si="5"/>
        <v>7.6799999999999993E-2</v>
      </c>
      <c r="P16" s="9">
        <f t="shared" si="6"/>
        <v>8.9599999999999999E-2</v>
      </c>
      <c r="Q16" s="9">
        <f t="shared" si="7"/>
        <v>5.1200000000000002E-2</v>
      </c>
      <c r="R16" s="9">
        <f t="shared" si="8"/>
        <v>3.8399999999999997E-2</v>
      </c>
      <c r="S16" s="38">
        <v>0.25600000000000001</v>
      </c>
      <c r="T16" s="252">
        <v>105991.94</v>
      </c>
      <c r="U16" s="194">
        <v>271.33936640000002</v>
      </c>
      <c r="V16" s="9"/>
      <c r="W16" s="9"/>
      <c r="X16" s="9" t="s">
        <v>784</v>
      </c>
      <c r="Y16" s="321">
        <v>70793</v>
      </c>
      <c r="Z16" s="19" t="s">
        <v>755</v>
      </c>
      <c r="AA16" s="15" t="s">
        <v>783</v>
      </c>
      <c r="AB16" s="16">
        <v>12</v>
      </c>
      <c r="AC16" s="51"/>
      <c r="AD16" s="48"/>
      <c r="AE16" s="48"/>
      <c r="AF16" s="49"/>
      <c r="AG16" s="169">
        <f t="shared" si="4"/>
        <v>7.6800000000000002E-4</v>
      </c>
      <c r="AH16" s="48"/>
      <c r="AI16" s="48"/>
      <c r="AJ16" s="49"/>
      <c r="AK16" s="51"/>
      <c r="AL16" s="263"/>
      <c r="AM16" s="263"/>
      <c r="AN16" s="59"/>
      <c r="AO16" s="58"/>
      <c r="AP16" s="42"/>
      <c r="AQ16" s="42"/>
      <c r="AR16" s="59"/>
      <c r="AS16" s="256" t="s">
        <v>757</v>
      </c>
      <c r="AT16" s="87"/>
    </row>
    <row r="17" spans="1:46" hidden="1" x14ac:dyDescent="0.25">
      <c r="A17" s="9">
        <v>14</v>
      </c>
      <c r="B17" s="9" t="s">
        <v>28</v>
      </c>
      <c r="C17" s="9" t="s">
        <v>753</v>
      </c>
      <c r="D17" s="9" t="s">
        <v>754</v>
      </c>
      <c r="E17" s="9"/>
      <c r="F17" s="15" t="s">
        <v>785</v>
      </c>
      <c r="G17" s="9"/>
      <c r="H17" s="9" t="s">
        <v>31</v>
      </c>
      <c r="I17" s="9"/>
      <c r="J17" s="9"/>
      <c r="K17" s="9">
        <v>2.1000000000000001E-4</v>
      </c>
      <c r="L17" s="9">
        <v>1.6800000000000001E-3</v>
      </c>
      <c r="M17" s="9" t="s">
        <v>786</v>
      </c>
      <c r="N17" s="9" t="s">
        <v>33</v>
      </c>
      <c r="O17" s="9">
        <f t="shared" si="5"/>
        <v>5.04E-2</v>
      </c>
      <c r="P17" s="9">
        <f t="shared" si="6"/>
        <v>5.8799999999999998E-2</v>
      </c>
      <c r="Q17" s="9">
        <f t="shared" si="7"/>
        <v>3.3600000000000005E-2</v>
      </c>
      <c r="R17" s="9">
        <f t="shared" si="8"/>
        <v>2.52E-2</v>
      </c>
      <c r="S17" s="38">
        <v>0.16800000000000001</v>
      </c>
      <c r="T17" s="252">
        <v>105991.94</v>
      </c>
      <c r="U17" s="194">
        <v>178.06645920000003</v>
      </c>
      <c r="V17" s="9"/>
      <c r="W17" s="9"/>
      <c r="X17" s="9" t="s">
        <v>787</v>
      </c>
      <c r="Y17" s="321">
        <v>70793</v>
      </c>
      <c r="Z17" s="19" t="s">
        <v>755</v>
      </c>
      <c r="AA17" s="15" t="s">
        <v>785</v>
      </c>
      <c r="AB17" s="16">
        <v>13</v>
      </c>
      <c r="AC17" s="51"/>
      <c r="AD17" s="48"/>
      <c r="AE17" s="48"/>
      <c r="AF17" s="49"/>
      <c r="AG17" s="169">
        <f t="shared" si="4"/>
        <v>5.04E-4</v>
      </c>
      <c r="AH17" s="48"/>
      <c r="AI17" s="48"/>
      <c r="AJ17" s="49"/>
      <c r="AK17" s="51"/>
      <c r="AL17" s="263"/>
      <c r="AM17" s="263"/>
      <c r="AN17" s="59"/>
      <c r="AO17" s="58"/>
      <c r="AP17" s="42"/>
      <c r="AQ17" s="42"/>
      <c r="AR17" s="59"/>
      <c r="AS17" s="256" t="s">
        <v>757</v>
      </c>
      <c r="AT17" s="87"/>
    </row>
    <row r="18" spans="1:46" hidden="1" x14ac:dyDescent="0.25">
      <c r="A18" s="9">
        <v>15</v>
      </c>
      <c r="B18" s="9" t="s">
        <v>28</v>
      </c>
      <c r="C18" s="9" t="s">
        <v>753</v>
      </c>
      <c r="D18" s="9" t="s">
        <v>754</v>
      </c>
      <c r="E18" s="9"/>
      <c r="F18" s="15" t="s">
        <v>788</v>
      </c>
      <c r="G18" s="9"/>
      <c r="H18" s="9" t="s">
        <v>31</v>
      </c>
      <c r="I18" s="9"/>
      <c r="J18" s="9"/>
      <c r="K18" s="9">
        <v>1E-3</v>
      </c>
      <c r="L18" s="9">
        <v>3.0000000000000001E-3</v>
      </c>
      <c r="M18" s="9" t="s">
        <v>789</v>
      </c>
      <c r="N18" s="9" t="s">
        <v>33</v>
      </c>
      <c r="O18" s="9">
        <f t="shared" si="5"/>
        <v>0.09</v>
      </c>
      <c r="P18" s="9">
        <f t="shared" si="6"/>
        <v>0.105</v>
      </c>
      <c r="Q18" s="9">
        <f t="shared" si="7"/>
        <v>0.06</v>
      </c>
      <c r="R18" s="9">
        <f t="shared" si="8"/>
        <v>4.4999999999999998E-2</v>
      </c>
      <c r="S18" s="38">
        <v>0.3</v>
      </c>
      <c r="T18" s="252">
        <v>105991.94</v>
      </c>
      <c r="U18" s="194">
        <v>317.97582</v>
      </c>
      <c r="V18" s="9"/>
      <c r="W18" s="9"/>
      <c r="X18" s="9" t="s">
        <v>790</v>
      </c>
      <c r="Y18" s="321">
        <v>70793</v>
      </c>
      <c r="Z18" s="19" t="s">
        <v>755</v>
      </c>
      <c r="AA18" s="15" t="s">
        <v>788</v>
      </c>
      <c r="AB18" s="16">
        <v>14</v>
      </c>
      <c r="AC18" s="51"/>
      <c r="AD18" s="48"/>
      <c r="AE18" s="48"/>
      <c r="AF18" s="49"/>
      <c r="AG18" s="169">
        <f t="shared" si="4"/>
        <v>8.9999999999999998E-4</v>
      </c>
      <c r="AH18" s="48"/>
      <c r="AI18" s="48"/>
      <c r="AJ18" s="49"/>
      <c r="AK18" s="51"/>
      <c r="AL18" s="263"/>
      <c r="AM18" s="263"/>
      <c r="AN18" s="59"/>
      <c r="AO18" s="58"/>
      <c r="AP18" s="42"/>
      <c r="AQ18" s="42"/>
      <c r="AR18" s="59"/>
      <c r="AS18" s="256" t="s">
        <v>757</v>
      </c>
      <c r="AT18" s="87"/>
    </row>
    <row r="19" spans="1:46" hidden="1" x14ac:dyDescent="0.25">
      <c r="A19" s="9">
        <v>16</v>
      </c>
      <c r="B19" s="9" t="s">
        <v>28</v>
      </c>
      <c r="C19" s="9" t="s">
        <v>753</v>
      </c>
      <c r="D19" s="9" t="s">
        <v>754</v>
      </c>
      <c r="E19" s="9"/>
      <c r="F19" s="15" t="s">
        <v>788</v>
      </c>
      <c r="G19" s="9"/>
      <c r="H19" s="9" t="s">
        <v>31</v>
      </c>
      <c r="I19" s="9"/>
      <c r="J19" s="9"/>
      <c r="K19" s="9">
        <v>7.5000000000000002E-4</v>
      </c>
      <c r="L19" s="9">
        <v>2.2500000000000003E-3</v>
      </c>
      <c r="M19" s="9" t="s">
        <v>789</v>
      </c>
      <c r="N19" s="9" t="s">
        <v>33</v>
      </c>
      <c r="O19" s="9">
        <f t="shared" si="5"/>
        <v>6.7500000000000004E-2</v>
      </c>
      <c r="P19" s="9">
        <f t="shared" si="6"/>
        <v>7.8750000000000001E-2</v>
      </c>
      <c r="Q19" s="9">
        <f t="shared" si="7"/>
        <v>4.5000000000000012E-2</v>
      </c>
      <c r="R19" s="9">
        <f t="shared" si="8"/>
        <v>3.3750000000000002E-2</v>
      </c>
      <c r="S19" s="38">
        <v>0.22500000000000003</v>
      </c>
      <c r="T19" s="252">
        <v>105991.94</v>
      </c>
      <c r="U19" s="194">
        <v>238.48186500000003</v>
      </c>
      <c r="V19" s="9"/>
      <c r="W19" s="9"/>
      <c r="X19" s="9" t="s">
        <v>791</v>
      </c>
      <c r="Y19" s="321">
        <v>70793</v>
      </c>
      <c r="Z19" s="19" t="s">
        <v>755</v>
      </c>
      <c r="AA19" s="15" t="s">
        <v>788</v>
      </c>
      <c r="AB19" s="16">
        <v>15</v>
      </c>
      <c r="AC19" s="51"/>
      <c r="AD19" s="48"/>
      <c r="AE19" s="48"/>
      <c r="AF19" s="49"/>
      <c r="AG19" s="169">
        <f t="shared" si="4"/>
        <v>6.7500000000000004E-4</v>
      </c>
      <c r="AH19" s="48"/>
      <c r="AI19" s="48"/>
      <c r="AJ19" s="49"/>
      <c r="AK19" s="51"/>
      <c r="AL19" s="263"/>
      <c r="AM19" s="263"/>
      <c r="AN19" s="59"/>
      <c r="AO19" s="58"/>
      <c r="AP19" s="42"/>
      <c r="AQ19" s="42"/>
      <c r="AR19" s="59"/>
      <c r="AS19" s="256" t="s">
        <v>757</v>
      </c>
      <c r="AT19" s="87"/>
    </row>
    <row r="20" spans="1:46" hidden="1" x14ac:dyDescent="0.25">
      <c r="A20" s="9">
        <v>17</v>
      </c>
      <c r="B20" s="9" t="s">
        <v>28</v>
      </c>
      <c r="C20" s="9" t="s">
        <v>753</v>
      </c>
      <c r="D20" s="9" t="s">
        <v>754</v>
      </c>
      <c r="E20" s="9"/>
      <c r="F20" s="15" t="s">
        <v>788</v>
      </c>
      <c r="G20" s="9"/>
      <c r="H20" s="9" t="s">
        <v>31</v>
      </c>
      <c r="I20" s="9"/>
      <c r="J20" s="9"/>
      <c r="K20" s="9">
        <v>1E-3</v>
      </c>
      <c r="L20" s="9">
        <v>4.0000000000000001E-3</v>
      </c>
      <c r="M20" s="9" t="s">
        <v>792</v>
      </c>
      <c r="N20" s="9" t="s">
        <v>33</v>
      </c>
      <c r="O20" s="9">
        <f t="shared" si="5"/>
        <v>0.12</v>
      </c>
      <c r="P20" s="9">
        <f t="shared" si="6"/>
        <v>0.13999999999999999</v>
      </c>
      <c r="Q20" s="9">
        <f t="shared" si="7"/>
        <v>8.0000000000000016E-2</v>
      </c>
      <c r="R20" s="9">
        <f t="shared" si="8"/>
        <v>0.06</v>
      </c>
      <c r="S20" s="38">
        <v>0.4</v>
      </c>
      <c r="T20" s="252">
        <v>105991.94</v>
      </c>
      <c r="U20" s="194">
        <v>423.96776</v>
      </c>
      <c r="V20" s="9"/>
      <c r="W20" s="9"/>
      <c r="X20" s="9" t="s">
        <v>790</v>
      </c>
      <c r="Y20" s="321">
        <v>70793</v>
      </c>
      <c r="Z20" s="19" t="s">
        <v>755</v>
      </c>
      <c r="AA20" s="15" t="s">
        <v>788</v>
      </c>
      <c r="AB20" s="16">
        <v>16</v>
      </c>
      <c r="AC20" s="51"/>
      <c r="AD20" s="48"/>
      <c r="AE20" s="48"/>
      <c r="AF20" s="49"/>
      <c r="AG20" s="169">
        <f t="shared" si="4"/>
        <v>1.1999999999999999E-3</v>
      </c>
      <c r="AH20" s="48"/>
      <c r="AI20" s="48"/>
      <c r="AJ20" s="49"/>
      <c r="AK20" s="51"/>
      <c r="AL20" s="263"/>
      <c r="AM20" s="263"/>
      <c r="AN20" s="59"/>
      <c r="AO20" s="58"/>
      <c r="AP20" s="42"/>
      <c r="AQ20" s="42"/>
      <c r="AR20" s="59"/>
      <c r="AS20" s="256" t="s">
        <v>757</v>
      </c>
      <c r="AT20" s="87"/>
    </row>
    <row r="21" spans="1:46" hidden="1" x14ac:dyDescent="0.25">
      <c r="A21" s="9">
        <v>18</v>
      </c>
      <c r="B21" s="9" t="s">
        <v>28</v>
      </c>
      <c r="C21" s="9" t="s">
        <v>753</v>
      </c>
      <c r="D21" s="9" t="s">
        <v>754</v>
      </c>
      <c r="E21" s="9"/>
      <c r="F21" s="15" t="s">
        <v>788</v>
      </c>
      <c r="G21" s="9"/>
      <c r="H21" s="9" t="s">
        <v>31</v>
      </c>
      <c r="I21" s="9"/>
      <c r="J21" s="9"/>
      <c r="K21" s="9">
        <v>7.5000000000000002E-4</v>
      </c>
      <c r="L21" s="9">
        <v>3.0000000000000001E-3</v>
      </c>
      <c r="M21" s="9" t="s">
        <v>792</v>
      </c>
      <c r="N21" s="9" t="s">
        <v>33</v>
      </c>
      <c r="O21" s="9">
        <f t="shared" si="5"/>
        <v>0.09</v>
      </c>
      <c r="P21" s="9">
        <f t="shared" si="6"/>
        <v>0.105</v>
      </c>
      <c r="Q21" s="9">
        <f t="shared" si="7"/>
        <v>0.06</v>
      </c>
      <c r="R21" s="9">
        <f t="shared" si="8"/>
        <v>4.4999999999999998E-2</v>
      </c>
      <c r="S21" s="38">
        <v>0.3</v>
      </c>
      <c r="T21" s="252">
        <v>105991.94</v>
      </c>
      <c r="U21" s="194">
        <v>317.97582</v>
      </c>
      <c r="V21" s="9"/>
      <c r="W21" s="9"/>
      <c r="X21" s="9" t="s">
        <v>791</v>
      </c>
      <c r="Y21" s="321">
        <v>70793</v>
      </c>
      <c r="Z21" s="19" t="s">
        <v>755</v>
      </c>
      <c r="AA21" s="15" t="s">
        <v>788</v>
      </c>
      <c r="AB21" s="16">
        <v>17</v>
      </c>
      <c r="AC21" s="51"/>
      <c r="AD21" s="48"/>
      <c r="AE21" s="48"/>
      <c r="AF21" s="49"/>
      <c r="AG21" s="169">
        <f t="shared" si="4"/>
        <v>8.9999999999999998E-4</v>
      </c>
      <c r="AH21" s="48"/>
      <c r="AI21" s="48"/>
      <c r="AJ21" s="49"/>
      <c r="AK21" s="51"/>
      <c r="AL21" s="263"/>
      <c r="AM21" s="263"/>
      <c r="AN21" s="59"/>
      <c r="AO21" s="58"/>
      <c r="AP21" s="42"/>
      <c r="AQ21" s="42"/>
      <c r="AR21" s="59"/>
      <c r="AS21" s="256" t="s">
        <v>757</v>
      </c>
      <c r="AT21" s="87"/>
    </row>
    <row r="22" spans="1:46" ht="30" hidden="1" x14ac:dyDescent="0.25">
      <c r="A22" s="9">
        <v>19</v>
      </c>
      <c r="B22" s="9" t="s">
        <v>28</v>
      </c>
      <c r="C22" s="9" t="s">
        <v>753</v>
      </c>
      <c r="D22" s="9" t="s">
        <v>754</v>
      </c>
      <c r="E22" s="9"/>
      <c r="F22" s="15" t="s">
        <v>781</v>
      </c>
      <c r="G22" s="9"/>
      <c r="H22" s="9" t="s">
        <v>31</v>
      </c>
      <c r="I22" s="9"/>
      <c r="J22" s="9"/>
      <c r="K22" s="9">
        <v>1.0000000000000001E-5</v>
      </c>
      <c r="L22" s="9">
        <v>6.0000000000000006E-4</v>
      </c>
      <c r="M22" s="9" t="s">
        <v>793</v>
      </c>
      <c r="N22" s="9" t="s">
        <v>33</v>
      </c>
      <c r="O22" s="9">
        <f t="shared" si="5"/>
        <v>1.8000000000000002E-2</v>
      </c>
      <c r="P22" s="9">
        <f t="shared" si="6"/>
        <v>2.1000000000000001E-2</v>
      </c>
      <c r="Q22" s="9">
        <f t="shared" si="7"/>
        <v>1.2000000000000002E-2</v>
      </c>
      <c r="R22" s="9">
        <f t="shared" si="8"/>
        <v>9.0000000000000011E-3</v>
      </c>
      <c r="S22" s="38">
        <v>6.0000000000000005E-2</v>
      </c>
      <c r="T22" s="252">
        <v>105991.94</v>
      </c>
      <c r="U22" s="194">
        <v>63.595164000000004</v>
      </c>
      <c r="V22" s="9"/>
      <c r="W22" s="9"/>
      <c r="X22" s="9" t="s">
        <v>782</v>
      </c>
      <c r="Y22" s="321">
        <v>70793</v>
      </c>
      <c r="Z22" s="19" t="s">
        <v>755</v>
      </c>
      <c r="AA22" s="15" t="s">
        <v>781</v>
      </c>
      <c r="AB22" s="16">
        <v>18</v>
      </c>
      <c r="AC22" s="51"/>
      <c r="AD22" s="48"/>
      <c r="AE22" s="48"/>
      <c r="AF22" s="49"/>
      <c r="AG22" s="169">
        <f t="shared" si="4"/>
        <v>1.8000000000000001E-4</v>
      </c>
      <c r="AH22" s="48"/>
      <c r="AI22" s="48"/>
      <c r="AJ22" s="49"/>
      <c r="AK22" s="51"/>
      <c r="AL22" s="263"/>
      <c r="AM22" s="263"/>
      <c r="AN22" s="59"/>
      <c r="AO22" s="58"/>
      <c r="AP22" s="42"/>
      <c r="AQ22" s="42"/>
      <c r="AR22" s="59"/>
      <c r="AS22" s="256" t="s">
        <v>757</v>
      </c>
      <c r="AT22" s="87"/>
    </row>
    <row r="23" spans="1:46" ht="30" hidden="1" x14ac:dyDescent="0.25">
      <c r="A23" s="9">
        <v>20</v>
      </c>
      <c r="B23" s="9" t="s">
        <v>28</v>
      </c>
      <c r="C23" s="9" t="s">
        <v>753</v>
      </c>
      <c r="D23" s="9" t="s">
        <v>754</v>
      </c>
      <c r="E23" s="9"/>
      <c r="F23" s="15" t="s">
        <v>794</v>
      </c>
      <c r="G23" s="9"/>
      <c r="H23" s="9" t="s">
        <v>31</v>
      </c>
      <c r="I23" s="9"/>
      <c r="J23" s="9"/>
      <c r="K23" s="9">
        <v>2.0000000000000001E-4</v>
      </c>
      <c r="L23" s="9">
        <v>1.4E-3</v>
      </c>
      <c r="M23" s="9" t="s">
        <v>795</v>
      </c>
      <c r="N23" s="9" t="s">
        <v>33</v>
      </c>
      <c r="O23" s="9">
        <f t="shared" si="5"/>
        <v>4.1999999999999996E-2</v>
      </c>
      <c r="P23" s="9">
        <f t="shared" si="6"/>
        <v>4.8999999999999995E-2</v>
      </c>
      <c r="Q23" s="9">
        <f t="shared" si="7"/>
        <v>2.7999999999999997E-2</v>
      </c>
      <c r="R23" s="9">
        <f t="shared" si="8"/>
        <v>2.0999999999999998E-2</v>
      </c>
      <c r="S23" s="38">
        <v>0.13999999999999999</v>
      </c>
      <c r="T23" s="252">
        <v>105991.94</v>
      </c>
      <c r="U23" s="194">
        <v>148.38871599999999</v>
      </c>
      <c r="V23" s="9"/>
      <c r="W23" s="9"/>
      <c r="X23" s="9" t="s">
        <v>592</v>
      </c>
      <c r="Y23" s="321">
        <v>70793</v>
      </c>
      <c r="Z23" s="19" t="s">
        <v>755</v>
      </c>
      <c r="AA23" s="15" t="s">
        <v>794</v>
      </c>
      <c r="AB23" s="16">
        <v>19</v>
      </c>
      <c r="AC23" s="51"/>
      <c r="AD23" s="48"/>
      <c r="AE23" s="48"/>
      <c r="AF23" s="49"/>
      <c r="AG23" s="169">
        <f t="shared" si="4"/>
        <v>4.1999999999999996E-4</v>
      </c>
      <c r="AH23" s="48"/>
      <c r="AI23" s="48"/>
      <c r="AJ23" s="49"/>
      <c r="AK23" s="51"/>
      <c r="AL23" s="263"/>
      <c r="AM23" s="263"/>
      <c r="AN23" s="59"/>
      <c r="AO23" s="58"/>
      <c r="AP23" s="42"/>
      <c r="AQ23" s="42"/>
      <c r="AR23" s="59"/>
      <c r="AS23" s="256" t="s">
        <v>757</v>
      </c>
      <c r="AT23" s="87"/>
    </row>
    <row r="24" spans="1:46" hidden="1" x14ac:dyDescent="0.25">
      <c r="A24" s="9">
        <v>21</v>
      </c>
      <c r="B24" s="9" t="s">
        <v>28</v>
      </c>
      <c r="C24" s="9" t="s">
        <v>753</v>
      </c>
      <c r="D24" s="9" t="s">
        <v>754</v>
      </c>
      <c r="E24" s="9"/>
      <c r="F24" s="15" t="s">
        <v>785</v>
      </c>
      <c r="G24" s="9"/>
      <c r="H24" s="9" t="s">
        <v>31</v>
      </c>
      <c r="I24" s="9"/>
      <c r="J24" s="9"/>
      <c r="K24" s="9">
        <v>2.1000000000000001E-4</v>
      </c>
      <c r="L24" s="9">
        <v>1.2600000000000001E-3</v>
      </c>
      <c r="M24" s="9" t="s">
        <v>768</v>
      </c>
      <c r="N24" s="9" t="s">
        <v>33</v>
      </c>
      <c r="O24" s="9">
        <f t="shared" si="5"/>
        <v>3.78E-2</v>
      </c>
      <c r="P24" s="9">
        <f t="shared" si="6"/>
        <v>4.41E-2</v>
      </c>
      <c r="Q24" s="9">
        <f t="shared" si="7"/>
        <v>2.52E-2</v>
      </c>
      <c r="R24" s="9">
        <f t="shared" si="8"/>
        <v>1.89E-2</v>
      </c>
      <c r="S24" s="38">
        <v>0.126</v>
      </c>
      <c r="T24" s="252">
        <v>105991.94</v>
      </c>
      <c r="U24" s="194">
        <v>133.54984440000001</v>
      </c>
      <c r="V24" s="9"/>
      <c r="W24" s="9"/>
      <c r="X24" s="9" t="s">
        <v>787</v>
      </c>
      <c r="Y24" s="321">
        <v>70793</v>
      </c>
      <c r="Z24" s="19" t="s">
        <v>755</v>
      </c>
      <c r="AA24" s="15" t="s">
        <v>785</v>
      </c>
      <c r="AB24" s="16">
        <v>20</v>
      </c>
      <c r="AC24" s="51"/>
      <c r="AD24" s="48"/>
      <c r="AE24" s="48"/>
      <c r="AF24" s="49"/>
      <c r="AG24" s="169">
        <f t="shared" si="4"/>
        <v>3.7800000000000003E-4</v>
      </c>
      <c r="AH24" s="48"/>
      <c r="AI24" s="48"/>
      <c r="AJ24" s="49"/>
      <c r="AK24" s="51"/>
      <c r="AL24" s="263"/>
      <c r="AM24" s="263"/>
      <c r="AN24" s="59"/>
      <c r="AO24" s="58"/>
      <c r="AP24" s="42"/>
      <c r="AQ24" s="42"/>
      <c r="AR24" s="59"/>
      <c r="AS24" s="256" t="s">
        <v>757</v>
      </c>
      <c r="AT24" s="87"/>
    </row>
    <row r="25" spans="1:46" ht="30" hidden="1" x14ac:dyDescent="0.25">
      <c r="A25" s="9">
        <v>22</v>
      </c>
      <c r="B25" s="9" t="s">
        <v>28</v>
      </c>
      <c r="C25" s="9" t="s">
        <v>753</v>
      </c>
      <c r="D25" s="9" t="s">
        <v>754</v>
      </c>
      <c r="E25" s="9"/>
      <c r="F25" s="15" t="s">
        <v>783</v>
      </c>
      <c r="G25" s="9"/>
      <c r="H25" s="9" t="s">
        <v>31</v>
      </c>
      <c r="I25" s="9"/>
      <c r="J25" s="9"/>
      <c r="K25" s="9">
        <v>8.0000000000000007E-5</v>
      </c>
      <c r="L25" s="9">
        <v>3.2000000000000002E-3</v>
      </c>
      <c r="M25" s="9" t="s">
        <v>796</v>
      </c>
      <c r="N25" s="9" t="s">
        <v>33</v>
      </c>
      <c r="O25" s="9">
        <f t="shared" si="5"/>
        <v>9.6000000000000002E-2</v>
      </c>
      <c r="P25" s="9">
        <f t="shared" si="6"/>
        <v>0.11199999999999999</v>
      </c>
      <c r="Q25" s="9">
        <f t="shared" si="7"/>
        <v>6.4000000000000001E-2</v>
      </c>
      <c r="R25" s="9">
        <f t="shared" si="8"/>
        <v>4.8000000000000001E-2</v>
      </c>
      <c r="S25" s="38">
        <v>0.32</v>
      </c>
      <c r="T25" s="252">
        <v>105991.94</v>
      </c>
      <c r="U25" s="194">
        <v>339.17420800000002</v>
      </c>
      <c r="V25" s="9"/>
      <c r="W25" s="9"/>
      <c r="X25" s="9" t="s">
        <v>784</v>
      </c>
      <c r="Y25" s="321">
        <v>70793</v>
      </c>
      <c r="Z25" s="19" t="s">
        <v>755</v>
      </c>
      <c r="AA25" s="15" t="s">
        <v>783</v>
      </c>
      <c r="AB25" s="16">
        <v>21</v>
      </c>
      <c r="AC25" s="51"/>
      <c r="AD25" s="48"/>
      <c r="AE25" s="48"/>
      <c r="AF25" s="49"/>
      <c r="AG25" s="169">
        <f t="shared" si="4"/>
        <v>9.6000000000000002E-4</v>
      </c>
      <c r="AH25" s="48"/>
      <c r="AI25" s="48"/>
      <c r="AJ25" s="49"/>
      <c r="AK25" s="51"/>
      <c r="AL25" s="263"/>
      <c r="AM25" s="263"/>
      <c r="AN25" s="59"/>
      <c r="AO25" s="58"/>
      <c r="AP25" s="42"/>
      <c r="AQ25" s="42"/>
      <c r="AR25" s="59"/>
      <c r="AS25" s="256" t="s">
        <v>757</v>
      </c>
      <c r="AT25" s="87"/>
    </row>
    <row r="26" spans="1:46" ht="30" hidden="1" x14ac:dyDescent="0.25">
      <c r="A26" s="9">
        <v>23</v>
      </c>
      <c r="B26" s="9" t="s">
        <v>28</v>
      </c>
      <c r="C26" s="9" t="s">
        <v>753</v>
      </c>
      <c r="D26" s="9" t="s">
        <v>754</v>
      </c>
      <c r="E26" s="9"/>
      <c r="F26" s="15" t="s">
        <v>797</v>
      </c>
      <c r="G26" s="9"/>
      <c r="H26" s="9" t="s">
        <v>31</v>
      </c>
      <c r="I26" s="9"/>
      <c r="J26" s="9"/>
      <c r="K26" s="9">
        <v>4.4999999999999999E-4</v>
      </c>
      <c r="L26" s="9">
        <v>2.7000000000000001E-3</v>
      </c>
      <c r="M26" s="9" t="s">
        <v>768</v>
      </c>
      <c r="N26" s="9" t="s">
        <v>33</v>
      </c>
      <c r="O26" s="9">
        <f t="shared" si="5"/>
        <v>8.1000000000000003E-2</v>
      </c>
      <c r="P26" s="9">
        <f t="shared" si="6"/>
        <v>9.4500000000000001E-2</v>
      </c>
      <c r="Q26" s="9">
        <f t="shared" si="7"/>
        <v>5.4000000000000006E-2</v>
      </c>
      <c r="R26" s="9">
        <f t="shared" si="8"/>
        <v>4.0500000000000001E-2</v>
      </c>
      <c r="S26" s="38">
        <v>0.27</v>
      </c>
      <c r="T26" s="252">
        <v>105991.94</v>
      </c>
      <c r="U26" s="194">
        <v>286.17823800000002</v>
      </c>
      <c r="V26" s="9"/>
      <c r="W26" s="9"/>
      <c r="X26" s="9" t="s">
        <v>798</v>
      </c>
      <c r="Y26" s="321">
        <v>70793</v>
      </c>
      <c r="Z26" s="19" t="s">
        <v>755</v>
      </c>
      <c r="AA26" s="15" t="s">
        <v>797</v>
      </c>
      <c r="AB26" s="16">
        <v>22</v>
      </c>
      <c r="AC26" s="51"/>
      <c r="AD26" s="48"/>
      <c r="AE26" s="48"/>
      <c r="AF26" s="49"/>
      <c r="AG26" s="169">
        <f t="shared" si="4"/>
        <v>8.1000000000000006E-4</v>
      </c>
      <c r="AH26" s="48"/>
      <c r="AI26" s="48"/>
      <c r="AJ26" s="49"/>
      <c r="AK26" s="51"/>
      <c r="AL26" s="263"/>
      <c r="AM26" s="263"/>
      <c r="AN26" s="59"/>
      <c r="AO26" s="58"/>
      <c r="AP26" s="42"/>
      <c r="AQ26" s="42"/>
      <c r="AR26" s="59"/>
      <c r="AS26" s="256" t="s">
        <v>757</v>
      </c>
      <c r="AT26" s="87"/>
    </row>
    <row r="27" spans="1:46" ht="30" hidden="1" x14ac:dyDescent="0.25">
      <c r="A27" s="9">
        <v>24</v>
      </c>
      <c r="B27" s="9" t="s">
        <v>28</v>
      </c>
      <c r="C27" s="9" t="s">
        <v>753</v>
      </c>
      <c r="D27" s="9" t="s">
        <v>754</v>
      </c>
      <c r="E27" s="9"/>
      <c r="F27" s="15" t="s">
        <v>783</v>
      </c>
      <c r="G27" s="9"/>
      <c r="H27" s="9" t="s">
        <v>31</v>
      </c>
      <c r="I27" s="9"/>
      <c r="J27" s="9"/>
      <c r="K27" s="9">
        <v>8.0000000000000007E-5</v>
      </c>
      <c r="L27" s="9">
        <v>6.4000000000000003E-3</v>
      </c>
      <c r="M27" s="9" t="s">
        <v>799</v>
      </c>
      <c r="N27" s="9" t="s">
        <v>33</v>
      </c>
      <c r="O27" s="9">
        <f t="shared" si="5"/>
        <v>0.192</v>
      </c>
      <c r="P27" s="9">
        <f t="shared" si="6"/>
        <v>0.22399999999999998</v>
      </c>
      <c r="Q27" s="9">
        <f t="shared" si="7"/>
        <v>0.128</v>
      </c>
      <c r="R27" s="9">
        <f t="shared" si="8"/>
        <v>9.6000000000000002E-2</v>
      </c>
      <c r="S27" s="38">
        <v>0.64</v>
      </c>
      <c r="T27" s="252">
        <v>105991.94</v>
      </c>
      <c r="U27" s="194">
        <v>678.34841600000004</v>
      </c>
      <c r="V27" s="9"/>
      <c r="W27" s="9"/>
      <c r="X27" s="9" t="s">
        <v>784</v>
      </c>
      <c r="Y27" s="321">
        <v>70793</v>
      </c>
      <c r="Z27" s="19" t="s">
        <v>755</v>
      </c>
      <c r="AA27" s="15" t="s">
        <v>783</v>
      </c>
      <c r="AB27" s="16">
        <v>23</v>
      </c>
      <c r="AC27" s="51"/>
      <c r="AD27" s="48"/>
      <c r="AE27" s="48"/>
      <c r="AF27" s="49"/>
      <c r="AG27" s="169">
        <f t="shared" si="4"/>
        <v>1.92E-3</v>
      </c>
      <c r="AH27" s="48"/>
      <c r="AI27" s="48"/>
      <c r="AJ27" s="49"/>
      <c r="AK27" s="51"/>
      <c r="AL27" s="263"/>
      <c r="AM27" s="263"/>
      <c r="AN27" s="59"/>
      <c r="AO27" s="58"/>
      <c r="AP27" s="42"/>
      <c r="AQ27" s="42"/>
      <c r="AR27" s="59"/>
      <c r="AS27" s="256" t="s">
        <v>757</v>
      </c>
      <c r="AT27" s="87"/>
    </row>
    <row r="28" spans="1:46" ht="30" hidden="1" x14ac:dyDescent="0.25">
      <c r="A28" s="9">
        <v>25</v>
      </c>
      <c r="B28" s="9" t="s">
        <v>28</v>
      </c>
      <c r="C28" s="9" t="s">
        <v>753</v>
      </c>
      <c r="D28" s="9" t="s">
        <v>754</v>
      </c>
      <c r="E28" s="9"/>
      <c r="F28" s="15" t="s">
        <v>781</v>
      </c>
      <c r="G28" s="9"/>
      <c r="H28" s="9" t="s">
        <v>31</v>
      </c>
      <c r="I28" s="9"/>
      <c r="J28" s="9"/>
      <c r="K28" s="9">
        <v>1.0000000000000001E-5</v>
      </c>
      <c r="L28" s="9">
        <v>8.0000000000000004E-4</v>
      </c>
      <c r="M28" s="9" t="s">
        <v>799</v>
      </c>
      <c r="N28" s="9" t="s">
        <v>33</v>
      </c>
      <c r="O28" s="9">
        <f t="shared" si="5"/>
        <v>2.4E-2</v>
      </c>
      <c r="P28" s="9">
        <f t="shared" si="6"/>
        <v>2.7999999999999997E-2</v>
      </c>
      <c r="Q28" s="9">
        <f t="shared" si="7"/>
        <v>1.6E-2</v>
      </c>
      <c r="R28" s="9">
        <f t="shared" si="8"/>
        <v>1.2E-2</v>
      </c>
      <c r="S28" s="38">
        <v>0.08</v>
      </c>
      <c r="T28" s="252">
        <v>105991.94</v>
      </c>
      <c r="U28" s="194">
        <v>84.793552000000005</v>
      </c>
      <c r="V28" s="9"/>
      <c r="W28" s="9"/>
      <c r="X28" s="9" t="s">
        <v>782</v>
      </c>
      <c r="Y28" s="321">
        <v>70793</v>
      </c>
      <c r="Z28" s="19" t="s">
        <v>755</v>
      </c>
      <c r="AA28" s="15" t="s">
        <v>781</v>
      </c>
      <c r="AB28" s="16">
        <v>24</v>
      </c>
      <c r="AC28" s="51"/>
      <c r="AD28" s="48"/>
      <c r="AE28" s="48"/>
      <c r="AF28" s="49"/>
      <c r="AG28" s="169">
        <f t="shared" si="4"/>
        <v>2.4000000000000001E-4</v>
      </c>
      <c r="AH28" s="48"/>
      <c r="AI28" s="48"/>
      <c r="AJ28" s="49"/>
      <c r="AK28" s="51"/>
      <c r="AL28" s="263"/>
      <c r="AM28" s="263"/>
      <c r="AN28" s="59"/>
      <c r="AO28" s="58"/>
      <c r="AP28" s="42"/>
      <c r="AQ28" s="42"/>
      <c r="AR28" s="59"/>
      <c r="AS28" s="256" t="s">
        <v>757</v>
      </c>
      <c r="AT28" s="87"/>
    </row>
    <row r="29" spans="1:46" ht="30" hidden="1" x14ac:dyDescent="0.25">
      <c r="A29" s="9">
        <v>26</v>
      </c>
      <c r="B29" s="9" t="s">
        <v>28</v>
      </c>
      <c r="C29" s="9" t="s">
        <v>753</v>
      </c>
      <c r="D29" s="9" t="s">
        <v>754</v>
      </c>
      <c r="E29" s="9"/>
      <c r="F29" s="15" t="s">
        <v>779</v>
      </c>
      <c r="G29" s="9"/>
      <c r="H29" s="9" t="s">
        <v>31</v>
      </c>
      <c r="I29" s="9"/>
      <c r="J29" s="9"/>
      <c r="K29" s="9">
        <v>1.0000000000000001E-5</v>
      </c>
      <c r="L29" s="9">
        <v>8.0000000000000004E-4</v>
      </c>
      <c r="M29" s="9" t="s">
        <v>799</v>
      </c>
      <c r="N29" s="9" t="s">
        <v>33</v>
      </c>
      <c r="O29" s="9">
        <f t="shared" si="5"/>
        <v>2.4E-2</v>
      </c>
      <c r="P29" s="9">
        <f t="shared" si="6"/>
        <v>2.7999999999999997E-2</v>
      </c>
      <c r="Q29" s="9">
        <f t="shared" si="7"/>
        <v>1.6E-2</v>
      </c>
      <c r="R29" s="9">
        <f t="shared" si="8"/>
        <v>1.2E-2</v>
      </c>
      <c r="S29" s="38">
        <v>0.08</v>
      </c>
      <c r="T29" s="252">
        <v>105991.94</v>
      </c>
      <c r="U29" s="194">
        <v>84.793552000000005</v>
      </c>
      <c r="V29" s="9"/>
      <c r="W29" s="9"/>
      <c r="X29" s="9" t="s">
        <v>780</v>
      </c>
      <c r="Y29" s="321">
        <v>70793</v>
      </c>
      <c r="Z29" s="19" t="s">
        <v>755</v>
      </c>
      <c r="AA29" s="15" t="s">
        <v>779</v>
      </c>
      <c r="AB29" s="16">
        <v>25</v>
      </c>
      <c r="AC29" s="51"/>
      <c r="AD29" s="48"/>
      <c r="AE29" s="48"/>
      <c r="AF29" s="49"/>
      <c r="AG29" s="169">
        <f t="shared" si="4"/>
        <v>2.4000000000000001E-4</v>
      </c>
      <c r="AH29" s="48"/>
      <c r="AI29" s="48"/>
      <c r="AJ29" s="49"/>
      <c r="AK29" s="51"/>
      <c r="AL29" s="263"/>
      <c r="AM29" s="263"/>
      <c r="AN29" s="59"/>
      <c r="AO29" s="58"/>
      <c r="AP29" s="42"/>
      <c r="AQ29" s="42"/>
      <c r="AR29" s="59"/>
      <c r="AS29" s="256" t="s">
        <v>757</v>
      </c>
      <c r="AT29" s="87"/>
    </row>
    <row r="30" spans="1:46" ht="30" hidden="1" x14ac:dyDescent="0.25">
      <c r="A30" s="9">
        <v>27</v>
      </c>
      <c r="B30" s="9" t="s">
        <v>28</v>
      </c>
      <c r="C30" s="9" t="s">
        <v>753</v>
      </c>
      <c r="D30" s="9" t="s">
        <v>754</v>
      </c>
      <c r="E30" s="9"/>
      <c r="F30" s="15" t="s">
        <v>800</v>
      </c>
      <c r="G30" s="9"/>
      <c r="H30" s="9" t="s">
        <v>31</v>
      </c>
      <c r="I30" s="9"/>
      <c r="J30" s="9"/>
      <c r="K30" s="9">
        <v>2.5999999999999998E-4</v>
      </c>
      <c r="L30" s="9">
        <v>6.239999999999999E-3</v>
      </c>
      <c r="M30" s="9" t="s">
        <v>767</v>
      </c>
      <c r="N30" s="9" t="s">
        <v>33</v>
      </c>
      <c r="O30" s="9">
        <f t="shared" si="5"/>
        <v>0.18719999999999995</v>
      </c>
      <c r="P30" s="9">
        <f t="shared" si="6"/>
        <v>0.21839999999999996</v>
      </c>
      <c r="Q30" s="9">
        <f t="shared" si="7"/>
        <v>0.12479999999999998</v>
      </c>
      <c r="R30" s="9">
        <f t="shared" si="8"/>
        <v>9.3599999999999975E-2</v>
      </c>
      <c r="S30" s="38">
        <v>0.62399999999999989</v>
      </c>
      <c r="T30" s="252">
        <v>105991.94</v>
      </c>
      <c r="U30" s="194">
        <v>661.38970559999996</v>
      </c>
      <c r="V30" s="9"/>
      <c r="W30" s="9"/>
      <c r="X30" s="9" t="s">
        <v>586</v>
      </c>
      <c r="Y30" s="321">
        <v>70793</v>
      </c>
      <c r="Z30" s="19" t="s">
        <v>755</v>
      </c>
      <c r="AA30" s="15" t="s">
        <v>800</v>
      </c>
      <c r="AB30" s="16">
        <v>26</v>
      </c>
      <c r="AC30" s="51"/>
      <c r="AD30" s="48"/>
      <c r="AE30" s="48"/>
      <c r="AF30" s="49"/>
      <c r="AG30" s="169">
        <f t="shared" si="4"/>
        <v>1.8719999999999995E-3</v>
      </c>
      <c r="AH30" s="48"/>
      <c r="AI30" s="48"/>
      <c r="AJ30" s="49"/>
      <c r="AK30" s="51"/>
      <c r="AL30" s="263"/>
      <c r="AM30" s="263"/>
      <c r="AN30" s="59"/>
      <c r="AO30" s="58"/>
      <c r="AP30" s="42"/>
      <c r="AQ30" s="42"/>
      <c r="AR30" s="59"/>
      <c r="AS30" s="256" t="s">
        <v>757</v>
      </c>
      <c r="AT30" s="87"/>
    </row>
    <row r="31" spans="1:46" hidden="1" x14ac:dyDescent="0.25">
      <c r="A31" s="9">
        <v>28</v>
      </c>
      <c r="B31" s="9" t="s">
        <v>28</v>
      </c>
      <c r="C31" s="9" t="s">
        <v>753</v>
      </c>
      <c r="D31" s="9" t="s">
        <v>754</v>
      </c>
      <c r="E31" s="9"/>
      <c r="F31" s="15" t="s">
        <v>143</v>
      </c>
      <c r="G31" s="9"/>
      <c r="H31" s="9" t="s">
        <v>31</v>
      </c>
      <c r="I31" s="9"/>
      <c r="J31" s="9"/>
      <c r="K31" s="9">
        <v>2.9999999999999997E-4</v>
      </c>
      <c r="L31" s="9">
        <v>1.1999999999999999E-2</v>
      </c>
      <c r="M31" s="9" t="s">
        <v>796</v>
      </c>
      <c r="N31" s="9" t="s">
        <v>33</v>
      </c>
      <c r="O31" s="9">
        <f t="shared" si="5"/>
        <v>0.36</v>
      </c>
      <c r="P31" s="9">
        <f t="shared" si="6"/>
        <v>0.42</v>
      </c>
      <c r="Q31" s="9">
        <f t="shared" si="7"/>
        <v>0.24</v>
      </c>
      <c r="R31" s="9">
        <f t="shared" si="8"/>
        <v>0.18</v>
      </c>
      <c r="S31" s="38">
        <v>1.2</v>
      </c>
      <c r="T31" s="252">
        <v>105991.94</v>
      </c>
      <c r="U31" s="194">
        <v>1271.9032799999998</v>
      </c>
      <c r="V31" s="9"/>
      <c r="W31" s="9"/>
      <c r="X31" s="9" t="s">
        <v>144</v>
      </c>
      <c r="Y31" s="321">
        <v>70793</v>
      </c>
      <c r="Z31" s="19" t="s">
        <v>755</v>
      </c>
      <c r="AA31" s="15" t="s">
        <v>143</v>
      </c>
      <c r="AB31" s="16">
        <v>27</v>
      </c>
      <c r="AC31" s="51"/>
      <c r="AD31" s="48"/>
      <c r="AE31" s="48"/>
      <c r="AF31" s="49"/>
      <c r="AG31" s="169">
        <f t="shared" si="4"/>
        <v>3.5999999999999995E-3</v>
      </c>
      <c r="AH31" s="48"/>
      <c r="AI31" s="48"/>
      <c r="AJ31" s="49"/>
      <c r="AK31" s="51"/>
      <c r="AL31" s="263"/>
      <c r="AM31" s="263"/>
      <c r="AN31" s="59"/>
      <c r="AO31" s="58"/>
      <c r="AP31" s="42"/>
      <c r="AQ31" s="42"/>
      <c r="AR31" s="59"/>
      <c r="AS31" s="256" t="s">
        <v>757</v>
      </c>
      <c r="AT31" s="87"/>
    </row>
    <row r="32" spans="1:46" ht="30" hidden="1" x14ac:dyDescent="0.25">
      <c r="A32" s="9">
        <v>29</v>
      </c>
      <c r="B32" s="9" t="s">
        <v>28</v>
      </c>
      <c r="C32" s="9" t="s">
        <v>753</v>
      </c>
      <c r="D32" s="9" t="s">
        <v>754</v>
      </c>
      <c r="E32" s="9"/>
      <c r="F32" s="15" t="s">
        <v>800</v>
      </c>
      <c r="G32" s="9"/>
      <c r="H32" s="9" t="s">
        <v>31</v>
      </c>
      <c r="I32" s="9"/>
      <c r="J32" s="9"/>
      <c r="K32" s="9">
        <v>2.5999999999999998E-4</v>
      </c>
      <c r="L32" s="9">
        <v>3.1199999999999995E-3</v>
      </c>
      <c r="M32" s="9" t="s">
        <v>801</v>
      </c>
      <c r="N32" s="9" t="s">
        <v>33</v>
      </c>
      <c r="O32" s="9">
        <f t="shared" si="5"/>
        <v>9.3599999999999975E-2</v>
      </c>
      <c r="P32" s="9">
        <f t="shared" si="6"/>
        <v>0.10919999999999998</v>
      </c>
      <c r="Q32" s="9">
        <f t="shared" si="7"/>
        <v>6.239999999999999E-2</v>
      </c>
      <c r="R32" s="9">
        <f t="shared" si="8"/>
        <v>4.6799999999999987E-2</v>
      </c>
      <c r="S32" s="38">
        <v>0.31199999999999994</v>
      </c>
      <c r="T32" s="252">
        <v>105991.94</v>
      </c>
      <c r="U32" s="194">
        <v>330.69485279999998</v>
      </c>
      <c r="V32" s="9"/>
      <c r="W32" s="9"/>
      <c r="X32" s="9" t="s">
        <v>586</v>
      </c>
      <c r="Y32" s="321">
        <v>70793</v>
      </c>
      <c r="Z32" s="19" t="s">
        <v>755</v>
      </c>
      <c r="AA32" s="15" t="s">
        <v>800</v>
      </c>
      <c r="AB32" s="16">
        <v>28</v>
      </c>
      <c r="AC32" s="51"/>
      <c r="AD32" s="48"/>
      <c r="AE32" s="48"/>
      <c r="AF32" s="49"/>
      <c r="AG32" s="169">
        <f t="shared" si="4"/>
        <v>9.3599999999999977E-4</v>
      </c>
      <c r="AH32" s="48"/>
      <c r="AI32" s="48"/>
      <c r="AJ32" s="49"/>
      <c r="AK32" s="51"/>
      <c r="AL32" s="263"/>
      <c r="AM32" s="263"/>
      <c r="AN32" s="59"/>
      <c r="AO32" s="58"/>
      <c r="AP32" s="42"/>
      <c r="AQ32" s="42"/>
      <c r="AR32" s="59"/>
      <c r="AS32" s="256" t="s">
        <v>757</v>
      </c>
      <c r="AT32" s="87"/>
    </row>
    <row r="33" spans="1:46" hidden="1" x14ac:dyDescent="0.25">
      <c r="A33" s="9">
        <v>30</v>
      </c>
      <c r="B33" s="9" t="s">
        <v>28</v>
      </c>
      <c r="C33" s="9" t="s">
        <v>753</v>
      </c>
      <c r="D33" s="9" t="s">
        <v>754</v>
      </c>
      <c r="E33" s="9"/>
      <c r="F33" s="15" t="s">
        <v>226</v>
      </c>
      <c r="G33" s="9"/>
      <c r="H33" s="9" t="s">
        <v>31</v>
      </c>
      <c r="I33" s="9"/>
      <c r="J33" s="9"/>
      <c r="K33" s="9">
        <v>1.1E-4</v>
      </c>
      <c r="L33" s="9">
        <v>6.6E-4</v>
      </c>
      <c r="M33" s="9" t="s">
        <v>768</v>
      </c>
      <c r="N33" s="9" t="s">
        <v>33</v>
      </c>
      <c r="O33" s="9">
        <f t="shared" si="5"/>
        <v>1.9800000000000002E-2</v>
      </c>
      <c r="P33" s="9">
        <f t="shared" si="6"/>
        <v>2.3099999999999999E-2</v>
      </c>
      <c r="Q33" s="9">
        <f t="shared" si="7"/>
        <v>1.3200000000000002E-2</v>
      </c>
      <c r="R33" s="9">
        <f t="shared" si="8"/>
        <v>9.9000000000000008E-3</v>
      </c>
      <c r="S33" s="38">
        <v>6.6000000000000003E-2</v>
      </c>
      <c r="T33" s="252">
        <v>105991.94</v>
      </c>
      <c r="U33" s="194">
        <v>69.954680400000001</v>
      </c>
      <c r="V33" s="9"/>
      <c r="W33" s="9"/>
      <c r="X33" s="9" t="s">
        <v>802</v>
      </c>
      <c r="Y33" s="321">
        <v>70793</v>
      </c>
      <c r="Z33" s="19" t="s">
        <v>755</v>
      </c>
      <c r="AA33" s="15" t="s">
        <v>226</v>
      </c>
      <c r="AB33" s="16">
        <v>29</v>
      </c>
      <c r="AC33" s="51"/>
      <c r="AD33" s="48"/>
      <c r="AE33" s="48"/>
      <c r="AF33" s="49"/>
      <c r="AG33" s="169">
        <f t="shared" si="4"/>
        <v>1.9799999999999999E-4</v>
      </c>
      <c r="AH33" s="48"/>
      <c r="AI33" s="48"/>
      <c r="AJ33" s="49"/>
      <c r="AK33" s="51"/>
      <c r="AL33" s="263"/>
      <c r="AM33" s="263"/>
      <c r="AN33" s="59"/>
      <c r="AO33" s="58"/>
      <c r="AP33" s="42"/>
      <c r="AQ33" s="42"/>
      <c r="AR33" s="59"/>
      <c r="AS33" s="256" t="s">
        <v>757</v>
      </c>
      <c r="AT33" s="87"/>
    </row>
    <row r="34" spans="1:46" ht="30" hidden="1" x14ac:dyDescent="0.25">
      <c r="A34" s="9">
        <v>31</v>
      </c>
      <c r="B34" s="9" t="s">
        <v>28</v>
      </c>
      <c r="C34" s="9" t="s">
        <v>753</v>
      </c>
      <c r="D34" s="9" t="s">
        <v>754</v>
      </c>
      <c r="E34" s="9"/>
      <c r="F34" s="15" t="s">
        <v>803</v>
      </c>
      <c r="G34" s="9"/>
      <c r="H34" s="9" t="s">
        <v>31</v>
      </c>
      <c r="I34" s="9"/>
      <c r="J34" s="9"/>
      <c r="K34" s="9">
        <v>6.0000000000000002E-5</v>
      </c>
      <c r="L34" s="9">
        <v>3.6000000000000002E-4</v>
      </c>
      <c r="M34" s="9" t="s">
        <v>768</v>
      </c>
      <c r="N34" s="9" t="s">
        <v>33</v>
      </c>
      <c r="O34" s="9">
        <f t="shared" si="5"/>
        <v>1.0800000000000001E-2</v>
      </c>
      <c r="P34" s="9">
        <f t="shared" si="6"/>
        <v>1.26E-2</v>
      </c>
      <c r="Q34" s="9">
        <f t="shared" si="7"/>
        <v>7.2000000000000015E-3</v>
      </c>
      <c r="R34" s="9">
        <f t="shared" si="8"/>
        <v>5.4000000000000003E-3</v>
      </c>
      <c r="S34" s="38">
        <v>3.6000000000000004E-2</v>
      </c>
      <c r="T34" s="252">
        <v>105991.94</v>
      </c>
      <c r="U34" s="194">
        <v>38.157098400000002</v>
      </c>
      <c r="V34" s="9"/>
      <c r="W34" s="9"/>
      <c r="X34" s="9" t="s">
        <v>804</v>
      </c>
      <c r="Y34" s="321">
        <v>70793</v>
      </c>
      <c r="Z34" s="19" t="s">
        <v>755</v>
      </c>
      <c r="AA34" s="15" t="s">
        <v>803</v>
      </c>
      <c r="AB34" s="16">
        <v>30</v>
      </c>
      <c r="AC34" s="51"/>
      <c r="AD34" s="48"/>
      <c r="AE34" s="48"/>
      <c r="AF34" s="49"/>
      <c r="AG34" s="169">
        <f t="shared" si="4"/>
        <v>1.0800000000000001E-4</v>
      </c>
      <c r="AH34" s="48"/>
      <c r="AI34" s="48"/>
      <c r="AJ34" s="49"/>
      <c r="AK34" s="51"/>
      <c r="AL34" s="263"/>
      <c r="AM34" s="263"/>
      <c r="AN34" s="59"/>
      <c r="AO34" s="58"/>
      <c r="AP34" s="42"/>
      <c r="AQ34" s="42"/>
      <c r="AR34" s="59"/>
      <c r="AS34" s="256" t="s">
        <v>757</v>
      </c>
      <c r="AT34" s="87"/>
    </row>
    <row r="35" spans="1:46" hidden="1" x14ac:dyDescent="0.25">
      <c r="A35" s="9">
        <v>32</v>
      </c>
      <c r="B35" s="9" t="s">
        <v>28</v>
      </c>
      <c r="C35" s="9" t="s">
        <v>753</v>
      </c>
      <c r="D35" s="9" t="s">
        <v>754</v>
      </c>
      <c r="E35" s="9"/>
      <c r="F35" s="15" t="s">
        <v>770</v>
      </c>
      <c r="G35" s="9"/>
      <c r="H35" s="9" t="s">
        <v>31</v>
      </c>
      <c r="I35" s="9"/>
      <c r="J35" s="9"/>
      <c r="K35" s="9">
        <v>1.9E-2</v>
      </c>
      <c r="L35" s="9">
        <v>5.6999999999999995E-2</v>
      </c>
      <c r="M35" s="9" t="s">
        <v>789</v>
      </c>
      <c r="N35" s="9" t="s">
        <v>33</v>
      </c>
      <c r="O35" s="9">
        <f t="shared" si="5"/>
        <v>1.7099999999999997</v>
      </c>
      <c r="P35" s="9">
        <f t="shared" si="6"/>
        <v>1.9949999999999997</v>
      </c>
      <c r="Q35" s="9">
        <f t="shared" si="7"/>
        <v>1.1399999999999999</v>
      </c>
      <c r="R35" s="9">
        <f t="shared" si="8"/>
        <v>0.85499999999999987</v>
      </c>
      <c r="S35" s="38">
        <v>5.6999999999999993</v>
      </c>
      <c r="T35" s="252">
        <v>105991.94</v>
      </c>
      <c r="U35" s="194">
        <v>6041.5405799999999</v>
      </c>
      <c r="V35" s="9"/>
      <c r="W35" s="9"/>
      <c r="X35" s="9" t="s">
        <v>805</v>
      </c>
      <c r="Y35" s="321">
        <v>70793</v>
      </c>
      <c r="Z35" s="19" t="s">
        <v>755</v>
      </c>
      <c r="AA35" s="15" t="s">
        <v>770</v>
      </c>
      <c r="AB35" s="16">
        <v>31</v>
      </c>
      <c r="AC35" s="51"/>
      <c r="AD35" s="48"/>
      <c r="AE35" s="48"/>
      <c r="AF35" s="49"/>
      <c r="AG35" s="169">
        <f t="shared" si="4"/>
        <v>1.7099999999999997E-2</v>
      </c>
      <c r="AH35" s="48"/>
      <c r="AI35" s="48"/>
      <c r="AJ35" s="49"/>
      <c r="AK35" s="51"/>
      <c r="AL35" s="263"/>
      <c r="AM35" s="263"/>
      <c r="AN35" s="59"/>
      <c r="AO35" s="58"/>
      <c r="AP35" s="42"/>
      <c r="AQ35" s="42"/>
      <c r="AR35" s="59"/>
      <c r="AS35" s="256" t="s">
        <v>757</v>
      </c>
      <c r="AT35" s="87"/>
    </row>
    <row r="36" spans="1:46" ht="30" hidden="1" x14ac:dyDescent="0.25">
      <c r="A36" s="9">
        <v>33</v>
      </c>
      <c r="B36" s="9" t="s">
        <v>28</v>
      </c>
      <c r="C36" s="9" t="s">
        <v>753</v>
      </c>
      <c r="D36" s="9" t="s">
        <v>754</v>
      </c>
      <c r="E36" s="9"/>
      <c r="F36" s="15" t="s">
        <v>761</v>
      </c>
      <c r="G36" s="9"/>
      <c r="H36" s="9" t="s">
        <v>31</v>
      </c>
      <c r="I36" s="9"/>
      <c r="J36" s="9"/>
      <c r="K36" s="9">
        <v>2.5999999999999998E-4</v>
      </c>
      <c r="L36" s="9">
        <v>1.6639999999999999E-2</v>
      </c>
      <c r="M36" s="9" t="s">
        <v>806</v>
      </c>
      <c r="N36" s="9" t="s">
        <v>33</v>
      </c>
      <c r="O36" s="9">
        <f t="shared" si="5"/>
        <v>0.49919999999999998</v>
      </c>
      <c r="P36" s="9">
        <f t="shared" si="6"/>
        <v>0.58239999999999992</v>
      </c>
      <c r="Q36" s="9">
        <f t="shared" si="7"/>
        <v>0.33279999999999998</v>
      </c>
      <c r="R36" s="9">
        <f t="shared" si="8"/>
        <v>0.24959999999999999</v>
      </c>
      <c r="S36" s="38">
        <v>1.6639999999999999</v>
      </c>
      <c r="T36" s="252">
        <v>105991.94</v>
      </c>
      <c r="U36" s="194">
        <v>1763.7058815999999</v>
      </c>
      <c r="V36" s="9"/>
      <c r="W36" s="9"/>
      <c r="X36" s="9" t="s">
        <v>763</v>
      </c>
      <c r="Y36" s="321">
        <v>70793</v>
      </c>
      <c r="Z36" s="19" t="s">
        <v>755</v>
      </c>
      <c r="AA36" s="15" t="s">
        <v>761</v>
      </c>
      <c r="AB36" s="16">
        <v>32</v>
      </c>
      <c r="AC36" s="51"/>
      <c r="AD36" s="48"/>
      <c r="AE36" s="48"/>
      <c r="AF36" s="49"/>
      <c r="AG36" s="169">
        <f t="shared" si="4"/>
        <v>4.991999999999999E-3</v>
      </c>
      <c r="AH36" s="48"/>
      <c r="AI36" s="48"/>
      <c r="AJ36" s="49"/>
      <c r="AK36" s="51"/>
      <c r="AL36" s="263"/>
      <c r="AM36" s="263"/>
      <c r="AN36" s="59"/>
      <c r="AO36" s="58"/>
      <c r="AP36" s="42"/>
      <c r="AQ36" s="42"/>
      <c r="AR36" s="59"/>
      <c r="AS36" s="256" t="s">
        <v>757</v>
      </c>
      <c r="AT36" s="87"/>
    </row>
    <row r="37" spans="1:46" ht="30" hidden="1" x14ac:dyDescent="0.25">
      <c r="A37" s="9">
        <v>34</v>
      </c>
      <c r="B37" s="9" t="s">
        <v>28</v>
      </c>
      <c r="C37" s="9" t="s">
        <v>753</v>
      </c>
      <c r="D37" s="9" t="s">
        <v>754</v>
      </c>
      <c r="E37" s="9"/>
      <c r="F37" s="15" t="s">
        <v>807</v>
      </c>
      <c r="G37" s="9"/>
      <c r="H37" s="9" t="s">
        <v>31</v>
      </c>
      <c r="I37" s="9"/>
      <c r="J37" s="9"/>
      <c r="K37" s="9">
        <v>2.0000000000000002E-5</v>
      </c>
      <c r="L37" s="9">
        <v>1.2800000000000001E-3</v>
      </c>
      <c r="M37" s="9" t="s">
        <v>806</v>
      </c>
      <c r="N37" s="9" t="s">
        <v>33</v>
      </c>
      <c r="O37" s="9">
        <f t="shared" si="5"/>
        <v>3.8399999999999997E-2</v>
      </c>
      <c r="P37" s="9">
        <f t="shared" si="6"/>
        <v>4.48E-2</v>
      </c>
      <c r="Q37" s="9">
        <f t="shared" si="7"/>
        <v>2.5600000000000001E-2</v>
      </c>
      <c r="R37" s="9">
        <f t="shared" si="8"/>
        <v>1.9199999999999998E-2</v>
      </c>
      <c r="S37" s="38">
        <v>0.128</v>
      </c>
      <c r="T37" s="252">
        <v>105991.94</v>
      </c>
      <c r="U37" s="194">
        <v>135.66968320000001</v>
      </c>
      <c r="V37" s="9"/>
      <c r="W37" s="9"/>
      <c r="X37" s="9" t="s">
        <v>765</v>
      </c>
      <c r="Y37" s="321">
        <v>70793</v>
      </c>
      <c r="Z37" s="19" t="s">
        <v>755</v>
      </c>
      <c r="AA37" s="15" t="s">
        <v>807</v>
      </c>
      <c r="AB37" s="16">
        <v>33</v>
      </c>
      <c r="AC37" s="51"/>
      <c r="AD37" s="48"/>
      <c r="AE37" s="48"/>
      <c r="AF37" s="49"/>
      <c r="AG37" s="169">
        <f t="shared" si="4"/>
        <v>3.8400000000000001E-4</v>
      </c>
      <c r="AH37" s="48"/>
      <c r="AI37" s="48"/>
      <c r="AJ37" s="49"/>
      <c r="AK37" s="51"/>
      <c r="AL37" s="263"/>
      <c r="AM37" s="263"/>
      <c r="AN37" s="59"/>
      <c r="AO37" s="58"/>
      <c r="AP37" s="42"/>
      <c r="AQ37" s="42"/>
      <c r="AR37" s="59"/>
      <c r="AS37" s="256" t="s">
        <v>757</v>
      </c>
      <c r="AT37" s="87"/>
    </row>
    <row r="38" spans="1:46" ht="30" hidden="1" x14ac:dyDescent="0.25">
      <c r="A38" s="9">
        <v>35</v>
      </c>
      <c r="B38" s="9" t="s">
        <v>28</v>
      </c>
      <c r="C38" s="9" t="s">
        <v>753</v>
      </c>
      <c r="D38" s="9" t="s">
        <v>754</v>
      </c>
      <c r="E38" s="9"/>
      <c r="F38" s="15" t="s">
        <v>766</v>
      </c>
      <c r="G38" s="9"/>
      <c r="H38" s="9" t="s">
        <v>31</v>
      </c>
      <c r="I38" s="9"/>
      <c r="J38" s="9"/>
      <c r="K38" s="9">
        <v>3.14E-3</v>
      </c>
      <c r="L38" s="9">
        <v>0.10048</v>
      </c>
      <c r="M38" s="9" t="s">
        <v>778</v>
      </c>
      <c r="N38" s="9" t="s">
        <v>33</v>
      </c>
      <c r="O38" s="9">
        <f t="shared" si="5"/>
        <v>3.0143999999999997</v>
      </c>
      <c r="P38" s="9">
        <f t="shared" si="6"/>
        <v>3.5167999999999999</v>
      </c>
      <c r="Q38" s="9">
        <f t="shared" si="7"/>
        <v>2.0096000000000003</v>
      </c>
      <c r="R38" s="9">
        <f t="shared" si="8"/>
        <v>1.5071999999999999</v>
      </c>
      <c r="S38" s="38">
        <v>10.048</v>
      </c>
      <c r="T38" s="252">
        <v>105991.94</v>
      </c>
      <c r="U38" s="194">
        <v>10650.0701312</v>
      </c>
      <c r="V38" s="9"/>
      <c r="W38" s="9"/>
      <c r="X38" s="9" t="s">
        <v>176</v>
      </c>
      <c r="Y38" s="321">
        <v>70793</v>
      </c>
      <c r="Z38" s="19" t="s">
        <v>755</v>
      </c>
      <c r="AA38" s="15" t="s">
        <v>766</v>
      </c>
      <c r="AB38" s="16">
        <v>34</v>
      </c>
      <c r="AC38" s="141"/>
      <c r="AD38" s="163"/>
      <c r="AE38" s="163"/>
      <c r="AF38" s="164"/>
      <c r="AG38" s="169">
        <f t="shared" si="4"/>
        <v>3.0143999999999997E-2</v>
      </c>
      <c r="AH38" s="163"/>
      <c r="AI38" s="163"/>
      <c r="AJ38" s="164"/>
      <c r="AK38" s="141"/>
      <c r="AL38" s="265"/>
      <c r="AM38" s="265"/>
      <c r="AN38" s="127"/>
      <c r="AO38" s="126"/>
      <c r="AP38" s="72"/>
      <c r="AQ38" s="72"/>
      <c r="AR38" s="127"/>
      <c r="AS38" s="256" t="s">
        <v>757</v>
      </c>
      <c r="AT38" s="87"/>
    </row>
    <row r="39" spans="1:46" hidden="1" x14ac:dyDescent="0.25">
      <c r="A39" s="9">
        <v>36</v>
      </c>
      <c r="B39" s="9" t="s">
        <v>28</v>
      </c>
      <c r="C39" s="9" t="s">
        <v>753</v>
      </c>
      <c r="D39" s="9" t="s">
        <v>754</v>
      </c>
      <c r="E39" s="9"/>
      <c r="F39" s="15" t="s">
        <v>770</v>
      </c>
      <c r="G39" s="9"/>
      <c r="H39" s="9" t="s">
        <v>31</v>
      </c>
      <c r="I39" s="9"/>
      <c r="J39" s="9"/>
      <c r="K39" s="9">
        <v>2.8999999999999998E-3</v>
      </c>
      <c r="L39" s="9">
        <v>9.2799999999999994E-2</v>
      </c>
      <c r="M39" s="9" t="s">
        <v>778</v>
      </c>
      <c r="N39" s="9" t="s">
        <v>33</v>
      </c>
      <c r="O39" s="9">
        <f t="shared" si="5"/>
        <v>2.7839999999999998</v>
      </c>
      <c r="P39" s="9">
        <f t="shared" si="6"/>
        <v>3.2479999999999998</v>
      </c>
      <c r="Q39" s="9">
        <f t="shared" si="7"/>
        <v>1.8559999999999999</v>
      </c>
      <c r="R39" s="9">
        <f t="shared" si="8"/>
        <v>1.3919999999999999</v>
      </c>
      <c r="S39" s="38">
        <v>9.2799999999999994</v>
      </c>
      <c r="T39" s="252">
        <v>105991.94</v>
      </c>
      <c r="U39" s="194">
        <v>9836.0520319999996</v>
      </c>
      <c r="V39" s="9"/>
      <c r="W39" s="9"/>
      <c r="X39" s="9" t="s">
        <v>771</v>
      </c>
      <c r="Y39" s="321">
        <v>70793</v>
      </c>
      <c r="Z39" s="19" t="s">
        <v>755</v>
      </c>
      <c r="AA39" s="15" t="s">
        <v>770</v>
      </c>
      <c r="AB39" s="16">
        <v>35</v>
      </c>
      <c r="AC39" s="141"/>
      <c r="AD39" s="163"/>
      <c r="AE39" s="163"/>
      <c r="AF39" s="164"/>
      <c r="AG39" s="169">
        <f t="shared" si="4"/>
        <v>2.7839999999999997E-2</v>
      </c>
      <c r="AH39" s="163"/>
      <c r="AI39" s="163"/>
      <c r="AJ39" s="164"/>
      <c r="AK39" s="141"/>
      <c r="AL39" s="265"/>
      <c r="AM39" s="265"/>
      <c r="AN39" s="127"/>
      <c r="AO39" s="126"/>
      <c r="AP39" s="72"/>
      <c r="AQ39" s="72"/>
      <c r="AR39" s="127"/>
      <c r="AS39" s="256" t="s">
        <v>757</v>
      </c>
      <c r="AT39" s="87"/>
    </row>
    <row r="40" spans="1:46" hidden="1" x14ac:dyDescent="0.25">
      <c r="A40" s="9">
        <v>37</v>
      </c>
      <c r="B40" s="9" t="s">
        <v>28</v>
      </c>
      <c r="C40" s="9" t="s">
        <v>753</v>
      </c>
      <c r="D40" s="9" t="s">
        <v>754</v>
      </c>
      <c r="E40" s="9"/>
      <c r="F40" s="15" t="s">
        <v>772</v>
      </c>
      <c r="G40" s="9"/>
      <c r="H40" s="9" t="s">
        <v>31</v>
      </c>
      <c r="I40" s="9"/>
      <c r="J40" s="9"/>
      <c r="K40" s="9">
        <v>3.7000000000000002E-3</v>
      </c>
      <c r="L40" s="9">
        <v>0.11840000000000001</v>
      </c>
      <c r="M40" s="9" t="s">
        <v>778</v>
      </c>
      <c r="N40" s="9" t="s">
        <v>33</v>
      </c>
      <c r="O40" s="9">
        <f t="shared" si="5"/>
        <v>3.552</v>
      </c>
      <c r="P40" s="9">
        <f t="shared" si="6"/>
        <v>4.1440000000000001</v>
      </c>
      <c r="Q40" s="9">
        <f t="shared" si="7"/>
        <v>2.3679999999999999</v>
      </c>
      <c r="R40" s="9">
        <f t="shared" si="8"/>
        <v>1.776</v>
      </c>
      <c r="S40" s="38">
        <v>11.84</v>
      </c>
      <c r="T40" s="252">
        <v>105991.94</v>
      </c>
      <c r="U40" s="194">
        <v>12549.445696000001</v>
      </c>
      <c r="V40" s="9"/>
      <c r="W40" s="9"/>
      <c r="X40" s="9" t="s">
        <v>773</v>
      </c>
      <c r="Y40" s="321">
        <v>70793</v>
      </c>
      <c r="Z40" s="19" t="s">
        <v>755</v>
      </c>
      <c r="AA40" s="15" t="s">
        <v>772</v>
      </c>
      <c r="AB40" s="16">
        <v>36</v>
      </c>
      <c r="AC40" s="141"/>
      <c r="AD40" s="163"/>
      <c r="AE40" s="163"/>
      <c r="AF40" s="164"/>
      <c r="AG40" s="169">
        <f t="shared" si="4"/>
        <v>3.5520000000000003E-2</v>
      </c>
      <c r="AH40" s="163"/>
      <c r="AI40" s="163"/>
      <c r="AJ40" s="164"/>
      <c r="AK40" s="141"/>
      <c r="AL40" s="265"/>
      <c r="AM40" s="265"/>
      <c r="AN40" s="127"/>
      <c r="AO40" s="126"/>
      <c r="AP40" s="72"/>
      <c r="AQ40" s="72"/>
      <c r="AR40" s="127"/>
      <c r="AS40" s="256" t="s">
        <v>757</v>
      </c>
      <c r="AT40" s="87"/>
    </row>
    <row r="41" spans="1:46" ht="30" hidden="1" x14ac:dyDescent="0.25">
      <c r="A41" s="9">
        <v>38</v>
      </c>
      <c r="B41" s="9" t="s">
        <v>28</v>
      </c>
      <c r="C41" s="9" t="s">
        <v>753</v>
      </c>
      <c r="D41" s="9" t="s">
        <v>754</v>
      </c>
      <c r="E41" s="9"/>
      <c r="F41" s="15" t="s">
        <v>800</v>
      </c>
      <c r="G41" s="9"/>
      <c r="H41" s="9" t="s">
        <v>31</v>
      </c>
      <c r="I41" s="9"/>
      <c r="J41" s="9"/>
      <c r="K41" s="9">
        <v>2.5999999999999998E-4</v>
      </c>
      <c r="L41" s="9">
        <v>4.1599999999999996E-3</v>
      </c>
      <c r="M41" s="9" t="s">
        <v>775</v>
      </c>
      <c r="N41" s="9" t="s">
        <v>33</v>
      </c>
      <c r="O41" s="9">
        <f t="shared" si="5"/>
        <v>0.12479999999999999</v>
      </c>
      <c r="P41" s="9">
        <f t="shared" si="6"/>
        <v>0.14559999999999998</v>
      </c>
      <c r="Q41" s="9">
        <f t="shared" si="7"/>
        <v>8.3199999999999996E-2</v>
      </c>
      <c r="R41" s="9">
        <f t="shared" si="8"/>
        <v>6.2399999999999997E-2</v>
      </c>
      <c r="S41" s="38">
        <v>0.41599999999999998</v>
      </c>
      <c r="T41" s="252">
        <v>105991.94</v>
      </c>
      <c r="U41" s="194">
        <v>440.92647039999997</v>
      </c>
      <c r="V41" s="9"/>
      <c r="W41" s="9"/>
      <c r="X41" s="9" t="s">
        <v>586</v>
      </c>
      <c r="Y41" s="321">
        <v>70793</v>
      </c>
      <c r="Z41" s="19" t="s">
        <v>755</v>
      </c>
      <c r="AA41" s="15" t="s">
        <v>800</v>
      </c>
      <c r="AB41" s="16">
        <v>37</v>
      </c>
      <c r="AC41" s="141"/>
      <c r="AD41" s="163"/>
      <c r="AE41" s="163"/>
      <c r="AF41" s="164"/>
      <c r="AG41" s="169">
        <f t="shared" si="4"/>
        <v>1.2479999999999998E-3</v>
      </c>
      <c r="AH41" s="163"/>
      <c r="AI41" s="163"/>
      <c r="AJ41" s="164"/>
      <c r="AK41" s="141"/>
      <c r="AL41" s="265"/>
      <c r="AM41" s="265"/>
      <c r="AN41" s="127"/>
      <c r="AO41" s="126"/>
      <c r="AP41" s="72"/>
      <c r="AQ41" s="72"/>
      <c r="AR41" s="127"/>
      <c r="AS41" s="256" t="s">
        <v>757</v>
      </c>
      <c r="AT41" s="87"/>
    </row>
    <row r="42" spans="1:46" ht="30" hidden="1" x14ac:dyDescent="0.25">
      <c r="A42" s="9">
        <v>39</v>
      </c>
      <c r="B42" s="9" t="s">
        <v>28</v>
      </c>
      <c r="C42" s="9" t="s">
        <v>753</v>
      </c>
      <c r="D42" s="9" t="s">
        <v>754</v>
      </c>
      <c r="E42" s="9"/>
      <c r="F42" s="15" t="s">
        <v>779</v>
      </c>
      <c r="G42" s="9"/>
      <c r="H42" s="9" t="s">
        <v>31</v>
      </c>
      <c r="I42" s="9"/>
      <c r="J42" s="9"/>
      <c r="K42" s="9">
        <v>1.0000000000000001E-5</v>
      </c>
      <c r="L42" s="9">
        <v>1.6000000000000001E-4</v>
      </c>
      <c r="M42" s="9" t="s">
        <v>775</v>
      </c>
      <c r="N42" s="9" t="s">
        <v>33</v>
      </c>
      <c r="O42" s="9">
        <f t="shared" si="5"/>
        <v>4.7999999999999996E-3</v>
      </c>
      <c r="P42" s="9">
        <f t="shared" si="6"/>
        <v>5.5999999999999999E-3</v>
      </c>
      <c r="Q42" s="9">
        <f t="shared" si="7"/>
        <v>3.2000000000000002E-3</v>
      </c>
      <c r="R42" s="9">
        <f t="shared" si="8"/>
        <v>2.3999999999999998E-3</v>
      </c>
      <c r="S42" s="38">
        <v>1.6E-2</v>
      </c>
      <c r="T42" s="252">
        <v>105991.94</v>
      </c>
      <c r="U42" s="194">
        <v>16.958710400000001</v>
      </c>
      <c r="V42" s="9"/>
      <c r="W42" s="9"/>
      <c r="X42" s="9" t="s">
        <v>780</v>
      </c>
      <c r="Y42" s="321">
        <v>70793</v>
      </c>
      <c r="Z42" s="19" t="s">
        <v>755</v>
      </c>
      <c r="AA42" s="15" t="s">
        <v>779</v>
      </c>
      <c r="AB42" s="16">
        <v>38</v>
      </c>
      <c r="AC42" s="141"/>
      <c r="AD42" s="163"/>
      <c r="AE42" s="163"/>
      <c r="AF42" s="164"/>
      <c r="AG42" s="169">
        <f t="shared" si="4"/>
        <v>4.8000000000000001E-5</v>
      </c>
      <c r="AH42" s="163"/>
      <c r="AI42" s="163"/>
      <c r="AJ42" s="164"/>
      <c r="AK42" s="141"/>
      <c r="AL42" s="265"/>
      <c r="AM42" s="265"/>
      <c r="AN42" s="127"/>
      <c r="AO42" s="126"/>
      <c r="AP42" s="72"/>
      <c r="AQ42" s="72"/>
      <c r="AR42" s="127"/>
      <c r="AS42" s="256" t="s">
        <v>757</v>
      </c>
      <c r="AT42" s="87"/>
    </row>
    <row r="43" spans="1:46" ht="45" hidden="1" x14ac:dyDescent="0.25">
      <c r="A43" s="9">
        <v>40</v>
      </c>
      <c r="B43" s="9" t="s">
        <v>28</v>
      </c>
      <c r="C43" s="9" t="s">
        <v>753</v>
      </c>
      <c r="D43" s="9" t="s">
        <v>754</v>
      </c>
      <c r="E43" s="9"/>
      <c r="F43" s="15" t="s">
        <v>808</v>
      </c>
      <c r="G43" s="9"/>
      <c r="H43" s="9" t="s">
        <v>31</v>
      </c>
      <c r="I43" s="9"/>
      <c r="J43" s="9"/>
      <c r="K43" s="9">
        <v>1E-4</v>
      </c>
      <c r="L43" s="9">
        <v>1.5600000000000001E-2</v>
      </c>
      <c r="M43" s="9" t="s">
        <v>809</v>
      </c>
      <c r="N43" s="9" t="s">
        <v>33</v>
      </c>
      <c r="O43" s="9">
        <f t="shared" si="5"/>
        <v>0.46799999999999997</v>
      </c>
      <c r="P43" s="9">
        <f t="shared" si="6"/>
        <v>0.54599999999999993</v>
      </c>
      <c r="Q43" s="9">
        <f t="shared" si="7"/>
        <v>0.31200000000000006</v>
      </c>
      <c r="R43" s="9">
        <f t="shared" si="8"/>
        <v>0.23399999999999999</v>
      </c>
      <c r="S43" s="38">
        <v>1.56</v>
      </c>
      <c r="T43" s="252">
        <v>105991.94</v>
      </c>
      <c r="U43" s="194">
        <v>1653.4742640000002</v>
      </c>
      <c r="V43" s="9"/>
      <c r="W43" s="9"/>
      <c r="X43" s="9" t="s">
        <v>810</v>
      </c>
      <c r="Y43" s="321">
        <v>70793</v>
      </c>
      <c r="Z43" s="19" t="s">
        <v>755</v>
      </c>
      <c r="AA43" s="15" t="s">
        <v>808</v>
      </c>
      <c r="AB43" s="16">
        <v>39</v>
      </c>
      <c r="AC43" s="141"/>
      <c r="AD43" s="163"/>
      <c r="AE43" s="163"/>
      <c r="AF43" s="164"/>
      <c r="AG43" s="169">
        <f t="shared" si="4"/>
        <v>4.6800000000000001E-3</v>
      </c>
      <c r="AH43" s="163"/>
      <c r="AI43" s="163"/>
      <c r="AJ43" s="164"/>
      <c r="AK43" s="141"/>
      <c r="AL43" s="265"/>
      <c r="AM43" s="265"/>
      <c r="AN43" s="127"/>
      <c r="AO43" s="126"/>
      <c r="AP43" s="72"/>
      <c r="AQ43" s="72"/>
      <c r="AR43" s="127"/>
      <c r="AS43" s="256" t="s">
        <v>757</v>
      </c>
      <c r="AT43" s="87"/>
    </row>
    <row r="44" spans="1:46" ht="30" hidden="1" x14ac:dyDescent="0.25">
      <c r="A44" s="9">
        <v>41</v>
      </c>
      <c r="B44" s="9" t="s">
        <v>28</v>
      </c>
      <c r="C44" s="9" t="s">
        <v>753</v>
      </c>
      <c r="D44" s="9" t="s">
        <v>754</v>
      </c>
      <c r="E44" s="9"/>
      <c r="F44" s="15" t="s">
        <v>811</v>
      </c>
      <c r="G44" s="9"/>
      <c r="H44" s="9" t="s">
        <v>31</v>
      </c>
      <c r="I44" s="9"/>
      <c r="J44" s="9"/>
      <c r="K44" s="9">
        <v>4.8300000000000001E-3</v>
      </c>
      <c r="L44" s="9">
        <v>4.8300000000000001E-3</v>
      </c>
      <c r="M44" s="9" t="s">
        <v>812</v>
      </c>
      <c r="N44" s="9" t="s">
        <v>33</v>
      </c>
      <c r="O44" s="9">
        <f t="shared" si="5"/>
        <v>0.1449</v>
      </c>
      <c r="P44" s="9">
        <f t="shared" si="6"/>
        <v>0.16904999999999998</v>
      </c>
      <c r="Q44" s="9">
        <f t="shared" si="7"/>
        <v>9.6600000000000005E-2</v>
      </c>
      <c r="R44" s="9">
        <f t="shared" si="8"/>
        <v>7.2450000000000001E-2</v>
      </c>
      <c r="S44" s="38">
        <v>0.48299999999999998</v>
      </c>
      <c r="T44" s="252">
        <v>105991.94</v>
      </c>
      <c r="U44" s="194">
        <v>511.94107020000001</v>
      </c>
      <c r="V44" s="9"/>
      <c r="W44" s="9"/>
      <c r="X44" s="9" t="s">
        <v>813</v>
      </c>
      <c r="Y44" s="321">
        <v>70793</v>
      </c>
      <c r="Z44" s="19" t="s">
        <v>755</v>
      </c>
      <c r="AA44" s="15" t="s">
        <v>811</v>
      </c>
      <c r="AB44" s="16">
        <v>40</v>
      </c>
      <c r="AC44" s="141"/>
      <c r="AD44" s="163"/>
      <c r="AE44" s="163"/>
      <c r="AF44" s="164"/>
      <c r="AG44" s="169">
        <f t="shared" si="4"/>
        <v>1.449E-3</v>
      </c>
      <c r="AH44" s="163"/>
      <c r="AI44" s="163"/>
      <c r="AJ44" s="164"/>
      <c r="AK44" s="141"/>
      <c r="AL44" s="265"/>
      <c r="AM44" s="265"/>
      <c r="AN44" s="127"/>
      <c r="AO44" s="126"/>
      <c r="AP44" s="72"/>
      <c r="AQ44" s="72"/>
      <c r="AR44" s="127"/>
      <c r="AS44" s="256" t="s">
        <v>757</v>
      </c>
      <c r="AT44" s="87"/>
    </row>
    <row r="45" spans="1:46" ht="30" hidden="1" x14ac:dyDescent="0.25">
      <c r="A45" s="9">
        <v>42</v>
      </c>
      <c r="B45" s="9" t="s">
        <v>28</v>
      </c>
      <c r="C45" s="9" t="s">
        <v>753</v>
      </c>
      <c r="D45" s="9" t="s">
        <v>754</v>
      </c>
      <c r="E45" s="9"/>
      <c r="F45" s="15" t="s">
        <v>811</v>
      </c>
      <c r="G45" s="9"/>
      <c r="H45" s="9" t="s">
        <v>31</v>
      </c>
      <c r="I45" s="9"/>
      <c r="J45" s="9"/>
      <c r="K45" s="9">
        <v>4.8500000000000001E-3</v>
      </c>
      <c r="L45" s="9">
        <v>4.8500000000000001E-3</v>
      </c>
      <c r="M45" s="9" t="s">
        <v>812</v>
      </c>
      <c r="N45" s="9" t="s">
        <v>33</v>
      </c>
      <c r="O45" s="9">
        <f t="shared" si="5"/>
        <v>0.14549999999999999</v>
      </c>
      <c r="P45" s="9">
        <f t="shared" si="6"/>
        <v>0.16974999999999998</v>
      </c>
      <c r="Q45" s="9">
        <f t="shared" si="7"/>
        <v>9.7000000000000003E-2</v>
      </c>
      <c r="R45" s="9">
        <f t="shared" si="8"/>
        <v>7.2749999999999995E-2</v>
      </c>
      <c r="S45" s="38">
        <v>0.48499999999999999</v>
      </c>
      <c r="T45" s="252">
        <v>105991.94</v>
      </c>
      <c r="U45" s="194">
        <v>514.06090900000004</v>
      </c>
      <c r="V45" s="9"/>
      <c r="W45" s="9"/>
      <c r="X45" s="9" t="s">
        <v>813</v>
      </c>
      <c r="Y45" s="321">
        <v>70793</v>
      </c>
      <c r="Z45" s="19" t="s">
        <v>755</v>
      </c>
      <c r="AA45" s="15" t="s">
        <v>811</v>
      </c>
      <c r="AB45" s="16">
        <v>41</v>
      </c>
      <c r="AC45" s="141"/>
      <c r="AD45" s="163"/>
      <c r="AE45" s="163"/>
      <c r="AF45" s="164"/>
      <c r="AG45" s="169">
        <f t="shared" si="4"/>
        <v>1.4549999999999999E-3</v>
      </c>
      <c r="AH45" s="163"/>
      <c r="AI45" s="163"/>
      <c r="AJ45" s="164"/>
      <c r="AK45" s="141"/>
      <c r="AL45" s="265"/>
      <c r="AM45" s="265"/>
      <c r="AN45" s="127"/>
      <c r="AO45" s="126"/>
      <c r="AP45" s="72"/>
      <c r="AQ45" s="72"/>
      <c r="AR45" s="127"/>
      <c r="AS45" s="256" t="s">
        <v>757</v>
      </c>
      <c r="AT45" s="87"/>
    </row>
    <row r="46" spans="1:46" ht="30" hidden="1" x14ac:dyDescent="0.25">
      <c r="A46" s="9">
        <v>43</v>
      </c>
      <c r="B46" s="9" t="s">
        <v>28</v>
      </c>
      <c r="C46" s="9" t="s">
        <v>753</v>
      </c>
      <c r="D46" s="9" t="s">
        <v>754</v>
      </c>
      <c r="E46" s="9"/>
      <c r="F46" s="15" t="s">
        <v>811</v>
      </c>
      <c r="G46" s="9"/>
      <c r="H46" s="9" t="s">
        <v>31</v>
      </c>
      <c r="I46" s="9"/>
      <c r="J46" s="9"/>
      <c r="K46" s="9">
        <v>4.8500000000000001E-3</v>
      </c>
      <c r="L46" s="9">
        <v>4.8500000000000001E-3</v>
      </c>
      <c r="M46" s="9" t="s">
        <v>812</v>
      </c>
      <c r="N46" s="9" t="s">
        <v>33</v>
      </c>
      <c r="O46" s="9">
        <f t="shared" si="5"/>
        <v>0.14549999999999999</v>
      </c>
      <c r="P46" s="9">
        <f t="shared" si="6"/>
        <v>0.16974999999999998</v>
      </c>
      <c r="Q46" s="9">
        <f t="shared" si="7"/>
        <v>9.7000000000000003E-2</v>
      </c>
      <c r="R46" s="9">
        <f t="shared" si="8"/>
        <v>7.2749999999999995E-2</v>
      </c>
      <c r="S46" s="38">
        <v>0.48499999999999999</v>
      </c>
      <c r="T46" s="252">
        <v>105991.94</v>
      </c>
      <c r="U46" s="194">
        <v>514.06090900000004</v>
      </c>
      <c r="V46" s="9"/>
      <c r="W46" s="9"/>
      <c r="X46" s="9" t="s">
        <v>813</v>
      </c>
      <c r="Y46" s="321">
        <v>70793</v>
      </c>
      <c r="Z46" s="19" t="s">
        <v>755</v>
      </c>
      <c r="AA46" s="15" t="s">
        <v>811</v>
      </c>
      <c r="AB46" s="16">
        <v>42</v>
      </c>
      <c r="AC46" s="141"/>
      <c r="AD46" s="163"/>
      <c r="AE46" s="163"/>
      <c r="AF46" s="164"/>
      <c r="AG46" s="169">
        <f t="shared" si="4"/>
        <v>1.4549999999999999E-3</v>
      </c>
      <c r="AH46" s="163"/>
      <c r="AI46" s="163"/>
      <c r="AJ46" s="164"/>
      <c r="AK46" s="141"/>
      <c r="AL46" s="265"/>
      <c r="AM46" s="265"/>
      <c r="AN46" s="127"/>
      <c r="AO46" s="126"/>
      <c r="AP46" s="72"/>
      <c r="AQ46" s="72"/>
      <c r="AR46" s="127"/>
      <c r="AS46" s="256" t="s">
        <v>757</v>
      </c>
      <c r="AT46" s="87"/>
    </row>
    <row r="47" spans="1:46" ht="30" hidden="1" x14ac:dyDescent="0.25">
      <c r="A47" s="9">
        <v>44</v>
      </c>
      <c r="B47" s="9" t="s">
        <v>28</v>
      </c>
      <c r="C47" s="9" t="s">
        <v>753</v>
      </c>
      <c r="D47" s="9" t="s">
        <v>754</v>
      </c>
      <c r="E47" s="9"/>
      <c r="F47" s="15" t="s">
        <v>811</v>
      </c>
      <c r="G47" s="9"/>
      <c r="H47" s="9" t="s">
        <v>31</v>
      </c>
      <c r="I47" s="9"/>
      <c r="J47" s="9"/>
      <c r="K47" s="9">
        <v>4.8500000000000001E-3</v>
      </c>
      <c r="L47" s="9">
        <v>4.8500000000000001E-3</v>
      </c>
      <c r="M47" s="9" t="s">
        <v>812</v>
      </c>
      <c r="N47" s="9" t="s">
        <v>33</v>
      </c>
      <c r="O47" s="9">
        <f t="shared" si="5"/>
        <v>0.14549999999999999</v>
      </c>
      <c r="P47" s="9">
        <f t="shared" si="6"/>
        <v>0.16974999999999998</v>
      </c>
      <c r="Q47" s="9">
        <f t="shared" si="7"/>
        <v>9.7000000000000003E-2</v>
      </c>
      <c r="R47" s="9">
        <f t="shared" si="8"/>
        <v>7.2749999999999995E-2</v>
      </c>
      <c r="S47" s="38">
        <v>0.48499999999999999</v>
      </c>
      <c r="T47" s="252">
        <v>105991.94</v>
      </c>
      <c r="U47" s="194">
        <v>514.06090900000004</v>
      </c>
      <c r="V47" s="9"/>
      <c r="W47" s="9"/>
      <c r="X47" s="9" t="s">
        <v>813</v>
      </c>
      <c r="Y47" s="321">
        <v>70793</v>
      </c>
      <c r="Z47" s="19" t="s">
        <v>755</v>
      </c>
      <c r="AA47" s="15" t="s">
        <v>811</v>
      </c>
      <c r="AB47" s="16">
        <v>43</v>
      </c>
      <c r="AC47" s="141"/>
      <c r="AD47" s="163"/>
      <c r="AE47" s="163"/>
      <c r="AF47" s="164"/>
      <c r="AG47" s="169">
        <f t="shared" si="4"/>
        <v>1.4549999999999999E-3</v>
      </c>
      <c r="AH47" s="163"/>
      <c r="AI47" s="163"/>
      <c r="AJ47" s="164"/>
      <c r="AK47" s="141"/>
      <c r="AL47" s="265"/>
      <c r="AM47" s="265"/>
      <c r="AN47" s="127"/>
      <c r="AO47" s="126"/>
      <c r="AP47" s="72"/>
      <c r="AQ47" s="72"/>
      <c r="AR47" s="127"/>
      <c r="AS47" s="256" t="s">
        <v>757</v>
      </c>
      <c r="AT47" s="87"/>
    </row>
    <row r="48" spans="1:46" ht="30" hidden="1" x14ac:dyDescent="0.25">
      <c r="A48" s="9">
        <v>45</v>
      </c>
      <c r="B48" s="9" t="s">
        <v>28</v>
      </c>
      <c r="C48" s="9" t="s">
        <v>753</v>
      </c>
      <c r="D48" s="9" t="s">
        <v>754</v>
      </c>
      <c r="E48" s="9"/>
      <c r="F48" s="15" t="s">
        <v>811</v>
      </c>
      <c r="G48" s="9"/>
      <c r="H48" s="9" t="s">
        <v>31</v>
      </c>
      <c r="I48" s="9"/>
      <c r="J48" s="9"/>
      <c r="K48" s="9">
        <v>4.8500000000000001E-3</v>
      </c>
      <c r="L48" s="9">
        <v>4.8500000000000001E-3</v>
      </c>
      <c r="M48" s="9" t="s">
        <v>812</v>
      </c>
      <c r="N48" s="9" t="s">
        <v>33</v>
      </c>
      <c r="O48" s="9">
        <f t="shared" si="5"/>
        <v>0.14549999999999999</v>
      </c>
      <c r="P48" s="9">
        <f t="shared" si="6"/>
        <v>0.16974999999999998</v>
      </c>
      <c r="Q48" s="9">
        <f t="shared" si="7"/>
        <v>9.7000000000000003E-2</v>
      </c>
      <c r="R48" s="9">
        <f t="shared" si="8"/>
        <v>7.2749999999999995E-2</v>
      </c>
      <c r="S48" s="38">
        <v>0.48499999999999999</v>
      </c>
      <c r="T48" s="252">
        <v>105991.94</v>
      </c>
      <c r="U48" s="194">
        <v>514.06090900000004</v>
      </c>
      <c r="V48" s="9"/>
      <c r="W48" s="9"/>
      <c r="X48" s="9" t="s">
        <v>813</v>
      </c>
      <c r="Y48" s="321">
        <v>70793</v>
      </c>
      <c r="Z48" s="19" t="s">
        <v>755</v>
      </c>
      <c r="AA48" s="15" t="s">
        <v>811</v>
      </c>
      <c r="AB48" s="16">
        <v>44</v>
      </c>
      <c r="AC48" s="141"/>
      <c r="AD48" s="163"/>
      <c r="AE48" s="163"/>
      <c r="AF48" s="164"/>
      <c r="AG48" s="169">
        <f t="shared" si="4"/>
        <v>1.4549999999999999E-3</v>
      </c>
      <c r="AH48" s="163"/>
      <c r="AI48" s="163"/>
      <c r="AJ48" s="164"/>
      <c r="AK48" s="141"/>
      <c r="AL48" s="265"/>
      <c r="AM48" s="265"/>
      <c r="AN48" s="127"/>
      <c r="AO48" s="126"/>
      <c r="AP48" s="72"/>
      <c r="AQ48" s="72"/>
      <c r="AR48" s="127"/>
      <c r="AS48" s="256" t="s">
        <v>757</v>
      </c>
      <c r="AT48" s="87"/>
    </row>
    <row r="49" spans="1:46" ht="30" hidden="1" x14ac:dyDescent="0.25">
      <c r="A49" s="9">
        <v>46</v>
      </c>
      <c r="B49" s="9" t="s">
        <v>28</v>
      </c>
      <c r="C49" s="9" t="s">
        <v>753</v>
      </c>
      <c r="D49" s="9" t="s">
        <v>754</v>
      </c>
      <c r="E49" s="9"/>
      <c r="F49" s="15" t="s">
        <v>811</v>
      </c>
      <c r="G49" s="9"/>
      <c r="H49" s="9" t="s">
        <v>31</v>
      </c>
      <c r="I49" s="9"/>
      <c r="J49" s="9"/>
      <c r="K49" s="9">
        <v>4.8500000000000001E-3</v>
      </c>
      <c r="L49" s="9">
        <v>4.8500000000000001E-3</v>
      </c>
      <c r="M49" s="9" t="s">
        <v>812</v>
      </c>
      <c r="N49" s="9" t="s">
        <v>33</v>
      </c>
      <c r="O49" s="9">
        <f t="shared" si="5"/>
        <v>0.14549999999999999</v>
      </c>
      <c r="P49" s="9">
        <f t="shared" si="6"/>
        <v>0.16974999999999998</v>
      </c>
      <c r="Q49" s="9">
        <f t="shared" si="7"/>
        <v>9.7000000000000003E-2</v>
      </c>
      <c r="R49" s="9">
        <f t="shared" si="8"/>
        <v>7.2749999999999995E-2</v>
      </c>
      <c r="S49" s="38">
        <v>0.48499999999999999</v>
      </c>
      <c r="T49" s="252">
        <v>105991.94</v>
      </c>
      <c r="U49" s="194">
        <v>514.06090900000004</v>
      </c>
      <c r="V49" s="9"/>
      <c r="W49" s="9"/>
      <c r="X49" s="9" t="s">
        <v>813</v>
      </c>
      <c r="Y49" s="321">
        <v>70793</v>
      </c>
      <c r="Z49" s="19" t="s">
        <v>755</v>
      </c>
      <c r="AA49" s="15" t="s">
        <v>811</v>
      </c>
      <c r="AB49" s="16">
        <v>45</v>
      </c>
      <c r="AC49" s="141"/>
      <c r="AD49" s="163"/>
      <c r="AE49" s="163"/>
      <c r="AF49" s="164"/>
      <c r="AG49" s="169">
        <f t="shared" si="4"/>
        <v>1.4549999999999999E-3</v>
      </c>
      <c r="AH49" s="163"/>
      <c r="AI49" s="163"/>
      <c r="AJ49" s="164"/>
      <c r="AK49" s="141"/>
      <c r="AL49" s="265"/>
      <c r="AM49" s="265"/>
      <c r="AN49" s="127"/>
      <c r="AO49" s="126"/>
      <c r="AP49" s="72"/>
      <c r="AQ49" s="72"/>
      <c r="AR49" s="127"/>
      <c r="AS49" s="256" t="s">
        <v>757</v>
      </c>
      <c r="AT49" s="87"/>
    </row>
    <row r="50" spans="1:46" ht="30" hidden="1" x14ac:dyDescent="0.25">
      <c r="A50" s="9">
        <v>47</v>
      </c>
      <c r="B50" s="9" t="s">
        <v>28</v>
      </c>
      <c r="C50" s="9" t="s">
        <v>753</v>
      </c>
      <c r="D50" s="9" t="s">
        <v>754</v>
      </c>
      <c r="E50" s="9"/>
      <c r="F50" s="15" t="s">
        <v>811</v>
      </c>
      <c r="G50" s="9"/>
      <c r="H50" s="9" t="s">
        <v>31</v>
      </c>
      <c r="I50" s="9"/>
      <c r="J50" s="9"/>
      <c r="K50" s="9">
        <v>4.8500000000000001E-3</v>
      </c>
      <c r="L50" s="9">
        <v>4.8500000000000001E-3</v>
      </c>
      <c r="M50" s="9" t="s">
        <v>812</v>
      </c>
      <c r="N50" s="9" t="s">
        <v>33</v>
      </c>
      <c r="O50" s="9">
        <f t="shared" si="5"/>
        <v>0.14549999999999999</v>
      </c>
      <c r="P50" s="9">
        <f t="shared" si="6"/>
        <v>0.16974999999999998</v>
      </c>
      <c r="Q50" s="9">
        <f t="shared" si="7"/>
        <v>9.7000000000000003E-2</v>
      </c>
      <c r="R50" s="9">
        <f t="shared" si="8"/>
        <v>7.2749999999999995E-2</v>
      </c>
      <c r="S50" s="38">
        <v>0.48499999999999999</v>
      </c>
      <c r="T50" s="252">
        <v>105991.94</v>
      </c>
      <c r="U50" s="194">
        <v>514.06090900000004</v>
      </c>
      <c r="V50" s="9"/>
      <c r="W50" s="9"/>
      <c r="X50" s="9" t="s">
        <v>813</v>
      </c>
      <c r="Y50" s="321">
        <v>70793</v>
      </c>
      <c r="Z50" s="19" t="s">
        <v>755</v>
      </c>
      <c r="AA50" s="15" t="s">
        <v>811</v>
      </c>
      <c r="AB50" s="16">
        <v>46</v>
      </c>
      <c r="AC50" s="141"/>
      <c r="AD50" s="163"/>
      <c r="AE50" s="163"/>
      <c r="AF50" s="164"/>
      <c r="AG50" s="169">
        <f t="shared" si="4"/>
        <v>1.4549999999999999E-3</v>
      </c>
      <c r="AH50" s="163"/>
      <c r="AI50" s="163"/>
      <c r="AJ50" s="164"/>
      <c r="AK50" s="141"/>
      <c r="AL50" s="265"/>
      <c r="AM50" s="265"/>
      <c r="AN50" s="127"/>
      <c r="AO50" s="126"/>
      <c r="AP50" s="72"/>
      <c r="AQ50" s="72"/>
      <c r="AR50" s="127"/>
      <c r="AS50" s="256" t="s">
        <v>757</v>
      </c>
      <c r="AT50" s="87"/>
    </row>
    <row r="51" spans="1:46" ht="30" hidden="1" x14ac:dyDescent="0.25">
      <c r="A51" s="9">
        <v>48</v>
      </c>
      <c r="B51" s="9" t="s">
        <v>28</v>
      </c>
      <c r="C51" s="9" t="s">
        <v>753</v>
      </c>
      <c r="D51" s="9" t="s">
        <v>754</v>
      </c>
      <c r="E51" s="9"/>
      <c r="F51" s="15" t="s">
        <v>774</v>
      </c>
      <c r="G51" s="9"/>
      <c r="H51" s="9" t="s">
        <v>31</v>
      </c>
      <c r="I51" s="9"/>
      <c r="J51" s="9"/>
      <c r="K51" s="9">
        <v>1.2E-4</v>
      </c>
      <c r="L51" s="9">
        <v>1.4400000000000001E-3</v>
      </c>
      <c r="M51" s="9" t="s">
        <v>801</v>
      </c>
      <c r="N51" s="9" t="s">
        <v>33</v>
      </c>
      <c r="O51" s="9">
        <f t="shared" si="5"/>
        <v>4.3200000000000002E-2</v>
      </c>
      <c r="P51" s="9">
        <f t="shared" si="6"/>
        <v>5.04E-2</v>
      </c>
      <c r="Q51" s="9">
        <f t="shared" si="7"/>
        <v>2.8800000000000006E-2</v>
      </c>
      <c r="R51" s="9">
        <f t="shared" si="8"/>
        <v>2.1600000000000001E-2</v>
      </c>
      <c r="S51" s="38">
        <v>0.14400000000000002</v>
      </c>
      <c r="T51" s="252">
        <v>105991.94</v>
      </c>
      <c r="U51" s="194">
        <v>152.62839360000001</v>
      </c>
      <c r="V51" s="9"/>
      <c r="W51" s="9"/>
      <c r="X51" s="9" t="s">
        <v>776</v>
      </c>
      <c r="Y51" s="321">
        <v>70793</v>
      </c>
      <c r="Z51" s="19" t="s">
        <v>755</v>
      </c>
      <c r="AA51" s="15" t="s">
        <v>774</v>
      </c>
      <c r="AB51" s="16">
        <v>47</v>
      </c>
      <c r="AC51" s="141"/>
      <c r="AD51" s="163"/>
      <c r="AE51" s="163"/>
      <c r="AF51" s="164"/>
      <c r="AG51" s="169">
        <f t="shared" si="4"/>
        <v>4.3200000000000004E-4</v>
      </c>
      <c r="AH51" s="163"/>
      <c r="AI51" s="163"/>
      <c r="AJ51" s="164"/>
      <c r="AK51" s="141"/>
      <c r="AL51" s="265"/>
      <c r="AM51" s="265"/>
      <c r="AN51" s="127"/>
      <c r="AO51" s="126"/>
      <c r="AP51" s="72"/>
      <c r="AQ51" s="72"/>
      <c r="AR51" s="127"/>
      <c r="AS51" s="256" t="s">
        <v>757</v>
      </c>
      <c r="AT51" s="87"/>
    </row>
    <row r="52" spans="1:46" ht="30" hidden="1" x14ac:dyDescent="0.25">
      <c r="A52" s="9">
        <v>49</v>
      </c>
      <c r="B52" s="9" t="s">
        <v>28</v>
      </c>
      <c r="C52" s="9" t="s">
        <v>753</v>
      </c>
      <c r="D52" s="9" t="s">
        <v>754</v>
      </c>
      <c r="E52" s="9"/>
      <c r="F52" s="15" t="s">
        <v>800</v>
      </c>
      <c r="G52" s="9"/>
      <c r="H52" s="9" t="s">
        <v>31</v>
      </c>
      <c r="I52" s="9"/>
      <c r="J52" s="9"/>
      <c r="K52" s="9">
        <v>2.5999999999999998E-4</v>
      </c>
      <c r="L52" s="9">
        <v>2.0799999999999999E-2</v>
      </c>
      <c r="M52" s="9" t="s">
        <v>799</v>
      </c>
      <c r="N52" s="9" t="s">
        <v>33</v>
      </c>
      <c r="O52" s="9">
        <f t="shared" si="5"/>
        <v>0.624</v>
      </c>
      <c r="P52" s="9">
        <f t="shared" si="6"/>
        <v>0.72799999999999998</v>
      </c>
      <c r="Q52" s="9">
        <f t="shared" si="7"/>
        <v>0.41600000000000004</v>
      </c>
      <c r="R52" s="9">
        <f t="shared" si="8"/>
        <v>0.312</v>
      </c>
      <c r="S52" s="38">
        <v>2.08</v>
      </c>
      <c r="T52" s="252">
        <v>105991.94</v>
      </c>
      <c r="U52" s="194">
        <v>2204.6323520000001</v>
      </c>
      <c r="V52" s="9"/>
      <c r="W52" s="9"/>
      <c r="X52" s="9" t="s">
        <v>586</v>
      </c>
      <c r="Y52" s="321">
        <v>70793</v>
      </c>
      <c r="Z52" s="19" t="s">
        <v>755</v>
      </c>
      <c r="AA52" s="15" t="s">
        <v>800</v>
      </c>
      <c r="AB52" s="16">
        <v>48</v>
      </c>
      <c r="AC52" s="141"/>
      <c r="AD52" s="163"/>
      <c r="AE52" s="163"/>
      <c r="AF52" s="164"/>
      <c r="AG52" s="169">
        <f t="shared" si="4"/>
        <v>6.2399999999999999E-3</v>
      </c>
      <c r="AH52" s="163"/>
      <c r="AI52" s="163"/>
      <c r="AJ52" s="164"/>
      <c r="AK52" s="141"/>
      <c r="AL52" s="265"/>
      <c r="AM52" s="265"/>
      <c r="AN52" s="127"/>
      <c r="AO52" s="126"/>
      <c r="AP52" s="72"/>
      <c r="AQ52" s="72"/>
      <c r="AR52" s="127"/>
      <c r="AS52" s="256" t="s">
        <v>757</v>
      </c>
      <c r="AT52" s="87"/>
    </row>
    <row r="53" spans="1:46" ht="30" hidden="1" x14ac:dyDescent="0.25">
      <c r="A53" s="9">
        <v>50</v>
      </c>
      <c r="B53" s="9" t="s">
        <v>28</v>
      </c>
      <c r="C53" s="9" t="s">
        <v>753</v>
      </c>
      <c r="D53" s="9" t="s">
        <v>754</v>
      </c>
      <c r="E53" s="9"/>
      <c r="F53" s="15" t="s">
        <v>800</v>
      </c>
      <c r="G53" s="9"/>
      <c r="H53" s="9" t="s">
        <v>31</v>
      </c>
      <c r="I53" s="9"/>
      <c r="J53" s="9"/>
      <c r="K53" s="9">
        <v>2.5999999999999998E-4</v>
      </c>
      <c r="L53" s="9">
        <v>1.5599999999999999E-2</v>
      </c>
      <c r="M53" s="9" t="s">
        <v>793</v>
      </c>
      <c r="N53" s="9" t="s">
        <v>33</v>
      </c>
      <c r="O53" s="9">
        <f t="shared" si="5"/>
        <v>0.46799999999999992</v>
      </c>
      <c r="P53" s="9">
        <f t="shared" si="6"/>
        <v>0.54599999999999993</v>
      </c>
      <c r="Q53" s="9">
        <f t="shared" si="7"/>
        <v>0.312</v>
      </c>
      <c r="R53" s="9">
        <f t="shared" si="8"/>
        <v>0.23399999999999996</v>
      </c>
      <c r="S53" s="38">
        <v>1.5599999999999998</v>
      </c>
      <c r="T53" s="252">
        <v>105991.94</v>
      </c>
      <c r="U53" s="194">
        <v>1653.4742639999999</v>
      </c>
      <c r="V53" s="9"/>
      <c r="W53" s="9"/>
      <c r="X53" s="9" t="s">
        <v>586</v>
      </c>
      <c r="Y53" s="321">
        <v>70793</v>
      </c>
      <c r="Z53" s="19" t="s">
        <v>755</v>
      </c>
      <c r="AA53" s="15" t="s">
        <v>800</v>
      </c>
      <c r="AB53" s="16">
        <v>49</v>
      </c>
      <c r="AC53" s="141"/>
      <c r="AD53" s="163"/>
      <c r="AE53" s="163"/>
      <c r="AF53" s="164"/>
      <c r="AG53" s="169">
        <f t="shared" si="4"/>
        <v>4.6799999999999993E-3</v>
      </c>
      <c r="AH53" s="163"/>
      <c r="AI53" s="163"/>
      <c r="AJ53" s="164"/>
      <c r="AK53" s="141"/>
      <c r="AL53" s="265"/>
      <c r="AM53" s="265"/>
      <c r="AN53" s="127"/>
      <c r="AO53" s="126"/>
      <c r="AP53" s="72"/>
      <c r="AQ53" s="72"/>
      <c r="AR53" s="127"/>
      <c r="AS53" s="256" t="s">
        <v>757</v>
      </c>
      <c r="AT53" s="87"/>
    </row>
    <row r="54" spans="1:46" ht="30" hidden="1" x14ac:dyDescent="0.25">
      <c r="A54" s="9">
        <v>51</v>
      </c>
      <c r="B54" s="9" t="s">
        <v>28</v>
      </c>
      <c r="C54" s="9" t="s">
        <v>753</v>
      </c>
      <c r="D54" s="9" t="s">
        <v>754</v>
      </c>
      <c r="E54" s="9"/>
      <c r="F54" s="15" t="s">
        <v>779</v>
      </c>
      <c r="G54" s="9"/>
      <c r="H54" s="9" t="s">
        <v>31</v>
      </c>
      <c r="I54" s="9"/>
      <c r="J54" s="9"/>
      <c r="K54" s="9">
        <v>1.0000000000000001E-5</v>
      </c>
      <c r="L54" s="9">
        <v>1.2000000000000002E-4</v>
      </c>
      <c r="M54" s="9" t="s">
        <v>801</v>
      </c>
      <c r="N54" s="9" t="s">
        <v>33</v>
      </c>
      <c r="O54" s="9">
        <f t="shared" si="5"/>
        <v>3.6000000000000003E-3</v>
      </c>
      <c r="P54" s="9">
        <f t="shared" si="6"/>
        <v>4.2000000000000006E-3</v>
      </c>
      <c r="Q54" s="9">
        <f t="shared" si="7"/>
        <v>2.4000000000000007E-3</v>
      </c>
      <c r="R54" s="9">
        <f t="shared" si="8"/>
        <v>1.8000000000000002E-3</v>
      </c>
      <c r="S54" s="38">
        <v>1.2000000000000002E-2</v>
      </c>
      <c r="T54" s="252">
        <v>105991.94</v>
      </c>
      <c r="U54" s="194">
        <v>12.719032800000003</v>
      </c>
      <c r="V54" s="9"/>
      <c r="W54" s="9"/>
      <c r="X54" s="9" t="s">
        <v>780</v>
      </c>
      <c r="Y54" s="321">
        <v>70793</v>
      </c>
      <c r="Z54" s="19" t="s">
        <v>755</v>
      </c>
      <c r="AA54" s="15" t="s">
        <v>779</v>
      </c>
      <c r="AB54" s="16">
        <v>50</v>
      </c>
      <c r="AC54" s="141"/>
      <c r="AD54" s="163"/>
      <c r="AE54" s="163"/>
      <c r="AF54" s="164"/>
      <c r="AG54" s="169">
        <f t="shared" si="4"/>
        <v>3.6000000000000001E-5</v>
      </c>
      <c r="AH54" s="163"/>
      <c r="AI54" s="163"/>
      <c r="AJ54" s="164"/>
      <c r="AK54" s="141"/>
      <c r="AL54" s="265"/>
      <c r="AM54" s="265"/>
      <c r="AN54" s="127"/>
      <c r="AO54" s="126"/>
      <c r="AP54" s="72"/>
      <c r="AQ54" s="72"/>
      <c r="AR54" s="127"/>
      <c r="AS54" s="256" t="s">
        <v>757</v>
      </c>
      <c r="AT54" s="87"/>
    </row>
    <row r="55" spans="1:46" ht="30" hidden="1" x14ac:dyDescent="0.25">
      <c r="A55" s="9">
        <v>52</v>
      </c>
      <c r="B55" s="9" t="s">
        <v>28</v>
      </c>
      <c r="C55" s="9" t="s">
        <v>753</v>
      </c>
      <c r="D55" s="9" t="s">
        <v>754</v>
      </c>
      <c r="E55" s="9"/>
      <c r="F55" s="15" t="s">
        <v>779</v>
      </c>
      <c r="G55" s="9"/>
      <c r="H55" s="9" t="s">
        <v>31</v>
      </c>
      <c r="I55" s="9"/>
      <c r="J55" s="9"/>
      <c r="K55" s="9">
        <v>1.0000000000000001E-5</v>
      </c>
      <c r="L55" s="9">
        <v>6.0000000000000006E-4</v>
      </c>
      <c r="M55" s="9" t="s">
        <v>793</v>
      </c>
      <c r="N55" s="9" t="s">
        <v>33</v>
      </c>
      <c r="O55" s="9">
        <f t="shared" si="5"/>
        <v>1.8000000000000002E-2</v>
      </c>
      <c r="P55" s="9">
        <f t="shared" si="6"/>
        <v>2.1000000000000001E-2</v>
      </c>
      <c r="Q55" s="9">
        <f t="shared" si="7"/>
        <v>1.2000000000000002E-2</v>
      </c>
      <c r="R55" s="9">
        <f t="shared" si="8"/>
        <v>9.0000000000000011E-3</v>
      </c>
      <c r="S55" s="38">
        <v>6.0000000000000005E-2</v>
      </c>
      <c r="T55" s="252">
        <v>105991.94</v>
      </c>
      <c r="U55" s="194">
        <v>63.595164000000004</v>
      </c>
      <c r="V55" s="9"/>
      <c r="W55" s="9"/>
      <c r="X55" s="9" t="s">
        <v>780</v>
      </c>
      <c r="Y55" s="321">
        <v>70793</v>
      </c>
      <c r="Z55" s="19" t="s">
        <v>755</v>
      </c>
      <c r="AA55" s="15" t="s">
        <v>779</v>
      </c>
      <c r="AB55" s="16">
        <v>51</v>
      </c>
      <c r="AC55" s="141"/>
      <c r="AD55" s="163"/>
      <c r="AE55" s="163"/>
      <c r="AF55" s="164"/>
      <c r="AG55" s="169">
        <f t="shared" si="4"/>
        <v>1.8000000000000001E-4</v>
      </c>
      <c r="AH55" s="163"/>
      <c r="AI55" s="163"/>
      <c r="AJ55" s="164"/>
      <c r="AK55" s="141"/>
      <c r="AL55" s="265"/>
      <c r="AM55" s="265"/>
      <c r="AN55" s="127"/>
      <c r="AO55" s="126"/>
      <c r="AP55" s="72"/>
      <c r="AQ55" s="72"/>
      <c r="AR55" s="127"/>
      <c r="AS55" s="256" t="s">
        <v>757</v>
      </c>
      <c r="AT55" s="87"/>
    </row>
    <row r="56" spans="1:46" ht="30" hidden="1" x14ac:dyDescent="0.25">
      <c r="A56" s="9">
        <v>53</v>
      </c>
      <c r="B56" s="9" t="s">
        <v>28</v>
      </c>
      <c r="C56" s="9" t="s">
        <v>753</v>
      </c>
      <c r="D56" s="9" t="s">
        <v>754</v>
      </c>
      <c r="E56" s="9"/>
      <c r="F56" s="15" t="s">
        <v>779</v>
      </c>
      <c r="G56" s="9"/>
      <c r="H56" s="9" t="s">
        <v>31</v>
      </c>
      <c r="I56" s="9"/>
      <c r="J56" s="9"/>
      <c r="K56" s="9">
        <v>1.0000000000000001E-5</v>
      </c>
      <c r="L56" s="9">
        <v>2.4000000000000003E-4</v>
      </c>
      <c r="M56" s="9" t="s">
        <v>767</v>
      </c>
      <c r="N56" s="9" t="s">
        <v>33</v>
      </c>
      <c r="O56" s="9">
        <f t="shared" si="5"/>
        <v>7.2000000000000007E-3</v>
      </c>
      <c r="P56" s="9">
        <f t="shared" si="6"/>
        <v>8.4000000000000012E-3</v>
      </c>
      <c r="Q56" s="9">
        <f t="shared" si="7"/>
        <v>4.8000000000000013E-3</v>
      </c>
      <c r="R56" s="9">
        <f t="shared" si="8"/>
        <v>3.6000000000000003E-3</v>
      </c>
      <c r="S56" s="38">
        <v>2.4000000000000004E-2</v>
      </c>
      <c r="T56" s="252">
        <v>105991.94</v>
      </c>
      <c r="U56" s="194">
        <v>25.438065600000005</v>
      </c>
      <c r="V56" s="9"/>
      <c r="W56" s="9"/>
      <c r="X56" s="9" t="s">
        <v>780</v>
      </c>
      <c r="Y56" s="321">
        <v>70793</v>
      </c>
      <c r="Z56" s="19" t="s">
        <v>755</v>
      </c>
      <c r="AA56" s="15" t="s">
        <v>779</v>
      </c>
      <c r="AB56" s="16">
        <v>52</v>
      </c>
      <c r="AC56" s="141"/>
      <c r="AD56" s="163"/>
      <c r="AE56" s="163"/>
      <c r="AF56" s="164"/>
      <c r="AG56" s="169">
        <f t="shared" si="4"/>
        <v>7.2000000000000002E-5</v>
      </c>
      <c r="AH56" s="163"/>
      <c r="AI56" s="163"/>
      <c r="AJ56" s="164"/>
      <c r="AK56" s="141"/>
      <c r="AL56" s="265"/>
      <c r="AM56" s="265"/>
      <c r="AN56" s="127"/>
      <c r="AO56" s="126"/>
      <c r="AP56" s="72"/>
      <c r="AQ56" s="72"/>
      <c r="AR56" s="127"/>
      <c r="AS56" s="256" t="s">
        <v>757</v>
      </c>
      <c r="AT56" s="87"/>
    </row>
    <row r="57" spans="1:46" hidden="1" x14ac:dyDescent="0.25">
      <c r="A57" s="9">
        <v>54</v>
      </c>
      <c r="B57" s="9" t="s">
        <v>28</v>
      </c>
      <c r="C57" s="9" t="s">
        <v>753</v>
      </c>
      <c r="D57" s="9" t="s">
        <v>754</v>
      </c>
      <c r="E57" s="9"/>
      <c r="F57" s="15" t="s">
        <v>814</v>
      </c>
      <c r="G57" s="9"/>
      <c r="H57" s="9" t="s">
        <v>31</v>
      </c>
      <c r="I57" s="9"/>
      <c r="J57" s="9"/>
      <c r="K57" s="9">
        <v>7.0000000000000001E-3</v>
      </c>
      <c r="L57" s="9">
        <v>7.0000000000000001E-3</v>
      </c>
      <c r="M57" s="9" t="s">
        <v>812</v>
      </c>
      <c r="N57" s="9" t="s">
        <v>33</v>
      </c>
      <c r="O57" s="9">
        <f t="shared" si="5"/>
        <v>0.21000000000000002</v>
      </c>
      <c r="P57" s="9">
        <f t="shared" si="6"/>
        <v>0.245</v>
      </c>
      <c r="Q57" s="9">
        <f t="shared" si="7"/>
        <v>0.14000000000000001</v>
      </c>
      <c r="R57" s="9">
        <f t="shared" si="8"/>
        <v>0.10500000000000001</v>
      </c>
      <c r="S57" s="38">
        <v>0.70000000000000007</v>
      </c>
      <c r="T57" s="252">
        <v>105991.94</v>
      </c>
      <c r="U57" s="194">
        <v>741.94358</v>
      </c>
      <c r="V57" s="9"/>
      <c r="W57" s="9"/>
      <c r="X57" s="9" t="s">
        <v>815</v>
      </c>
      <c r="Y57" s="321">
        <v>70793</v>
      </c>
      <c r="Z57" s="19" t="s">
        <v>755</v>
      </c>
      <c r="AA57" s="15" t="s">
        <v>814</v>
      </c>
      <c r="AB57" s="16">
        <v>53</v>
      </c>
      <c r="AC57" s="141"/>
      <c r="AD57" s="163"/>
      <c r="AE57" s="163"/>
      <c r="AF57" s="164"/>
      <c r="AG57" s="169">
        <f t="shared" si="4"/>
        <v>2.0999999999999999E-3</v>
      </c>
      <c r="AH57" s="163"/>
      <c r="AI57" s="163"/>
      <c r="AJ57" s="164"/>
      <c r="AK57" s="141"/>
      <c r="AL57" s="265"/>
      <c r="AM57" s="265"/>
      <c r="AN57" s="127"/>
      <c r="AO57" s="126"/>
      <c r="AP57" s="72"/>
      <c r="AQ57" s="72"/>
      <c r="AR57" s="127"/>
      <c r="AS57" s="256" t="s">
        <v>757</v>
      </c>
      <c r="AT57" s="87"/>
    </row>
    <row r="58" spans="1:46" hidden="1" x14ac:dyDescent="0.25">
      <c r="A58" s="9">
        <v>55</v>
      </c>
      <c r="B58" s="9" t="s">
        <v>28</v>
      </c>
      <c r="C58" s="9" t="s">
        <v>753</v>
      </c>
      <c r="D58" s="9" t="s">
        <v>754</v>
      </c>
      <c r="E58" s="9"/>
      <c r="F58" s="15" t="s">
        <v>814</v>
      </c>
      <c r="G58" s="9"/>
      <c r="H58" s="9" t="s">
        <v>31</v>
      </c>
      <c r="I58" s="9"/>
      <c r="J58" s="9"/>
      <c r="K58" s="9">
        <v>7.0000000000000001E-3</v>
      </c>
      <c r="L58" s="9">
        <v>7.0000000000000001E-3</v>
      </c>
      <c r="M58" s="9" t="s">
        <v>812</v>
      </c>
      <c r="N58" s="9" t="s">
        <v>33</v>
      </c>
      <c r="O58" s="9">
        <f t="shared" si="5"/>
        <v>0.21000000000000002</v>
      </c>
      <c r="P58" s="9">
        <f t="shared" si="6"/>
        <v>0.245</v>
      </c>
      <c r="Q58" s="9">
        <f t="shared" si="7"/>
        <v>0.14000000000000001</v>
      </c>
      <c r="R58" s="9">
        <f t="shared" si="8"/>
        <v>0.10500000000000001</v>
      </c>
      <c r="S58" s="38">
        <v>0.70000000000000007</v>
      </c>
      <c r="T58" s="252">
        <v>105991.94</v>
      </c>
      <c r="U58" s="194">
        <v>741.94358</v>
      </c>
      <c r="V58" s="9"/>
      <c r="W58" s="9"/>
      <c r="X58" s="9" t="s">
        <v>815</v>
      </c>
      <c r="Y58" s="321">
        <v>70793</v>
      </c>
      <c r="Z58" s="19" t="s">
        <v>755</v>
      </c>
      <c r="AA58" s="15" t="s">
        <v>814</v>
      </c>
      <c r="AB58" s="16">
        <v>54</v>
      </c>
      <c r="AC58" s="141"/>
      <c r="AD58" s="163"/>
      <c r="AE58" s="163"/>
      <c r="AF58" s="164"/>
      <c r="AG58" s="169">
        <f t="shared" si="4"/>
        <v>2.0999999999999999E-3</v>
      </c>
      <c r="AH58" s="163"/>
      <c r="AI58" s="163"/>
      <c r="AJ58" s="164"/>
      <c r="AK58" s="141"/>
      <c r="AL58" s="265"/>
      <c r="AM58" s="265"/>
      <c r="AN58" s="127"/>
      <c r="AO58" s="126"/>
      <c r="AP58" s="72"/>
      <c r="AQ58" s="72"/>
      <c r="AR58" s="127"/>
      <c r="AS58" s="256" t="s">
        <v>757</v>
      </c>
      <c r="AT58" s="87"/>
    </row>
    <row r="59" spans="1:46" hidden="1" x14ac:dyDescent="0.25">
      <c r="A59" s="9">
        <v>56</v>
      </c>
      <c r="B59" s="9" t="s">
        <v>28</v>
      </c>
      <c r="C59" s="9" t="s">
        <v>753</v>
      </c>
      <c r="D59" s="9" t="s">
        <v>754</v>
      </c>
      <c r="E59" s="9"/>
      <c r="F59" s="15" t="s">
        <v>814</v>
      </c>
      <c r="G59" s="9"/>
      <c r="H59" s="9" t="s">
        <v>31</v>
      </c>
      <c r="I59" s="9"/>
      <c r="J59" s="9"/>
      <c r="K59" s="9">
        <v>7.0000000000000001E-3</v>
      </c>
      <c r="L59" s="9">
        <v>7.0000000000000001E-3</v>
      </c>
      <c r="M59" s="9" t="s">
        <v>812</v>
      </c>
      <c r="N59" s="9" t="s">
        <v>33</v>
      </c>
      <c r="O59" s="9">
        <f t="shared" si="5"/>
        <v>0.21000000000000002</v>
      </c>
      <c r="P59" s="9">
        <f t="shared" si="6"/>
        <v>0.245</v>
      </c>
      <c r="Q59" s="9">
        <f t="shared" si="7"/>
        <v>0.14000000000000001</v>
      </c>
      <c r="R59" s="9">
        <f t="shared" si="8"/>
        <v>0.10500000000000001</v>
      </c>
      <c r="S59" s="38">
        <v>0.70000000000000007</v>
      </c>
      <c r="T59" s="252">
        <v>105991.94</v>
      </c>
      <c r="U59" s="194">
        <v>741.94358</v>
      </c>
      <c r="V59" s="9"/>
      <c r="W59" s="9"/>
      <c r="X59" s="9" t="s">
        <v>815</v>
      </c>
      <c r="Y59" s="321">
        <v>70793</v>
      </c>
      <c r="Z59" s="19" t="s">
        <v>755</v>
      </c>
      <c r="AA59" s="15" t="s">
        <v>814</v>
      </c>
      <c r="AB59" s="16">
        <v>55</v>
      </c>
      <c r="AC59" s="141"/>
      <c r="AD59" s="163"/>
      <c r="AE59" s="163"/>
      <c r="AF59" s="164"/>
      <c r="AG59" s="169">
        <f t="shared" si="4"/>
        <v>2.0999999999999999E-3</v>
      </c>
      <c r="AH59" s="163"/>
      <c r="AI59" s="163"/>
      <c r="AJ59" s="164"/>
      <c r="AK59" s="141"/>
      <c r="AL59" s="265"/>
      <c r="AM59" s="265"/>
      <c r="AN59" s="127"/>
      <c r="AO59" s="126"/>
      <c r="AP59" s="72"/>
      <c r="AQ59" s="72"/>
      <c r="AR59" s="127"/>
      <c r="AS59" s="256" t="s">
        <v>757</v>
      </c>
      <c r="AT59" s="87"/>
    </row>
    <row r="60" spans="1:46" hidden="1" x14ac:dyDescent="0.25">
      <c r="A60" s="9">
        <v>57</v>
      </c>
      <c r="B60" s="9" t="s">
        <v>28</v>
      </c>
      <c r="C60" s="9" t="s">
        <v>753</v>
      </c>
      <c r="D60" s="9" t="s">
        <v>754</v>
      </c>
      <c r="E60" s="9"/>
      <c r="F60" s="15" t="s">
        <v>814</v>
      </c>
      <c r="G60" s="9"/>
      <c r="H60" s="9" t="s">
        <v>31</v>
      </c>
      <c r="I60" s="9"/>
      <c r="J60" s="9"/>
      <c r="K60" s="9">
        <v>7.0000000000000001E-3</v>
      </c>
      <c r="L60" s="9">
        <v>7.0000000000000001E-3</v>
      </c>
      <c r="M60" s="9" t="s">
        <v>812</v>
      </c>
      <c r="N60" s="9" t="s">
        <v>33</v>
      </c>
      <c r="O60" s="9">
        <f t="shared" si="5"/>
        <v>0.21000000000000002</v>
      </c>
      <c r="P60" s="9">
        <f t="shared" si="6"/>
        <v>0.245</v>
      </c>
      <c r="Q60" s="9">
        <f t="shared" si="7"/>
        <v>0.14000000000000001</v>
      </c>
      <c r="R60" s="9">
        <f t="shared" si="8"/>
        <v>0.10500000000000001</v>
      </c>
      <c r="S60" s="38">
        <v>0.70000000000000007</v>
      </c>
      <c r="T60" s="252">
        <v>105991.94</v>
      </c>
      <c r="U60" s="194">
        <v>741.94358</v>
      </c>
      <c r="V60" s="9"/>
      <c r="W60" s="9"/>
      <c r="X60" s="9" t="s">
        <v>815</v>
      </c>
      <c r="Y60" s="321">
        <v>70793</v>
      </c>
      <c r="Z60" s="19" t="s">
        <v>755</v>
      </c>
      <c r="AA60" s="15" t="s">
        <v>814</v>
      </c>
      <c r="AB60" s="16">
        <v>56</v>
      </c>
      <c r="AC60" s="141"/>
      <c r="AD60" s="163"/>
      <c r="AE60" s="163"/>
      <c r="AF60" s="164"/>
      <c r="AG60" s="169">
        <f t="shared" si="4"/>
        <v>2.0999999999999999E-3</v>
      </c>
      <c r="AH60" s="163"/>
      <c r="AI60" s="163"/>
      <c r="AJ60" s="164"/>
      <c r="AK60" s="141"/>
      <c r="AL60" s="265"/>
      <c r="AM60" s="265"/>
      <c r="AN60" s="127"/>
      <c r="AO60" s="126"/>
      <c r="AP60" s="72"/>
      <c r="AQ60" s="72"/>
      <c r="AR60" s="127"/>
      <c r="AS60" s="256" t="s">
        <v>757</v>
      </c>
      <c r="AT60" s="87"/>
    </row>
    <row r="61" spans="1:46" hidden="1" x14ac:dyDescent="0.25">
      <c r="A61" s="9">
        <v>58</v>
      </c>
      <c r="B61" s="9" t="s">
        <v>28</v>
      </c>
      <c r="C61" s="9" t="s">
        <v>753</v>
      </c>
      <c r="D61" s="9" t="s">
        <v>754</v>
      </c>
      <c r="E61" s="9"/>
      <c r="F61" s="15" t="s">
        <v>814</v>
      </c>
      <c r="G61" s="9"/>
      <c r="H61" s="9" t="s">
        <v>31</v>
      </c>
      <c r="I61" s="9"/>
      <c r="J61" s="9"/>
      <c r="K61" s="9">
        <v>7.0000000000000001E-3</v>
      </c>
      <c r="L61" s="9">
        <v>7.0000000000000001E-3</v>
      </c>
      <c r="M61" s="9" t="s">
        <v>812</v>
      </c>
      <c r="N61" s="9" t="s">
        <v>33</v>
      </c>
      <c r="O61" s="9">
        <f t="shared" si="5"/>
        <v>0.21000000000000002</v>
      </c>
      <c r="P61" s="9">
        <f t="shared" si="6"/>
        <v>0.245</v>
      </c>
      <c r="Q61" s="9">
        <f t="shared" si="7"/>
        <v>0.14000000000000001</v>
      </c>
      <c r="R61" s="9">
        <f t="shared" si="8"/>
        <v>0.10500000000000001</v>
      </c>
      <c r="S61" s="38">
        <v>0.70000000000000007</v>
      </c>
      <c r="T61" s="252">
        <v>105991.94</v>
      </c>
      <c r="U61" s="194">
        <v>741.94358</v>
      </c>
      <c r="V61" s="9"/>
      <c r="W61" s="9"/>
      <c r="X61" s="9" t="s">
        <v>815</v>
      </c>
      <c r="Y61" s="321">
        <v>70793</v>
      </c>
      <c r="Z61" s="19" t="s">
        <v>755</v>
      </c>
      <c r="AA61" s="15" t="s">
        <v>814</v>
      </c>
      <c r="AB61" s="16">
        <v>57</v>
      </c>
      <c r="AC61" s="141"/>
      <c r="AD61" s="163"/>
      <c r="AE61" s="163"/>
      <c r="AF61" s="164"/>
      <c r="AG61" s="169">
        <f t="shared" si="4"/>
        <v>2.0999999999999999E-3</v>
      </c>
      <c r="AH61" s="163"/>
      <c r="AI61" s="163"/>
      <c r="AJ61" s="164"/>
      <c r="AK61" s="141"/>
      <c r="AL61" s="265"/>
      <c r="AM61" s="265"/>
      <c r="AN61" s="127"/>
      <c r="AO61" s="126"/>
      <c r="AP61" s="72"/>
      <c r="AQ61" s="72"/>
      <c r="AR61" s="127"/>
      <c r="AS61" s="256" t="s">
        <v>757</v>
      </c>
      <c r="AT61" s="87"/>
    </row>
    <row r="62" spans="1:46" hidden="1" x14ac:dyDescent="0.25">
      <c r="A62" s="9">
        <v>59</v>
      </c>
      <c r="B62" s="9" t="s">
        <v>28</v>
      </c>
      <c r="C62" s="9" t="s">
        <v>753</v>
      </c>
      <c r="D62" s="9" t="s">
        <v>754</v>
      </c>
      <c r="E62" s="9"/>
      <c r="F62" s="15" t="s">
        <v>814</v>
      </c>
      <c r="G62" s="9"/>
      <c r="H62" s="9" t="s">
        <v>31</v>
      </c>
      <c r="I62" s="9"/>
      <c r="J62" s="9"/>
      <c r="K62" s="9">
        <v>7.0000000000000001E-3</v>
      </c>
      <c r="L62" s="9">
        <v>7.0000000000000001E-3</v>
      </c>
      <c r="M62" s="9" t="s">
        <v>812</v>
      </c>
      <c r="N62" s="9" t="s">
        <v>33</v>
      </c>
      <c r="O62" s="9">
        <f t="shared" si="5"/>
        <v>0.21000000000000002</v>
      </c>
      <c r="P62" s="9">
        <f t="shared" si="6"/>
        <v>0.245</v>
      </c>
      <c r="Q62" s="9">
        <f t="shared" si="7"/>
        <v>0.14000000000000001</v>
      </c>
      <c r="R62" s="9">
        <f t="shared" si="8"/>
        <v>0.10500000000000001</v>
      </c>
      <c r="S62" s="38">
        <v>0.70000000000000007</v>
      </c>
      <c r="T62" s="252">
        <v>105991.94</v>
      </c>
      <c r="U62" s="194">
        <v>741.94358</v>
      </c>
      <c r="V62" s="9"/>
      <c r="W62" s="9"/>
      <c r="X62" s="9" t="s">
        <v>815</v>
      </c>
      <c r="Y62" s="321">
        <v>70793</v>
      </c>
      <c r="Z62" s="19" t="s">
        <v>755</v>
      </c>
      <c r="AA62" s="15" t="s">
        <v>814</v>
      </c>
      <c r="AB62" s="16">
        <v>58</v>
      </c>
      <c r="AC62" s="141"/>
      <c r="AD62" s="163"/>
      <c r="AE62" s="163"/>
      <c r="AF62" s="164"/>
      <c r="AG62" s="169">
        <f t="shared" si="4"/>
        <v>2.0999999999999999E-3</v>
      </c>
      <c r="AH62" s="163"/>
      <c r="AI62" s="163"/>
      <c r="AJ62" s="164"/>
      <c r="AK62" s="141"/>
      <c r="AL62" s="265"/>
      <c r="AM62" s="265"/>
      <c r="AN62" s="127"/>
      <c r="AO62" s="126"/>
      <c r="AP62" s="72"/>
      <c r="AQ62" s="72"/>
      <c r="AR62" s="127"/>
      <c r="AS62" s="256" t="s">
        <v>757</v>
      </c>
      <c r="AT62" s="87"/>
    </row>
    <row r="63" spans="1:46" hidden="1" x14ac:dyDescent="0.25">
      <c r="A63" s="9">
        <v>60</v>
      </c>
      <c r="B63" s="9" t="s">
        <v>28</v>
      </c>
      <c r="C63" s="9" t="s">
        <v>753</v>
      </c>
      <c r="D63" s="9" t="s">
        <v>754</v>
      </c>
      <c r="E63" s="9"/>
      <c r="F63" s="15" t="s">
        <v>814</v>
      </c>
      <c r="G63" s="9"/>
      <c r="H63" s="9" t="s">
        <v>31</v>
      </c>
      <c r="I63" s="9"/>
      <c r="J63" s="9"/>
      <c r="K63" s="9">
        <v>7.0000000000000001E-3</v>
      </c>
      <c r="L63" s="9">
        <v>7.0000000000000001E-3</v>
      </c>
      <c r="M63" s="9" t="s">
        <v>812</v>
      </c>
      <c r="N63" s="9" t="s">
        <v>33</v>
      </c>
      <c r="O63" s="9">
        <f t="shared" si="5"/>
        <v>0.21000000000000002</v>
      </c>
      <c r="P63" s="9">
        <f t="shared" si="6"/>
        <v>0.245</v>
      </c>
      <c r="Q63" s="9">
        <f t="shared" si="7"/>
        <v>0.14000000000000001</v>
      </c>
      <c r="R63" s="9">
        <f t="shared" si="8"/>
        <v>0.10500000000000001</v>
      </c>
      <c r="S63" s="38">
        <v>0.70000000000000007</v>
      </c>
      <c r="T63" s="252">
        <v>105991.94</v>
      </c>
      <c r="U63" s="194">
        <v>741.94358</v>
      </c>
      <c r="V63" s="9"/>
      <c r="W63" s="9"/>
      <c r="X63" s="9" t="s">
        <v>815</v>
      </c>
      <c r="Y63" s="321">
        <v>70793</v>
      </c>
      <c r="Z63" s="19" t="s">
        <v>755</v>
      </c>
      <c r="AA63" s="15" t="s">
        <v>814</v>
      </c>
      <c r="AB63" s="16">
        <v>59</v>
      </c>
      <c r="AC63" s="141"/>
      <c r="AD63" s="163"/>
      <c r="AE63" s="163"/>
      <c r="AF63" s="164"/>
      <c r="AG63" s="169">
        <f t="shared" si="4"/>
        <v>2.0999999999999999E-3</v>
      </c>
      <c r="AH63" s="163"/>
      <c r="AI63" s="163"/>
      <c r="AJ63" s="164"/>
      <c r="AK63" s="141"/>
      <c r="AL63" s="265"/>
      <c r="AM63" s="265"/>
      <c r="AN63" s="127"/>
      <c r="AO63" s="126"/>
      <c r="AP63" s="72"/>
      <c r="AQ63" s="72"/>
      <c r="AR63" s="127"/>
      <c r="AS63" s="256" t="s">
        <v>757</v>
      </c>
      <c r="AT63" s="87"/>
    </row>
    <row r="64" spans="1:46" hidden="1" x14ac:dyDescent="0.25">
      <c r="A64" s="9">
        <v>61</v>
      </c>
      <c r="B64" s="9" t="s">
        <v>28</v>
      </c>
      <c r="C64" s="9" t="s">
        <v>753</v>
      </c>
      <c r="D64" s="9" t="s">
        <v>754</v>
      </c>
      <c r="E64" s="9"/>
      <c r="F64" s="15" t="s">
        <v>814</v>
      </c>
      <c r="G64" s="9"/>
      <c r="H64" s="9" t="s">
        <v>31</v>
      </c>
      <c r="I64" s="9"/>
      <c r="J64" s="9"/>
      <c r="K64" s="9">
        <v>7.0000000000000001E-3</v>
      </c>
      <c r="L64" s="9">
        <v>7.0000000000000001E-3</v>
      </c>
      <c r="M64" s="9" t="s">
        <v>812</v>
      </c>
      <c r="N64" s="9" t="s">
        <v>33</v>
      </c>
      <c r="O64" s="9">
        <f t="shared" si="5"/>
        <v>0.21000000000000002</v>
      </c>
      <c r="P64" s="9">
        <f t="shared" si="6"/>
        <v>0.245</v>
      </c>
      <c r="Q64" s="9">
        <f t="shared" si="7"/>
        <v>0.14000000000000001</v>
      </c>
      <c r="R64" s="9">
        <f t="shared" si="8"/>
        <v>0.10500000000000001</v>
      </c>
      <c r="S64" s="38">
        <v>0.70000000000000007</v>
      </c>
      <c r="T64" s="252">
        <v>105991.94</v>
      </c>
      <c r="U64" s="194">
        <v>741.94358</v>
      </c>
      <c r="V64" s="9"/>
      <c r="W64" s="9"/>
      <c r="X64" s="9" t="s">
        <v>815</v>
      </c>
      <c r="Y64" s="321">
        <v>70793</v>
      </c>
      <c r="Z64" s="19" t="s">
        <v>755</v>
      </c>
      <c r="AA64" s="15" t="s">
        <v>814</v>
      </c>
      <c r="AB64" s="16">
        <v>60</v>
      </c>
      <c r="AC64" s="141"/>
      <c r="AD64" s="163"/>
      <c r="AE64" s="163"/>
      <c r="AF64" s="164"/>
      <c r="AG64" s="169">
        <f t="shared" si="4"/>
        <v>2.0999999999999999E-3</v>
      </c>
      <c r="AH64" s="163"/>
      <c r="AI64" s="163"/>
      <c r="AJ64" s="164"/>
      <c r="AK64" s="141"/>
      <c r="AL64" s="265"/>
      <c r="AM64" s="265"/>
      <c r="AN64" s="127"/>
      <c r="AO64" s="126"/>
      <c r="AP64" s="72"/>
      <c r="AQ64" s="72"/>
      <c r="AR64" s="127"/>
      <c r="AS64" s="256" t="s">
        <v>757</v>
      </c>
      <c r="AT64" s="87"/>
    </row>
    <row r="65" spans="1:46" hidden="1" x14ac:dyDescent="0.25">
      <c r="A65" s="9">
        <v>62</v>
      </c>
      <c r="B65" s="9" t="s">
        <v>28</v>
      </c>
      <c r="C65" s="9" t="s">
        <v>753</v>
      </c>
      <c r="D65" s="9" t="s">
        <v>754</v>
      </c>
      <c r="E65" s="9"/>
      <c r="F65" s="15" t="s">
        <v>814</v>
      </c>
      <c r="G65" s="9"/>
      <c r="H65" s="9" t="s">
        <v>31</v>
      </c>
      <c r="I65" s="9"/>
      <c r="J65" s="9"/>
      <c r="K65" s="9">
        <v>7.0000000000000001E-3</v>
      </c>
      <c r="L65" s="9">
        <v>7.0000000000000001E-3</v>
      </c>
      <c r="M65" s="9" t="s">
        <v>812</v>
      </c>
      <c r="N65" s="9" t="s">
        <v>33</v>
      </c>
      <c r="O65" s="9">
        <f t="shared" si="5"/>
        <v>0.21000000000000002</v>
      </c>
      <c r="P65" s="9">
        <f t="shared" si="6"/>
        <v>0.245</v>
      </c>
      <c r="Q65" s="9">
        <f t="shared" si="7"/>
        <v>0.14000000000000001</v>
      </c>
      <c r="R65" s="9">
        <f t="shared" si="8"/>
        <v>0.10500000000000001</v>
      </c>
      <c r="S65" s="38">
        <v>0.70000000000000007</v>
      </c>
      <c r="T65" s="252">
        <v>105991.94</v>
      </c>
      <c r="U65" s="194">
        <v>741.94358</v>
      </c>
      <c r="V65" s="9"/>
      <c r="W65" s="9"/>
      <c r="X65" s="9" t="s">
        <v>815</v>
      </c>
      <c r="Y65" s="321">
        <v>70793</v>
      </c>
      <c r="Z65" s="19" t="s">
        <v>755</v>
      </c>
      <c r="AA65" s="15" t="s">
        <v>814</v>
      </c>
      <c r="AB65" s="16">
        <v>61</v>
      </c>
      <c r="AC65" s="113"/>
      <c r="AD65" s="109"/>
      <c r="AE65" s="109"/>
      <c r="AF65" s="110"/>
      <c r="AG65" s="169">
        <f t="shared" si="4"/>
        <v>2.0999999999999999E-3</v>
      </c>
      <c r="AH65" s="109"/>
      <c r="AI65" s="109"/>
      <c r="AJ65" s="110"/>
      <c r="AK65" s="113"/>
      <c r="AL65" s="299"/>
      <c r="AM65" s="299"/>
      <c r="AN65" s="21"/>
      <c r="AO65" s="20"/>
      <c r="AP65" s="8"/>
      <c r="AQ65" s="8"/>
      <c r="AR65" s="21"/>
      <c r="AS65" s="256" t="s">
        <v>757</v>
      </c>
      <c r="AT65" s="87"/>
    </row>
    <row r="66" spans="1:46" hidden="1" x14ac:dyDescent="0.25">
      <c r="A66" s="9">
        <v>63</v>
      </c>
      <c r="B66" s="9" t="s">
        <v>28</v>
      </c>
      <c r="C66" s="9" t="s">
        <v>753</v>
      </c>
      <c r="D66" s="9" t="s">
        <v>754</v>
      </c>
      <c r="E66" s="9"/>
      <c r="F66" s="15" t="s">
        <v>814</v>
      </c>
      <c r="G66" s="9"/>
      <c r="H66" s="9" t="s">
        <v>31</v>
      </c>
      <c r="I66" s="9"/>
      <c r="J66" s="9"/>
      <c r="K66" s="9">
        <v>7.0000000000000001E-3</v>
      </c>
      <c r="L66" s="9">
        <v>7.0000000000000001E-3</v>
      </c>
      <c r="M66" s="9" t="s">
        <v>812</v>
      </c>
      <c r="N66" s="9" t="s">
        <v>33</v>
      </c>
      <c r="O66" s="9">
        <f t="shared" si="5"/>
        <v>0.21000000000000002</v>
      </c>
      <c r="P66" s="9">
        <f t="shared" si="6"/>
        <v>0.245</v>
      </c>
      <c r="Q66" s="9">
        <f t="shared" si="7"/>
        <v>0.14000000000000001</v>
      </c>
      <c r="R66" s="9">
        <f t="shared" si="8"/>
        <v>0.10500000000000001</v>
      </c>
      <c r="S66" s="38">
        <v>0.70000000000000007</v>
      </c>
      <c r="T66" s="252">
        <v>105991.94</v>
      </c>
      <c r="U66" s="194">
        <v>741.94358</v>
      </c>
      <c r="V66" s="9"/>
      <c r="W66" s="9"/>
      <c r="X66" s="9" t="s">
        <v>815</v>
      </c>
      <c r="Y66" s="321">
        <v>70793</v>
      </c>
      <c r="Z66" s="19" t="s">
        <v>755</v>
      </c>
      <c r="AA66" s="15" t="s">
        <v>814</v>
      </c>
      <c r="AB66" s="16">
        <v>62</v>
      </c>
      <c r="AC66" s="113"/>
      <c r="AD66" s="109"/>
      <c r="AE66" s="109"/>
      <c r="AF66" s="110"/>
      <c r="AG66" s="169">
        <f t="shared" si="4"/>
        <v>2.0999999999999999E-3</v>
      </c>
      <c r="AH66" s="109"/>
      <c r="AI66" s="109"/>
      <c r="AJ66" s="110"/>
      <c r="AK66" s="113"/>
      <c r="AL66" s="299"/>
      <c r="AM66" s="299"/>
      <c r="AN66" s="21"/>
      <c r="AO66" s="20"/>
      <c r="AP66" s="8"/>
      <c r="AQ66" s="8"/>
      <c r="AR66" s="21"/>
      <c r="AS66" s="256" t="s">
        <v>757</v>
      </c>
      <c r="AT66" s="87"/>
    </row>
    <row r="67" spans="1:46" hidden="1" x14ac:dyDescent="0.25">
      <c r="A67" s="9">
        <v>64</v>
      </c>
      <c r="B67" s="9" t="s">
        <v>28</v>
      </c>
      <c r="C67" s="9" t="s">
        <v>753</v>
      </c>
      <c r="D67" s="9" t="s">
        <v>754</v>
      </c>
      <c r="E67" s="9"/>
      <c r="F67" s="15" t="s">
        <v>814</v>
      </c>
      <c r="G67" s="9"/>
      <c r="H67" s="9" t="s">
        <v>31</v>
      </c>
      <c r="I67" s="9"/>
      <c r="J67" s="9"/>
      <c r="K67" s="9">
        <v>7.0000000000000001E-3</v>
      </c>
      <c r="L67" s="9">
        <v>7.0000000000000001E-3</v>
      </c>
      <c r="M67" s="9" t="s">
        <v>812</v>
      </c>
      <c r="N67" s="9" t="s">
        <v>33</v>
      </c>
      <c r="O67" s="9">
        <f t="shared" si="5"/>
        <v>0.21000000000000002</v>
      </c>
      <c r="P67" s="9">
        <f t="shared" si="6"/>
        <v>0.245</v>
      </c>
      <c r="Q67" s="9">
        <f t="shared" si="7"/>
        <v>0.14000000000000001</v>
      </c>
      <c r="R67" s="9">
        <f t="shared" si="8"/>
        <v>0.10500000000000001</v>
      </c>
      <c r="S67" s="38">
        <v>0.70000000000000007</v>
      </c>
      <c r="T67" s="252">
        <v>105991.94</v>
      </c>
      <c r="U67" s="194">
        <v>741.94358</v>
      </c>
      <c r="V67" s="9"/>
      <c r="W67" s="9"/>
      <c r="X67" s="9" t="s">
        <v>815</v>
      </c>
      <c r="Y67" s="321">
        <v>70793</v>
      </c>
      <c r="Z67" s="19" t="s">
        <v>755</v>
      </c>
      <c r="AA67" s="15" t="s">
        <v>814</v>
      </c>
      <c r="AB67" s="16">
        <v>63</v>
      </c>
      <c r="AC67" s="113"/>
      <c r="AD67" s="109"/>
      <c r="AE67" s="109"/>
      <c r="AF67" s="110"/>
      <c r="AG67" s="169">
        <f t="shared" si="4"/>
        <v>2.0999999999999999E-3</v>
      </c>
      <c r="AH67" s="109"/>
      <c r="AI67" s="109"/>
      <c r="AJ67" s="110"/>
      <c r="AK67" s="113"/>
      <c r="AL67" s="299"/>
      <c r="AM67" s="299"/>
      <c r="AN67" s="21"/>
      <c r="AO67" s="20"/>
      <c r="AP67" s="8"/>
      <c r="AQ67" s="8"/>
      <c r="AR67" s="21"/>
      <c r="AS67" s="256" t="s">
        <v>757</v>
      </c>
      <c r="AT67" s="87"/>
    </row>
    <row r="68" spans="1:46" hidden="1" x14ac:dyDescent="0.25">
      <c r="A68" s="9">
        <v>65</v>
      </c>
      <c r="B68" s="9" t="s">
        <v>28</v>
      </c>
      <c r="C68" s="9" t="s">
        <v>753</v>
      </c>
      <c r="D68" s="9" t="s">
        <v>754</v>
      </c>
      <c r="E68" s="9"/>
      <c r="F68" s="15" t="s">
        <v>814</v>
      </c>
      <c r="G68" s="9"/>
      <c r="H68" s="9" t="s">
        <v>31</v>
      </c>
      <c r="I68" s="9"/>
      <c r="J68" s="9"/>
      <c r="K68" s="9">
        <v>7.0000000000000001E-3</v>
      </c>
      <c r="L68" s="9">
        <v>7.0000000000000001E-3</v>
      </c>
      <c r="M68" s="9" t="s">
        <v>812</v>
      </c>
      <c r="N68" s="9" t="s">
        <v>33</v>
      </c>
      <c r="O68" s="9">
        <f t="shared" si="5"/>
        <v>0.21000000000000002</v>
      </c>
      <c r="P68" s="9">
        <f t="shared" si="6"/>
        <v>0.245</v>
      </c>
      <c r="Q68" s="9">
        <f t="shared" si="7"/>
        <v>0.14000000000000001</v>
      </c>
      <c r="R68" s="9">
        <f t="shared" si="8"/>
        <v>0.10500000000000001</v>
      </c>
      <c r="S68" s="38">
        <v>0.70000000000000007</v>
      </c>
      <c r="T68" s="252">
        <v>105991.94</v>
      </c>
      <c r="U68" s="194">
        <v>741.94358</v>
      </c>
      <c r="V68" s="9"/>
      <c r="W68" s="9"/>
      <c r="X68" s="9" t="s">
        <v>815</v>
      </c>
      <c r="Y68" s="321">
        <v>70793</v>
      </c>
      <c r="Z68" s="19" t="s">
        <v>755</v>
      </c>
      <c r="AA68" s="15" t="s">
        <v>814</v>
      </c>
      <c r="AB68" s="16">
        <v>64</v>
      </c>
      <c r="AC68" s="113"/>
      <c r="AD68" s="109"/>
      <c r="AE68" s="109"/>
      <c r="AF68" s="110"/>
      <c r="AG68" s="169">
        <f t="shared" si="4"/>
        <v>2.0999999999999999E-3</v>
      </c>
      <c r="AH68" s="109"/>
      <c r="AI68" s="109"/>
      <c r="AJ68" s="110"/>
      <c r="AK68" s="113"/>
      <c r="AL68" s="299"/>
      <c r="AM68" s="299"/>
      <c r="AN68" s="21"/>
      <c r="AO68" s="20"/>
      <c r="AP68" s="8"/>
      <c r="AQ68" s="8"/>
      <c r="AR68" s="21"/>
      <c r="AS68" s="256" t="s">
        <v>757</v>
      </c>
      <c r="AT68" s="87"/>
    </row>
    <row r="69" spans="1:46" hidden="1" x14ac:dyDescent="0.25">
      <c r="A69" s="9">
        <v>66</v>
      </c>
      <c r="B69" s="9" t="s">
        <v>28</v>
      </c>
      <c r="C69" s="9" t="s">
        <v>753</v>
      </c>
      <c r="D69" s="9" t="s">
        <v>754</v>
      </c>
      <c r="E69" s="9"/>
      <c r="F69" s="15" t="s">
        <v>814</v>
      </c>
      <c r="G69" s="9"/>
      <c r="H69" s="9" t="s">
        <v>31</v>
      </c>
      <c r="I69" s="9"/>
      <c r="J69" s="9"/>
      <c r="K69" s="9">
        <v>7.0000000000000001E-3</v>
      </c>
      <c r="L69" s="9">
        <v>7.0000000000000001E-3</v>
      </c>
      <c r="M69" s="9" t="s">
        <v>812</v>
      </c>
      <c r="N69" s="9" t="s">
        <v>33</v>
      </c>
      <c r="O69" s="9">
        <f t="shared" si="5"/>
        <v>0.21000000000000002</v>
      </c>
      <c r="P69" s="9">
        <f t="shared" si="6"/>
        <v>0.245</v>
      </c>
      <c r="Q69" s="9">
        <f t="shared" si="7"/>
        <v>0.14000000000000001</v>
      </c>
      <c r="R69" s="9">
        <f t="shared" si="8"/>
        <v>0.10500000000000001</v>
      </c>
      <c r="S69" s="38">
        <v>0.70000000000000007</v>
      </c>
      <c r="T69" s="252">
        <v>105991.94</v>
      </c>
      <c r="U69" s="194">
        <v>741.94358</v>
      </c>
      <c r="V69" s="9"/>
      <c r="W69" s="9"/>
      <c r="X69" s="9" t="s">
        <v>815</v>
      </c>
      <c r="Y69" s="321">
        <v>70793</v>
      </c>
      <c r="Z69" s="19" t="s">
        <v>755</v>
      </c>
      <c r="AA69" s="15" t="s">
        <v>814</v>
      </c>
      <c r="AB69" s="16">
        <v>65</v>
      </c>
      <c r="AC69" s="113"/>
      <c r="AD69" s="109"/>
      <c r="AE69" s="109"/>
      <c r="AF69" s="110"/>
      <c r="AG69" s="169">
        <f t="shared" ref="AG69:AG132" si="9">L69*0.3</f>
        <v>2.0999999999999999E-3</v>
      </c>
      <c r="AH69" s="109"/>
      <c r="AI69" s="109"/>
      <c r="AJ69" s="110"/>
      <c r="AK69" s="113"/>
      <c r="AL69" s="299"/>
      <c r="AM69" s="299"/>
      <c r="AN69" s="21"/>
      <c r="AO69" s="20"/>
      <c r="AP69" s="8"/>
      <c r="AQ69" s="8"/>
      <c r="AR69" s="21"/>
      <c r="AS69" s="256" t="s">
        <v>757</v>
      </c>
      <c r="AT69" s="87"/>
    </row>
    <row r="70" spans="1:46" hidden="1" x14ac:dyDescent="0.25">
      <c r="A70" s="9">
        <v>67</v>
      </c>
      <c r="B70" s="9" t="s">
        <v>28</v>
      </c>
      <c r="C70" s="9" t="s">
        <v>753</v>
      </c>
      <c r="D70" s="9" t="s">
        <v>754</v>
      </c>
      <c r="E70" s="9"/>
      <c r="F70" s="15" t="s">
        <v>814</v>
      </c>
      <c r="G70" s="9"/>
      <c r="H70" s="9" t="s">
        <v>31</v>
      </c>
      <c r="I70" s="9"/>
      <c r="J70" s="9"/>
      <c r="K70" s="9">
        <v>7.0000000000000001E-3</v>
      </c>
      <c r="L70" s="9">
        <v>7.0000000000000001E-3</v>
      </c>
      <c r="M70" s="9" t="s">
        <v>812</v>
      </c>
      <c r="N70" s="9" t="s">
        <v>33</v>
      </c>
      <c r="O70" s="9">
        <f t="shared" ref="O70:O133" si="10">S70*0.3</f>
        <v>0.21000000000000002</v>
      </c>
      <c r="P70" s="9">
        <f t="shared" ref="P70:P133" si="11">S70*0.35</f>
        <v>0.245</v>
      </c>
      <c r="Q70" s="9">
        <f t="shared" ref="Q70:Q133" si="12">S70*0.2</f>
        <v>0.14000000000000001</v>
      </c>
      <c r="R70" s="9">
        <f t="shared" ref="R70:R133" si="13">S70*0.15</f>
        <v>0.10500000000000001</v>
      </c>
      <c r="S70" s="38">
        <v>0.70000000000000007</v>
      </c>
      <c r="T70" s="252">
        <v>105991.94</v>
      </c>
      <c r="U70" s="194">
        <v>741.94358</v>
      </c>
      <c r="V70" s="9"/>
      <c r="W70" s="9"/>
      <c r="X70" s="9" t="s">
        <v>815</v>
      </c>
      <c r="Y70" s="321">
        <v>70793</v>
      </c>
      <c r="Z70" s="19" t="s">
        <v>755</v>
      </c>
      <c r="AA70" s="15" t="s">
        <v>814</v>
      </c>
      <c r="AB70" s="16">
        <v>66</v>
      </c>
      <c r="AC70" s="113"/>
      <c r="AD70" s="109"/>
      <c r="AE70" s="109"/>
      <c r="AF70" s="110"/>
      <c r="AG70" s="169">
        <f t="shared" si="9"/>
        <v>2.0999999999999999E-3</v>
      </c>
      <c r="AH70" s="109"/>
      <c r="AI70" s="109"/>
      <c r="AJ70" s="110"/>
      <c r="AK70" s="113"/>
      <c r="AL70" s="299"/>
      <c r="AM70" s="299"/>
      <c r="AN70" s="21"/>
      <c r="AO70" s="20"/>
      <c r="AP70" s="8"/>
      <c r="AQ70" s="8"/>
      <c r="AR70" s="21"/>
      <c r="AS70" s="256" t="s">
        <v>757</v>
      </c>
      <c r="AT70" s="87"/>
    </row>
    <row r="71" spans="1:46" hidden="1" x14ac:dyDescent="0.25">
      <c r="A71" s="9">
        <v>68</v>
      </c>
      <c r="B71" s="9" t="s">
        <v>28</v>
      </c>
      <c r="C71" s="9" t="s">
        <v>753</v>
      </c>
      <c r="D71" s="9" t="s">
        <v>754</v>
      </c>
      <c r="E71" s="9"/>
      <c r="F71" s="15" t="s">
        <v>145</v>
      </c>
      <c r="G71" s="9"/>
      <c r="H71" s="9" t="s">
        <v>31</v>
      </c>
      <c r="I71" s="9"/>
      <c r="J71" s="9"/>
      <c r="K71" s="9">
        <v>0.01</v>
      </c>
      <c r="L71" s="9">
        <v>0.01</v>
      </c>
      <c r="M71" s="9" t="s">
        <v>812</v>
      </c>
      <c r="N71" s="9" t="s">
        <v>33</v>
      </c>
      <c r="O71" s="9">
        <f t="shared" si="10"/>
        <v>0.3</v>
      </c>
      <c r="P71" s="9">
        <f t="shared" si="11"/>
        <v>0.35</v>
      </c>
      <c r="Q71" s="9">
        <f t="shared" si="12"/>
        <v>0.2</v>
      </c>
      <c r="R71" s="9">
        <f t="shared" si="13"/>
        <v>0.15</v>
      </c>
      <c r="S71" s="38">
        <v>1</v>
      </c>
      <c r="T71" s="252">
        <v>105991.94</v>
      </c>
      <c r="U71" s="194">
        <v>1059.9194</v>
      </c>
      <c r="V71" s="9"/>
      <c r="W71" s="9"/>
      <c r="X71" s="9" t="s">
        <v>769</v>
      </c>
      <c r="Y71" s="321">
        <v>70793</v>
      </c>
      <c r="Z71" s="19" t="s">
        <v>755</v>
      </c>
      <c r="AA71" s="15" t="s">
        <v>145</v>
      </c>
      <c r="AB71" s="16">
        <v>67</v>
      </c>
      <c r="AC71" s="113"/>
      <c r="AD71" s="109"/>
      <c r="AE71" s="109"/>
      <c r="AF71" s="110"/>
      <c r="AG71" s="169">
        <f t="shared" si="9"/>
        <v>3.0000000000000001E-3</v>
      </c>
      <c r="AH71" s="109"/>
      <c r="AI71" s="109"/>
      <c r="AJ71" s="110"/>
      <c r="AK71" s="113"/>
      <c r="AL71" s="299"/>
      <c r="AM71" s="299"/>
      <c r="AN71" s="21"/>
      <c r="AO71" s="20"/>
      <c r="AP71" s="8"/>
      <c r="AQ71" s="8"/>
      <c r="AR71" s="21"/>
      <c r="AS71" s="256" t="s">
        <v>757</v>
      </c>
      <c r="AT71" s="87"/>
    </row>
    <row r="72" spans="1:46" hidden="1" x14ac:dyDescent="0.25">
      <c r="A72" s="9">
        <v>69</v>
      </c>
      <c r="B72" s="9" t="s">
        <v>28</v>
      </c>
      <c r="C72" s="9" t="s">
        <v>753</v>
      </c>
      <c r="D72" s="9" t="s">
        <v>754</v>
      </c>
      <c r="E72" s="9"/>
      <c r="F72" s="15" t="s">
        <v>145</v>
      </c>
      <c r="G72" s="9"/>
      <c r="H72" s="9" t="s">
        <v>31</v>
      </c>
      <c r="I72" s="9"/>
      <c r="J72" s="9"/>
      <c r="K72" s="9">
        <v>0.01</v>
      </c>
      <c r="L72" s="9">
        <v>0.01</v>
      </c>
      <c r="M72" s="9" t="s">
        <v>812</v>
      </c>
      <c r="N72" s="9" t="s">
        <v>33</v>
      </c>
      <c r="O72" s="9">
        <f t="shared" si="10"/>
        <v>0.3</v>
      </c>
      <c r="P72" s="9">
        <f t="shared" si="11"/>
        <v>0.35</v>
      </c>
      <c r="Q72" s="9">
        <f t="shared" si="12"/>
        <v>0.2</v>
      </c>
      <c r="R72" s="9">
        <f t="shared" si="13"/>
        <v>0.15</v>
      </c>
      <c r="S72" s="38">
        <v>1</v>
      </c>
      <c r="T72" s="252">
        <v>105991.94</v>
      </c>
      <c r="U72" s="194">
        <v>1059.9194</v>
      </c>
      <c r="V72" s="9"/>
      <c r="W72" s="9"/>
      <c r="X72" s="9" t="s">
        <v>769</v>
      </c>
      <c r="Y72" s="321">
        <v>70793</v>
      </c>
      <c r="Z72" s="19" t="s">
        <v>755</v>
      </c>
      <c r="AA72" s="15" t="s">
        <v>145</v>
      </c>
      <c r="AB72" s="16">
        <v>68</v>
      </c>
      <c r="AC72" s="113"/>
      <c r="AD72" s="109"/>
      <c r="AE72" s="109"/>
      <c r="AF72" s="110"/>
      <c r="AG72" s="169">
        <f t="shared" si="9"/>
        <v>3.0000000000000001E-3</v>
      </c>
      <c r="AH72" s="109"/>
      <c r="AI72" s="109"/>
      <c r="AJ72" s="110"/>
      <c r="AK72" s="113"/>
      <c r="AL72" s="299"/>
      <c r="AM72" s="299"/>
      <c r="AN72" s="21"/>
      <c r="AO72" s="20"/>
      <c r="AP72" s="8"/>
      <c r="AQ72" s="8"/>
      <c r="AR72" s="21"/>
      <c r="AS72" s="256" t="s">
        <v>757</v>
      </c>
      <c r="AT72" s="87"/>
    </row>
    <row r="73" spans="1:46" hidden="1" x14ac:dyDescent="0.25">
      <c r="A73" s="9">
        <v>70</v>
      </c>
      <c r="B73" s="9" t="s">
        <v>28</v>
      </c>
      <c r="C73" s="9" t="s">
        <v>753</v>
      </c>
      <c r="D73" s="9" t="s">
        <v>754</v>
      </c>
      <c r="E73" s="9"/>
      <c r="F73" s="15" t="s">
        <v>145</v>
      </c>
      <c r="G73" s="9"/>
      <c r="H73" s="9" t="s">
        <v>31</v>
      </c>
      <c r="I73" s="9"/>
      <c r="J73" s="9"/>
      <c r="K73" s="9">
        <v>0.01</v>
      </c>
      <c r="L73" s="9">
        <v>0.01</v>
      </c>
      <c r="M73" s="9" t="s">
        <v>812</v>
      </c>
      <c r="N73" s="9" t="s">
        <v>33</v>
      </c>
      <c r="O73" s="9">
        <f t="shared" si="10"/>
        <v>0.3</v>
      </c>
      <c r="P73" s="9">
        <f t="shared" si="11"/>
        <v>0.35</v>
      </c>
      <c r="Q73" s="9">
        <f t="shared" si="12"/>
        <v>0.2</v>
      </c>
      <c r="R73" s="9">
        <f t="shared" si="13"/>
        <v>0.15</v>
      </c>
      <c r="S73" s="38">
        <v>1</v>
      </c>
      <c r="T73" s="252">
        <v>105991.94</v>
      </c>
      <c r="U73" s="194">
        <v>1059.9194</v>
      </c>
      <c r="V73" s="9"/>
      <c r="W73" s="9"/>
      <c r="X73" s="9" t="s">
        <v>769</v>
      </c>
      <c r="Y73" s="321">
        <v>70793</v>
      </c>
      <c r="Z73" s="19" t="s">
        <v>755</v>
      </c>
      <c r="AA73" s="15" t="s">
        <v>145</v>
      </c>
      <c r="AB73" s="16">
        <v>69</v>
      </c>
      <c r="AC73" s="113"/>
      <c r="AD73" s="109"/>
      <c r="AE73" s="109"/>
      <c r="AF73" s="110"/>
      <c r="AG73" s="169">
        <f t="shared" si="9"/>
        <v>3.0000000000000001E-3</v>
      </c>
      <c r="AH73" s="109"/>
      <c r="AI73" s="109"/>
      <c r="AJ73" s="110"/>
      <c r="AK73" s="113"/>
      <c r="AL73" s="299"/>
      <c r="AM73" s="299"/>
      <c r="AN73" s="21"/>
      <c r="AO73" s="20"/>
      <c r="AP73" s="8"/>
      <c r="AQ73" s="8"/>
      <c r="AR73" s="21"/>
      <c r="AS73" s="256" t="s">
        <v>757</v>
      </c>
      <c r="AT73" s="87"/>
    </row>
    <row r="74" spans="1:46" hidden="1" x14ac:dyDescent="0.25">
      <c r="A74" s="9">
        <v>71</v>
      </c>
      <c r="B74" s="9" t="s">
        <v>28</v>
      </c>
      <c r="C74" s="9" t="s">
        <v>753</v>
      </c>
      <c r="D74" s="9" t="s">
        <v>754</v>
      </c>
      <c r="E74" s="9"/>
      <c r="F74" s="15" t="s">
        <v>145</v>
      </c>
      <c r="G74" s="9"/>
      <c r="H74" s="9" t="s">
        <v>31</v>
      </c>
      <c r="I74" s="9"/>
      <c r="J74" s="9"/>
      <c r="K74" s="9">
        <v>0.01</v>
      </c>
      <c r="L74" s="9">
        <v>0.01</v>
      </c>
      <c r="M74" s="9" t="s">
        <v>812</v>
      </c>
      <c r="N74" s="9" t="s">
        <v>33</v>
      </c>
      <c r="O74" s="9">
        <f t="shared" si="10"/>
        <v>0.3</v>
      </c>
      <c r="P74" s="9">
        <f t="shared" si="11"/>
        <v>0.35</v>
      </c>
      <c r="Q74" s="9">
        <f t="shared" si="12"/>
        <v>0.2</v>
      </c>
      <c r="R74" s="9">
        <f t="shared" si="13"/>
        <v>0.15</v>
      </c>
      <c r="S74" s="38">
        <v>1</v>
      </c>
      <c r="T74" s="252">
        <v>105991.94</v>
      </c>
      <c r="U74" s="194">
        <v>1059.9194</v>
      </c>
      <c r="V74" s="9"/>
      <c r="W74" s="9"/>
      <c r="X74" s="9" t="s">
        <v>769</v>
      </c>
      <c r="Y74" s="321">
        <v>70793</v>
      </c>
      <c r="Z74" s="19" t="s">
        <v>755</v>
      </c>
      <c r="AA74" s="15" t="s">
        <v>145</v>
      </c>
      <c r="AB74" s="16">
        <v>70</v>
      </c>
      <c r="AC74" s="113"/>
      <c r="AD74" s="109"/>
      <c r="AE74" s="109"/>
      <c r="AF74" s="110"/>
      <c r="AG74" s="169">
        <f t="shared" si="9"/>
        <v>3.0000000000000001E-3</v>
      </c>
      <c r="AH74" s="109"/>
      <c r="AI74" s="109"/>
      <c r="AJ74" s="110"/>
      <c r="AK74" s="113"/>
      <c r="AL74" s="299"/>
      <c r="AM74" s="299"/>
      <c r="AN74" s="21"/>
      <c r="AO74" s="20"/>
      <c r="AP74" s="8"/>
      <c r="AQ74" s="8"/>
      <c r="AR74" s="21"/>
      <c r="AS74" s="256" t="s">
        <v>757</v>
      </c>
      <c r="AT74" s="87"/>
    </row>
    <row r="75" spans="1:46" hidden="1" x14ac:dyDescent="0.25">
      <c r="A75" s="9">
        <v>72</v>
      </c>
      <c r="B75" s="9" t="s">
        <v>28</v>
      </c>
      <c r="C75" s="9" t="s">
        <v>753</v>
      </c>
      <c r="D75" s="9" t="s">
        <v>754</v>
      </c>
      <c r="E75" s="9"/>
      <c r="F75" s="15" t="s">
        <v>145</v>
      </c>
      <c r="G75" s="9"/>
      <c r="H75" s="9" t="s">
        <v>31</v>
      </c>
      <c r="I75" s="9"/>
      <c r="J75" s="9"/>
      <c r="K75" s="9">
        <v>0.01</v>
      </c>
      <c r="L75" s="9">
        <v>0.01</v>
      </c>
      <c r="M75" s="9" t="s">
        <v>812</v>
      </c>
      <c r="N75" s="9" t="s">
        <v>33</v>
      </c>
      <c r="O75" s="9">
        <f t="shared" si="10"/>
        <v>0.3</v>
      </c>
      <c r="P75" s="9">
        <f t="shared" si="11"/>
        <v>0.35</v>
      </c>
      <c r="Q75" s="9">
        <f t="shared" si="12"/>
        <v>0.2</v>
      </c>
      <c r="R75" s="9">
        <f t="shared" si="13"/>
        <v>0.15</v>
      </c>
      <c r="S75" s="38">
        <v>1</v>
      </c>
      <c r="T75" s="252">
        <v>105991.94</v>
      </c>
      <c r="U75" s="194">
        <v>1059.9194</v>
      </c>
      <c r="V75" s="9"/>
      <c r="W75" s="9"/>
      <c r="X75" s="9" t="s">
        <v>769</v>
      </c>
      <c r="Y75" s="321">
        <v>70793</v>
      </c>
      <c r="Z75" s="19" t="s">
        <v>755</v>
      </c>
      <c r="AA75" s="15" t="s">
        <v>145</v>
      </c>
      <c r="AB75" s="16">
        <v>71</v>
      </c>
      <c r="AC75" s="113"/>
      <c r="AD75" s="109"/>
      <c r="AE75" s="109"/>
      <c r="AF75" s="110"/>
      <c r="AG75" s="169">
        <f t="shared" si="9"/>
        <v>3.0000000000000001E-3</v>
      </c>
      <c r="AH75" s="109"/>
      <c r="AI75" s="109"/>
      <c r="AJ75" s="110"/>
      <c r="AK75" s="113"/>
      <c r="AL75" s="299"/>
      <c r="AM75" s="299"/>
      <c r="AN75" s="21"/>
      <c r="AO75" s="20"/>
      <c r="AP75" s="8"/>
      <c r="AQ75" s="8"/>
      <c r="AR75" s="21"/>
      <c r="AS75" s="256" t="s">
        <v>757</v>
      </c>
      <c r="AT75" s="87"/>
    </row>
    <row r="76" spans="1:46" hidden="1" x14ac:dyDescent="0.25">
      <c r="A76" s="9">
        <v>73</v>
      </c>
      <c r="B76" s="9" t="s">
        <v>28</v>
      </c>
      <c r="C76" s="9" t="s">
        <v>753</v>
      </c>
      <c r="D76" s="9" t="s">
        <v>754</v>
      </c>
      <c r="E76" s="9"/>
      <c r="F76" s="15" t="s">
        <v>145</v>
      </c>
      <c r="G76" s="9"/>
      <c r="H76" s="9" t="s">
        <v>31</v>
      </c>
      <c r="I76" s="9"/>
      <c r="J76" s="9"/>
      <c r="K76" s="9">
        <v>0.01</v>
      </c>
      <c r="L76" s="9">
        <v>0.01</v>
      </c>
      <c r="M76" s="9" t="s">
        <v>812</v>
      </c>
      <c r="N76" s="9" t="s">
        <v>33</v>
      </c>
      <c r="O76" s="9">
        <f t="shared" si="10"/>
        <v>0.3</v>
      </c>
      <c r="P76" s="9">
        <f t="shared" si="11"/>
        <v>0.35</v>
      </c>
      <c r="Q76" s="9">
        <f t="shared" si="12"/>
        <v>0.2</v>
      </c>
      <c r="R76" s="9">
        <f t="shared" si="13"/>
        <v>0.15</v>
      </c>
      <c r="S76" s="38">
        <v>1</v>
      </c>
      <c r="T76" s="252">
        <v>105991.94</v>
      </c>
      <c r="U76" s="194">
        <v>1059.9194</v>
      </c>
      <c r="V76" s="9"/>
      <c r="W76" s="9"/>
      <c r="X76" s="9" t="s">
        <v>769</v>
      </c>
      <c r="Y76" s="321">
        <v>70793</v>
      </c>
      <c r="Z76" s="19" t="s">
        <v>755</v>
      </c>
      <c r="AA76" s="15" t="s">
        <v>145</v>
      </c>
      <c r="AB76" s="16">
        <v>72</v>
      </c>
      <c r="AC76" s="113"/>
      <c r="AD76" s="109"/>
      <c r="AE76" s="109"/>
      <c r="AF76" s="110"/>
      <c r="AG76" s="169">
        <f t="shared" si="9"/>
        <v>3.0000000000000001E-3</v>
      </c>
      <c r="AH76" s="109"/>
      <c r="AI76" s="109"/>
      <c r="AJ76" s="110"/>
      <c r="AK76" s="113"/>
      <c r="AL76" s="299"/>
      <c r="AM76" s="299"/>
      <c r="AN76" s="21"/>
      <c r="AO76" s="20"/>
      <c r="AP76" s="8"/>
      <c r="AQ76" s="8"/>
      <c r="AR76" s="21"/>
      <c r="AS76" s="256" t="s">
        <v>757</v>
      </c>
      <c r="AT76" s="87"/>
    </row>
    <row r="77" spans="1:46" hidden="1" x14ac:dyDescent="0.25">
      <c r="A77" s="9">
        <v>74</v>
      </c>
      <c r="B77" s="9" t="s">
        <v>28</v>
      </c>
      <c r="C77" s="9" t="s">
        <v>753</v>
      </c>
      <c r="D77" s="9" t="s">
        <v>754</v>
      </c>
      <c r="E77" s="9"/>
      <c r="F77" s="15" t="s">
        <v>145</v>
      </c>
      <c r="G77" s="9"/>
      <c r="H77" s="9" t="s">
        <v>31</v>
      </c>
      <c r="I77" s="9"/>
      <c r="J77" s="9"/>
      <c r="K77" s="9">
        <v>0.01</v>
      </c>
      <c r="L77" s="9">
        <v>0.01</v>
      </c>
      <c r="M77" s="9" t="s">
        <v>812</v>
      </c>
      <c r="N77" s="9" t="s">
        <v>33</v>
      </c>
      <c r="O77" s="9">
        <f t="shared" si="10"/>
        <v>0.3</v>
      </c>
      <c r="P77" s="9">
        <f t="shared" si="11"/>
        <v>0.35</v>
      </c>
      <c r="Q77" s="9">
        <f t="shared" si="12"/>
        <v>0.2</v>
      </c>
      <c r="R77" s="9">
        <f t="shared" si="13"/>
        <v>0.15</v>
      </c>
      <c r="S77" s="38">
        <v>1</v>
      </c>
      <c r="T77" s="252">
        <v>105991.94</v>
      </c>
      <c r="U77" s="194">
        <v>1059.9194</v>
      </c>
      <c r="V77" s="9"/>
      <c r="W77" s="9"/>
      <c r="X77" s="9" t="s">
        <v>769</v>
      </c>
      <c r="Y77" s="321">
        <v>70793</v>
      </c>
      <c r="Z77" s="19" t="s">
        <v>755</v>
      </c>
      <c r="AA77" s="15" t="s">
        <v>145</v>
      </c>
      <c r="AB77" s="16">
        <v>73</v>
      </c>
      <c r="AC77" s="113"/>
      <c r="AD77" s="109"/>
      <c r="AE77" s="109"/>
      <c r="AF77" s="110"/>
      <c r="AG77" s="169">
        <f t="shared" si="9"/>
        <v>3.0000000000000001E-3</v>
      </c>
      <c r="AH77" s="109"/>
      <c r="AI77" s="109"/>
      <c r="AJ77" s="110"/>
      <c r="AK77" s="113"/>
      <c r="AL77" s="299"/>
      <c r="AM77" s="299"/>
      <c r="AN77" s="21"/>
      <c r="AO77" s="20"/>
      <c r="AP77" s="8"/>
      <c r="AQ77" s="8"/>
      <c r="AR77" s="21"/>
      <c r="AS77" s="256" t="s">
        <v>757</v>
      </c>
      <c r="AT77" s="87"/>
    </row>
    <row r="78" spans="1:46" hidden="1" x14ac:dyDescent="0.25">
      <c r="A78" s="9">
        <v>75</v>
      </c>
      <c r="B78" s="9" t="s">
        <v>28</v>
      </c>
      <c r="C78" s="9" t="s">
        <v>753</v>
      </c>
      <c r="D78" s="9" t="s">
        <v>754</v>
      </c>
      <c r="E78" s="9"/>
      <c r="F78" s="15" t="s">
        <v>145</v>
      </c>
      <c r="G78" s="9"/>
      <c r="H78" s="9" t="s">
        <v>31</v>
      </c>
      <c r="I78" s="9"/>
      <c r="J78" s="9"/>
      <c r="K78" s="9">
        <v>0.01</v>
      </c>
      <c r="L78" s="9">
        <v>0.01</v>
      </c>
      <c r="M78" s="9" t="s">
        <v>812</v>
      </c>
      <c r="N78" s="9" t="s">
        <v>33</v>
      </c>
      <c r="O78" s="9">
        <f t="shared" si="10"/>
        <v>0.3</v>
      </c>
      <c r="P78" s="9">
        <f t="shared" si="11"/>
        <v>0.35</v>
      </c>
      <c r="Q78" s="9">
        <f t="shared" si="12"/>
        <v>0.2</v>
      </c>
      <c r="R78" s="9">
        <f t="shared" si="13"/>
        <v>0.15</v>
      </c>
      <c r="S78" s="38">
        <v>1</v>
      </c>
      <c r="T78" s="252">
        <v>105991.94</v>
      </c>
      <c r="U78" s="194">
        <v>1059.9194</v>
      </c>
      <c r="V78" s="9"/>
      <c r="W78" s="9"/>
      <c r="X78" s="9" t="s">
        <v>769</v>
      </c>
      <c r="Y78" s="321">
        <v>70793</v>
      </c>
      <c r="Z78" s="19" t="s">
        <v>755</v>
      </c>
      <c r="AA78" s="15" t="s">
        <v>145</v>
      </c>
      <c r="AB78" s="16">
        <v>74</v>
      </c>
      <c r="AC78" s="113"/>
      <c r="AD78" s="109"/>
      <c r="AE78" s="109"/>
      <c r="AF78" s="110"/>
      <c r="AG78" s="169">
        <f t="shared" si="9"/>
        <v>3.0000000000000001E-3</v>
      </c>
      <c r="AH78" s="109"/>
      <c r="AI78" s="109"/>
      <c r="AJ78" s="110"/>
      <c r="AK78" s="113"/>
      <c r="AL78" s="299"/>
      <c r="AM78" s="299"/>
      <c r="AN78" s="21"/>
      <c r="AO78" s="20"/>
      <c r="AP78" s="8"/>
      <c r="AQ78" s="8"/>
      <c r="AR78" s="21"/>
      <c r="AS78" s="256" t="s">
        <v>757</v>
      </c>
      <c r="AT78" s="87"/>
    </row>
    <row r="79" spans="1:46" hidden="1" x14ac:dyDescent="0.25">
      <c r="A79" s="9">
        <v>76</v>
      </c>
      <c r="B79" s="9" t="s">
        <v>28</v>
      </c>
      <c r="C79" s="9" t="s">
        <v>753</v>
      </c>
      <c r="D79" s="9" t="s">
        <v>754</v>
      </c>
      <c r="E79" s="9"/>
      <c r="F79" s="15" t="s">
        <v>814</v>
      </c>
      <c r="G79" s="9"/>
      <c r="H79" s="9" t="s">
        <v>31</v>
      </c>
      <c r="I79" s="9"/>
      <c r="J79" s="9"/>
      <c r="K79" s="9">
        <v>2E-3</v>
      </c>
      <c r="L79" s="9">
        <v>2E-3</v>
      </c>
      <c r="M79" s="9" t="s">
        <v>812</v>
      </c>
      <c r="N79" s="9" t="s">
        <v>33</v>
      </c>
      <c r="O79" s="9">
        <f t="shared" si="10"/>
        <v>0.06</v>
      </c>
      <c r="P79" s="9">
        <f t="shared" si="11"/>
        <v>6.9999999999999993E-2</v>
      </c>
      <c r="Q79" s="9">
        <f t="shared" si="12"/>
        <v>4.0000000000000008E-2</v>
      </c>
      <c r="R79" s="9">
        <f t="shared" si="13"/>
        <v>0.03</v>
      </c>
      <c r="S79" s="38">
        <v>0.2</v>
      </c>
      <c r="T79" s="252">
        <v>105991.94</v>
      </c>
      <c r="U79" s="194">
        <v>211.98388</v>
      </c>
      <c r="V79" s="9"/>
      <c r="W79" s="9"/>
      <c r="X79" s="9" t="s">
        <v>155</v>
      </c>
      <c r="Y79" s="321">
        <v>70793</v>
      </c>
      <c r="Z79" s="19" t="s">
        <v>755</v>
      </c>
      <c r="AA79" s="15" t="s">
        <v>814</v>
      </c>
      <c r="AB79" s="16">
        <v>75</v>
      </c>
      <c r="AC79" s="113"/>
      <c r="AD79" s="109"/>
      <c r="AE79" s="109"/>
      <c r="AF79" s="110"/>
      <c r="AG79" s="169">
        <f t="shared" si="9"/>
        <v>5.9999999999999995E-4</v>
      </c>
      <c r="AH79" s="109"/>
      <c r="AI79" s="109"/>
      <c r="AJ79" s="110"/>
      <c r="AK79" s="113"/>
      <c r="AL79" s="299"/>
      <c r="AM79" s="299"/>
      <c r="AN79" s="21"/>
      <c r="AO79" s="20"/>
      <c r="AP79" s="8"/>
      <c r="AQ79" s="8"/>
      <c r="AR79" s="21"/>
      <c r="AS79" s="256" t="s">
        <v>757</v>
      </c>
      <c r="AT79" s="87"/>
    </row>
    <row r="80" spans="1:46" hidden="1" x14ac:dyDescent="0.25">
      <c r="A80" s="9">
        <v>77</v>
      </c>
      <c r="B80" s="9" t="s">
        <v>28</v>
      </c>
      <c r="C80" s="9" t="s">
        <v>753</v>
      </c>
      <c r="D80" s="9" t="s">
        <v>754</v>
      </c>
      <c r="E80" s="9"/>
      <c r="F80" s="15" t="s">
        <v>814</v>
      </c>
      <c r="G80" s="9"/>
      <c r="H80" s="9" t="s">
        <v>31</v>
      </c>
      <c r="I80" s="9"/>
      <c r="J80" s="9"/>
      <c r="K80" s="9">
        <v>2E-3</v>
      </c>
      <c r="L80" s="9">
        <v>2E-3</v>
      </c>
      <c r="M80" s="9" t="s">
        <v>812</v>
      </c>
      <c r="N80" s="9" t="s">
        <v>33</v>
      </c>
      <c r="O80" s="9">
        <f t="shared" si="10"/>
        <v>0.06</v>
      </c>
      <c r="P80" s="9">
        <f t="shared" si="11"/>
        <v>6.9999999999999993E-2</v>
      </c>
      <c r="Q80" s="9">
        <f t="shared" si="12"/>
        <v>4.0000000000000008E-2</v>
      </c>
      <c r="R80" s="9">
        <f t="shared" si="13"/>
        <v>0.03</v>
      </c>
      <c r="S80" s="38">
        <v>0.2</v>
      </c>
      <c r="T80" s="252">
        <v>105991.94</v>
      </c>
      <c r="U80" s="194">
        <v>211.98388</v>
      </c>
      <c r="V80" s="9"/>
      <c r="W80" s="9"/>
      <c r="X80" s="9" t="s">
        <v>155</v>
      </c>
      <c r="Y80" s="321">
        <v>70793</v>
      </c>
      <c r="Z80" s="19" t="s">
        <v>755</v>
      </c>
      <c r="AA80" s="15" t="s">
        <v>814</v>
      </c>
      <c r="AB80" s="16">
        <v>76</v>
      </c>
      <c r="AC80" s="113"/>
      <c r="AD80" s="109"/>
      <c r="AE80" s="109"/>
      <c r="AF80" s="110"/>
      <c r="AG80" s="169">
        <f t="shared" si="9"/>
        <v>5.9999999999999995E-4</v>
      </c>
      <c r="AH80" s="109"/>
      <c r="AI80" s="109"/>
      <c r="AJ80" s="110"/>
      <c r="AK80" s="113"/>
      <c r="AL80" s="299"/>
      <c r="AM80" s="299"/>
      <c r="AN80" s="21"/>
      <c r="AO80" s="20"/>
      <c r="AP80" s="8"/>
      <c r="AQ80" s="8"/>
      <c r="AR80" s="21"/>
      <c r="AS80" s="256" t="s">
        <v>757</v>
      </c>
      <c r="AT80" s="87"/>
    </row>
    <row r="81" spans="1:46" ht="30" hidden="1" x14ac:dyDescent="0.25">
      <c r="A81" s="9">
        <v>78</v>
      </c>
      <c r="B81" s="9" t="s">
        <v>28</v>
      </c>
      <c r="C81" s="9" t="s">
        <v>753</v>
      </c>
      <c r="D81" s="9" t="s">
        <v>754</v>
      </c>
      <c r="E81" s="9"/>
      <c r="F81" s="15" t="s">
        <v>783</v>
      </c>
      <c r="G81" s="9"/>
      <c r="H81" s="9" t="s">
        <v>31</v>
      </c>
      <c r="I81" s="9"/>
      <c r="J81" s="9"/>
      <c r="K81" s="9">
        <v>8.0000000000000007E-5</v>
      </c>
      <c r="L81" s="9">
        <v>1.2800000000000001E-3</v>
      </c>
      <c r="M81" s="9" t="s">
        <v>775</v>
      </c>
      <c r="N81" s="9" t="s">
        <v>33</v>
      </c>
      <c r="O81" s="9">
        <f t="shared" si="10"/>
        <v>3.8399999999999997E-2</v>
      </c>
      <c r="P81" s="9">
        <f t="shared" si="11"/>
        <v>4.48E-2</v>
      </c>
      <c r="Q81" s="9">
        <f t="shared" si="12"/>
        <v>2.5600000000000001E-2</v>
      </c>
      <c r="R81" s="9">
        <f t="shared" si="13"/>
        <v>1.9199999999999998E-2</v>
      </c>
      <c r="S81" s="38">
        <v>0.128</v>
      </c>
      <c r="T81" s="252">
        <v>105991.94</v>
      </c>
      <c r="U81" s="194">
        <v>135.66968320000001</v>
      </c>
      <c r="V81" s="9"/>
      <c r="W81" s="9"/>
      <c r="X81" s="9" t="s">
        <v>784</v>
      </c>
      <c r="Y81" s="321">
        <v>70793</v>
      </c>
      <c r="Z81" s="19" t="s">
        <v>755</v>
      </c>
      <c r="AA81" s="15" t="s">
        <v>783</v>
      </c>
      <c r="AB81" s="16">
        <v>77</v>
      </c>
      <c r="AC81" s="113"/>
      <c r="AD81" s="109"/>
      <c r="AE81" s="109"/>
      <c r="AF81" s="110"/>
      <c r="AG81" s="169">
        <f t="shared" si="9"/>
        <v>3.8400000000000001E-4</v>
      </c>
      <c r="AH81" s="109"/>
      <c r="AI81" s="109"/>
      <c r="AJ81" s="110"/>
      <c r="AK81" s="113"/>
      <c r="AL81" s="299"/>
      <c r="AM81" s="299"/>
      <c r="AN81" s="21"/>
      <c r="AO81" s="20"/>
      <c r="AP81" s="8"/>
      <c r="AQ81" s="8"/>
      <c r="AR81" s="21"/>
      <c r="AS81" s="256" t="s">
        <v>757</v>
      </c>
      <c r="AT81" s="87"/>
    </row>
    <row r="82" spans="1:46" ht="30" hidden="1" x14ac:dyDescent="0.25">
      <c r="A82" s="9">
        <v>79</v>
      </c>
      <c r="B82" s="9" t="s">
        <v>28</v>
      </c>
      <c r="C82" s="9" t="s">
        <v>753</v>
      </c>
      <c r="D82" s="9" t="s">
        <v>754</v>
      </c>
      <c r="E82" s="9"/>
      <c r="F82" s="15" t="s">
        <v>783</v>
      </c>
      <c r="G82" s="9"/>
      <c r="H82" s="9" t="s">
        <v>31</v>
      </c>
      <c r="I82" s="9"/>
      <c r="J82" s="9"/>
      <c r="K82" s="9">
        <v>8.0000000000000007E-5</v>
      </c>
      <c r="L82" s="9">
        <v>2.4000000000000002E-3</v>
      </c>
      <c r="M82" s="9" t="s">
        <v>816</v>
      </c>
      <c r="N82" s="9" t="s">
        <v>33</v>
      </c>
      <c r="O82" s="9">
        <f t="shared" si="10"/>
        <v>7.2000000000000008E-2</v>
      </c>
      <c r="P82" s="9">
        <f t="shared" si="11"/>
        <v>8.4000000000000005E-2</v>
      </c>
      <c r="Q82" s="9">
        <f t="shared" si="12"/>
        <v>4.8000000000000008E-2</v>
      </c>
      <c r="R82" s="9">
        <f t="shared" si="13"/>
        <v>3.6000000000000004E-2</v>
      </c>
      <c r="S82" s="38">
        <v>0.24000000000000002</v>
      </c>
      <c r="T82" s="252">
        <v>105991.94</v>
      </c>
      <c r="U82" s="194">
        <v>254.38065600000002</v>
      </c>
      <c r="V82" s="9"/>
      <c r="W82" s="9"/>
      <c r="X82" s="9" t="s">
        <v>784</v>
      </c>
      <c r="Y82" s="321">
        <v>70793</v>
      </c>
      <c r="Z82" s="19" t="s">
        <v>755</v>
      </c>
      <c r="AA82" s="15" t="s">
        <v>783</v>
      </c>
      <c r="AB82" s="16">
        <v>78</v>
      </c>
      <c r="AC82" s="113"/>
      <c r="AD82" s="109"/>
      <c r="AE82" s="109"/>
      <c r="AF82" s="110"/>
      <c r="AG82" s="169">
        <f t="shared" si="9"/>
        <v>7.2000000000000005E-4</v>
      </c>
      <c r="AH82" s="109"/>
      <c r="AI82" s="109"/>
      <c r="AJ82" s="110"/>
      <c r="AK82" s="113"/>
      <c r="AL82" s="299"/>
      <c r="AM82" s="299"/>
      <c r="AN82" s="21"/>
      <c r="AO82" s="20"/>
      <c r="AP82" s="8"/>
      <c r="AQ82" s="8"/>
      <c r="AR82" s="21"/>
      <c r="AS82" s="256" t="s">
        <v>757</v>
      </c>
    </row>
    <row r="83" spans="1:46" ht="30" hidden="1" x14ac:dyDescent="0.25">
      <c r="A83" s="9">
        <v>80</v>
      </c>
      <c r="B83" s="9" t="s">
        <v>28</v>
      </c>
      <c r="C83" s="9" t="s">
        <v>753</v>
      </c>
      <c r="D83" s="9" t="s">
        <v>754</v>
      </c>
      <c r="E83" s="9"/>
      <c r="F83" s="15" t="s">
        <v>783</v>
      </c>
      <c r="G83" s="9"/>
      <c r="H83" s="9" t="s">
        <v>31</v>
      </c>
      <c r="I83" s="9"/>
      <c r="J83" s="9"/>
      <c r="K83" s="9">
        <v>8.0000000000000007E-5</v>
      </c>
      <c r="L83" s="9">
        <v>4.8000000000000004E-3</v>
      </c>
      <c r="M83" s="9" t="s">
        <v>793</v>
      </c>
      <c r="N83" s="9" t="s">
        <v>33</v>
      </c>
      <c r="O83" s="9">
        <f t="shared" si="10"/>
        <v>0.14400000000000002</v>
      </c>
      <c r="P83" s="9">
        <f t="shared" si="11"/>
        <v>0.16800000000000001</v>
      </c>
      <c r="Q83" s="9">
        <f t="shared" si="12"/>
        <v>9.6000000000000016E-2</v>
      </c>
      <c r="R83" s="9">
        <f t="shared" si="13"/>
        <v>7.2000000000000008E-2</v>
      </c>
      <c r="S83" s="38">
        <v>0.48000000000000004</v>
      </c>
      <c r="T83" s="252">
        <v>105991.94</v>
      </c>
      <c r="U83" s="194">
        <v>508.76131200000003</v>
      </c>
      <c r="V83" s="9"/>
      <c r="W83" s="9"/>
      <c r="X83" s="9" t="s">
        <v>784</v>
      </c>
      <c r="Y83" s="321">
        <v>70793</v>
      </c>
      <c r="Z83" s="19" t="s">
        <v>755</v>
      </c>
      <c r="AA83" s="15" t="s">
        <v>783</v>
      </c>
      <c r="AB83" s="16">
        <v>79</v>
      </c>
      <c r="AC83" s="113"/>
      <c r="AD83" s="109"/>
      <c r="AE83" s="109"/>
      <c r="AF83" s="110"/>
      <c r="AG83" s="169">
        <f t="shared" si="9"/>
        <v>1.4400000000000001E-3</v>
      </c>
      <c r="AH83" s="109"/>
      <c r="AI83" s="109"/>
      <c r="AJ83" s="110"/>
      <c r="AK83" s="113"/>
      <c r="AL83" s="299"/>
      <c r="AM83" s="299"/>
      <c r="AN83" s="21"/>
      <c r="AO83" s="20"/>
      <c r="AP83" s="8"/>
      <c r="AQ83" s="8"/>
      <c r="AR83" s="21"/>
      <c r="AS83" s="256" t="s">
        <v>757</v>
      </c>
    </row>
    <row r="84" spans="1:46" ht="30" hidden="1" x14ac:dyDescent="0.25">
      <c r="A84" s="9">
        <v>81</v>
      </c>
      <c r="B84" s="9" t="s">
        <v>28</v>
      </c>
      <c r="C84" s="9" t="s">
        <v>753</v>
      </c>
      <c r="D84" s="9" t="s">
        <v>754</v>
      </c>
      <c r="E84" s="9"/>
      <c r="F84" s="15" t="s">
        <v>783</v>
      </c>
      <c r="G84" s="9"/>
      <c r="H84" s="9" t="s">
        <v>31</v>
      </c>
      <c r="I84" s="9"/>
      <c r="J84" s="9"/>
      <c r="K84" s="9">
        <v>8.0000000000000007E-5</v>
      </c>
      <c r="L84" s="9">
        <v>9.6000000000000013E-4</v>
      </c>
      <c r="M84" s="9" t="s">
        <v>801</v>
      </c>
      <c r="N84" s="9" t="s">
        <v>33</v>
      </c>
      <c r="O84" s="9">
        <f t="shared" si="10"/>
        <v>2.8800000000000003E-2</v>
      </c>
      <c r="P84" s="9">
        <f t="shared" si="11"/>
        <v>3.3600000000000005E-2</v>
      </c>
      <c r="Q84" s="9">
        <f t="shared" si="12"/>
        <v>1.9200000000000005E-2</v>
      </c>
      <c r="R84" s="9">
        <f t="shared" si="13"/>
        <v>1.4400000000000001E-2</v>
      </c>
      <c r="S84" s="38">
        <v>9.6000000000000016E-2</v>
      </c>
      <c r="T84" s="252">
        <v>105991.94</v>
      </c>
      <c r="U84" s="194">
        <v>101.75226240000002</v>
      </c>
      <c r="V84" s="9"/>
      <c r="W84" s="9"/>
      <c r="X84" s="9" t="s">
        <v>784</v>
      </c>
      <c r="Y84" s="321">
        <v>70793</v>
      </c>
      <c r="Z84" s="19" t="s">
        <v>755</v>
      </c>
      <c r="AA84" s="15" t="s">
        <v>783</v>
      </c>
      <c r="AB84" s="16">
        <v>80</v>
      </c>
      <c r="AC84" s="113"/>
      <c r="AD84" s="109"/>
      <c r="AE84" s="109"/>
      <c r="AF84" s="110"/>
      <c r="AG84" s="169">
        <f t="shared" si="9"/>
        <v>2.8800000000000001E-4</v>
      </c>
      <c r="AH84" s="109"/>
      <c r="AI84" s="109"/>
      <c r="AJ84" s="110"/>
      <c r="AK84" s="113"/>
      <c r="AL84" s="299"/>
      <c r="AM84" s="299"/>
      <c r="AN84" s="21"/>
      <c r="AO84" s="20"/>
      <c r="AP84" s="8"/>
      <c r="AQ84" s="8"/>
      <c r="AR84" s="21"/>
      <c r="AS84" s="256" t="s">
        <v>757</v>
      </c>
    </row>
    <row r="85" spans="1:46" ht="30" hidden="1" x14ac:dyDescent="0.25">
      <c r="A85" s="9">
        <v>82</v>
      </c>
      <c r="B85" s="9" t="s">
        <v>28</v>
      </c>
      <c r="C85" s="9" t="s">
        <v>753</v>
      </c>
      <c r="D85" s="9" t="s">
        <v>754</v>
      </c>
      <c r="E85" s="9"/>
      <c r="F85" s="15" t="s">
        <v>783</v>
      </c>
      <c r="G85" s="9"/>
      <c r="H85" s="9" t="s">
        <v>31</v>
      </c>
      <c r="I85" s="9"/>
      <c r="J85" s="9"/>
      <c r="K85" s="9">
        <v>8.0000000000000007E-5</v>
      </c>
      <c r="L85" s="9">
        <v>1.9200000000000003E-3</v>
      </c>
      <c r="M85" s="9" t="s">
        <v>767</v>
      </c>
      <c r="N85" s="9" t="s">
        <v>33</v>
      </c>
      <c r="O85" s="9">
        <f t="shared" si="10"/>
        <v>5.7600000000000005E-2</v>
      </c>
      <c r="P85" s="9">
        <f t="shared" si="11"/>
        <v>6.720000000000001E-2</v>
      </c>
      <c r="Q85" s="9">
        <f t="shared" si="12"/>
        <v>3.8400000000000011E-2</v>
      </c>
      <c r="R85" s="9">
        <f t="shared" si="13"/>
        <v>2.8800000000000003E-2</v>
      </c>
      <c r="S85" s="38">
        <v>0.19200000000000003</v>
      </c>
      <c r="T85" s="252">
        <v>105991.94</v>
      </c>
      <c r="U85" s="194">
        <v>203.50452480000004</v>
      </c>
      <c r="V85" s="9"/>
      <c r="W85" s="9"/>
      <c r="X85" s="9" t="s">
        <v>784</v>
      </c>
      <c r="Y85" s="321">
        <v>70793</v>
      </c>
      <c r="Z85" s="19" t="s">
        <v>755</v>
      </c>
      <c r="AA85" s="15" t="s">
        <v>783</v>
      </c>
      <c r="AB85" s="16">
        <v>81</v>
      </c>
      <c r="AC85" s="113"/>
      <c r="AD85" s="109"/>
      <c r="AE85" s="109"/>
      <c r="AF85" s="110"/>
      <c r="AG85" s="169">
        <f t="shared" si="9"/>
        <v>5.7600000000000001E-4</v>
      </c>
      <c r="AH85" s="109"/>
      <c r="AI85" s="109"/>
      <c r="AJ85" s="110"/>
      <c r="AK85" s="113"/>
      <c r="AL85" s="299"/>
      <c r="AM85" s="299"/>
      <c r="AN85" s="21"/>
      <c r="AO85" s="20"/>
      <c r="AP85" s="8"/>
      <c r="AQ85" s="8"/>
      <c r="AR85" s="21"/>
      <c r="AS85" s="256" t="s">
        <v>757</v>
      </c>
    </row>
    <row r="86" spans="1:46" ht="30" hidden="1" x14ac:dyDescent="0.25">
      <c r="A86" s="9">
        <v>83</v>
      </c>
      <c r="B86" s="9" t="s">
        <v>28</v>
      </c>
      <c r="C86" s="9" t="s">
        <v>753</v>
      </c>
      <c r="D86" s="9" t="s">
        <v>754</v>
      </c>
      <c r="E86" s="9"/>
      <c r="F86" s="15" t="s">
        <v>781</v>
      </c>
      <c r="G86" s="9"/>
      <c r="H86" s="9" t="s">
        <v>31</v>
      </c>
      <c r="I86" s="9"/>
      <c r="J86" s="9"/>
      <c r="K86" s="9">
        <v>1.0000000000000001E-5</v>
      </c>
      <c r="L86" s="9">
        <v>2.4000000000000003E-4</v>
      </c>
      <c r="M86" s="9" t="s">
        <v>767</v>
      </c>
      <c r="N86" s="9" t="s">
        <v>33</v>
      </c>
      <c r="O86" s="9">
        <f t="shared" si="10"/>
        <v>7.2000000000000007E-3</v>
      </c>
      <c r="P86" s="9">
        <f t="shared" si="11"/>
        <v>8.4000000000000012E-3</v>
      </c>
      <c r="Q86" s="9">
        <f t="shared" si="12"/>
        <v>4.8000000000000013E-3</v>
      </c>
      <c r="R86" s="9">
        <f t="shared" si="13"/>
        <v>3.6000000000000003E-3</v>
      </c>
      <c r="S86" s="38">
        <v>2.4000000000000004E-2</v>
      </c>
      <c r="T86" s="252">
        <v>105991.94</v>
      </c>
      <c r="U86" s="194">
        <v>25.438065600000005</v>
      </c>
      <c r="V86" s="9"/>
      <c r="W86" s="9"/>
      <c r="X86" s="9" t="s">
        <v>782</v>
      </c>
      <c r="Y86" s="321">
        <v>70793</v>
      </c>
      <c r="Z86" s="19" t="s">
        <v>755</v>
      </c>
      <c r="AA86" s="15" t="s">
        <v>781</v>
      </c>
      <c r="AB86" s="16">
        <v>82</v>
      </c>
      <c r="AC86" s="113"/>
      <c r="AD86" s="109"/>
      <c r="AE86" s="109"/>
      <c r="AF86" s="110"/>
      <c r="AG86" s="169">
        <f t="shared" si="9"/>
        <v>7.2000000000000002E-5</v>
      </c>
      <c r="AH86" s="109"/>
      <c r="AI86" s="109"/>
      <c r="AJ86" s="110"/>
      <c r="AK86" s="113"/>
      <c r="AL86" s="299"/>
      <c r="AM86" s="299"/>
      <c r="AN86" s="21"/>
      <c r="AO86" s="20"/>
      <c r="AP86" s="8"/>
      <c r="AQ86" s="8"/>
      <c r="AR86" s="21"/>
      <c r="AS86" s="256" t="s">
        <v>757</v>
      </c>
    </row>
    <row r="87" spans="1:46" ht="30" hidden="1" x14ac:dyDescent="0.25">
      <c r="A87" s="9">
        <v>84</v>
      </c>
      <c r="B87" s="9" t="s">
        <v>28</v>
      </c>
      <c r="C87" s="9" t="s">
        <v>753</v>
      </c>
      <c r="D87" s="9" t="s">
        <v>754</v>
      </c>
      <c r="E87" s="9"/>
      <c r="F87" s="15" t="s">
        <v>781</v>
      </c>
      <c r="G87" s="9"/>
      <c r="H87" s="9" t="s">
        <v>31</v>
      </c>
      <c r="I87" s="9"/>
      <c r="J87" s="9"/>
      <c r="K87" s="9">
        <v>1.0000000000000001E-5</v>
      </c>
      <c r="L87" s="9">
        <v>2.2000000000000001E-4</v>
      </c>
      <c r="M87" s="9" t="s">
        <v>817</v>
      </c>
      <c r="N87" s="9" t="s">
        <v>33</v>
      </c>
      <c r="O87" s="9">
        <f t="shared" si="10"/>
        <v>6.6000000000000008E-3</v>
      </c>
      <c r="P87" s="9">
        <f t="shared" si="11"/>
        <v>7.7000000000000002E-3</v>
      </c>
      <c r="Q87" s="9">
        <f t="shared" si="12"/>
        <v>4.4000000000000003E-3</v>
      </c>
      <c r="R87" s="9">
        <f t="shared" si="13"/>
        <v>3.3000000000000004E-3</v>
      </c>
      <c r="S87" s="38">
        <v>2.2000000000000002E-2</v>
      </c>
      <c r="T87" s="252">
        <v>105991.94</v>
      </c>
      <c r="U87" s="194">
        <v>23.318226800000001</v>
      </c>
      <c r="V87" s="9"/>
      <c r="W87" s="9"/>
      <c r="X87" s="9" t="s">
        <v>782</v>
      </c>
      <c r="Y87" s="321">
        <v>70793</v>
      </c>
      <c r="Z87" s="19" t="s">
        <v>755</v>
      </c>
      <c r="AA87" s="15" t="s">
        <v>781</v>
      </c>
      <c r="AB87" s="16">
        <v>83</v>
      </c>
      <c r="AC87" s="113"/>
      <c r="AD87" s="109"/>
      <c r="AE87" s="109"/>
      <c r="AF87" s="110"/>
      <c r="AG87" s="169">
        <f t="shared" si="9"/>
        <v>6.6000000000000005E-5</v>
      </c>
      <c r="AH87" s="109"/>
      <c r="AI87" s="109"/>
      <c r="AJ87" s="110"/>
      <c r="AK87" s="113"/>
      <c r="AL87" s="299"/>
      <c r="AM87" s="299"/>
      <c r="AN87" s="21"/>
      <c r="AO87" s="20"/>
      <c r="AP87" s="8"/>
      <c r="AQ87" s="8"/>
      <c r="AR87" s="21"/>
      <c r="AS87" s="256" t="s">
        <v>757</v>
      </c>
    </row>
    <row r="88" spans="1:46" hidden="1" x14ac:dyDescent="0.25">
      <c r="A88" s="9">
        <v>85</v>
      </c>
      <c r="B88" s="9" t="s">
        <v>28</v>
      </c>
      <c r="C88" s="9" t="s">
        <v>753</v>
      </c>
      <c r="D88" s="9" t="s">
        <v>754</v>
      </c>
      <c r="E88" s="9"/>
      <c r="F88" s="15" t="s">
        <v>785</v>
      </c>
      <c r="G88" s="9"/>
      <c r="H88" s="9" t="s">
        <v>31</v>
      </c>
      <c r="I88" s="9"/>
      <c r="J88" s="9"/>
      <c r="K88" s="9">
        <v>2.0000000000000001E-4</v>
      </c>
      <c r="L88" s="9">
        <v>4.0000000000000001E-3</v>
      </c>
      <c r="M88" s="9" t="s">
        <v>818</v>
      </c>
      <c r="N88" s="9" t="s">
        <v>33</v>
      </c>
      <c r="O88" s="9">
        <f t="shared" si="10"/>
        <v>0.12</v>
      </c>
      <c r="P88" s="9">
        <f t="shared" si="11"/>
        <v>0.13999999999999999</v>
      </c>
      <c r="Q88" s="9">
        <f t="shared" si="12"/>
        <v>8.0000000000000016E-2</v>
      </c>
      <c r="R88" s="9">
        <f t="shared" si="13"/>
        <v>0.06</v>
      </c>
      <c r="S88" s="38">
        <v>0.4</v>
      </c>
      <c r="T88" s="252">
        <v>105991.94</v>
      </c>
      <c r="U88" s="194">
        <v>423.96776</v>
      </c>
      <c r="V88" s="9"/>
      <c r="W88" s="9"/>
      <c r="X88" s="9" t="s">
        <v>787</v>
      </c>
      <c r="Y88" s="321">
        <v>70793</v>
      </c>
      <c r="Z88" s="19" t="s">
        <v>755</v>
      </c>
      <c r="AA88" s="15" t="s">
        <v>785</v>
      </c>
      <c r="AB88" s="16">
        <v>84</v>
      </c>
      <c r="AC88" s="113"/>
      <c r="AD88" s="109"/>
      <c r="AE88" s="109"/>
      <c r="AF88" s="110"/>
      <c r="AG88" s="169">
        <f t="shared" si="9"/>
        <v>1.1999999999999999E-3</v>
      </c>
      <c r="AH88" s="109"/>
      <c r="AI88" s="109"/>
      <c r="AJ88" s="110"/>
      <c r="AK88" s="113"/>
      <c r="AL88" s="299"/>
      <c r="AM88" s="299"/>
      <c r="AN88" s="21"/>
      <c r="AO88" s="20"/>
      <c r="AP88" s="8"/>
      <c r="AQ88" s="8"/>
      <c r="AR88" s="21"/>
      <c r="AS88" s="256" t="s">
        <v>757</v>
      </c>
    </row>
    <row r="89" spans="1:46" hidden="1" x14ac:dyDescent="0.25">
      <c r="A89" s="9">
        <v>86</v>
      </c>
      <c r="B89" s="9" t="s">
        <v>28</v>
      </c>
      <c r="C89" s="9" t="s">
        <v>753</v>
      </c>
      <c r="D89" s="9" t="s">
        <v>754</v>
      </c>
      <c r="E89" s="9"/>
      <c r="F89" s="15" t="s">
        <v>785</v>
      </c>
      <c r="G89" s="9"/>
      <c r="H89" s="9" t="s">
        <v>31</v>
      </c>
      <c r="I89" s="9"/>
      <c r="J89" s="9"/>
      <c r="K89" s="9">
        <v>2.0000000000000001E-4</v>
      </c>
      <c r="L89" s="9">
        <v>3.0000000000000001E-3</v>
      </c>
      <c r="M89" s="9" t="s">
        <v>819</v>
      </c>
      <c r="N89" s="9" t="s">
        <v>33</v>
      </c>
      <c r="O89" s="9">
        <f t="shared" si="10"/>
        <v>0.09</v>
      </c>
      <c r="P89" s="9">
        <f t="shared" si="11"/>
        <v>0.105</v>
      </c>
      <c r="Q89" s="9">
        <f t="shared" si="12"/>
        <v>0.06</v>
      </c>
      <c r="R89" s="9">
        <f t="shared" si="13"/>
        <v>4.4999999999999998E-2</v>
      </c>
      <c r="S89" s="38">
        <v>0.3</v>
      </c>
      <c r="T89" s="252">
        <v>105991.94</v>
      </c>
      <c r="U89" s="194">
        <v>317.97582</v>
      </c>
      <c r="V89" s="9"/>
      <c r="W89" s="9"/>
      <c r="X89" s="9" t="s">
        <v>787</v>
      </c>
      <c r="Y89" s="321">
        <v>70793</v>
      </c>
      <c r="Z89" s="19" t="s">
        <v>755</v>
      </c>
      <c r="AA89" s="15" t="s">
        <v>785</v>
      </c>
      <c r="AB89" s="16">
        <v>85</v>
      </c>
      <c r="AC89" s="113"/>
      <c r="AD89" s="109"/>
      <c r="AE89" s="109"/>
      <c r="AF89" s="110"/>
      <c r="AG89" s="169">
        <f t="shared" si="9"/>
        <v>8.9999999999999998E-4</v>
      </c>
      <c r="AH89" s="109"/>
      <c r="AI89" s="109"/>
      <c r="AJ89" s="110"/>
      <c r="AK89" s="113"/>
      <c r="AL89" s="299"/>
      <c r="AM89" s="299"/>
      <c r="AN89" s="21"/>
      <c r="AO89" s="20"/>
      <c r="AP89" s="8"/>
      <c r="AQ89" s="8"/>
      <c r="AR89" s="21"/>
      <c r="AS89" s="256" t="s">
        <v>757</v>
      </c>
    </row>
    <row r="90" spans="1:46" ht="30" hidden="1" x14ac:dyDescent="0.25">
      <c r="A90" s="9">
        <v>87</v>
      </c>
      <c r="B90" s="9" t="s">
        <v>28</v>
      </c>
      <c r="C90" s="9" t="s">
        <v>753</v>
      </c>
      <c r="D90" s="9" t="s">
        <v>754</v>
      </c>
      <c r="E90" s="9"/>
      <c r="F90" s="15" t="s">
        <v>797</v>
      </c>
      <c r="G90" s="9"/>
      <c r="H90" s="9" t="s">
        <v>31</v>
      </c>
      <c r="I90" s="9"/>
      <c r="J90" s="9"/>
      <c r="K90" s="9">
        <v>5.0000000000000001E-4</v>
      </c>
      <c r="L90" s="9">
        <v>0.01</v>
      </c>
      <c r="M90" s="9" t="s">
        <v>818</v>
      </c>
      <c r="N90" s="9" t="s">
        <v>33</v>
      </c>
      <c r="O90" s="9">
        <f t="shared" si="10"/>
        <v>0.3</v>
      </c>
      <c r="P90" s="9">
        <f t="shared" si="11"/>
        <v>0.35</v>
      </c>
      <c r="Q90" s="9">
        <f t="shared" si="12"/>
        <v>0.2</v>
      </c>
      <c r="R90" s="9">
        <f t="shared" si="13"/>
        <v>0.15</v>
      </c>
      <c r="S90" s="38">
        <v>1</v>
      </c>
      <c r="T90" s="252">
        <v>105991.94</v>
      </c>
      <c r="U90" s="194">
        <v>1059.9194</v>
      </c>
      <c r="V90" s="9"/>
      <c r="W90" s="9"/>
      <c r="X90" s="9" t="s">
        <v>798</v>
      </c>
      <c r="Y90" s="321">
        <v>70793</v>
      </c>
      <c r="Z90" s="19" t="s">
        <v>755</v>
      </c>
      <c r="AA90" s="15" t="s">
        <v>797</v>
      </c>
      <c r="AB90" s="16">
        <v>86</v>
      </c>
      <c r="AC90" s="113"/>
      <c r="AD90" s="109"/>
      <c r="AE90" s="109"/>
      <c r="AF90" s="110"/>
      <c r="AG90" s="169">
        <f t="shared" si="9"/>
        <v>3.0000000000000001E-3</v>
      </c>
      <c r="AH90" s="109"/>
      <c r="AI90" s="109"/>
      <c r="AJ90" s="110"/>
      <c r="AK90" s="113"/>
      <c r="AL90" s="299"/>
      <c r="AM90" s="299"/>
      <c r="AN90" s="21"/>
      <c r="AO90" s="20"/>
      <c r="AP90" s="8"/>
      <c r="AQ90" s="8"/>
      <c r="AR90" s="21"/>
      <c r="AS90" s="256" t="s">
        <v>757</v>
      </c>
    </row>
    <row r="91" spans="1:46" ht="30" hidden="1" x14ac:dyDescent="0.25">
      <c r="A91" s="9">
        <v>88</v>
      </c>
      <c r="B91" s="9" t="s">
        <v>28</v>
      </c>
      <c r="C91" s="9" t="s">
        <v>753</v>
      </c>
      <c r="D91" s="9" t="s">
        <v>754</v>
      </c>
      <c r="E91" s="9"/>
      <c r="F91" s="15" t="s">
        <v>797</v>
      </c>
      <c r="G91" s="9"/>
      <c r="H91" s="9" t="s">
        <v>31</v>
      </c>
      <c r="I91" s="9"/>
      <c r="J91" s="9"/>
      <c r="K91" s="9">
        <v>5.0000000000000001E-4</v>
      </c>
      <c r="L91" s="9">
        <v>7.4999999999999997E-3</v>
      </c>
      <c r="M91" s="9" t="s">
        <v>819</v>
      </c>
      <c r="N91" s="9" t="s">
        <v>33</v>
      </c>
      <c r="O91" s="9">
        <f t="shared" si="10"/>
        <v>0.22499999999999998</v>
      </c>
      <c r="P91" s="9">
        <f t="shared" si="11"/>
        <v>0.26249999999999996</v>
      </c>
      <c r="Q91" s="9">
        <f t="shared" si="12"/>
        <v>0.15000000000000002</v>
      </c>
      <c r="R91" s="9">
        <f t="shared" si="13"/>
        <v>0.11249999999999999</v>
      </c>
      <c r="S91" s="38">
        <v>0.75</v>
      </c>
      <c r="T91" s="252">
        <v>105991.94</v>
      </c>
      <c r="U91" s="194">
        <v>794.93954999999994</v>
      </c>
      <c r="V91" s="9"/>
      <c r="W91" s="9"/>
      <c r="X91" s="9" t="s">
        <v>798</v>
      </c>
      <c r="Y91" s="321">
        <v>70793</v>
      </c>
      <c r="Z91" s="19" t="s">
        <v>755</v>
      </c>
      <c r="AA91" s="15" t="s">
        <v>797</v>
      </c>
      <c r="AB91" s="16">
        <v>87</v>
      </c>
      <c r="AC91" s="113"/>
      <c r="AD91" s="109"/>
      <c r="AE91" s="109"/>
      <c r="AF91" s="110"/>
      <c r="AG91" s="169">
        <f t="shared" si="9"/>
        <v>2.2499999999999998E-3</v>
      </c>
      <c r="AH91" s="109"/>
      <c r="AI91" s="109"/>
      <c r="AJ91" s="110"/>
      <c r="AK91" s="113"/>
      <c r="AL91" s="299"/>
      <c r="AM91" s="299"/>
      <c r="AN91" s="21"/>
      <c r="AO91" s="20"/>
      <c r="AP91" s="8"/>
      <c r="AQ91" s="8"/>
      <c r="AR91" s="21"/>
      <c r="AS91" s="256" t="s">
        <v>757</v>
      </c>
    </row>
    <row r="92" spans="1:46" hidden="1" x14ac:dyDescent="0.25">
      <c r="A92" s="9">
        <v>89</v>
      </c>
      <c r="B92" s="9" t="s">
        <v>28</v>
      </c>
      <c r="C92" s="9" t="s">
        <v>753</v>
      </c>
      <c r="D92" s="9" t="s">
        <v>754</v>
      </c>
      <c r="E92" s="9"/>
      <c r="F92" s="15" t="s">
        <v>145</v>
      </c>
      <c r="G92" s="9"/>
      <c r="H92" s="9" t="s">
        <v>31</v>
      </c>
      <c r="I92" s="9"/>
      <c r="J92" s="9"/>
      <c r="K92" s="9">
        <v>8.0000000000000002E-3</v>
      </c>
      <c r="L92" s="9">
        <v>8.0000000000000002E-3</v>
      </c>
      <c r="M92" s="9" t="s">
        <v>812</v>
      </c>
      <c r="N92" s="9" t="s">
        <v>33</v>
      </c>
      <c r="O92" s="9">
        <f t="shared" si="10"/>
        <v>0.24</v>
      </c>
      <c r="P92" s="9">
        <f t="shared" si="11"/>
        <v>0.27999999999999997</v>
      </c>
      <c r="Q92" s="9">
        <f t="shared" si="12"/>
        <v>0.16000000000000003</v>
      </c>
      <c r="R92" s="9">
        <f t="shared" si="13"/>
        <v>0.12</v>
      </c>
      <c r="S92" s="38">
        <v>0.8</v>
      </c>
      <c r="T92" s="252">
        <v>105991.94</v>
      </c>
      <c r="U92" s="194">
        <v>847.93552</v>
      </c>
      <c r="V92" s="9"/>
      <c r="W92" s="9"/>
      <c r="X92" s="9" t="s">
        <v>820</v>
      </c>
      <c r="Y92" s="321">
        <v>70793</v>
      </c>
      <c r="Z92" s="19" t="s">
        <v>755</v>
      </c>
      <c r="AA92" s="15" t="s">
        <v>145</v>
      </c>
      <c r="AB92" s="16">
        <v>88</v>
      </c>
      <c r="AC92" s="113"/>
      <c r="AD92" s="109"/>
      <c r="AE92" s="109"/>
      <c r="AF92" s="110"/>
      <c r="AG92" s="169">
        <f t="shared" si="9"/>
        <v>2.3999999999999998E-3</v>
      </c>
      <c r="AH92" s="109"/>
      <c r="AI92" s="109"/>
      <c r="AJ92" s="110"/>
      <c r="AK92" s="113"/>
      <c r="AL92" s="299"/>
      <c r="AM92" s="299"/>
      <c r="AN92" s="21"/>
      <c r="AO92" s="20"/>
      <c r="AP92" s="8"/>
      <c r="AQ92" s="8"/>
      <c r="AR92" s="21"/>
      <c r="AS92" s="256" t="s">
        <v>757</v>
      </c>
    </row>
    <row r="93" spans="1:46" hidden="1" x14ac:dyDescent="0.25">
      <c r="A93" s="9">
        <v>90</v>
      </c>
      <c r="B93" s="9" t="s">
        <v>28</v>
      </c>
      <c r="C93" s="9" t="s">
        <v>753</v>
      </c>
      <c r="D93" s="9" t="s">
        <v>754</v>
      </c>
      <c r="E93" s="9"/>
      <c r="F93" s="15" t="s">
        <v>145</v>
      </c>
      <c r="G93" s="9"/>
      <c r="H93" s="9" t="s">
        <v>31</v>
      </c>
      <c r="I93" s="9"/>
      <c r="J93" s="9"/>
      <c r="K93" s="9">
        <v>8.0000000000000002E-3</v>
      </c>
      <c r="L93" s="9">
        <v>8.0000000000000002E-3</v>
      </c>
      <c r="M93" s="9" t="s">
        <v>812</v>
      </c>
      <c r="N93" s="9" t="s">
        <v>33</v>
      </c>
      <c r="O93" s="9">
        <f t="shared" si="10"/>
        <v>0.24</v>
      </c>
      <c r="P93" s="9">
        <f t="shared" si="11"/>
        <v>0.27999999999999997</v>
      </c>
      <c r="Q93" s="9">
        <f t="shared" si="12"/>
        <v>0.16000000000000003</v>
      </c>
      <c r="R93" s="9">
        <f t="shared" si="13"/>
        <v>0.12</v>
      </c>
      <c r="S93" s="38">
        <v>0.8</v>
      </c>
      <c r="T93" s="252">
        <v>105991.94</v>
      </c>
      <c r="U93" s="194">
        <v>847.93552</v>
      </c>
      <c r="V93" s="9"/>
      <c r="W93" s="9"/>
      <c r="X93" s="9" t="s">
        <v>820</v>
      </c>
      <c r="Y93" s="321">
        <v>70793</v>
      </c>
      <c r="Z93" s="19" t="s">
        <v>755</v>
      </c>
      <c r="AA93" s="15" t="s">
        <v>145</v>
      </c>
      <c r="AB93" s="16">
        <v>89</v>
      </c>
      <c r="AC93" s="113"/>
      <c r="AD93" s="109"/>
      <c r="AE93" s="109"/>
      <c r="AF93" s="110"/>
      <c r="AG93" s="169">
        <f t="shared" si="9"/>
        <v>2.3999999999999998E-3</v>
      </c>
      <c r="AH93" s="109"/>
      <c r="AI93" s="109"/>
      <c r="AJ93" s="110"/>
      <c r="AK93" s="113"/>
      <c r="AL93" s="299"/>
      <c r="AM93" s="299"/>
      <c r="AN93" s="21"/>
      <c r="AO93" s="20"/>
      <c r="AP93" s="8"/>
      <c r="AQ93" s="8"/>
      <c r="AR93" s="21"/>
      <c r="AS93" s="256" t="s">
        <v>757</v>
      </c>
    </row>
    <row r="94" spans="1:46" hidden="1" x14ac:dyDescent="0.25">
      <c r="A94" s="9">
        <v>91</v>
      </c>
      <c r="B94" s="9" t="s">
        <v>28</v>
      </c>
      <c r="C94" s="9" t="s">
        <v>753</v>
      </c>
      <c r="D94" s="9" t="s">
        <v>754</v>
      </c>
      <c r="E94" s="9"/>
      <c r="F94" s="15" t="s">
        <v>145</v>
      </c>
      <c r="G94" s="9"/>
      <c r="H94" s="9" t="s">
        <v>31</v>
      </c>
      <c r="I94" s="9"/>
      <c r="J94" s="9"/>
      <c r="K94" s="9">
        <v>8.0000000000000002E-3</v>
      </c>
      <c r="L94" s="9">
        <v>8.0000000000000002E-3</v>
      </c>
      <c r="M94" s="9" t="s">
        <v>812</v>
      </c>
      <c r="N94" s="9" t="s">
        <v>33</v>
      </c>
      <c r="O94" s="9">
        <f t="shared" si="10"/>
        <v>0.24</v>
      </c>
      <c r="P94" s="9">
        <f t="shared" si="11"/>
        <v>0.27999999999999997</v>
      </c>
      <c r="Q94" s="9">
        <f t="shared" si="12"/>
        <v>0.16000000000000003</v>
      </c>
      <c r="R94" s="9">
        <f t="shared" si="13"/>
        <v>0.12</v>
      </c>
      <c r="S94" s="38">
        <v>0.8</v>
      </c>
      <c r="T94" s="252">
        <v>105991.94</v>
      </c>
      <c r="U94" s="194">
        <v>847.93552</v>
      </c>
      <c r="V94" s="9"/>
      <c r="W94" s="9"/>
      <c r="X94" s="9" t="s">
        <v>820</v>
      </c>
      <c r="Y94" s="321">
        <v>70793</v>
      </c>
      <c r="Z94" s="19" t="s">
        <v>755</v>
      </c>
      <c r="AA94" s="15" t="s">
        <v>145</v>
      </c>
      <c r="AB94" s="16">
        <v>90</v>
      </c>
      <c r="AC94" s="113"/>
      <c r="AD94" s="109"/>
      <c r="AE94" s="109"/>
      <c r="AF94" s="110"/>
      <c r="AG94" s="169">
        <f t="shared" si="9"/>
        <v>2.3999999999999998E-3</v>
      </c>
      <c r="AH94" s="109"/>
      <c r="AI94" s="109"/>
      <c r="AJ94" s="110"/>
      <c r="AK94" s="113"/>
      <c r="AL94" s="299"/>
      <c r="AM94" s="299"/>
      <c r="AN94" s="21"/>
      <c r="AO94" s="20"/>
      <c r="AP94" s="8"/>
      <c r="AQ94" s="8"/>
      <c r="AR94" s="21"/>
      <c r="AS94" s="256" t="s">
        <v>757</v>
      </c>
    </row>
    <row r="95" spans="1:46" hidden="1" x14ac:dyDescent="0.25">
      <c r="A95" s="9">
        <v>92</v>
      </c>
      <c r="B95" s="9" t="s">
        <v>28</v>
      </c>
      <c r="C95" s="9" t="s">
        <v>753</v>
      </c>
      <c r="D95" s="9" t="s">
        <v>754</v>
      </c>
      <c r="E95" s="9"/>
      <c r="F95" s="15" t="s">
        <v>145</v>
      </c>
      <c r="G95" s="9"/>
      <c r="H95" s="9" t="s">
        <v>31</v>
      </c>
      <c r="I95" s="9"/>
      <c r="J95" s="9"/>
      <c r="K95" s="9">
        <v>8.0000000000000002E-3</v>
      </c>
      <c r="L95" s="9">
        <v>8.0000000000000002E-3</v>
      </c>
      <c r="M95" s="9" t="s">
        <v>812</v>
      </c>
      <c r="N95" s="9" t="s">
        <v>33</v>
      </c>
      <c r="O95" s="9">
        <f t="shared" si="10"/>
        <v>0.24</v>
      </c>
      <c r="P95" s="9">
        <f t="shared" si="11"/>
        <v>0.27999999999999997</v>
      </c>
      <c r="Q95" s="9">
        <f t="shared" si="12"/>
        <v>0.16000000000000003</v>
      </c>
      <c r="R95" s="9">
        <f t="shared" si="13"/>
        <v>0.12</v>
      </c>
      <c r="S95" s="38">
        <v>0.8</v>
      </c>
      <c r="T95" s="252">
        <v>105991.94</v>
      </c>
      <c r="U95" s="194">
        <v>847.93552</v>
      </c>
      <c r="V95" s="9"/>
      <c r="W95" s="9"/>
      <c r="X95" s="9" t="s">
        <v>820</v>
      </c>
      <c r="Y95" s="321">
        <v>70793</v>
      </c>
      <c r="Z95" s="19" t="s">
        <v>755</v>
      </c>
      <c r="AA95" s="15" t="s">
        <v>145</v>
      </c>
      <c r="AB95" s="16">
        <v>91</v>
      </c>
      <c r="AC95" s="113"/>
      <c r="AD95" s="109"/>
      <c r="AE95" s="109"/>
      <c r="AF95" s="110"/>
      <c r="AG95" s="169">
        <f t="shared" si="9"/>
        <v>2.3999999999999998E-3</v>
      </c>
      <c r="AH95" s="109"/>
      <c r="AI95" s="109"/>
      <c r="AJ95" s="110"/>
      <c r="AK95" s="113"/>
      <c r="AL95" s="299"/>
      <c r="AM95" s="299"/>
      <c r="AN95" s="21"/>
      <c r="AO95" s="20"/>
      <c r="AP95" s="8"/>
      <c r="AQ95" s="8"/>
      <c r="AR95" s="21"/>
      <c r="AS95" s="256" t="s">
        <v>757</v>
      </c>
    </row>
    <row r="96" spans="1:46" hidden="1" x14ac:dyDescent="0.25">
      <c r="A96" s="9">
        <v>93</v>
      </c>
      <c r="B96" s="9" t="s">
        <v>28</v>
      </c>
      <c r="C96" s="9" t="s">
        <v>753</v>
      </c>
      <c r="D96" s="9" t="s">
        <v>754</v>
      </c>
      <c r="E96" s="9"/>
      <c r="F96" s="15" t="s">
        <v>145</v>
      </c>
      <c r="G96" s="9"/>
      <c r="H96" s="9" t="s">
        <v>31</v>
      </c>
      <c r="I96" s="9"/>
      <c r="J96" s="9"/>
      <c r="K96" s="9">
        <v>8.0000000000000002E-3</v>
      </c>
      <c r="L96" s="9">
        <v>8.0000000000000002E-3</v>
      </c>
      <c r="M96" s="9" t="s">
        <v>812</v>
      </c>
      <c r="N96" s="9" t="s">
        <v>33</v>
      </c>
      <c r="O96" s="9">
        <f t="shared" si="10"/>
        <v>0.24</v>
      </c>
      <c r="P96" s="9">
        <f t="shared" si="11"/>
        <v>0.27999999999999997</v>
      </c>
      <c r="Q96" s="9">
        <f t="shared" si="12"/>
        <v>0.16000000000000003</v>
      </c>
      <c r="R96" s="9">
        <f t="shared" si="13"/>
        <v>0.12</v>
      </c>
      <c r="S96" s="38">
        <v>0.8</v>
      </c>
      <c r="T96" s="252">
        <v>105991.94</v>
      </c>
      <c r="U96" s="194">
        <v>847.93552</v>
      </c>
      <c r="V96" s="9"/>
      <c r="W96" s="9"/>
      <c r="X96" s="9" t="s">
        <v>820</v>
      </c>
      <c r="Y96" s="321">
        <v>70793</v>
      </c>
      <c r="Z96" s="19" t="s">
        <v>755</v>
      </c>
      <c r="AA96" s="15" t="s">
        <v>145</v>
      </c>
      <c r="AB96" s="16">
        <v>92</v>
      </c>
      <c r="AC96" s="113"/>
      <c r="AD96" s="109"/>
      <c r="AE96" s="109"/>
      <c r="AF96" s="110"/>
      <c r="AG96" s="169">
        <f t="shared" si="9"/>
        <v>2.3999999999999998E-3</v>
      </c>
      <c r="AH96" s="109"/>
      <c r="AI96" s="109"/>
      <c r="AJ96" s="110"/>
      <c r="AK96" s="113"/>
      <c r="AL96" s="299"/>
      <c r="AM96" s="299"/>
      <c r="AN96" s="21"/>
      <c r="AO96" s="20"/>
      <c r="AP96" s="8"/>
      <c r="AQ96" s="8"/>
      <c r="AR96" s="21"/>
      <c r="AS96" s="256" t="s">
        <v>757</v>
      </c>
    </row>
    <row r="97" spans="1:45" hidden="1" x14ac:dyDescent="0.25">
      <c r="A97" s="9">
        <v>94</v>
      </c>
      <c r="B97" s="9" t="s">
        <v>28</v>
      </c>
      <c r="C97" s="9" t="s">
        <v>753</v>
      </c>
      <c r="D97" s="9" t="s">
        <v>754</v>
      </c>
      <c r="E97" s="9"/>
      <c r="F97" s="15" t="s">
        <v>145</v>
      </c>
      <c r="G97" s="9"/>
      <c r="H97" s="9" t="s">
        <v>31</v>
      </c>
      <c r="I97" s="9"/>
      <c r="J97" s="9"/>
      <c r="K97" s="9">
        <v>8.0000000000000002E-3</v>
      </c>
      <c r="L97" s="9">
        <v>8.0000000000000002E-3</v>
      </c>
      <c r="M97" s="9" t="s">
        <v>812</v>
      </c>
      <c r="N97" s="9" t="s">
        <v>33</v>
      </c>
      <c r="O97" s="9">
        <f t="shared" si="10"/>
        <v>0.24</v>
      </c>
      <c r="P97" s="9">
        <f t="shared" si="11"/>
        <v>0.27999999999999997</v>
      </c>
      <c r="Q97" s="9">
        <f t="shared" si="12"/>
        <v>0.16000000000000003</v>
      </c>
      <c r="R97" s="9">
        <f t="shared" si="13"/>
        <v>0.12</v>
      </c>
      <c r="S97" s="38">
        <v>0.8</v>
      </c>
      <c r="T97" s="252">
        <v>105991.94</v>
      </c>
      <c r="U97" s="194">
        <v>847.93552</v>
      </c>
      <c r="V97" s="9"/>
      <c r="W97" s="9"/>
      <c r="X97" s="9" t="s">
        <v>820</v>
      </c>
      <c r="Y97" s="321">
        <v>70793</v>
      </c>
      <c r="Z97" s="19" t="s">
        <v>755</v>
      </c>
      <c r="AA97" s="15" t="s">
        <v>145</v>
      </c>
      <c r="AB97" s="16">
        <v>93</v>
      </c>
      <c r="AC97" s="113"/>
      <c r="AD97" s="109"/>
      <c r="AE97" s="109"/>
      <c r="AF97" s="110"/>
      <c r="AG97" s="169">
        <f t="shared" si="9"/>
        <v>2.3999999999999998E-3</v>
      </c>
      <c r="AH97" s="109"/>
      <c r="AI97" s="109"/>
      <c r="AJ97" s="110"/>
      <c r="AK97" s="113"/>
      <c r="AL97" s="299"/>
      <c r="AM97" s="299"/>
      <c r="AN97" s="21"/>
      <c r="AO97" s="20"/>
      <c r="AP97" s="8"/>
      <c r="AQ97" s="8"/>
      <c r="AR97" s="21"/>
      <c r="AS97" s="256" t="s">
        <v>757</v>
      </c>
    </row>
    <row r="98" spans="1:45" hidden="1" x14ac:dyDescent="0.25">
      <c r="A98" s="9">
        <v>95</v>
      </c>
      <c r="B98" s="9" t="s">
        <v>28</v>
      </c>
      <c r="C98" s="9" t="s">
        <v>753</v>
      </c>
      <c r="D98" s="9" t="s">
        <v>754</v>
      </c>
      <c r="E98" s="9"/>
      <c r="F98" s="15" t="s">
        <v>145</v>
      </c>
      <c r="G98" s="9"/>
      <c r="H98" s="9" t="s">
        <v>31</v>
      </c>
      <c r="I98" s="9"/>
      <c r="J98" s="9"/>
      <c r="K98" s="9">
        <v>8.0000000000000002E-3</v>
      </c>
      <c r="L98" s="9">
        <v>8.0000000000000002E-3</v>
      </c>
      <c r="M98" s="9" t="s">
        <v>812</v>
      </c>
      <c r="N98" s="9" t="s">
        <v>33</v>
      </c>
      <c r="O98" s="9">
        <f t="shared" si="10"/>
        <v>0.24</v>
      </c>
      <c r="P98" s="9">
        <f t="shared" si="11"/>
        <v>0.27999999999999997</v>
      </c>
      <c r="Q98" s="9">
        <f t="shared" si="12"/>
        <v>0.16000000000000003</v>
      </c>
      <c r="R98" s="9">
        <f t="shared" si="13"/>
        <v>0.12</v>
      </c>
      <c r="S98" s="38">
        <v>0.8</v>
      </c>
      <c r="T98" s="252">
        <v>105991.94</v>
      </c>
      <c r="U98" s="194">
        <v>847.93552</v>
      </c>
      <c r="V98" s="9"/>
      <c r="W98" s="9"/>
      <c r="X98" s="9" t="s">
        <v>820</v>
      </c>
      <c r="Y98" s="321">
        <v>70793</v>
      </c>
      <c r="Z98" s="19" t="s">
        <v>755</v>
      </c>
      <c r="AA98" s="15" t="s">
        <v>145</v>
      </c>
      <c r="AB98" s="16">
        <v>94</v>
      </c>
      <c r="AC98" s="113"/>
      <c r="AD98" s="109"/>
      <c r="AE98" s="109"/>
      <c r="AF98" s="110"/>
      <c r="AG98" s="169">
        <f t="shared" si="9"/>
        <v>2.3999999999999998E-3</v>
      </c>
      <c r="AH98" s="109"/>
      <c r="AI98" s="109"/>
      <c r="AJ98" s="110"/>
      <c r="AK98" s="113"/>
      <c r="AL98" s="299"/>
      <c r="AM98" s="299"/>
      <c r="AN98" s="21"/>
      <c r="AO98" s="20"/>
      <c r="AP98" s="8"/>
      <c r="AQ98" s="8"/>
      <c r="AR98" s="21"/>
      <c r="AS98" s="256" t="s">
        <v>757</v>
      </c>
    </row>
    <row r="99" spans="1:45" hidden="1" x14ac:dyDescent="0.25">
      <c r="A99" s="9">
        <v>96</v>
      </c>
      <c r="B99" s="9" t="s">
        <v>28</v>
      </c>
      <c r="C99" s="9" t="s">
        <v>753</v>
      </c>
      <c r="D99" s="9" t="s">
        <v>754</v>
      </c>
      <c r="E99" s="9"/>
      <c r="F99" s="15" t="s">
        <v>145</v>
      </c>
      <c r="G99" s="9"/>
      <c r="H99" s="9" t="s">
        <v>31</v>
      </c>
      <c r="I99" s="9"/>
      <c r="J99" s="9"/>
      <c r="K99" s="9">
        <v>8.0000000000000002E-3</v>
      </c>
      <c r="L99" s="9">
        <v>8.0000000000000002E-3</v>
      </c>
      <c r="M99" s="9" t="s">
        <v>812</v>
      </c>
      <c r="N99" s="9" t="s">
        <v>33</v>
      </c>
      <c r="O99" s="9">
        <f t="shared" si="10"/>
        <v>0.24</v>
      </c>
      <c r="P99" s="9">
        <f t="shared" si="11"/>
        <v>0.27999999999999997</v>
      </c>
      <c r="Q99" s="9">
        <f t="shared" si="12"/>
        <v>0.16000000000000003</v>
      </c>
      <c r="R99" s="9">
        <f t="shared" si="13"/>
        <v>0.12</v>
      </c>
      <c r="S99" s="38">
        <v>0.8</v>
      </c>
      <c r="T99" s="252">
        <v>105991.94</v>
      </c>
      <c r="U99" s="194">
        <v>847.93552</v>
      </c>
      <c r="V99" s="9"/>
      <c r="W99" s="9"/>
      <c r="X99" s="9" t="s">
        <v>820</v>
      </c>
      <c r="Y99" s="321">
        <v>70793</v>
      </c>
      <c r="Z99" s="19" t="s">
        <v>755</v>
      </c>
      <c r="AA99" s="15" t="s">
        <v>145</v>
      </c>
      <c r="AB99" s="16">
        <v>95</v>
      </c>
      <c r="AC99" s="113"/>
      <c r="AD99" s="109"/>
      <c r="AE99" s="109"/>
      <c r="AF99" s="110"/>
      <c r="AG99" s="169">
        <f t="shared" si="9"/>
        <v>2.3999999999999998E-3</v>
      </c>
      <c r="AH99" s="109"/>
      <c r="AI99" s="109"/>
      <c r="AJ99" s="110"/>
      <c r="AK99" s="113"/>
      <c r="AL99" s="299"/>
      <c r="AM99" s="299"/>
      <c r="AN99" s="21"/>
      <c r="AO99" s="20"/>
      <c r="AP99" s="8"/>
      <c r="AQ99" s="8"/>
      <c r="AR99" s="21"/>
      <c r="AS99" s="256" t="s">
        <v>757</v>
      </c>
    </row>
    <row r="100" spans="1:45" hidden="1" x14ac:dyDescent="0.25">
      <c r="A100" s="9">
        <v>97</v>
      </c>
      <c r="B100" s="9" t="s">
        <v>28</v>
      </c>
      <c r="C100" s="9" t="s">
        <v>753</v>
      </c>
      <c r="D100" s="9" t="s">
        <v>754</v>
      </c>
      <c r="E100" s="9"/>
      <c r="F100" s="15" t="s">
        <v>145</v>
      </c>
      <c r="G100" s="9"/>
      <c r="H100" s="9" t="s">
        <v>31</v>
      </c>
      <c r="I100" s="9"/>
      <c r="J100" s="9"/>
      <c r="K100" s="9">
        <v>8.0000000000000002E-3</v>
      </c>
      <c r="L100" s="9">
        <v>8.0000000000000002E-3</v>
      </c>
      <c r="M100" s="9" t="s">
        <v>812</v>
      </c>
      <c r="N100" s="9" t="s">
        <v>33</v>
      </c>
      <c r="O100" s="9">
        <f t="shared" si="10"/>
        <v>0.24</v>
      </c>
      <c r="P100" s="9">
        <f t="shared" si="11"/>
        <v>0.27999999999999997</v>
      </c>
      <c r="Q100" s="9">
        <f t="shared" si="12"/>
        <v>0.16000000000000003</v>
      </c>
      <c r="R100" s="9">
        <f t="shared" si="13"/>
        <v>0.12</v>
      </c>
      <c r="S100" s="38">
        <v>0.8</v>
      </c>
      <c r="T100" s="252">
        <v>105991.94</v>
      </c>
      <c r="U100" s="194">
        <v>847.93552</v>
      </c>
      <c r="V100" s="9"/>
      <c r="W100" s="9"/>
      <c r="X100" s="9" t="s">
        <v>820</v>
      </c>
      <c r="Y100" s="321">
        <v>70793</v>
      </c>
      <c r="Z100" s="19" t="s">
        <v>755</v>
      </c>
      <c r="AA100" s="15" t="s">
        <v>145</v>
      </c>
      <c r="AB100" s="16">
        <v>96</v>
      </c>
      <c r="AC100" s="113"/>
      <c r="AD100" s="109"/>
      <c r="AE100" s="109"/>
      <c r="AF100" s="110"/>
      <c r="AG100" s="169">
        <f t="shared" si="9"/>
        <v>2.3999999999999998E-3</v>
      </c>
      <c r="AH100" s="109"/>
      <c r="AI100" s="109"/>
      <c r="AJ100" s="110"/>
      <c r="AK100" s="113"/>
      <c r="AL100" s="299"/>
      <c r="AM100" s="299"/>
      <c r="AN100" s="21"/>
      <c r="AO100" s="20"/>
      <c r="AP100" s="8"/>
      <c r="AQ100" s="8"/>
      <c r="AR100" s="21"/>
      <c r="AS100" s="256" t="s">
        <v>757</v>
      </c>
    </row>
    <row r="101" spans="1:45" hidden="1" x14ac:dyDescent="0.25">
      <c r="A101" s="9">
        <v>98</v>
      </c>
      <c r="B101" s="9" t="s">
        <v>28</v>
      </c>
      <c r="C101" s="9" t="s">
        <v>753</v>
      </c>
      <c r="D101" s="9" t="s">
        <v>754</v>
      </c>
      <c r="E101" s="9"/>
      <c r="F101" s="15" t="s">
        <v>145</v>
      </c>
      <c r="G101" s="9"/>
      <c r="H101" s="9" t="s">
        <v>31</v>
      </c>
      <c r="I101" s="9"/>
      <c r="J101" s="9"/>
      <c r="K101" s="9">
        <v>8.0000000000000002E-3</v>
      </c>
      <c r="L101" s="9">
        <v>8.0000000000000002E-3</v>
      </c>
      <c r="M101" s="9" t="s">
        <v>812</v>
      </c>
      <c r="N101" s="9" t="s">
        <v>33</v>
      </c>
      <c r="O101" s="9">
        <f t="shared" si="10"/>
        <v>0.24</v>
      </c>
      <c r="P101" s="9">
        <f t="shared" si="11"/>
        <v>0.27999999999999997</v>
      </c>
      <c r="Q101" s="9">
        <f t="shared" si="12"/>
        <v>0.16000000000000003</v>
      </c>
      <c r="R101" s="9">
        <f t="shared" si="13"/>
        <v>0.12</v>
      </c>
      <c r="S101" s="38">
        <v>0.8</v>
      </c>
      <c r="T101" s="252">
        <v>105991.94</v>
      </c>
      <c r="U101" s="194">
        <v>847.93552</v>
      </c>
      <c r="V101" s="9"/>
      <c r="W101" s="9"/>
      <c r="X101" s="9" t="s">
        <v>820</v>
      </c>
      <c r="Y101" s="321">
        <v>70793</v>
      </c>
      <c r="Z101" s="19" t="s">
        <v>755</v>
      </c>
      <c r="AA101" s="15" t="s">
        <v>145</v>
      </c>
      <c r="AB101" s="16">
        <v>97</v>
      </c>
      <c r="AC101" s="113"/>
      <c r="AD101" s="109"/>
      <c r="AE101" s="109"/>
      <c r="AF101" s="110"/>
      <c r="AG101" s="169">
        <f t="shared" si="9"/>
        <v>2.3999999999999998E-3</v>
      </c>
      <c r="AH101" s="109"/>
      <c r="AI101" s="109"/>
      <c r="AJ101" s="110"/>
      <c r="AK101" s="113"/>
      <c r="AL101" s="299"/>
      <c r="AM101" s="299"/>
      <c r="AN101" s="21"/>
      <c r="AO101" s="20"/>
      <c r="AP101" s="8"/>
      <c r="AQ101" s="8"/>
      <c r="AR101" s="21"/>
      <c r="AS101" s="256" t="s">
        <v>757</v>
      </c>
    </row>
    <row r="102" spans="1:45" hidden="1" x14ac:dyDescent="0.25">
      <c r="A102" s="9">
        <v>99</v>
      </c>
      <c r="B102" s="9" t="s">
        <v>28</v>
      </c>
      <c r="C102" s="9" t="s">
        <v>753</v>
      </c>
      <c r="D102" s="9" t="s">
        <v>754</v>
      </c>
      <c r="E102" s="9"/>
      <c r="F102" s="15" t="s">
        <v>145</v>
      </c>
      <c r="G102" s="9"/>
      <c r="H102" s="9" t="s">
        <v>31</v>
      </c>
      <c r="I102" s="9"/>
      <c r="J102" s="9"/>
      <c r="K102" s="9">
        <v>8.0000000000000002E-3</v>
      </c>
      <c r="L102" s="9">
        <v>8.0000000000000002E-3</v>
      </c>
      <c r="M102" s="9" t="s">
        <v>812</v>
      </c>
      <c r="N102" s="9" t="s">
        <v>33</v>
      </c>
      <c r="O102" s="9">
        <f t="shared" si="10"/>
        <v>0.24</v>
      </c>
      <c r="P102" s="9">
        <f t="shared" si="11"/>
        <v>0.27999999999999997</v>
      </c>
      <c r="Q102" s="9">
        <f t="shared" si="12"/>
        <v>0.16000000000000003</v>
      </c>
      <c r="R102" s="9">
        <f t="shared" si="13"/>
        <v>0.12</v>
      </c>
      <c r="S102" s="38">
        <v>0.8</v>
      </c>
      <c r="T102" s="252">
        <v>105991.94</v>
      </c>
      <c r="U102" s="194">
        <v>847.93552</v>
      </c>
      <c r="V102" s="9"/>
      <c r="W102" s="9"/>
      <c r="X102" s="9" t="s">
        <v>820</v>
      </c>
      <c r="Y102" s="321">
        <v>70793</v>
      </c>
      <c r="Z102" s="19" t="s">
        <v>755</v>
      </c>
      <c r="AA102" s="15" t="s">
        <v>145</v>
      </c>
      <c r="AB102" s="16">
        <v>98</v>
      </c>
      <c r="AC102" s="113"/>
      <c r="AD102" s="109"/>
      <c r="AE102" s="109"/>
      <c r="AF102" s="110"/>
      <c r="AG102" s="169">
        <f t="shared" si="9"/>
        <v>2.3999999999999998E-3</v>
      </c>
      <c r="AH102" s="109"/>
      <c r="AI102" s="109"/>
      <c r="AJ102" s="110"/>
      <c r="AK102" s="113"/>
      <c r="AL102" s="299"/>
      <c r="AM102" s="299"/>
      <c r="AN102" s="21"/>
      <c r="AO102" s="20"/>
      <c r="AP102" s="8"/>
      <c r="AQ102" s="8"/>
      <c r="AR102" s="21"/>
      <c r="AS102" s="256" t="s">
        <v>757</v>
      </c>
    </row>
    <row r="103" spans="1:45" hidden="1" x14ac:dyDescent="0.25">
      <c r="A103" s="9">
        <v>100</v>
      </c>
      <c r="B103" s="9" t="s">
        <v>28</v>
      </c>
      <c r="C103" s="9" t="s">
        <v>753</v>
      </c>
      <c r="D103" s="9" t="s">
        <v>754</v>
      </c>
      <c r="E103" s="9"/>
      <c r="F103" s="15" t="s">
        <v>145</v>
      </c>
      <c r="G103" s="9"/>
      <c r="H103" s="9" t="s">
        <v>31</v>
      </c>
      <c r="I103" s="9"/>
      <c r="J103" s="9"/>
      <c r="K103" s="9">
        <v>8.0000000000000002E-3</v>
      </c>
      <c r="L103" s="9">
        <v>8.0000000000000002E-3</v>
      </c>
      <c r="M103" s="9" t="s">
        <v>812</v>
      </c>
      <c r="N103" s="9" t="s">
        <v>33</v>
      </c>
      <c r="O103" s="9">
        <f t="shared" si="10"/>
        <v>0.24</v>
      </c>
      <c r="P103" s="9">
        <f t="shared" si="11"/>
        <v>0.27999999999999997</v>
      </c>
      <c r="Q103" s="9">
        <f t="shared" si="12"/>
        <v>0.16000000000000003</v>
      </c>
      <c r="R103" s="9">
        <f t="shared" si="13"/>
        <v>0.12</v>
      </c>
      <c r="S103" s="38">
        <v>0.8</v>
      </c>
      <c r="T103" s="252">
        <v>105991.94</v>
      </c>
      <c r="U103" s="194">
        <v>847.93552</v>
      </c>
      <c r="V103" s="9"/>
      <c r="W103" s="9"/>
      <c r="X103" s="9" t="s">
        <v>820</v>
      </c>
      <c r="Y103" s="321">
        <v>70793</v>
      </c>
      <c r="Z103" s="19" t="s">
        <v>755</v>
      </c>
      <c r="AA103" s="15" t="s">
        <v>145</v>
      </c>
      <c r="AB103" s="16">
        <v>99</v>
      </c>
      <c r="AC103" s="113"/>
      <c r="AD103" s="109"/>
      <c r="AE103" s="109"/>
      <c r="AF103" s="110"/>
      <c r="AG103" s="169">
        <f t="shared" si="9"/>
        <v>2.3999999999999998E-3</v>
      </c>
      <c r="AH103" s="109"/>
      <c r="AI103" s="109"/>
      <c r="AJ103" s="110"/>
      <c r="AK103" s="113"/>
      <c r="AL103" s="299"/>
      <c r="AM103" s="299"/>
      <c r="AN103" s="21"/>
      <c r="AO103" s="20"/>
      <c r="AP103" s="8"/>
      <c r="AQ103" s="8"/>
      <c r="AR103" s="21"/>
      <c r="AS103" s="256" t="s">
        <v>757</v>
      </c>
    </row>
    <row r="104" spans="1:45" hidden="1" x14ac:dyDescent="0.25">
      <c r="A104" s="9">
        <v>101</v>
      </c>
      <c r="B104" s="9" t="s">
        <v>28</v>
      </c>
      <c r="C104" s="9" t="s">
        <v>753</v>
      </c>
      <c r="D104" s="9" t="s">
        <v>754</v>
      </c>
      <c r="E104" s="9"/>
      <c r="F104" s="15" t="s">
        <v>145</v>
      </c>
      <c r="G104" s="9"/>
      <c r="H104" s="9" t="s">
        <v>31</v>
      </c>
      <c r="I104" s="9"/>
      <c r="J104" s="9"/>
      <c r="K104" s="9">
        <v>8.0000000000000002E-3</v>
      </c>
      <c r="L104" s="9">
        <v>8.0000000000000002E-3</v>
      </c>
      <c r="M104" s="9" t="s">
        <v>812</v>
      </c>
      <c r="N104" s="9" t="s">
        <v>33</v>
      </c>
      <c r="O104" s="9">
        <f t="shared" si="10"/>
        <v>0.24</v>
      </c>
      <c r="P104" s="9">
        <f t="shared" si="11"/>
        <v>0.27999999999999997</v>
      </c>
      <c r="Q104" s="9">
        <f t="shared" si="12"/>
        <v>0.16000000000000003</v>
      </c>
      <c r="R104" s="9">
        <f t="shared" si="13"/>
        <v>0.12</v>
      </c>
      <c r="S104" s="38">
        <v>0.8</v>
      </c>
      <c r="T104" s="252">
        <v>105991.94</v>
      </c>
      <c r="U104" s="194">
        <v>847.93552</v>
      </c>
      <c r="V104" s="9"/>
      <c r="W104" s="9"/>
      <c r="X104" s="9" t="s">
        <v>820</v>
      </c>
      <c r="Y104" s="321">
        <v>70793</v>
      </c>
      <c r="Z104" s="19" t="s">
        <v>755</v>
      </c>
      <c r="AA104" s="15" t="s">
        <v>145</v>
      </c>
      <c r="AB104" s="16">
        <v>100</v>
      </c>
      <c r="AC104" s="113"/>
      <c r="AD104" s="109"/>
      <c r="AE104" s="109"/>
      <c r="AF104" s="110"/>
      <c r="AG104" s="169">
        <f t="shared" si="9"/>
        <v>2.3999999999999998E-3</v>
      </c>
      <c r="AH104" s="109"/>
      <c r="AI104" s="109"/>
      <c r="AJ104" s="110"/>
      <c r="AK104" s="113"/>
      <c r="AL104" s="299"/>
      <c r="AM104" s="299"/>
      <c r="AN104" s="21"/>
      <c r="AO104" s="20"/>
      <c r="AP104" s="8"/>
      <c r="AQ104" s="8"/>
      <c r="AR104" s="21"/>
      <c r="AS104" s="256" t="s">
        <v>757</v>
      </c>
    </row>
    <row r="105" spans="1:45" hidden="1" x14ac:dyDescent="0.25">
      <c r="A105" s="9">
        <v>102</v>
      </c>
      <c r="B105" s="9" t="s">
        <v>28</v>
      </c>
      <c r="C105" s="9" t="s">
        <v>753</v>
      </c>
      <c r="D105" s="9" t="s">
        <v>754</v>
      </c>
      <c r="E105" s="9"/>
      <c r="F105" s="15" t="s">
        <v>145</v>
      </c>
      <c r="G105" s="9"/>
      <c r="H105" s="9" t="s">
        <v>31</v>
      </c>
      <c r="I105" s="9"/>
      <c r="J105" s="9"/>
      <c r="K105" s="9">
        <v>8.0000000000000002E-3</v>
      </c>
      <c r="L105" s="9">
        <v>8.0000000000000002E-3</v>
      </c>
      <c r="M105" s="9" t="s">
        <v>812</v>
      </c>
      <c r="N105" s="9" t="s">
        <v>33</v>
      </c>
      <c r="O105" s="9">
        <f t="shared" si="10"/>
        <v>0.24</v>
      </c>
      <c r="P105" s="9">
        <f t="shared" si="11"/>
        <v>0.27999999999999997</v>
      </c>
      <c r="Q105" s="9">
        <f t="shared" si="12"/>
        <v>0.16000000000000003</v>
      </c>
      <c r="R105" s="9">
        <f t="shared" si="13"/>
        <v>0.12</v>
      </c>
      <c r="S105" s="38">
        <v>0.8</v>
      </c>
      <c r="T105" s="252">
        <v>105991.94</v>
      </c>
      <c r="U105" s="194">
        <v>847.93552</v>
      </c>
      <c r="V105" s="9"/>
      <c r="W105" s="9"/>
      <c r="X105" s="9" t="s">
        <v>820</v>
      </c>
      <c r="Y105" s="321">
        <v>70793</v>
      </c>
      <c r="Z105" s="19" t="s">
        <v>755</v>
      </c>
      <c r="AA105" s="15" t="s">
        <v>145</v>
      </c>
      <c r="AB105" s="16">
        <v>101</v>
      </c>
      <c r="AC105" s="113"/>
      <c r="AD105" s="109"/>
      <c r="AE105" s="109"/>
      <c r="AF105" s="110"/>
      <c r="AG105" s="169">
        <f t="shared" si="9"/>
        <v>2.3999999999999998E-3</v>
      </c>
      <c r="AH105" s="109"/>
      <c r="AI105" s="109"/>
      <c r="AJ105" s="110"/>
      <c r="AK105" s="113"/>
      <c r="AL105" s="299"/>
      <c r="AM105" s="299"/>
      <c r="AN105" s="21"/>
      <c r="AO105" s="20"/>
      <c r="AP105" s="8"/>
      <c r="AQ105" s="8"/>
      <c r="AR105" s="21"/>
      <c r="AS105" s="256" t="s">
        <v>757</v>
      </c>
    </row>
    <row r="106" spans="1:45" hidden="1" x14ac:dyDescent="0.25">
      <c r="A106" s="9">
        <v>103</v>
      </c>
      <c r="B106" s="9" t="s">
        <v>28</v>
      </c>
      <c r="C106" s="9" t="s">
        <v>753</v>
      </c>
      <c r="D106" s="9" t="s">
        <v>754</v>
      </c>
      <c r="E106" s="9"/>
      <c r="F106" s="15" t="s">
        <v>143</v>
      </c>
      <c r="G106" s="9"/>
      <c r="H106" s="9" t="s">
        <v>31</v>
      </c>
      <c r="I106" s="9"/>
      <c r="J106" s="9"/>
      <c r="K106" s="9">
        <v>2.9999999999999997E-4</v>
      </c>
      <c r="L106" s="9">
        <v>8.9999999999999993E-3</v>
      </c>
      <c r="M106" s="9" t="s">
        <v>816</v>
      </c>
      <c r="N106" s="9" t="s">
        <v>33</v>
      </c>
      <c r="O106" s="9">
        <f t="shared" si="10"/>
        <v>0.26999999999999996</v>
      </c>
      <c r="P106" s="9">
        <f t="shared" si="11"/>
        <v>0.31499999999999995</v>
      </c>
      <c r="Q106" s="9">
        <f t="shared" si="12"/>
        <v>0.18</v>
      </c>
      <c r="R106" s="9">
        <f t="shared" si="13"/>
        <v>0.13499999999999998</v>
      </c>
      <c r="S106" s="38">
        <v>0.89999999999999991</v>
      </c>
      <c r="T106" s="252">
        <v>105991.94</v>
      </c>
      <c r="U106" s="194">
        <v>953.92746</v>
      </c>
      <c r="V106" s="9"/>
      <c r="W106" s="9"/>
      <c r="X106" s="9" t="s">
        <v>144</v>
      </c>
      <c r="Y106" s="321">
        <v>70793</v>
      </c>
      <c r="Z106" s="19" t="s">
        <v>755</v>
      </c>
      <c r="AA106" s="15" t="s">
        <v>143</v>
      </c>
      <c r="AB106" s="16">
        <v>102</v>
      </c>
      <c r="AC106" s="113"/>
      <c r="AD106" s="109"/>
      <c r="AE106" s="109"/>
      <c r="AF106" s="110"/>
      <c r="AG106" s="169">
        <f t="shared" si="9"/>
        <v>2.6999999999999997E-3</v>
      </c>
      <c r="AH106" s="109"/>
      <c r="AI106" s="109"/>
      <c r="AJ106" s="110"/>
      <c r="AK106" s="113"/>
      <c r="AL106" s="299"/>
      <c r="AM106" s="299"/>
      <c r="AN106" s="21"/>
      <c r="AO106" s="20"/>
      <c r="AP106" s="8"/>
      <c r="AQ106" s="8"/>
      <c r="AR106" s="21"/>
      <c r="AS106" s="256" t="s">
        <v>757</v>
      </c>
    </row>
    <row r="107" spans="1:45" hidden="1" x14ac:dyDescent="0.25">
      <c r="A107" s="9">
        <v>104</v>
      </c>
      <c r="B107" s="9" t="s">
        <v>28</v>
      </c>
      <c r="C107" s="9" t="s">
        <v>753</v>
      </c>
      <c r="D107" s="9" t="s">
        <v>754</v>
      </c>
      <c r="E107" s="9"/>
      <c r="F107" s="15" t="s">
        <v>143</v>
      </c>
      <c r="G107" s="9"/>
      <c r="H107" s="9" t="s">
        <v>31</v>
      </c>
      <c r="I107" s="9"/>
      <c r="J107" s="9"/>
      <c r="K107" s="9">
        <v>2.9999999999999997E-4</v>
      </c>
      <c r="L107" s="9">
        <v>3.5999999999999999E-3</v>
      </c>
      <c r="M107" s="9" t="s">
        <v>801</v>
      </c>
      <c r="N107" s="9" t="s">
        <v>33</v>
      </c>
      <c r="O107" s="9">
        <f t="shared" si="10"/>
        <v>0.108</v>
      </c>
      <c r="P107" s="9">
        <f t="shared" si="11"/>
        <v>0.126</v>
      </c>
      <c r="Q107" s="9">
        <f t="shared" si="12"/>
        <v>7.1999999999999995E-2</v>
      </c>
      <c r="R107" s="9">
        <f t="shared" si="13"/>
        <v>5.3999999999999999E-2</v>
      </c>
      <c r="S107" s="38">
        <v>0.36</v>
      </c>
      <c r="T107" s="252">
        <v>105991.94</v>
      </c>
      <c r="U107" s="194">
        <v>381.57098400000001</v>
      </c>
      <c r="V107" s="9"/>
      <c r="W107" s="9"/>
      <c r="X107" s="9" t="s">
        <v>144</v>
      </c>
      <c r="Y107" s="321">
        <v>70793</v>
      </c>
      <c r="Z107" s="19" t="s">
        <v>755</v>
      </c>
      <c r="AA107" s="15" t="s">
        <v>143</v>
      </c>
      <c r="AB107" s="16">
        <v>103</v>
      </c>
      <c r="AC107" s="113"/>
      <c r="AD107" s="109"/>
      <c r="AE107" s="109"/>
      <c r="AF107" s="110"/>
      <c r="AG107" s="169">
        <f t="shared" si="9"/>
        <v>1.08E-3</v>
      </c>
      <c r="AH107" s="109"/>
      <c r="AI107" s="109"/>
      <c r="AJ107" s="110"/>
      <c r="AK107" s="113"/>
      <c r="AL107" s="299"/>
      <c r="AM107" s="299"/>
      <c r="AN107" s="21"/>
      <c r="AO107" s="20"/>
      <c r="AP107" s="8"/>
      <c r="AQ107" s="8"/>
      <c r="AR107" s="21"/>
      <c r="AS107" s="256" t="s">
        <v>757</v>
      </c>
    </row>
    <row r="108" spans="1:45" ht="30" hidden="1" x14ac:dyDescent="0.25">
      <c r="A108" s="9">
        <v>105</v>
      </c>
      <c r="B108" s="9" t="s">
        <v>28</v>
      </c>
      <c r="C108" s="9" t="s">
        <v>753</v>
      </c>
      <c r="D108" s="9" t="s">
        <v>754</v>
      </c>
      <c r="E108" s="9"/>
      <c r="F108" s="15" t="s">
        <v>821</v>
      </c>
      <c r="G108" s="9"/>
      <c r="H108" s="9" t="s">
        <v>31</v>
      </c>
      <c r="I108" s="9"/>
      <c r="J108" s="9"/>
      <c r="K108" s="9">
        <v>2.0000000000000002E-5</v>
      </c>
      <c r="L108" s="9">
        <v>4.0000000000000002E-4</v>
      </c>
      <c r="M108" s="9" t="s">
        <v>818</v>
      </c>
      <c r="N108" s="9" t="s">
        <v>33</v>
      </c>
      <c r="O108" s="9">
        <f t="shared" si="10"/>
        <v>1.2E-2</v>
      </c>
      <c r="P108" s="9">
        <f t="shared" si="11"/>
        <v>1.3999999999999999E-2</v>
      </c>
      <c r="Q108" s="9">
        <f t="shared" si="12"/>
        <v>8.0000000000000002E-3</v>
      </c>
      <c r="R108" s="9">
        <f t="shared" si="13"/>
        <v>6.0000000000000001E-3</v>
      </c>
      <c r="S108" s="38">
        <v>0.04</v>
      </c>
      <c r="T108" s="252">
        <v>105991.94</v>
      </c>
      <c r="U108" s="194">
        <v>42.396776000000003</v>
      </c>
      <c r="V108" s="9"/>
      <c r="W108" s="9"/>
      <c r="X108" s="9" t="s">
        <v>822</v>
      </c>
      <c r="Y108" s="321">
        <v>70793</v>
      </c>
      <c r="Z108" s="19" t="s">
        <v>755</v>
      </c>
      <c r="AA108" s="15" t="s">
        <v>821</v>
      </c>
      <c r="AB108" s="16">
        <v>104</v>
      </c>
      <c r="AC108" s="113"/>
      <c r="AD108" s="109"/>
      <c r="AE108" s="109"/>
      <c r="AF108" s="110"/>
      <c r="AG108" s="169">
        <f t="shared" si="9"/>
        <v>1.2E-4</v>
      </c>
      <c r="AH108" s="109"/>
      <c r="AI108" s="109"/>
      <c r="AJ108" s="110"/>
      <c r="AK108" s="113"/>
      <c r="AL108" s="299"/>
      <c r="AM108" s="299"/>
      <c r="AN108" s="21"/>
      <c r="AO108" s="20"/>
      <c r="AP108" s="8"/>
      <c r="AQ108" s="8"/>
      <c r="AR108" s="21"/>
      <c r="AS108" s="256" t="s">
        <v>757</v>
      </c>
    </row>
    <row r="109" spans="1:45" ht="30" hidden="1" x14ac:dyDescent="0.25">
      <c r="A109" s="9">
        <v>106</v>
      </c>
      <c r="B109" s="9" t="s">
        <v>28</v>
      </c>
      <c r="C109" s="9" t="s">
        <v>753</v>
      </c>
      <c r="D109" s="9" t="s">
        <v>754</v>
      </c>
      <c r="E109" s="9"/>
      <c r="F109" s="15" t="s">
        <v>821</v>
      </c>
      <c r="G109" s="9"/>
      <c r="H109" s="9" t="s">
        <v>31</v>
      </c>
      <c r="I109" s="9"/>
      <c r="J109" s="9"/>
      <c r="K109" s="9">
        <v>2.0000000000000002E-5</v>
      </c>
      <c r="L109" s="9">
        <v>3.0000000000000003E-4</v>
      </c>
      <c r="M109" s="9" t="s">
        <v>819</v>
      </c>
      <c r="N109" s="9" t="s">
        <v>33</v>
      </c>
      <c r="O109" s="9">
        <f t="shared" si="10"/>
        <v>9.0000000000000011E-3</v>
      </c>
      <c r="P109" s="9">
        <f t="shared" si="11"/>
        <v>1.0500000000000001E-2</v>
      </c>
      <c r="Q109" s="9">
        <f t="shared" si="12"/>
        <v>6.000000000000001E-3</v>
      </c>
      <c r="R109" s="9">
        <f t="shared" si="13"/>
        <v>4.5000000000000005E-3</v>
      </c>
      <c r="S109" s="38">
        <v>3.0000000000000002E-2</v>
      </c>
      <c r="T109" s="252">
        <v>105991.94</v>
      </c>
      <c r="U109" s="194">
        <v>31.797582000000002</v>
      </c>
      <c r="V109" s="9"/>
      <c r="W109" s="9"/>
      <c r="X109" s="9" t="s">
        <v>822</v>
      </c>
      <c r="Y109" s="321">
        <v>70793</v>
      </c>
      <c r="Z109" s="19" t="s">
        <v>755</v>
      </c>
      <c r="AA109" s="15" t="s">
        <v>821</v>
      </c>
      <c r="AB109" s="16">
        <v>105</v>
      </c>
      <c r="AC109" s="113"/>
      <c r="AD109" s="109"/>
      <c r="AE109" s="109"/>
      <c r="AF109" s="110"/>
      <c r="AG109" s="169">
        <f t="shared" si="9"/>
        <v>9.0000000000000006E-5</v>
      </c>
      <c r="AH109" s="109"/>
      <c r="AI109" s="109"/>
      <c r="AJ109" s="110"/>
      <c r="AK109" s="113"/>
      <c r="AL109" s="299"/>
      <c r="AM109" s="299"/>
      <c r="AN109" s="21"/>
      <c r="AO109" s="20"/>
      <c r="AP109" s="8"/>
      <c r="AQ109" s="8"/>
      <c r="AR109" s="21"/>
      <c r="AS109" s="256" t="s">
        <v>757</v>
      </c>
    </row>
    <row r="110" spans="1:45" hidden="1" x14ac:dyDescent="0.25">
      <c r="A110" s="9">
        <v>107</v>
      </c>
      <c r="B110" s="9" t="s">
        <v>28</v>
      </c>
      <c r="C110" s="9" t="s">
        <v>753</v>
      </c>
      <c r="D110" s="9" t="s">
        <v>754</v>
      </c>
      <c r="E110" s="9"/>
      <c r="F110" s="15" t="s">
        <v>772</v>
      </c>
      <c r="G110" s="9"/>
      <c r="H110" s="9" t="s">
        <v>31</v>
      </c>
      <c r="I110" s="9"/>
      <c r="J110" s="9"/>
      <c r="K110" s="9">
        <v>1.4E-3</v>
      </c>
      <c r="L110" s="9">
        <v>5.6000000000000001E-2</v>
      </c>
      <c r="M110" s="9" t="s">
        <v>796</v>
      </c>
      <c r="N110" s="9" t="s">
        <v>33</v>
      </c>
      <c r="O110" s="9">
        <f t="shared" si="10"/>
        <v>1.6800000000000002</v>
      </c>
      <c r="P110" s="9">
        <f t="shared" si="11"/>
        <v>1.96</v>
      </c>
      <c r="Q110" s="9">
        <f t="shared" si="12"/>
        <v>1.1200000000000001</v>
      </c>
      <c r="R110" s="9">
        <f t="shared" si="13"/>
        <v>0.84000000000000008</v>
      </c>
      <c r="S110" s="38">
        <v>5.6000000000000005</v>
      </c>
      <c r="T110" s="252">
        <v>105991.94</v>
      </c>
      <c r="U110" s="194">
        <v>5935.54864</v>
      </c>
      <c r="V110" s="9"/>
      <c r="W110" s="9"/>
      <c r="X110" s="9" t="s">
        <v>823</v>
      </c>
      <c r="Y110" s="321">
        <v>70793</v>
      </c>
      <c r="Z110" s="19" t="s">
        <v>755</v>
      </c>
      <c r="AA110" s="15" t="s">
        <v>772</v>
      </c>
      <c r="AB110" s="16">
        <v>106</v>
      </c>
      <c r="AC110" s="113"/>
      <c r="AD110" s="109"/>
      <c r="AE110" s="109"/>
      <c r="AF110" s="110"/>
      <c r="AG110" s="169">
        <f t="shared" si="9"/>
        <v>1.6799999999999999E-2</v>
      </c>
      <c r="AH110" s="109"/>
      <c r="AI110" s="109"/>
      <c r="AJ110" s="110"/>
      <c r="AK110" s="113"/>
      <c r="AL110" s="299"/>
      <c r="AM110" s="299"/>
      <c r="AN110" s="21"/>
      <c r="AO110" s="20"/>
      <c r="AP110" s="8"/>
      <c r="AQ110" s="8"/>
      <c r="AR110" s="21"/>
      <c r="AS110" s="256" t="s">
        <v>757</v>
      </c>
    </row>
    <row r="111" spans="1:45" hidden="1" x14ac:dyDescent="0.25">
      <c r="A111" s="9">
        <v>108</v>
      </c>
      <c r="B111" s="9" t="s">
        <v>28</v>
      </c>
      <c r="C111" s="9" t="s">
        <v>753</v>
      </c>
      <c r="D111" s="9" t="s">
        <v>754</v>
      </c>
      <c r="E111" s="9"/>
      <c r="F111" s="15" t="s">
        <v>772</v>
      </c>
      <c r="G111" s="9"/>
      <c r="H111" s="9" t="s">
        <v>31</v>
      </c>
      <c r="I111" s="9"/>
      <c r="J111" s="9"/>
      <c r="K111" s="9">
        <v>1.4E-3</v>
      </c>
      <c r="L111" s="9">
        <v>4.2000000000000003E-2</v>
      </c>
      <c r="M111" s="9" t="s">
        <v>816</v>
      </c>
      <c r="N111" s="9" t="s">
        <v>33</v>
      </c>
      <c r="O111" s="9">
        <f t="shared" si="10"/>
        <v>1.26</v>
      </c>
      <c r="P111" s="9">
        <f t="shared" si="11"/>
        <v>1.47</v>
      </c>
      <c r="Q111" s="9">
        <f t="shared" si="12"/>
        <v>0.84000000000000008</v>
      </c>
      <c r="R111" s="9">
        <f t="shared" si="13"/>
        <v>0.63</v>
      </c>
      <c r="S111" s="38">
        <v>4.2</v>
      </c>
      <c r="T111" s="252">
        <v>105991.94</v>
      </c>
      <c r="U111" s="194">
        <v>4451.6614800000007</v>
      </c>
      <c r="V111" s="9"/>
      <c r="W111" s="9"/>
      <c r="X111" s="9" t="s">
        <v>823</v>
      </c>
      <c r="Y111" s="321">
        <v>70793</v>
      </c>
      <c r="Z111" s="19" t="s">
        <v>755</v>
      </c>
      <c r="AA111" s="15" t="s">
        <v>772</v>
      </c>
      <c r="AB111" s="16">
        <v>107</v>
      </c>
      <c r="AC111" s="113"/>
      <c r="AD111" s="109"/>
      <c r="AE111" s="109"/>
      <c r="AF111" s="110"/>
      <c r="AG111" s="169">
        <f t="shared" si="9"/>
        <v>1.26E-2</v>
      </c>
      <c r="AH111" s="109"/>
      <c r="AI111" s="109"/>
      <c r="AJ111" s="110"/>
      <c r="AK111" s="113"/>
      <c r="AL111" s="299"/>
      <c r="AM111" s="299"/>
      <c r="AN111" s="21"/>
      <c r="AO111" s="20"/>
      <c r="AP111" s="8"/>
      <c r="AQ111" s="8"/>
      <c r="AR111" s="21"/>
      <c r="AS111" s="256" t="s">
        <v>757</v>
      </c>
    </row>
    <row r="112" spans="1:45" hidden="1" x14ac:dyDescent="0.25">
      <c r="A112" s="9">
        <v>109</v>
      </c>
      <c r="B112" s="9" t="s">
        <v>28</v>
      </c>
      <c r="C112" s="9" t="s">
        <v>753</v>
      </c>
      <c r="D112" s="9" t="s">
        <v>754</v>
      </c>
      <c r="E112" s="9"/>
      <c r="F112" s="15" t="s">
        <v>143</v>
      </c>
      <c r="G112" s="9"/>
      <c r="H112" s="9" t="s">
        <v>31</v>
      </c>
      <c r="I112" s="9"/>
      <c r="J112" s="9"/>
      <c r="K112" s="9">
        <v>2.9999999999999997E-4</v>
      </c>
      <c r="L112" s="9">
        <v>4.7999999999999996E-3</v>
      </c>
      <c r="M112" s="9" t="s">
        <v>775</v>
      </c>
      <c r="N112" s="9" t="s">
        <v>33</v>
      </c>
      <c r="O112" s="9">
        <f t="shared" si="10"/>
        <v>0.14399999999999999</v>
      </c>
      <c r="P112" s="9">
        <f t="shared" si="11"/>
        <v>0.16799999999999998</v>
      </c>
      <c r="Q112" s="9">
        <f t="shared" si="12"/>
        <v>9.6000000000000002E-2</v>
      </c>
      <c r="R112" s="9">
        <f t="shared" si="13"/>
        <v>7.1999999999999995E-2</v>
      </c>
      <c r="S112" s="38">
        <v>0.48</v>
      </c>
      <c r="T112" s="252">
        <v>105991.94</v>
      </c>
      <c r="U112" s="194">
        <v>508.76131199999998</v>
      </c>
      <c r="V112" s="9"/>
      <c r="W112" s="9"/>
      <c r="X112" s="9" t="s">
        <v>144</v>
      </c>
      <c r="Y112" s="321">
        <v>70793</v>
      </c>
      <c r="Z112" s="19" t="s">
        <v>755</v>
      </c>
      <c r="AA112" s="15" t="s">
        <v>143</v>
      </c>
      <c r="AB112" s="16">
        <v>108</v>
      </c>
      <c r="AC112" s="113"/>
      <c r="AD112" s="109"/>
      <c r="AE112" s="109"/>
      <c r="AF112" s="110"/>
      <c r="AG112" s="169">
        <f t="shared" si="9"/>
        <v>1.4399999999999999E-3</v>
      </c>
      <c r="AH112" s="109"/>
      <c r="AI112" s="109"/>
      <c r="AJ112" s="110"/>
      <c r="AK112" s="113"/>
      <c r="AL112" s="299"/>
      <c r="AM112" s="299"/>
      <c r="AN112" s="21"/>
      <c r="AO112" s="20"/>
      <c r="AP112" s="8"/>
      <c r="AQ112" s="8"/>
      <c r="AR112" s="21"/>
      <c r="AS112" s="256" t="s">
        <v>757</v>
      </c>
    </row>
    <row r="113" spans="1:45" hidden="1" x14ac:dyDescent="0.25">
      <c r="A113" s="9">
        <v>110</v>
      </c>
      <c r="B113" s="9" t="s">
        <v>28</v>
      </c>
      <c r="C113" s="9" t="s">
        <v>753</v>
      </c>
      <c r="D113" s="9" t="s">
        <v>754</v>
      </c>
      <c r="E113" s="9"/>
      <c r="F113" s="15" t="s">
        <v>143</v>
      </c>
      <c r="G113" s="9"/>
      <c r="H113" s="9" t="s">
        <v>31</v>
      </c>
      <c r="I113" s="9"/>
      <c r="J113" s="9"/>
      <c r="K113" s="9">
        <v>2.9999999999999997E-4</v>
      </c>
      <c r="L113" s="9">
        <v>1.8E-3</v>
      </c>
      <c r="M113" s="9" t="s">
        <v>768</v>
      </c>
      <c r="N113" s="9" t="s">
        <v>33</v>
      </c>
      <c r="O113" s="9">
        <f t="shared" si="10"/>
        <v>5.3999999999999999E-2</v>
      </c>
      <c r="P113" s="9">
        <f t="shared" si="11"/>
        <v>6.3E-2</v>
      </c>
      <c r="Q113" s="9">
        <f t="shared" si="12"/>
        <v>3.5999999999999997E-2</v>
      </c>
      <c r="R113" s="9">
        <f t="shared" si="13"/>
        <v>2.7E-2</v>
      </c>
      <c r="S113" s="38">
        <v>0.18</v>
      </c>
      <c r="T113" s="252">
        <v>105991.94</v>
      </c>
      <c r="U113" s="194">
        <v>190.785492</v>
      </c>
      <c r="V113" s="9"/>
      <c r="W113" s="9"/>
      <c r="X113" s="9" t="s">
        <v>144</v>
      </c>
      <c r="Y113" s="321">
        <v>70793</v>
      </c>
      <c r="Z113" s="19" t="s">
        <v>755</v>
      </c>
      <c r="AA113" s="15" t="s">
        <v>143</v>
      </c>
      <c r="AB113" s="16">
        <v>109</v>
      </c>
      <c r="AC113" s="113"/>
      <c r="AD113" s="109"/>
      <c r="AE113" s="109"/>
      <c r="AF113" s="110"/>
      <c r="AG113" s="169">
        <f t="shared" si="9"/>
        <v>5.4000000000000001E-4</v>
      </c>
      <c r="AH113" s="109"/>
      <c r="AI113" s="109"/>
      <c r="AJ113" s="110"/>
      <c r="AK113" s="113"/>
      <c r="AL113" s="299"/>
      <c r="AM113" s="299"/>
      <c r="AN113" s="21"/>
      <c r="AO113" s="20"/>
      <c r="AP113" s="8"/>
      <c r="AQ113" s="8"/>
      <c r="AR113" s="21"/>
      <c r="AS113" s="256" t="s">
        <v>757</v>
      </c>
    </row>
    <row r="114" spans="1:45" hidden="1" x14ac:dyDescent="0.25">
      <c r="A114" s="9">
        <v>111</v>
      </c>
      <c r="B114" s="9" t="s">
        <v>28</v>
      </c>
      <c r="C114" s="9" t="s">
        <v>753</v>
      </c>
      <c r="D114" s="9" t="s">
        <v>754</v>
      </c>
      <c r="E114" s="9"/>
      <c r="F114" s="15" t="s">
        <v>143</v>
      </c>
      <c r="G114" s="9"/>
      <c r="H114" s="9" t="s">
        <v>31</v>
      </c>
      <c r="I114" s="9"/>
      <c r="J114" s="9"/>
      <c r="K114" s="9">
        <v>2.9999999999999997E-4</v>
      </c>
      <c r="L114" s="9">
        <v>2.3999999999999998E-3</v>
      </c>
      <c r="M114" s="9" t="s">
        <v>786</v>
      </c>
      <c r="N114" s="9" t="s">
        <v>33</v>
      </c>
      <c r="O114" s="9">
        <f t="shared" si="10"/>
        <v>7.1999999999999995E-2</v>
      </c>
      <c r="P114" s="9">
        <f t="shared" si="11"/>
        <v>8.3999999999999991E-2</v>
      </c>
      <c r="Q114" s="9">
        <f t="shared" si="12"/>
        <v>4.8000000000000001E-2</v>
      </c>
      <c r="R114" s="9">
        <f t="shared" si="13"/>
        <v>3.5999999999999997E-2</v>
      </c>
      <c r="S114" s="38">
        <v>0.24</v>
      </c>
      <c r="T114" s="252">
        <v>105991.94</v>
      </c>
      <c r="U114" s="194">
        <v>254.38065599999999</v>
      </c>
      <c r="V114" s="9"/>
      <c r="W114" s="9"/>
      <c r="X114" s="9" t="s">
        <v>144</v>
      </c>
      <c r="Y114" s="321">
        <v>70793</v>
      </c>
      <c r="Z114" s="19" t="s">
        <v>755</v>
      </c>
      <c r="AA114" s="15" t="s">
        <v>143</v>
      </c>
      <c r="AB114" s="16">
        <v>110</v>
      </c>
      <c r="AC114" s="113"/>
      <c r="AD114" s="109"/>
      <c r="AE114" s="109"/>
      <c r="AF114" s="110"/>
      <c r="AG114" s="169">
        <f t="shared" si="9"/>
        <v>7.1999999999999994E-4</v>
      </c>
      <c r="AH114" s="109"/>
      <c r="AI114" s="109"/>
      <c r="AJ114" s="110"/>
      <c r="AK114" s="113"/>
      <c r="AL114" s="299"/>
      <c r="AM114" s="299"/>
      <c r="AN114" s="21"/>
      <c r="AO114" s="20"/>
      <c r="AP114" s="8"/>
      <c r="AQ114" s="8"/>
      <c r="AR114" s="21"/>
      <c r="AS114" s="256" t="s">
        <v>757</v>
      </c>
    </row>
    <row r="115" spans="1:45" hidden="1" x14ac:dyDescent="0.25">
      <c r="A115" s="9">
        <v>112</v>
      </c>
      <c r="B115" s="9" t="s">
        <v>28</v>
      </c>
      <c r="C115" s="9" t="s">
        <v>753</v>
      </c>
      <c r="D115" s="9" t="s">
        <v>754</v>
      </c>
      <c r="E115" s="9"/>
      <c r="F115" s="15" t="s">
        <v>145</v>
      </c>
      <c r="G115" s="9"/>
      <c r="H115" s="9" t="s">
        <v>31</v>
      </c>
      <c r="I115" s="9"/>
      <c r="J115" s="9"/>
      <c r="K115" s="9">
        <v>0.02</v>
      </c>
      <c r="L115" s="9">
        <v>0.02</v>
      </c>
      <c r="M115" s="9" t="s">
        <v>812</v>
      </c>
      <c r="N115" s="9" t="s">
        <v>33</v>
      </c>
      <c r="O115" s="9">
        <f t="shared" si="10"/>
        <v>0.6</v>
      </c>
      <c r="P115" s="9">
        <f t="shared" si="11"/>
        <v>0.7</v>
      </c>
      <c r="Q115" s="9">
        <f t="shared" si="12"/>
        <v>0.4</v>
      </c>
      <c r="R115" s="9">
        <f t="shared" si="13"/>
        <v>0.3</v>
      </c>
      <c r="S115" s="38">
        <v>2</v>
      </c>
      <c r="T115" s="252">
        <v>105991.94</v>
      </c>
      <c r="U115" s="194">
        <v>2119.8388</v>
      </c>
      <c r="V115" s="9"/>
      <c r="W115" s="9"/>
      <c r="X115" s="9" t="s">
        <v>824</v>
      </c>
      <c r="Y115" s="321">
        <v>70793</v>
      </c>
      <c r="Z115" s="19" t="s">
        <v>755</v>
      </c>
      <c r="AA115" s="15" t="s">
        <v>145</v>
      </c>
      <c r="AB115" s="16">
        <v>111</v>
      </c>
      <c r="AC115" s="113"/>
      <c r="AD115" s="109"/>
      <c r="AE115" s="109"/>
      <c r="AF115" s="110"/>
      <c r="AG115" s="169">
        <f t="shared" si="9"/>
        <v>6.0000000000000001E-3</v>
      </c>
      <c r="AH115" s="109"/>
      <c r="AI115" s="109"/>
      <c r="AJ115" s="110"/>
      <c r="AK115" s="113"/>
      <c r="AL115" s="299"/>
      <c r="AM115" s="299"/>
      <c r="AN115" s="21"/>
      <c r="AO115" s="20"/>
      <c r="AP115" s="8"/>
      <c r="AQ115" s="8"/>
      <c r="AR115" s="21"/>
      <c r="AS115" s="256" t="s">
        <v>757</v>
      </c>
    </row>
    <row r="116" spans="1:45" hidden="1" x14ac:dyDescent="0.25">
      <c r="A116" s="9">
        <v>113</v>
      </c>
      <c r="B116" s="9" t="s">
        <v>28</v>
      </c>
      <c r="C116" s="9" t="s">
        <v>753</v>
      </c>
      <c r="D116" s="9" t="s">
        <v>754</v>
      </c>
      <c r="E116" s="9"/>
      <c r="F116" s="15" t="s">
        <v>145</v>
      </c>
      <c r="G116" s="9"/>
      <c r="H116" s="9" t="s">
        <v>31</v>
      </c>
      <c r="I116" s="9"/>
      <c r="J116" s="9"/>
      <c r="K116" s="9">
        <v>0.02</v>
      </c>
      <c r="L116" s="9">
        <v>0.02</v>
      </c>
      <c r="M116" s="9" t="s">
        <v>812</v>
      </c>
      <c r="N116" s="9" t="s">
        <v>33</v>
      </c>
      <c r="O116" s="9">
        <f t="shared" si="10"/>
        <v>0.6</v>
      </c>
      <c r="P116" s="9">
        <f t="shared" si="11"/>
        <v>0.7</v>
      </c>
      <c r="Q116" s="9">
        <f t="shared" si="12"/>
        <v>0.4</v>
      </c>
      <c r="R116" s="9">
        <f t="shared" si="13"/>
        <v>0.3</v>
      </c>
      <c r="S116" s="38">
        <v>2</v>
      </c>
      <c r="T116" s="252">
        <v>105991.94</v>
      </c>
      <c r="U116" s="194">
        <v>2119.8388</v>
      </c>
      <c r="V116" s="9"/>
      <c r="W116" s="9"/>
      <c r="X116" s="9" t="s">
        <v>824</v>
      </c>
      <c r="Y116" s="321">
        <v>70793</v>
      </c>
      <c r="Z116" s="19" t="s">
        <v>755</v>
      </c>
      <c r="AA116" s="15" t="s">
        <v>145</v>
      </c>
      <c r="AB116" s="16">
        <v>112</v>
      </c>
      <c r="AC116" s="113"/>
      <c r="AD116" s="109"/>
      <c r="AE116" s="109"/>
      <c r="AF116" s="110"/>
      <c r="AG116" s="169">
        <f t="shared" si="9"/>
        <v>6.0000000000000001E-3</v>
      </c>
      <c r="AH116" s="109"/>
      <c r="AI116" s="109"/>
      <c r="AJ116" s="110"/>
      <c r="AK116" s="113"/>
      <c r="AL116" s="299"/>
      <c r="AM116" s="299"/>
      <c r="AN116" s="21"/>
      <c r="AO116" s="20"/>
      <c r="AP116" s="8"/>
      <c r="AQ116" s="8"/>
      <c r="AR116" s="21"/>
      <c r="AS116" s="256" t="s">
        <v>757</v>
      </c>
    </row>
    <row r="117" spans="1:45" hidden="1" x14ac:dyDescent="0.25">
      <c r="A117" s="9">
        <v>114</v>
      </c>
      <c r="B117" s="9" t="s">
        <v>28</v>
      </c>
      <c r="C117" s="9" t="s">
        <v>753</v>
      </c>
      <c r="D117" s="9" t="s">
        <v>754</v>
      </c>
      <c r="E117" s="9"/>
      <c r="F117" s="15" t="s">
        <v>145</v>
      </c>
      <c r="G117" s="9"/>
      <c r="H117" s="9" t="s">
        <v>31</v>
      </c>
      <c r="I117" s="9"/>
      <c r="J117" s="9"/>
      <c r="K117" s="9">
        <v>0.02</v>
      </c>
      <c r="L117" s="9">
        <v>0.02</v>
      </c>
      <c r="M117" s="9" t="s">
        <v>812</v>
      </c>
      <c r="N117" s="9" t="s">
        <v>33</v>
      </c>
      <c r="O117" s="9">
        <f t="shared" si="10"/>
        <v>0.6</v>
      </c>
      <c r="P117" s="9">
        <f t="shared" si="11"/>
        <v>0.7</v>
      </c>
      <c r="Q117" s="9">
        <f t="shared" si="12"/>
        <v>0.4</v>
      </c>
      <c r="R117" s="9">
        <f t="shared" si="13"/>
        <v>0.3</v>
      </c>
      <c r="S117" s="38">
        <v>2</v>
      </c>
      <c r="T117" s="252">
        <v>105991.94</v>
      </c>
      <c r="U117" s="194">
        <v>2119.8388</v>
      </c>
      <c r="V117" s="9"/>
      <c r="W117" s="9"/>
      <c r="X117" s="9" t="s">
        <v>824</v>
      </c>
      <c r="Y117" s="321">
        <v>70793</v>
      </c>
      <c r="Z117" s="19" t="s">
        <v>755</v>
      </c>
      <c r="AA117" s="15" t="s">
        <v>145</v>
      </c>
      <c r="AB117" s="16">
        <v>113</v>
      </c>
      <c r="AC117" s="113"/>
      <c r="AD117" s="109"/>
      <c r="AE117" s="109"/>
      <c r="AF117" s="110"/>
      <c r="AG117" s="169">
        <f t="shared" si="9"/>
        <v>6.0000000000000001E-3</v>
      </c>
      <c r="AH117" s="109"/>
      <c r="AI117" s="109"/>
      <c r="AJ117" s="110"/>
      <c r="AK117" s="113"/>
      <c r="AL117" s="299"/>
      <c r="AM117" s="299"/>
      <c r="AN117" s="21"/>
      <c r="AO117" s="20"/>
      <c r="AP117" s="8"/>
      <c r="AQ117" s="8"/>
      <c r="AR117" s="21"/>
      <c r="AS117" s="256" t="s">
        <v>757</v>
      </c>
    </row>
    <row r="118" spans="1:45" hidden="1" x14ac:dyDescent="0.25">
      <c r="A118" s="9">
        <v>115</v>
      </c>
      <c r="B118" s="9" t="s">
        <v>28</v>
      </c>
      <c r="C118" s="9" t="s">
        <v>753</v>
      </c>
      <c r="D118" s="9" t="s">
        <v>754</v>
      </c>
      <c r="E118" s="9"/>
      <c r="F118" s="15" t="s">
        <v>145</v>
      </c>
      <c r="G118" s="9"/>
      <c r="H118" s="9" t="s">
        <v>31</v>
      </c>
      <c r="I118" s="9"/>
      <c r="J118" s="9"/>
      <c r="K118" s="9">
        <v>0.02</v>
      </c>
      <c r="L118" s="9">
        <v>0.02</v>
      </c>
      <c r="M118" s="9" t="s">
        <v>812</v>
      </c>
      <c r="N118" s="9" t="s">
        <v>33</v>
      </c>
      <c r="O118" s="9">
        <f t="shared" si="10"/>
        <v>0.6</v>
      </c>
      <c r="P118" s="9">
        <f t="shared" si="11"/>
        <v>0.7</v>
      </c>
      <c r="Q118" s="9">
        <f t="shared" si="12"/>
        <v>0.4</v>
      </c>
      <c r="R118" s="9">
        <f t="shared" si="13"/>
        <v>0.3</v>
      </c>
      <c r="S118" s="38">
        <v>2</v>
      </c>
      <c r="T118" s="252">
        <v>105991.94</v>
      </c>
      <c r="U118" s="194">
        <v>2119.8388</v>
      </c>
      <c r="V118" s="9"/>
      <c r="W118" s="9"/>
      <c r="X118" s="9" t="s">
        <v>824</v>
      </c>
      <c r="Y118" s="321">
        <v>70793</v>
      </c>
      <c r="Z118" s="19" t="s">
        <v>755</v>
      </c>
      <c r="AA118" s="15" t="s">
        <v>145</v>
      </c>
      <c r="AB118" s="16">
        <v>114</v>
      </c>
      <c r="AC118" s="113"/>
      <c r="AD118" s="109"/>
      <c r="AE118" s="109"/>
      <c r="AF118" s="110"/>
      <c r="AG118" s="169">
        <f t="shared" si="9"/>
        <v>6.0000000000000001E-3</v>
      </c>
      <c r="AH118" s="109"/>
      <c r="AI118" s="109"/>
      <c r="AJ118" s="110"/>
      <c r="AK118" s="113"/>
      <c r="AL118" s="299"/>
      <c r="AM118" s="299"/>
      <c r="AN118" s="21"/>
      <c r="AO118" s="20"/>
      <c r="AP118" s="8"/>
      <c r="AQ118" s="8"/>
      <c r="AR118" s="21"/>
      <c r="AS118" s="256" t="s">
        <v>757</v>
      </c>
    </row>
    <row r="119" spans="1:45" hidden="1" x14ac:dyDescent="0.25">
      <c r="A119" s="9">
        <v>116</v>
      </c>
      <c r="B119" s="9" t="s">
        <v>28</v>
      </c>
      <c r="C119" s="9" t="s">
        <v>753</v>
      </c>
      <c r="D119" s="9" t="s">
        <v>754</v>
      </c>
      <c r="E119" s="9"/>
      <c r="F119" s="15" t="s">
        <v>145</v>
      </c>
      <c r="G119" s="9"/>
      <c r="H119" s="9" t="s">
        <v>31</v>
      </c>
      <c r="I119" s="9"/>
      <c r="J119" s="9"/>
      <c r="K119" s="9">
        <v>0.02</v>
      </c>
      <c r="L119" s="9">
        <v>0.02</v>
      </c>
      <c r="M119" s="9" t="s">
        <v>812</v>
      </c>
      <c r="N119" s="9" t="s">
        <v>33</v>
      </c>
      <c r="O119" s="9">
        <f t="shared" si="10"/>
        <v>0.6</v>
      </c>
      <c r="P119" s="9">
        <f t="shared" si="11"/>
        <v>0.7</v>
      </c>
      <c r="Q119" s="9">
        <f t="shared" si="12"/>
        <v>0.4</v>
      </c>
      <c r="R119" s="9">
        <f t="shared" si="13"/>
        <v>0.3</v>
      </c>
      <c r="S119" s="38">
        <v>2</v>
      </c>
      <c r="T119" s="252">
        <v>105991.94</v>
      </c>
      <c r="U119" s="194">
        <v>2119.8388</v>
      </c>
      <c r="V119" s="9"/>
      <c r="W119" s="9"/>
      <c r="X119" s="9" t="s">
        <v>824</v>
      </c>
      <c r="Y119" s="321">
        <v>70793</v>
      </c>
      <c r="Z119" s="19" t="s">
        <v>755</v>
      </c>
      <c r="AA119" s="15" t="s">
        <v>145</v>
      </c>
      <c r="AB119" s="16">
        <v>115</v>
      </c>
      <c r="AC119" s="113"/>
      <c r="AD119" s="109"/>
      <c r="AE119" s="109"/>
      <c r="AF119" s="110"/>
      <c r="AG119" s="169">
        <f t="shared" si="9"/>
        <v>6.0000000000000001E-3</v>
      </c>
      <c r="AH119" s="109"/>
      <c r="AI119" s="109"/>
      <c r="AJ119" s="110"/>
      <c r="AK119" s="113"/>
      <c r="AL119" s="299"/>
      <c r="AM119" s="299"/>
      <c r="AN119" s="21"/>
      <c r="AO119" s="20"/>
      <c r="AP119" s="8"/>
      <c r="AQ119" s="8"/>
      <c r="AR119" s="21"/>
      <c r="AS119" s="256" t="s">
        <v>757</v>
      </c>
    </row>
    <row r="120" spans="1:45" hidden="1" x14ac:dyDescent="0.25">
      <c r="A120" s="9">
        <v>117</v>
      </c>
      <c r="B120" s="9" t="s">
        <v>28</v>
      </c>
      <c r="C120" s="9" t="s">
        <v>753</v>
      </c>
      <c r="D120" s="9" t="s">
        <v>754</v>
      </c>
      <c r="E120" s="9"/>
      <c r="F120" s="15" t="s">
        <v>145</v>
      </c>
      <c r="G120" s="9"/>
      <c r="H120" s="9" t="s">
        <v>31</v>
      </c>
      <c r="I120" s="9"/>
      <c r="J120" s="9"/>
      <c r="K120" s="9">
        <v>0.02</v>
      </c>
      <c r="L120" s="9">
        <v>0.02</v>
      </c>
      <c r="M120" s="9" t="s">
        <v>812</v>
      </c>
      <c r="N120" s="9" t="s">
        <v>33</v>
      </c>
      <c r="O120" s="9">
        <f t="shared" si="10"/>
        <v>0.6</v>
      </c>
      <c r="P120" s="9">
        <f t="shared" si="11"/>
        <v>0.7</v>
      </c>
      <c r="Q120" s="9">
        <f t="shared" si="12"/>
        <v>0.4</v>
      </c>
      <c r="R120" s="9">
        <f t="shared" si="13"/>
        <v>0.3</v>
      </c>
      <c r="S120" s="38">
        <v>2</v>
      </c>
      <c r="T120" s="252">
        <v>105991.94</v>
      </c>
      <c r="U120" s="194">
        <v>2119.8388</v>
      </c>
      <c r="V120" s="9"/>
      <c r="W120" s="9"/>
      <c r="X120" s="9" t="s">
        <v>824</v>
      </c>
      <c r="Y120" s="321">
        <v>70793</v>
      </c>
      <c r="Z120" s="19" t="s">
        <v>755</v>
      </c>
      <c r="AA120" s="15" t="s">
        <v>145</v>
      </c>
      <c r="AB120" s="16">
        <v>116</v>
      </c>
      <c r="AC120" s="113"/>
      <c r="AD120" s="109"/>
      <c r="AE120" s="109"/>
      <c r="AF120" s="110"/>
      <c r="AG120" s="169">
        <f t="shared" si="9"/>
        <v>6.0000000000000001E-3</v>
      </c>
      <c r="AH120" s="109"/>
      <c r="AI120" s="109"/>
      <c r="AJ120" s="110"/>
      <c r="AK120" s="113"/>
      <c r="AL120" s="299"/>
      <c r="AM120" s="299"/>
      <c r="AN120" s="21"/>
      <c r="AO120" s="20"/>
      <c r="AP120" s="8"/>
      <c r="AQ120" s="8"/>
      <c r="AR120" s="21"/>
      <c r="AS120" s="256" t="s">
        <v>757</v>
      </c>
    </row>
    <row r="121" spans="1:45" hidden="1" x14ac:dyDescent="0.25">
      <c r="A121" s="9">
        <v>118</v>
      </c>
      <c r="B121" s="9" t="s">
        <v>28</v>
      </c>
      <c r="C121" s="9" t="s">
        <v>753</v>
      </c>
      <c r="D121" s="9" t="s">
        <v>754</v>
      </c>
      <c r="E121" s="9"/>
      <c r="F121" s="15" t="s">
        <v>145</v>
      </c>
      <c r="G121" s="9"/>
      <c r="H121" s="9" t="s">
        <v>31</v>
      </c>
      <c r="I121" s="9"/>
      <c r="J121" s="9"/>
      <c r="K121" s="9">
        <v>0.02</v>
      </c>
      <c r="L121" s="9">
        <v>0.02</v>
      </c>
      <c r="M121" s="9" t="s">
        <v>812</v>
      </c>
      <c r="N121" s="9" t="s">
        <v>33</v>
      </c>
      <c r="O121" s="9">
        <f t="shared" si="10"/>
        <v>0.6</v>
      </c>
      <c r="P121" s="9">
        <f t="shared" si="11"/>
        <v>0.7</v>
      </c>
      <c r="Q121" s="9">
        <f t="shared" si="12"/>
        <v>0.4</v>
      </c>
      <c r="R121" s="9">
        <f t="shared" si="13"/>
        <v>0.3</v>
      </c>
      <c r="S121" s="38">
        <v>2</v>
      </c>
      <c r="T121" s="252">
        <v>105991.94</v>
      </c>
      <c r="U121" s="194">
        <v>2119.8388</v>
      </c>
      <c r="V121" s="9"/>
      <c r="W121" s="9"/>
      <c r="X121" s="9" t="s">
        <v>824</v>
      </c>
      <c r="Y121" s="321">
        <v>70793</v>
      </c>
      <c r="Z121" s="19" t="s">
        <v>755</v>
      </c>
      <c r="AA121" s="15" t="s">
        <v>145</v>
      </c>
      <c r="AB121" s="16">
        <v>117</v>
      </c>
      <c r="AC121" s="113"/>
      <c r="AD121" s="109"/>
      <c r="AE121" s="109"/>
      <c r="AF121" s="110"/>
      <c r="AG121" s="169">
        <f t="shared" si="9"/>
        <v>6.0000000000000001E-3</v>
      </c>
      <c r="AH121" s="109"/>
      <c r="AI121" s="109"/>
      <c r="AJ121" s="110"/>
      <c r="AK121" s="113"/>
      <c r="AL121" s="299"/>
      <c r="AM121" s="299"/>
      <c r="AN121" s="21"/>
      <c r="AO121" s="20"/>
      <c r="AP121" s="8"/>
      <c r="AQ121" s="8"/>
      <c r="AR121" s="21"/>
      <c r="AS121" s="256" t="s">
        <v>757</v>
      </c>
    </row>
    <row r="122" spans="1:45" hidden="1" x14ac:dyDescent="0.25">
      <c r="A122" s="9">
        <v>119</v>
      </c>
      <c r="B122" s="9" t="s">
        <v>28</v>
      </c>
      <c r="C122" s="9" t="s">
        <v>753</v>
      </c>
      <c r="D122" s="9" t="s">
        <v>754</v>
      </c>
      <c r="E122" s="9"/>
      <c r="F122" s="15" t="s">
        <v>145</v>
      </c>
      <c r="G122" s="9"/>
      <c r="H122" s="9" t="s">
        <v>31</v>
      </c>
      <c r="I122" s="9"/>
      <c r="J122" s="9"/>
      <c r="K122" s="9">
        <v>0.02</v>
      </c>
      <c r="L122" s="9">
        <v>0.02</v>
      </c>
      <c r="M122" s="9" t="s">
        <v>812</v>
      </c>
      <c r="N122" s="9" t="s">
        <v>33</v>
      </c>
      <c r="O122" s="9">
        <f t="shared" si="10"/>
        <v>0.6</v>
      </c>
      <c r="P122" s="9">
        <f t="shared" si="11"/>
        <v>0.7</v>
      </c>
      <c r="Q122" s="9">
        <f t="shared" si="12"/>
        <v>0.4</v>
      </c>
      <c r="R122" s="9">
        <f t="shared" si="13"/>
        <v>0.3</v>
      </c>
      <c r="S122" s="38">
        <v>2</v>
      </c>
      <c r="T122" s="252">
        <v>105991.94</v>
      </c>
      <c r="U122" s="194">
        <v>2119.8388</v>
      </c>
      <c r="V122" s="9"/>
      <c r="W122" s="9"/>
      <c r="X122" s="9" t="s">
        <v>824</v>
      </c>
      <c r="Y122" s="321">
        <v>70793</v>
      </c>
      <c r="Z122" s="19" t="s">
        <v>755</v>
      </c>
      <c r="AA122" s="15" t="s">
        <v>145</v>
      </c>
      <c r="AB122" s="16">
        <v>118</v>
      </c>
      <c r="AC122" s="113"/>
      <c r="AD122" s="109"/>
      <c r="AE122" s="109"/>
      <c r="AF122" s="110"/>
      <c r="AG122" s="169">
        <f t="shared" si="9"/>
        <v>6.0000000000000001E-3</v>
      </c>
      <c r="AH122" s="109"/>
      <c r="AI122" s="109"/>
      <c r="AJ122" s="110"/>
      <c r="AK122" s="113"/>
      <c r="AL122" s="299"/>
      <c r="AM122" s="299"/>
      <c r="AN122" s="21"/>
      <c r="AO122" s="20"/>
      <c r="AP122" s="8"/>
      <c r="AQ122" s="8"/>
      <c r="AR122" s="21"/>
      <c r="AS122" s="256" t="s">
        <v>757</v>
      </c>
    </row>
    <row r="123" spans="1:45" hidden="1" x14ac:dyDescent="0.25">
      <c r="A123" s="9">
        <v>120</v>
      </c>
      <c r="B123" s="9" t="s">
        <v>28</v>
      </c>
      <c r="C123" s="9" t="s">
        <v>753</v>
      </c>
      <c r="D123" s="9" t="s">
        <v>754</v>
      </c>
      <c r="E123" s="9"/>
      <c r="F123" s="15" t="s">
        <v>145</v>
      </c>
      <c r="G123" s="9"/>
      <c r="H123" s="9" t="s">
        <v>31</v>
      </c>
      <c r="I123" s="9"/>
      <c r="J123" s="9"/>
      <c r="K123" s="9">
        <v>0.02</v>
      </c>
      <c r="L123" s="9">
        <v>0.02</v>
      </c>
      <c r="M123" s="9" t="s">
        <v>812</v>
      </c>
      <c r="N123" s="9" t="s">
        <v>33</v>
      </c>
      <c r="O123" s="9">
        <f t="shared" si="10"/>
        <v>0.6</v>
      </c>
      <c r="P123" s="9">
        <f t="shared" si="11"/>
        <v>0.7</v>
      </c>
      <c r="Q123" s="9">
        <f t="shared" si="12"/>
        <v>0.4</v>
      </c>
      <c r="R123" s="9">
        <f t="shared" si="13"/>
        <v>0.3</v>
      </c>
      <c r="S123" s="38">
        <v>2</v>
      </c>
      <c r="T123" s="252">
        <v>105991.94</v>
      </c>
      <c r="U123" s="194">
        <v>2119.8388</v>
      </c>
      <c r="V123" s="9"/>
      <c r="W123" s="9"/>
      <c r="X123" s="9" t="s">
        <v>824</v>
      </c>
      <c r="Y123" s="321">
        <v>70793</v>
      </c>
      <c r="Z123" s="19" t="s">
        <v>755</v>
      </c>
      <c r="AA123" s="15" t="s">
        <v>145</v>
      </c>
      <c r="AB123" s="16">
        <v>119</v>
      </c>
      <c r="AC123" s="113"/>
      <c r="AD123" s="109"/>
      <c r="AE123" s="109"/>
      <c r="AF123" s="110"/>
      <c r="AG123" s="169">
        <f t="shared" si="9"/>
        <v>6.0000000000000001E-3</v>
      </c>
      <c r="AH123" s="109"/>
      <c r="AI123" s="109"/>
      <c r="AJ123" s="110"/>
      <c r="AK123" s="113"/>
      <c r="AL123" s="299"/>
      <c r="AM123" s="299"/>
      <c r="AN123" s="21"/>
      <c r="AO123" s="20"/>
      <c r="AP123" s="8"/>
      <c r="AQ123" s="8"/>
      <c r="AR123" s="21"/>
      <c r="AS123" s="256" t="s">
        <v>757</v>
      </c>
    </row>
    <row r="124" spans="1:45" hidden="1" x14ac:dyDescent="0.25">
      <c r="A124" s="9">
        <v>121</v>
      </c>
      <c r="B124" s="9" t="s">
        <v>28</v>
      </c>
      <c r="C124" s="9" t="s">
        <v>753</v>
      </c>
      <c r="D124" s="9" t="s">
        <v>754</v>
      </c>
      <c r="E124" s="9"/>
      <c r="F124" s="15" t="s">
        <v>145</v>
      </c>
      <c r="G124" s="9"/>
      <c r="H124" s="9" t="s">
        <v>31</v>
      </c>
      <c r="I124" s="9"/>
      <c r="J124" s="9"/>
      <c r="K124" s="9">
        <v>0.02</v>
      </c>
      <c r="L124" s="9">
        <v>0.02</v>
      </c>
      <c r="M124" s="9" t="s">
        <v>812</v>
      </c>
      <c r="N124" s="9" t="s">
        <v>33</v>
      </c>
      <c r="O124" s="9">
        <f t="shared" si="10"/>
        <v>0.6</v>
      </c>
      <c r="P124" s="9">
        <f t="shared" si="11"/>
        <v>0.7</v>
      </c>
      <c r="Q124" s="9">
        <f t="shared" si="12"/>
        <v>0.4</v>
      </c>
      <c r="R124" s="9">
        <f t="shared" si="13"/>
        <v>0.3</v>
      </c>
      <c r="S124" s="38">
        <v>2</v>
      </c>
      <c r="T124" s="252">
        <v>105991.94</v>
      </c>
      <c r="U124" s="194">
        <v>2119.8388</v>
      </c>
      <c r="V124" s="9"/>
      <c r="W124" s="9"/>
      <c r="X124" s="9" t="s">
        <v>824</v>
      </c>
      <c r="Y124" s="321">
        <v>70793</v>
      </c>
      <c r="Z124" s="19" t="s">
        <v>755</v>
      </c>
      <c r="AA124" s="15" t="s">
        <v>145</v>
      </c>
      <c r="AB124" s="16">
        <v>120</v>
      </c>
      <c r="AC124" s="113"/>
      <c r="AD124" s="109"/>
      <c r="AE124" s="109"/>
      <c r="AF124" s="110"/>
      <c r="AG124" s="169">
        <f t="shared" si="9"/>
        <v>6.0000000000000001E-3</v>
      </c>
      <c r="AH124" s="109"/>
      <c r="AI124" s="109"/>
      <c r="AJ124" s="110"/>
      <c r="AK124" s="113"/>
      <c r="AL124" s="299"/>
      <c r="AM124" s="299"/>
      <c r="AN124" s="21"/>
      <c r="AO124" s="20"/>
      <c r="AP124" s="8"/>
      <c r="AQ124" s="8"/>
      <c r="AR124" s="21"/>
      <c r="AS124" s="256">
        <v>3271</v>
      </c>
    </row>
    <row r="125" spans="1:45" hidden="1" x14ac:dyDescent="0.25">
      <c r="A125" s="9">
        <v>122</v>
      </c>
      <c r="B125" s="9" t="s">
        <v>28</v>
      </c>
      <c r="C125" s="9" t="s">
        <v>753</v>
      </c>
      <c r="D125" s="9" t="s">
        <v>754</v>
      </c>
      <c r="E125" s="9"/>
      <c r="F125" s="15" t="s">
        <v>145</v>
      </c>
      <c r="G125" s="9"/>
      <c r="H125" s="9" t="s">
        <v>31</v>
      </c>
      <c r="I125" s="9"/>
      <c r="J125" s="9"/>
      <c r="K125" s="9">
        <v>0.02</v>
      </c>
      <c r="L125" s="9">
        <v>0.02</v>
      </c>
      <c r="M125" s="9" t="s">
        <v>812</v>
      </c>
      <c r="N125" s="9" t="s">
        <v>33</v>
      </c>
      <c r="O125" s="9">
        <f t="shared" si="10"/>
        <v>0.6</v>
      </c>
      <c r="P125" s="9">
        <f t="shared" si="11"/>
        <v>0.7</v>
      </c>
      <c r="Q125" s="9">
        <f t="shared" si="12"/>
        <v>0.4</v>
      </c>
      <c r="R125" s="9">
        <f t="shared" si="13"/>
        <v>0.3</v>
      </c>
      <c r="S125" s="38">
        <v>2</v>
      </c>
      <c r="T125" s="252">
        <v>105991.94</v>
      </c>
      <c r="U125" s="194">
        <v>2119.8388</v>
      </c>
      <c r="V125" s="9"/>
      <c r="W125" s="9"/>
      <c r="X125" s="9" t="s">
        <v>824</v>
      </c>
      <c r="Y125" s="321">
        <v>70793</v>
      </c>
      <c r="Z125" s="19" t="s">
        <v>755</v>
      </c>
      <c r="AA125" s="15" t="s">
        <v>145</v>
      </c>
      <c r="AB125" s="16">
        <v>121</v>
      </c>
      <c r="AC125" s="113"/>
      <c r="AD125" s="109"/>
      <c r="AE125" s="109"/>
      <c r="AF125" s="110"/>
      <c r="AG125" s="169">
        <f t="shared" si="9"/>
        <v>6.0000000000000001E-3</v>
      </c>
      <c r="AH125" s="109"/>
      <c r="AI125" s="109"/>
      <c r="AJ125" s="110"/>
      <c r="AK125" s="113"/>
      <c r="AL125" s="299"/>
      <c r="AM125" s="299"/>
      <c r="AN125" s="21"/>
      <c r="AO125" s="20"/>
      <c r="AP125" s="8"/>
      <c r="AQ125" s="8"/>
      <c r="AR125" s="21"/>
      <c r="AS125" s="256" t="s">
        <v>757</v>
      </c>
    </row>
    <row r="126" spans="1:45" hidden="1" x14ac:dyDescent="0.25">
      <c r="A126" s="9">
        <v>123</v>
      </c>
      <c r="B126" s="9" t="s">
        <v>28</v>
      </c>
      <c r="C126" s="9" t="s">
        <v>753</v>
      </c>
      <c r="D126" s="9" t="s">
        <v>754</v>
      </c>
      <c r="E126" s="9"/>
      <c r="F126" s="15" t="s">
        <v>145</v>
      </c>
      <c r="G126" s="9"/>
      <c r="H126" s="9" t="s">
        <v>31</v>
      </c>
      <c r="I126" s="9"/>
      <c r="J126" s="9"/>
      <c r="K126" s="9">
        <v>0.02</v>
      </c>
      <c r="L126" s="9">
        <v>0.02</v>
      </c>
      <c r="M126" s="9" t="s">
        <v>812</v>
      </c>
      <c r="N126" s="9" t="s">
        <v>33</v>
      </c>
      <c r="O126" s="9">
        <f t="shared" si="10"/>
        <v>0.6</v>
      </c>
      <c r="P126" s="9">
        <f t="shared" si="11"/>
        <v>0.7</v>
      </c>
      <c r="Q126" s="9">
        <f t="shared" si="12"/>
        <v>0.4</v>
      </c>
      <c r="R126" s="9">
        <f t="shared" si="13"/>
        <v>0.3</v>
      </c>
      <c r="S126" s="38">
        <v>2</v>
      </c>
      <c r="T126" s="252">
        <v>105991.94</v>
      </c>
      <c r="U126" s="194">
        <v>2119.8388</v>
      </c>
      <c r="V126" s="9"/>
      <c r="W126" s="9"/>
      <c r="X126" s="9" t="s">
        <v>824</v>
      </c>
      <c r="Y126" s="321">
        <v>70793</v>
      </c>
      <c r="Z126" s="19" t="s">
        <v>755</v>
      </c>
      <c r="AA126" s="15" t="s">
        <v>145</v>
      </c>
      <c r="AB126" s="16">
        <v>122</v>
      </c>
      <c r="AC126" s="113"/>
      <c r="AD126" s="109"/>
      <c r="AE126" s="109"/>
      <c r="AF126" s="110"/>
      <c r="AG126" s="169">
        <f t="shared" si="9"/>
        <v>6.0000000000000001E-3</v>
      </c>
      <c r="AH126" s="109"/>
      <c r="AI126" s="109"/>
      <c r="AJ126" s="110"/>
      <c r="AK126" s="113"/>
      <c r="AL126" s="299"/>
      <c r="AM126" s="299"/>
      <c r="AN126" s="21"/>
      <c r="AO126" s="20"/>
      <c r="AP126" s="8"/>
      <c r="AQ126" s="8"/>
      <c r="AR126" s="21"/>
      <c r="AS126" s="256" t="s">
        <v>757</v>
      </c>
    </row>
    <row r="127" spans="1:45" hidden="1" x14ac:dyDescent="0.25">
      <c r="A127" s="9">
        <v>124</v>
      </c>
      <c r="B127" s="9" t="s">
        <v>28</v>
      </c>
      <c r="C127" s="9" t="s">
        <v>753</v>
      </c>
      <c r="D127" s="9" t="s">
        <v>754</v>
      </c>
      <c r="E127" s="9"/>
      <c r="F127" s="15" t="s">
        <v>145</v>
      </c>
      <c r="G127" s="9"/>
      <c r="H127" s="9" t="s">
        <v>31</v>
      </c>
      <c r="I127" s="9"/>
      <c r="J127" s="9"/>
      <c r="K127" s="9">
        <v>0.02</v>
      </c>
      <c r="L127" s="9">
        <v>0.02</v>
      </c>
      <c r="M127" s="9" t="s">
        <v>812</v>
      </c>
      <c r="N127" s="9" t="s">
        <v>33</v>
      </c>
      <c r="O127" s="9">
        <f t="shared" si="10"/>
        <v>0.6</v>
      </c>
      <c r="P127" s="9">
        <f t="shared" si="11"/>
        <v>0.7</v>
      </c>
      <c r="Q127" s="9">
        <f t="shared" si="12"/>
        <v>0.4</v>
      </c>
      <c r="R127" s="9">
        <f t="shared" si="13"/>
        <v>0.3</v>
      </c>
      <c r="S127" s="38">
        <v>2</v>
      </c>
      <c r="T127" s="252">
        <v>105991.94</v>
      </c>
      <c r="U127" s="194">
        <v>2119.8388</v>
      </c>
      <c r="V127" s="9"/>
      <c r="W127" s="9"/>
      <c r="X127" s="9" t="s">
        <v>824</v>
      </c>
      <c r="Y127" s="321">
        <v>70793</v>
      </c>
      <c r="Z127" s="19" t="s">
        <v>755</v>
      </c>
      <c r="AA127" s="15" t="s">
        <v>145</v>
      </c>
      <c r="AB127" s="16">
        <v>123</v>
      </c>
      <c r="AC127" s="113"/>
      <c r="AD127" s="109"/>
      <c r="AE127" s="109"/>
      <c r="AF127" s="110"/>
      <c r="AG127" s="169">
        <f t="shared" si="9"/>
        <v>6.0000000000000001E-3</v>
      </c>
      <c r="AH127" s="109"/>
      <c r="AI127" s="109"/>
      <c r="AJ127" s="110"/>
      <c r="AK127" s="113"/>
      <c r="AL127" s="299"/>
      <c r="AM127" s="299"/>
      <c r="AN127" s="21"/>
      <c r="AO127" s="20"/>
      <c r="AP127" s="8"/>
      <c r="AQ127" s="8"/>
      <c r="AR127" s="21"/>
      <c r="AS127" s="256" t="s">
        <v>757</v>
      </c>
    </row>
    <row r="128" spans="1:45" hidden="1" x14ac:dyDescent="0.25">
      <c r="A128" s="9">
        <v>125</v>
      </c>
      <c r="B128" s="9" t="s">
        <v>28</v>
      </c>
      <c r="C128" s="9" t="s">
        <v>753</v>
      </c>
      <c r="D128" s="9" t="s">
        <v>754</v>
      </c>
      <c r="E128" s="9"/>
      <c r="F128" s="15" t="s">
        <v>145</v>
      </c>
      <c r="G128" s="9"/>
      <c r="H128" s="9" t="s">
        <v>31</v>
      </c>
      <c r="I128" s="9"/>
      <c r="J128" s="9"/>
      <c r="K128" s="9">
        <v>0.02</v>
      </c>
      <c r="L128" s="9">
        <v>0.02</v>
      </c>
      <c r="M128" s="9" t="s">
        <v>812</v>
      </c>
      <c r="N128" s="9" t="s">
        <v>33</v>
      </c>
      <c r="O128" s="9">
        <f t="shared" si="10"/>
        <v>0.6</v>
      </c>
      <c r="P128" s="9">
        <f t="shared" si="11"/>
        <v>0.7</v>
      </c>
      <c r="Q128" s="9">
        <f t="shared" si="12"/>
        <v>0.4</v>
      </c>
      <c r="R128" s="9">
        <f t="shared" si="13"/>
        <v>0.3</v>
      </c>
      <c r="S128" s="38">
        <v>2</v>
      </c>
      <c r="T128" s="252">
        <v>105991.94</v>
      </c>
      <c r="U128" s="194">
        <v>2119.8388</v>
      </c>
      <c r="V128" s="9"/>
      <c r="W128" s="9"/>
      <c r="X128" s="9" t="s">
        <v>824</v>
      </c>
      <c r="Y128" s="321">
        <v>70793</v>
      </c>
      <c r="Z128" s="19" t="s">
        <v>755</v>
      </c>
      <c r="AA128" s="15" t="s">
        <v>145</v>
      </c>
      <c r="AB128" s="16">
        <v>124</v>
      </c>
      <c r="AC128" s="113"/>
      <c r="AD128" s="109"/>
      <c r="AE128" s="109"/>
      <c r="AF128" s="110"/>
      <c r="AG128" s="169">
        <f t="shared" si="9"/>
        <v>6.0000000000000001E-3</v>
      </c>
      <c r="AH128" s="109"/>
      <c r="AI128" s="109"/>
      <c r="AJ128" s="110"/>
      <c r="AK128" s="113"/>
      <c r="AL128" s="299"/>
      <c r="AM128" s="299"/>
      <c r="AN128" s="21"/>
      <c r="AO128" s="20"/>
      <c r="AP128" s="8"/>
      <c r="AQ128" s="8"/>
      <c r="AR128" s="21"/>
      <c r="AS128" s="256" t="s">
        <v>757</v>
      </c>
    </row>
    <row r="129" spans="1:45" hidden="1" x14ac:dyDescent="0.25">
      <c r="A129" s="9">
        <v>126</v>
      </c>
      <c r="B129" s="9" t="s">
        <v>28</v>
      </c>
      <c r="C129" s="9" t="s">
        <v>753</v>
      </c>
      <c r="D129" s="9" t="s">
        <v>754</v>
      </c>
      <c r="E129" s="9"/>
      <c r="F129" s="15" t="s">
        <v>145</v>
      </c>
      <c r="G129" s="9"/>
      <c r="H129" s="9" t="s">
        <v>31</v>
      </c>
      <c r="I129" s="9"/>
      <c r="J129" s="9"/>
      <c r="K129" s="9">
        <v>0.02</v>
      </c>
      <c r="L129" s="9">
        <v>0.02</v>
      </c>
      <c r="M129" s="9" t="s">
        <v>812</v>
      </c>
      <c r="N129" s="9" t="s">
        <v>33</v>
      </c>
      <c r="O129" s="9">
        <f t="shared" si="10"/>
        <v>0.6</v>
      </c>
      <c r="P129" s="9">
        <f t="shared" si="11"/>
        <v>0.7</v>
      </c>
      <c r="Q129" s="9">
        <f t="shared" si="12"/>
        <v>0.4</v>
      </c>
      <c r="R129" s="9">
        <f t="shared" si="13"/>
        <v>0.3</v>
      </c>
      <c r="S129" s="38">
        <v>2</v>
      </c>
      <c r="T129" s="252">
        <v>105991.94</v>
      </c>
      <c r="U129" s="194">
        <v>2119.8388</v>
      </c>
      <c r="V129" s="9"/>
      <c r="W129" s="9"/>
      <c r="X129" s="9" t="s">
        <v>824</v>
      </c>
      <c r="Y129" s="321">
        <v>70793</v>
      </c>
      <c r="Z129" s="19" t="s">
        <v>755</v>
      </c>
      <c r="AA129" s="15" t="s">
        <v>145</v>
      </c>
      <c r="AB129" s="16">
        <v>125</v>
      </c>
      <c r="AC129" s="113"/>
      <c r="AD129" s="109"/>
      <c r="AE129" s="109"/>
      <c r="AF129" s="110"/>
      <c r="AG129" s="169">
        <f t="shared" si="9"/>
        <v>6.0000000000000001E-3</v>
      </c>
      <c r="AH129" s="109"/>
      <c r="AI129" s="109"/>
      <c r="AJ129" s="110"/>
      <c r="AK129" s="113"/>
      <c r="AL129" s="299"/>
      <c r="AM129" s="299"/>
      <c r="AN129" s="21"/>
      <c r="AO129" s="20"/>
      <c r="AP129" s="8"/>
      <c r="AQ129" s="8"/>
      <c r="AR129" s="21"/>
      <c r="AS129" s="256" t="s">
        <v>757</v>
      </c>
    </row>
    <row r="130" spans="1:45" hidden="1" x14ac:dyDescent="0.25">
      <c r="A130" s="9">
        <v>127</v>
      </c>
      <c r="B130" s="9" t="s">
        <v>28</v>
      </c>
      <c r="C130" s="9" t="s">
        <v>753</v>
      </c>
      <c r="D130" s="9" t="s">
        <v>754</v>
      </c>
      <c r="E130" s="9"/>
      <c r="F130" s="15" t="s">
        <v>145</v>
      </c>
      <c r="G130" s="9"/>
      <c r="H130" s="9" t="s">
        <v>31</v>
      </c>
      <c r="I130" s="9"/>
      <c r="J130" s="9"/>
      <c r="K130" s="9">
        <v>0.02</v>
      </c>
      <c r="L130" s="9">
        <v>0.02</v>
      </c>
      <c r="M130" s="9" t="s">
        <v>812</v>
      </c>
      <c r="N130" s="9" t="s">
        <v>33</v>
      </c>
      <c r="O130" s="9">
        <f t="shared" si="10"/>
        <v>0.6</v>
      </c>
      <c r="P130" s="9">
        <f t="shared" si="11"/>
        <v>0.7</v>
      </c>
      <c r="Q130" s="9">
        <f t="shared" si="12"/>
        <v>0.4</v>
      </c>
      <c r="R130" s="9">
        <f t="shared" si="13"/>
        <v>0.3</v>
      </c>
      <c r="S130" s="38">
        <v>2</v>
      </c>
      <c r="T130" s="252">
        <v>105991.94</v>
      </c>
      <c r="U130" s="194">
        <v>2119.8388</v>
      </c>
      <c r="V130" s="9"/>
      <c r="W130" s="9"/>
      <c r="X130" s="9" t="s">
        <v>824</v>
      </c>
      <c r="Y130" s="321">
        <v>70793</v>
      </c>
      <c r="Z130" s="19" t="s">
        <v>755</v>
      </c>
      <c r="AA130" s="15" t="s">
        <v>145</v>
      </c>
      <c r="AB130" s="16">
        <v>126</v>
      </c>
      <c r="AC130" s="113"/>
      <c r="AD130" s="109"/>
      <c r="AE130" s="109"/>
      <c r="AF130" s="110"/>
      <c r="AG130" s="169">
        <f t="shared" si="9"/>
        <v>6.0000000000000001E-3</v>
      </c>
      <c r="AH130" s="109"/>
      <c r="AI130" s="109"/>
      <c r="AJ130" s="110"/>
      <c r="AK130" s="113"/>
      <c r="AL130" s="299"/>
      <c r="AM130" s="299"/>
      <c r="AN130" s="21"/>
      <c r="AO130" s="20"/>
      <c r="AP130" s="8"/>
      <c r="AQ130" s="8"/>
      <c r="AR130" s="21"/>
      <c r="AS130" s="256" t="s">
        <v>757</v>
      </c>
    </row>
    <row r="131" spans="1:45" hidden="1" x14ac:dyDescent="0.25">
      <c r="A131" s="9">
        <v>128</v>
      </c>
      <c r="B131" s="9" t="s">
        <v>28</v>
      </c>
      <c r="C131" s="9" t="s">
        <v>753</v>
      </c>
      <c r="D131" s="9" t="s">
        <v>754</v>
      </c>
      <c r="E131" s="9"/>
      <c r="F131" s="15" t="s">
        <v>145</v>
      </c>
      <c r="G131" s="9"/>
      <c r="H131" s="9" t="s">
        <v>31</v>
      </c>
      <c r="I131" s="9"/>
      <c r="J131" s="9"/>
      <c r="K131" s="9">
        <v>0.02</v>
      </c>
      <c r="L131" s="9">
        <v>0.02</v>
      </c>
      <c r="M131" s="9" t="s">
        <v>812</v>
      </c>
      <c r="N131" s="9" t="s">
        <v>33</v>
      </c>
      <c r="O131" s="9">
        <f t="shared" si="10"/>
        <v>0.6</v>
      </c>
      <c r="P131" s="9">
        <f t="shared" si="11"/>
        <v>0.7</v>
      </c>
      <c r="Q131" s="9">
        <f t="shared" si="12"/>
        <v>0.4</v>
      </c>
      <c r="R131" s="9">
        <f t="shared" si="13"/>
        <v>0.3</v>
      </c>
      <c r="S131" s="38">
        <v>2</v>
      </c>
      <c r="T131" s="252">
        <v>105991.94</v>
      </c>
      <c r="U131" s="194">
        <v>2119.8388</v>
      </c>
      <c r="V131" s="9"/>
      <c r="W131" s="9"/>
      <c r="X131" s="9" t="s">
        <v>824</v>
      </c>
      <c r="Y131" s="321">
        <v>70793</v>
      </c>
      <c r="Z131" s="19" t="s">
        <v>755</v>
      </c>
      <c r="AA131" s="15" t="s">
        <v>145</v>
      </c>
      <c r="AB131" s="16">
        <v>127</v>
      </c>
      <c r="AC131" s="113"/>
      <c r="AD131" s="109"/>
      <c r="AE131" s="109"/>
      <c r="AF131" s="110"/>
      <c r="AG131" s="169">
        <f t="shared" si="9"/>
        <v>6.0000000000000001E-3</v>
      </c>
      <c r="AH131" s="109"/>
      <c r="AI131" s="109"/>
      <c r="AJ131" s="110"/>
      <c r="AK131" s="113"/>
      <c r="AL131" s="299"/>
      <c r="AM131" s="299"/>
      <c r="AN131" s="21"/>
      <c r="AO131" s="20"/>
      <c r="AP131" s="8"/>
      <c r="AQ131" s="8"/>
      <c r="AR131" s="21"/>
      <c r="AS131" s="256" t="s">
        <v>757</v>
      </c>
    </row>
    <row r="132" spans="1:45" hidden="1" x14ac:dyDescent="0.25">
      <c r="A132" s="9">
        <v>129</v>
      </c>
      <c r="B132" s="9" t="s">
        <v>28</v>
      </c>
      <c r="C132" s="9" t="s">
        <v>753</v>
      </c>
      <c r="D132" s="9" t="s">
        <v>754</v>
      </c>
      <c r="E132" s="9"/>
      <c r="F132" s="15" t="s">
        <v>145</v>
      </c>
      <c r="G132" s="9"/>
      <c r="H132" s="9" t="s">
        <v>31</v>
      </c>
      <c r="I132" s="9"/>
      <c r="J132" s="9"/>
      <c r="K132" s="9">
        <v>0.02</v>
      </c>
      <c r="L132" s="9">
        <v>0.02</v>
      </c>
      <c r="M132" s="9" t="s">
        <v>812</v>
      </c>
      <c r="N132" s="9" t="s">
        <v>33</v>
      </c>
      <c r="O132" s="9">
        <f t="shared" si="10"/>
        <v>0.6</v>
      </c>
      <c r="P132" s="9">
        <f t="shared" si="11"/>
        <v>0.7</v>
      </c>
      <c r="Q132" s="9">
        <f t="shared" si="12"/>
        <v>0.4</v>
      </c>
      <c r="R132" s="9">
        <f t="shared" si="13"/>
        <v>0.3</v>
      </c>
      <c r="S132" s="38">
        <v>2</v>
      </c>
      <c r="T132" s="252">
        <v>105991.94</v>
      </c>
      <c r="U132" s="194">
        <v>2119.8388</v>
      </c>
      <c r="V132" s="9"/>
      <c r="W132" s="9"/>
      <c r="X132" s="9" t="s">
        <v>824</v>
      </c>
      <c r="Y132" s="321">
        <v>70793</v>
      </c>
      <c r="Z132" s="19" t="s">
        <v>755</v>
      </c>
      <c r="AA132" s="15" t="s">
        <v>145</v>
      </c>
      <c r="AB132" s="16">
        <v>128</v>
      </c>
      <c r="AC132" s="113"/>
      <c r="AD132" s="109"/>
      <c r="AE132" s="109"/>
      <c r="AF132" s="110"/>
      <c r="AG132" s="169">
        <f t="shared" si="9"/>
        <v>6.0000000000000001E-3</v>
      </c>
      <c r="AH132" s="109"/>
      <c r="AI132" s="109"/>
      <c r="AJ132" s="110"/>
      <c r="AK132" s="113"/>
      <c r="AL132" s="299"/>
      <c r="AM132" s="299"/>
      <c r="AN132" s="21"/>
      <c r="AO132" s="20"/>
      <c r="AP132" s="8"/>
      <c r="AQ132" s="8"/>
      <c r="AR132" s="21"/>
      <c r="AS132" s="256" t="s">
        <v>757</v>
      </c>
    </row>
    <row r="133" spans="1:45" hidden="1" x14ac:dyDescent="0.25">
      <c r="A133" s="9">
        <v>130</v>
      </c>
      <c r="B133" s="9" t="s">
        <v>28</v>
      </c>
      <c r="C133" s="9" t="s">
        <v>753</v>
      </c>
      <c r="D133" s="9" t="s">
        <v>754</v>
      </c>
      <c r="E133" s="9"/>
      <c r="F133" s="15" t="s">
        <v>145</v>
      </c>
      <c r="G133" s="9"/>
      <c r="H133" s="9" t="s">
        <v>31</v>
      </c>
      <c r="I133" s="9"/>
      <c r="J133" s="9"/>
      <c r="K133" s="9">
        <v>0.02</v>
      </c>
      <c r="L133" s="9">
        <v>0.02</v>
      </c>
      <c r="M133" s="9" t="s">
        <v>812</v>
      </c>
      <c r="N133" s="9" t="s">
        <v>33</v>
      </c>
      <c r="O133" s="9">
        <f t="shared" si="10"/>
        <v>0.6</v>
      </c>
      <c r="P133" s="9">
        <f t="shared" si="11"/>
        <v>0.7</v>
      </c>
      <c r="Q133" s="9">
        <f t="shared" si="12"/>
        <v>0.4</v>
      </c>
      <c r="R133" s="9">
        <f t="shared" si="13"/>
        <v>0.3</v>
      </c>
      <c r="S133" s="38">
        <v>2</v>
      </c>
      <c r="T133" s="252">
        <v>105991.94</v>
      </c>
      <c r="U133" s="194">
        <v>2119.8388</v>
      </c>
      <c r="V133" s="9"/>
      <c r="W133" s="9"/>
      <c r="X133" s="9" t="s">
        <v>824</v>
      </c>
      <c r="Y133" s="321">
        <v>70793</v>
      </c>
      <c r="Z133" s="19" t="s">
        <v>755</v>
      </c>
      <c r="AA133" s="15" t="s">
        <v>145</v>
      </c>
      <c r="AB133" s="16">
        <v>129</v>
      </c>
      <c r="AC133" s="113"/>
      <c r="AD133" s="109"/>
      <c r="AE133" s="109"/>
      <c r="AF133" s="110"/>
      <c r="AG133" s="169">
        <f t="shared" ref="AG133:AG196" si="14">L133*0.3</f>
        <v>6.0000000000000001E-3</v>
      </c>
      <c r="AH133" s="109"/>
      <c r="AI133" s="109"/>
      <c r="AJ133" s="110"/>
      <c r="AK133" s="113"/>
      <c r="AL133" s="299"/>
      <c r="AM133" s="299"/>
      <c r="AN133" s="21"/>
      <c r="AO133" s="20"/>
      <c r="AP133" s="8"/>
      <c r="AQ133" s="8"/>
      <c r="AR133" s="21"/>
      <c r="AS133" s="256" t="s">
        <v>757</v>
      </c>
    </row>
    <row r="134" spans="1:45" hidden="1" x14ac:dyDescent="0.25">
      <c r="A134" s="9">
        <v>131</v>
      </c>
      <c r="B134" s="9" t="s">
        <v>28</v>
      </c>
      <c r="C134" s="9" t="s">
        <v>753</v>
      </c>
      <c r="D134" s="9" t="s">
        <v>754</v>
      </c>
      <c r="E134" s="9"/>
      <c r="F134" s="15" t="s">
        <v>145</v>
      </c>
      <c r="G134" s="9"/>
      <c r="H134" s="9" t="s">
        <v>31</v>
      </c>
      <c r="I134" s="9"/>
      <c r="J134" s="9"/>
      <c r="K134" s="9">
        <v>0.02</v>
      </c>
      <c r="L134" s="9">
        <v>0.02</v>
      </c>
      <c r="M134" s="9" t="s">
        <v>812</v>
      </c>
      <c r="N134" s="9" t="s">
        <v>33</v>
      </c>
      <c r="O134" s="9">
        <f t="shared" ref="O134:O197" si="15">S134*0.3</f>
        <v>0.6</v>
      </c>
      <c r="P134" s="9">
        <f t="shared" ref="P134:P197" si="16">S134*0.35</f>
        <v>0.7</v>
      </c>
      <c r="Q134" s="9">
        <f t="shared" ref="Q134:Q197" si="17">S134*0.2</f>
        <v>0.4</v>
      </c>
      <c r="R134" s="9">
        <f t="shared" ref="R134:R197" si="18">S134*0.15</f>
        <v>0.3</v>
      </c>
      <c r="S134" s="38">
        <v>2</v>
      </c>
      <c r="T134" s="252">
        <v>105991.94</v>
      </c>
      <c r="U134" s="194">
        <v>2119.8388</v>
      </c>
      <c r="V134" s="9"/>
      <c r="W134" s="9"/>
      <c r="X134" s="9" t="s">
        <v>824</v>
      </c>
      <c r="Y134" s="321">
        <v>70793</v>
      </c>
      <c r="Z134" s="19" t="s">
        <v>755</v>
      </c>
      <c r="AA134" s="15" t="s">
        <v>145</v>
      </c>
      <c r="AB134" s="16">
        <v>130</v>
      </c>
      <c r="AC134" s="113"/>
      <c r="AD134" s="109"/>
      <c r="AE134" s="109"/>
      <c r="AF134" s="110"/>
      <c r="AG134" s="169">
        <f t="shared" si="14"/>
        <v>6.0000000000000001E-3</v>
      </c>
      <c r="AH134" s="109"/>
      <c r="AI134" s="109"/>
      <c r="AJ134" s="110"/>
      <c r="AK134" s="113"/>
      <c r="AL134" s="299"/>
      <c r="AM134" s="299"/>
      <c r="AN134" s="21"/>
      <c r="AO134" s="20"/>
      <c r="AP134" s="8"/>
      <c r="AQ134" s="8"/>
      <c r="AR134" s="21"/>
      <c r="AS134" s="256" t="s">
        <v>757</v>
      </c>
    </row>
    <row r="135" spans="1:45" hidden="1" x14ac:dyDescent="0.25">
      <c r="A135" s="9">
        <v>132</v>
      </c>
      <c r="B135" s="9" t="s">
        <v>28</v>
      </c>
      <c r="C135" s="9" t="s">
        <v>753</v>
      </c>
      <c r="D135" s="9" t="s">
        <v>754</v>
      </c>
      <c r="E135" s="9"/>
      <c r="F135" s="15" t="s">
        <v>145</v>
      </c>
      <c r="G135" s="9"/>
      <c r="H135" s="9" t="s">
        <v>31</v>
      </c>
      <c r="I135" s="9"/>
      <c r="J135" s="9"/>
      <c r="K135" s="9">
        <v>0.02</v>
      </c>
      <c r="L135" s="9">
        <v>0.02</v>
      </c>
      <c r="M135" s="9" t="s">
        <v>812</v>
      </c>
      <c r="N135" s="9" t="s">
        <v>33</v>
      </c>
      <c r="O135" s="9">
        <f t="shared" si="15"/>
        <v>0.6</v>
      </c>
      <c r="P135" s="9">
        <f t="shared" si="16"/>
        <v>0.7</v>
      </c>
      <c r="Q135" s="9">
        <f t="shared" si="17"/>
        <v>0.4</v>
      </c>
      <c r="R135" s="9">
        <f t="shared" si="18"/>
        <v>0.3</v>
      </c>
      <c r="S135" s="38">
        <v>2</v>
      </c>
      <c r="T135" s="252">
        <v>105991.94</v>
      </c>
      <c r="U135" s="194">
        <v>2119.8388</v>
      </c>
      <c r="V135" s="9"/>
      <c r="W135" s="9"/>
      <c r="X135" s="9" t="s">
        <v>824</v>
      </c>
      <c r="Y135" s="321">
        <v>70793</v>
      </c>
      <c r="Z135" s="19" t="s">
        <v>755</v>
      </c>
      <c r="AA135" s="15" t="s">
        <v>145</v>
      </c>
      <c r="AB135" s="16">
        <v>131</v>
      </c>
      <c r="AC135" s="113"/>
      <c r="AD135" s="109"/>
      <c r="AE135" s="109"/>
      <c r="AF135" s="110"/>
      <c r="AG135" s="169">
        <f t="shared" si="14"/>
        <v>6.0000000000000001E-3</v>
      </c>
      <c r="AH135" s="109"/>
      <c r="AI135" s="109"/>
      <c r="AJ135" s="110"/>
      <c r="AK135" s="113"/>
      <c r="AL135" s="299"/>
      <c r="AM135" s="299"/>
      <c r="AN135" s="21"/>
      <c r="AO135" s="20"/>
      <c r="AP135" s="8"/>
      <c r="AQ135" s="8"/>
      <c r="AR135" s="21"/>
      <c r="AS135" s="256" t="s">
        <v>757</v>
      </c>
    </row>
    <row r="136" spans="1:45" hidden="1" x14ac:dyDescent="0.25">
      <c r="A136" s="9">
        <v>133</v>
      </c>
      <c r="B136" s="9" t="s">
        <v>28</v>
      </c>
      <c r="C136" s="9" t="s">
        <v>753</v>
      </c>
      <c r="D136" s="9" t="s">
        <v>754</v>
      </c>
      <c r="E136" s="9"/>
      <c r="F136" s="15" t="s">
        <v>145</v>
      </c>
      <c r="G136" s="9"/>
      <c r="H136" s="9" t="s">
        <v>31</v>
      </c>
      <c r="I136" s="9"/>
      <c r="J136" s="9"/>
      <c r="K136" s="9">
        <v>7.0000000000000001E-3</v>
      </c>
      <c r="L136" s="9">
        <v>7.0000000000000001E-3</v>
      </c>
      <c r="M136" s="9" t="s">
        <v>812</v>
      </c>
      <c r="N136" s="9" t="s">
        <v>33</v>
      </c>
      <c r="O136" s="9">
        <f t="shared" si="15"/>
        <v>0.21000000000000002</v>
      </c>
      <c r="P136" s="9">
        <f t="shared" si="16"/>
        <v>0.245</v>
      </c>
      <c r="Q136" s="9">
        <f t="shared" si="17"/>
        <v>0.14000000000000001</v>
      </c>
      <c r="R136" s="9">
        <f t="shared" si="18"/>
        <v>0.10500000000000001</v>
      </c>
      <c r="S136" s="38">
        <v>0.70000000000000007</v>
      </c>
      <c r="T136" s="252">
        <v>105991.94</v>
      </c>
      <c r="U136" s="194">
        <v>741.94358</v>
      </c>
      <c r="V136" s="9"/>
      <c r="W136" s="9"/>
      <c r="X136" s="9" t="s">
        <v>825</v>
      </c>
      <c r="Y136" s="321">
        <v>70793</v>
      </c>
      <c r="Z136" s="19" t="s">
        <v>755</v>
      </c>
      <c r="AA136" s="15" t="s">
        <v>145</v>
      </c>
      <c r="AB136" s="16">
        <v>132</v>
      </c>
      <c r="AC136" s="113"/>
      <c r="AD136" s="109"/>
      <c r="AE136" s="109"/>
      <c r="AF136" s="110"/>
      <c r="AG136" s="169">
        <f t="shared" si="14"/>
        <v>2.0999999999999999E-3</v>
      </c>
      <c r="AH136" s="109"/>
      <c r="AI136" s="109"/>
      <c r="AJ136" s="110"/>
      <c r="AK136" s="113"/>
      <c r="AL136" s="299"/>
      <c r="AM136" s="299"/>
      <c r="AN136" s="21"/>
      <c r="AO136" s="20"/>
      <c r="AP136" s="8"/>
      <c r="AQ136" s="8"/>
      <c r="AR136" s="21"/>
      <c r="AS136" s="256" t="s">
        <v>757</v>
      </c>
    </row>
    <row r="137" spans="1:45" hidden="1" x14ac:dyDescent="0.25">
      <c r="A137" s="9">
        <v>134</v>
      </c>
      <c r="B137" s="9" t="s">
        <v>28</v>
      </c>
      <c r="C137" s="9" t="s">
        <v>753</v>
      </c>
      <c r="D137" s="9" t="s">
        <v>754</v>
      </c>
      <c r="E137" s="9"/>
      <c r="F137" s="15" t="s">
        <v>145</v>
      </c>
      <c r="G137" s="9"/>
      <c r="H137" s="9" t="s">
        <v>31</v>
      </c>
      <c r="I137" s="9"/>
      <c r="J137" s="9"/>
      <c r="K137" s="9">
        <v>7.0000000000000001E-3</v>
      </c>
      <c r="L137" s="9">
        <v>7.0000000000000001E-3</v>
      </c>
      <c r="M137" s="9" t="s">
        <v>812</v>
      </c>
      <c r="N137" s="9" t="s">
        <v>33</v>
      </c>
      <c r="O137" s="9">
        <f t="shared" si="15"/>
        <v>0.21000000000000002</v>
      </c>
      <c r="P137" s="9">
        <f t="shared" si="16"/>
        <v>0.245</v>
      </c>
      <c r="Q137" s="9">
        <f t="shared" si="17"/>
        <v>0.14000000000000001</v>
      </c>
      <c r="R137" s="9">
        <f t="shared" si="18"/>
        <v>0.10500000000000001</v>
      </c>
      <c r="S137" s="38">
        <v>0.70000000000000007</v>
      </c>
      <c r="T137" s="252">
        <v>105991.94</v>
      </c>
      <c r="U137" s="194">
        <v>741.94358</v>
      </c>
      <c r="V137" s="9"/>
      <c r="W137" s="9"/>
      <c r="X137" s="9" t="s">
        <v>825</v>
      </c>
      <c r="Y137" s="321">
        <v>70793</v>
      </c>
      <c r="Z137" s="19" t="s">
        <v>755</v>
      </c>
      <c r="AA137" s="15" t="s">
        <v>145</v>
      </c>
      <c r="AB137" s="16">
        <v>133</v>
      </c>
      <c r="AC137" s="113"/>
      <c r="AD137" s="109"/>
      <c r="AE137" s="109"/>
      <c r="AF137" s="110"/>
      <c r="AG137" s="169">
        <f t="shared" si="14"/>
        <v>2.0999999999999999E-3</v>
      </c>
      <c r="AH137" s="109"/>
      <c r="AI137" s="109"/>
      <c r="AJ137" s="110"/>
      <c r="AK137" s="113"/>
      <c r="AL137" s="299"/>
      <c r="AM137" s="299"/>
      <c r="AN137" s="21"/>
      <c r="AO137" s="20"/>
      <c r="AP137" s="8"/>
      <c r="AQ137" s="8"/>
      <c r="AR137" s="21"/>
      <c r="AS137" s="256" t="s">
        <v>757</v>
      </c>
    </row>
    <row r="138" spans="1:45" hidden="1" x14ac:dyDescent="0.25">
      <c r="A138" s="9">
        <v>135</v>
      </c>
      <c r="B138" s="9" t="s">
        <v>28</v>
      </c>
      <c r="C138" s="9" t="s">
        <v>753</v>
      </c>
      <c r="D138" s="9" t="s">
        <v>754</v>
      </c>
      <c r="E138" s="9"/>
      <c r="F138" s="15" t="s">
        <v>145</v>
      </c>
      <c r="G138" s="9"/>
      <c r="H138" s="9" t="s">
        <v>31</v>
      </c>
      <c r="I138" s="9"/>
      <c r="J138" s="9"/>
      <c r="K138" s="9">
        <v>7.0000000000000001E-3</v>
      </c>
      <c r="L138" s="9">
        <v>7.0000000000000001E-3</v>
      </c>
      <c r="M138" s="9" t="s">
        <v>812</v>
      </c>
      <c r="N138" s="9" t="s">
        <v>33</v>
      </c>
      <c r="O138" s="9">
        <f t="shared" si="15"/>
        <v>0.21000000000000002</v>
      </c>
      <c r="P138" s="9">
        <f t="shared" si="16"/>
        <v>0.245</v>
      </c>
      <c r="Q138" s="9">
        <f t="shared" si="17"/>
        <v>0.14000000000000001</v>
      </c>
      <c r="R138" s="9">
        <f t="shared" si="18"/>
        <v>0.10500000000000001</v>
      </c>
      <c r="S138" s="38">
        <v>0.70000000000000007</v>
      </c>
      <c r="T138" s="252">
        <v>105991.94</v>
      </c>
      <c r="U138" s="194">
        <v>741.94358</v>
      </c>
      <c r="V138" s="9"/>
      <c r="W138" s="9"/>
      <c r="X138" s="9" t="s">
        <v>825</v>
      </c>
      <c r="Y138" s="321">
        <v>70793</v>
      </c>
      <c r="Z138" s="19" t="s">
        <v>755</v>
      </c>
      <c r="AA138" s="15" t="s">
        <v>145</v>
      </c>
      <c r="AB138" s="16">
        <v>134</v>
      </c>
      <c r="AC138" s="113"/>
      <c r="AD138" s="109"/>
      <c r="AE138" s="109"/>
      <c r="AF138" s="110"/>
      <c r="AG138" s="169">
        <f t="shared" si="14"/>
        <v>2.0999999999999999E-3</v>
      </c>
      <c r="AH138" s="109"/>
      <c r="AI138" s="109"/>
      <c r="AJ138" s="110"/>
      <c r="AK138" s="113"/>
      <c r="AL138" s="299"/>
      <c r="AM138" s="299"/>
      <c r="AN138" s="21"/>
      <c r="AO138" s="20"/>
      <c r="AP138" s="8"/>
      <c r="AQ138" s="8"/>
      <c r="AR138" s="21"/>
      <c r="AS138" s="256" t="s">
        <v>757</v>
      </c>
    </row>
    <row r="139" spans="1:45" hidden="1" x14ac:dyDescent="0.25">
      <c r="A139" s="9">
        <v>136</v>
      </c>
      <c r="B139" s="9" t="s">
        <v>28</v>
      </c>
      <c r="C139" s="9" t="s">
        <v>753</v>
      </c>
      <c r="D139" s="9" t="s">
        <v>754</v>
      </c>
      <c r="E139" s="9"/>
      <c r="F139" s="15" t="s">
        <v>145</v>
      </c>
      <c r="G139" s="9"/>
      <c r="H139" s="9" t="s">
        <v>31</v>
      </c>
      <c r="I139" s="9"/>
      <c r="J139" s="9"/>
      <c r="K139" s="9">
        <v>7.0000000000000001E-3</v>
      </c>
      <c r="L139" s="9">
        <v>7.0000000000000001E-3</v>
      </c>
      <c r="M139" s="9" t="s">
        <v>812</v>
      </c>
      <c r="N139" s="9" t="s">
        <v>33</v>
      </c>
      <c r="O139" s="9">
        <f t="shared" si="15"/>
        <v>0.21000000000000002</v>
      </c>
      <c r="P139" s="9">
        <f t="shared" si="16"/>
        <v>0.245</v>
      </c>
      <c r="Q139" s="9">
        <f t="shared" si="17"/>
        <v>0.14000000000000001</v>
      </c>
      <c r="R139" s="9">
        <f t="shared" si="18"/>
        <v>0.10500000000000001</v>
      </c>
      <c r="S139" s="38">
        <v>0.70000000000000007</v>
      </c>
      <c r="T139" s="252">
        <v>105991.94</v>
      </c>
      <c r="U139" s="194">
        <v>741.94358</v>
      </c>
      <c r="V139" s="9"/>
      <c r="W139" s="9"/>
      <c r="X139" s="9" t="s">
        <v>825</v>
      </c>
      <c r="Y139" s="321">
        <v>70793</v>
      </c>
      <c r="Z139" s="19" t="s">
        <v>755</v>
      </c>
      <c r="AA139" s="15" t="s">
        <v>145</v>
      </c>
      <c r="AB139" s="16">
        <v>135</v>
      </c>
      <c r="AC139" s="113"/>
      <c r="AD139" s="109"/>
      <c r="AE139" s="109"/>
      <c r="AF139" s="110"/>
      <c r="AG139" s="169">
        <f t="shared" si="14"/>
        <v>2.0999999999999999E-3</v>
      </c>
      <c r="AH139" s="109"/>
      <c r="AI139" s="109"/>
      <c r="AJ139" s="110"/>
      <c r="AK139" s="113"/>
      <c r="AL139" s="299"/>
      <c r="AM139" s="299"/>
      <c r="AN139" s="21"/>
      <c r="AO139" s="20"/>
      <c r="AP139" s="8"/>
      <c r="AQ139" s="8"/>
      <c r="AR139" s="21"/>
      <c r="AS139" s="256" t="s">
        <v>757</v>
      </c>
    </row>
    <row r="140" spans="1:45" hidden="1" x14ac:dyDescent="0.25">
      <c r="A140" s="9">
        <v>137</v>
      </c>
      <c r="B140" s="9" t="s">
        <v>28</v>
      </c>
      <c r="C140" s="9" t="s">
        <v>753</v>
      </c>
      <c r="D140" s="9" t="s">
        <v>754</v>
      </c>
      <c r="E140" s="9"/>
      <c r="F140" s="15" t="s">
        <v>145</v>
      </c>
      <c r="G140" s="9"/>
      <c r="H140" s="9" t="s">
        <v>31</v>
      </c>
      <c r="I140" s="9"/>
      <c r="J140" s="9"/>
      <c r="K140" s="9">
        <v>7.0000000000000001E-3</v>
      </c>
      <c r="L140" s="9">
        <v>7.0000000000000001E-3</v>
      </c>
      <c r="M140" s="9" t="s">
        <v>812</v>
      </c>
      <c r="N140" s="9" t="s">
        <v>33</v>
      </c>
      <c r="O140" s="9">
        <f t="shared" si="15"/>
        <v>0.21000000000000002</v>
      </c>
      <c r="P140" s="9">
        <f t="shared" si="16"/>
        <v>0.245</v>
      </c>
      <c r="Q140" s="9">
        <f t="shared" si="17"/>
        <v>0.14000000000000001</v>
      </c>
      <c r="R140" s="9">
        <f t="shared" si="18"/>
        <v>0.10500000000000001</v>
      </c>
      <c r="S140" s="38">
        <v>0.70000000000000007</v>
      </c>
      <c r="T140" s="252">
        <v>105991.94</v>
      </c>
      <c r="U140" s="194">
        <v>741.94358</v>
      </c>
      <c r="V140" s="9"/>
      <c r="W140" s="9"/>
      <c r="X140" s="9" t="s">
        <v>825</v>
      </c>
      <c r="Y140" s="321">
        <v>70793</v>
      </c>
      <c r="Z140" s="19" t="s">
        <v>755</v>
      </c>
      <c r="AA140" s="15" t="s">
        <v>145</v>
      </c>
      <c r="AB140" s="16">
        <v>136</v>
      </c>
      <c r="AC140" s="113"/>
      <c r="AD140" s="109"/>
      <c r="AE140" s="109"/>
      <c r="AF140" s="110"/>
      <c r="AG140" s="169">
        <f t="shared" si="14"/>
        <v>2.0999999999999999E-3</v>
      </c>
      <c r="AH140" s="109"/>
      <c r="AI140" s="109"/>
      <c r="AJ140" s="110"/>
      <c r="AK140" s="113"/>
      <c r="AL140" s="299"/>
      <c r="AM140" s="299"/>
      <c r="AN140" s="21"/>
      <c r="AO140" s="20"/>
      <c r="AP140" s="8"/>
      <c r="AQ140" s="8"/>
      <c r="AR140" s="21"/>
      <c r="AS140" s="256" t="s">
        <v>757</v>
      </c>
    </row>
    <row r="141" spans="1:45" hidden="1" x14ac:dyDescent="0.25">
      <c r="A141" s="9">
        <v>138</v>
      </c>
      <c r="B141" s="9" t="s">
        <v>28</v>
      </c>
      <c r="C141" s="9" t="s">
        <v>753</v>
      </c>
      <c r="D141" s="9" t="s">
        <v>754</v>
      </c>
      <c r="E141" s="9"/>
      <c r="F141" s="15" t="s">
        <v>145</v>
      </c>
      <c r="G141" s="9"/>
      <c r="H141" s="9" t="s">
        <v>31</v>
      </c>
      <c r="I141" s="9"/>
      <c r="J141" s="9"/>
      <c r="K141" s="9">
        <v>7.0000000000000001E-3</v>
      </c>
      <c r="L141" s="9">
        <v>7.0000000000000001E-3</v>
      </c>
      <c r="M141" s="9" t="s">
        <v>812</v>
      </c>
      <c r="N141" s="9" t="s">
        <v>33</v>
      </c>
      <c r="O141" s="9">
        <f t="shared" si="15"/>
        <v>0.21000000000000002</v>
      </c>
      <c r="P141" s="9">
        <f t="shared" si="16"/>
        <v>0.245</v>
      </c>
      <c r="Q141" s="9">
        <f t="shared" si="17"/>
        <v>0.14000000000000001</v>
      </c>
      <c r="R141" s="9">
        <f t="shared" si="18"/>
        <v>0.10500000000000001</v>
      </c>
      <c r="S141" s="38">
        <v>0.70000000000000007</v>
      </c>
      <c r="T141" s="252">
        <v>105991.94</v>
      </c>
      <c r="U141" s="194">
        <v>741.94358</v>
      </c>
      <c r="V141" s="9"/>
      <c r="W141" s="9"/>
      <c r="X141" s="9" t="s">
        <v>825</v>
      </c>
      <c r="Y141" s="321">
        <v>70793</v>
      </c>
      <c r="Z141" s="19" t="s">
        <v>755</v>
      </c>
      <c r="AA141" s="15" t="s">
        <v>145</v>
      </c>
      <c r="AB141" s="16">
        <v>137</v>
      </c>
      <c r="AC141" s="113"/>
      <c r="AD141" s="109"/>
      <c r="AE141" s="109"/>
      <c r="AF141" s="110"/>
      <c r="AG141" s="169">
        <f t="shared" si="14"/>
        <v>2.0999999999999999E-3</v>
      </c>
      <c r="AH141" s="109"/>
      <c r="AI141" s="109"/>
      <c r="AJ141" s="110"/>
      <c r="AK141" s="113"/>
      <c r="AL141" s="299"/>
      <c r="AM141" s="299"/>
      <c r="AN141" s="21"/>
      <c r="AO141" s="20"/>
      <c r="AP141" s="8"/>
      <c r="AQ141" s="8"/>
      <c r="AR141" s="21"/>
      <c r="AS141" s="256" t="s">
        <v>757</v>
      </c>
    </row>
    <row r="142" spans="1:45" hidden="1" x14ac:dyDescent="0.25">
      <c r="A142" s="9">
        <v>139</v>
      </c>
      <c r="B142" s="9" t="s">
        <v>28</v>
      </c>
      <c r="C142" s="9" t="s">
        <v>753</v>
      </c>
      <c r="D142" s="9" t="s">
        <v>754</v>
      </c>
      <c r="E142" s="9"/>
      <c r="F142" s="15" t="s">
        <v>145</v>
      </c>
      <c r="G142" s="9"/>
      <c r="H142" s="9" t="s">
        <v>31</v>
      </c>
      <c r="I142" s="9"/>
      <c r="J142" s="9"/>
      <c r="K142" s="9">
        <v>7.0000000000000001E-3</v>
      </c>
      <c r="L142" s="9">
        <v>7.0000000000000001E-3</v>
      </c>
      <c r="M142" s="9" t="s">
        <v>812</v>
      </c>
      <c r="N142" s="9" t="s">
        <v>33</v>
      </c>
      <c r="O142" s="9">
        <f t="shared" si="15"/>
        <v>0.21000000000000002</v>
      </c>
      <c r="P142" s="9">
        <f t="shared" si="16"/>
        <v>0.245</v>
      </c>
      <c r="Q142" s="9">
        <f t="shared" si="17"/>
        <v>0.14000000000000001</v>
      </c>
      <c r="R142" s="9">
        <f t="shared" si="18"/>
        <v>0.10500000000000001</v>
      </c>
      <c r="S142" s="38">
        <v>0.70000000000000007</v>
      </c>
      <c r="T142" s="252">
        <v>105991.94</v>
      </c>
      <c r="U142" s="194">
        <v>741.94358</v>
      </c>
      <c r="V142" s="9"/>
      <c r="W142" s="9"/>
      <c r="X142" s="9" t="s">
        <v>825</v>
      </c>
      <c r="Y142" s="321">
        <v>70793</v>
      </c>
      <c r="Z142" s="19" t="s">
        <v>755</v>
      </c>
      <c r="AA142" s="15" t="s">
        <v>145</v>
      </c>
      <c r="AB142" s="16">
        <v>138</v>
      </c>
      <c r="AC142" s="113"/>
      <c r="AD142" s="109"/>
      <c r="AE142" s="109"/>
      <c r="AF142" s="110"/>
      <c r="AG142" s="169">
        <f t="shared" si="14"/>
        <v>2.0999999999999999E-3</v>
      </c>
      <c r="AH142" s="109"/>
      <c r="AI142" s="109"/>
      <c r="AJ142" s="110"/>
      <c r="AK142" s="113"/>
      <c r="AL142" s="299"/>
      <c r="AM142" s="299"/>
      <c r="AN142" s="21"/>
      <c r="AO142" s="20"/>
      <c r="AP142" s="8"/>
      <c r="AQ142" s="8"/>
      <c r="AR142" s="21"/>
      <c r="AS142" s="256" t="s">
        <v>757</v>
      </c>
    </row>
    <row r="143" spans="1:45" hidden="1" x14ac:dyDescent="0.25">
      <c r="A143" s="9">
        <v>140</v>
      </c>
      <c r="B143" s="9" t="s">
        <v>28</v>
      </c>
      <c r="C143" s="9" t="s">
        <v>753</v>
      </c>
      <c r="D143" s="9" t="s">
        <v>754</v>
      </c>
      <c r="E143" s="9"/>
      <c r="F143" s="15" t="s">
        <v>145</v>
      </c>
      <c r="G143" s="9"/>
      <c r="H143" s="9" t="s">
        <v>31</v>
      </c>
      <c r="I143" s="9"/>
      <c r="J143" s="9"/>
      <c r="K143" s="9">
        <v>7.0000000000000001E-3</v>
      </c>
      <c r="L143" s="9">
        <v>7.0000000000000001E-3</v>
      </c>
      <c r="M143" s="9" t="s">
        <v>812</v>
      </c>
      <c r="N143" s="9" t="s">
        <v>33</v>
      </c>
      <c r="O143" s="9">
        <f t="shared" si="15"/>
        <v>0.21000000000000002</v>
      </c>
      <c r="P143" s="9">
        <f t="shared" si="16"/>
        <v>0.245</v>
      </c>
      <c r="Q143" s="9">
        <f t="shared" si="17"/>
        <v>0.14000000000000001</v>
      </c>
      <c r="R143" s="9">
        <f t="shared" si="18"/>
        <v>0.10500000000000001</v>
      </c>
      <c r="S143" s="38">
        <v>0.70000000000000007</v>
      </c>
      <c r="T143" s="252">
        <v>105991.94</v>
      </c>
      <c r="U143" s="194">
        <v>741.94358</v>
      </c>
      <c r="V143" s="9"/>
      <c r="W143" s="9"/>
      <c r="X143" s="9" t="s">
        <v>825</v>
      </c>
      <c r="Y143" s="321">
        <v>70793</v>
      </c>
      <c r="Z143" s="19" t="s">
        <v>755</v>
      </c>
      <c r="AA143" s="15" t="s">
        <v>145</v>
      </c>
      <c r="AB143" s="16">
        <v>139</v>
      </c>
      <c r="AC143" s="113"/>
      <c r="AD143" s="109"/>
      <c r="AE143" s="109"/>
      <c r="AF143" s="110"/>
      <c r="AG143" s="169">
        <f t="shared" si="14"/>
        <v>2.0999999999999999E-3</v>
      </c>
      <c r="AH143" s="109"/>
      <c r="AI143" s="109"/>
      <c r="AJ143" s="110"/>
      <c r="AK143" s="113"/>
      <c r="AL143" s="299"/>
      <c r="AM143" s="299"/>
      <c r="AN143" s="21"/>
      <c r="AO143" s="20"/>
      <c r="AP143" s="8"/>
      <c r="AQ143" s="8"/>
      <c r="AR143" s="21"/>
      <c r="AS143" s="256" t="s">
        <v>757</v>
      </c>
    </row>
    <row r="144" spans="1:45" hidden="1" x14ac:dyDescent="0.25">
      <c r="A144" s="9">
        <v>141</v>
      </c>
      <c r="B144" s="9" t="s">
        <v>28</v>
      </c>
      <c r="C144" s="9" t="s">
        <v>753</v>
      </c>
      <c r="D144" s="9" t="s">
        <v>754</v>
      </c>
      <c r="E144" s="9"/>
      <c r="F144" s="15" t="s">
        <v>145</v>
      </c>
      <c r="G144" s="9"/>
      <c r="H144" s="9" t="s">
        <v>31</v>
      </c>
      <c r="I144" s="9"/>
      <c r="J144" s="9"/>
      <c r="K144" s="9">
        <v>7.0000000000000001E-3</v>
      </c>
      <c r="L144" s="9">
        <v>7.0000000000000001E-3</v>
      </c>
      <c r="M144" s="9" t="s">
        <v>812</v>
      </c>
      <c r="N144" s="9" t="s">
        <v>33</v>
      </c>
      <c r="O144" s="9">
        <f t="shared" si="15"/>
        <v>0.21000000000000002</v>
      </c>
      <c r="P144" s="9">
        <f t="shared" si="16"/>
        <v>0.245</v>
      </c>
      <c r="Q144" s="9">
        <f t="shared" si="17"/>
        <v>0.14000000000000001</v>
      </c>
      <c r="R144" s="9">
        <f t="shared" si="18"/>
        <v>0.10500000000000001</v>
      </c>
      <c r="S144" s="38">
        <v>0.70000000000000007</v>
      </c>
      <c r="T144" s="252">
        <v>105991.94</v>
      </c>
      <c r="U144" s="194">
        <v>741.94358</v>
      </c>
      <c r="V144" s="9"/>
      <c r="W144" s="9"/>
      <c r="X144" s="9" t="s">
        <v>825</v>
      </c>
      <c r="Y144" s="321">
        <v>70793</v>
      </c>
      <c r="Z144" s="19" t="s">
        <v>755</v>
      </c>
      <c r="AA144" s="15" t="s">
        <v>145</v>
      </c>
      <c r="AB144" s="16">
        <v>140</v>
      </c>
      <c r="AC144" s="113"/>
      <c r="AD144" s="109"/>
      <c r="AE144" s="109"/>
      <c r="AF144" s="110"/>
      <c r="AG144" s="169">
        <f t="shared" si="14"/>
        <v>2.0999999999999999E-3</v>
      </c>
      <c r="AH144" s="109"/>
      <c r="AI144" s="109"/>
      <c r="AJ144" s="110"/>
      <c r="AK144" s="113"/>
      <c r="AL144" s="299"/>
      <c r="AM144" s="299"/>
      <c r="AN144" s="21"/>
      <c r="AO144" s="20"/>
      <c r="AP144" s="8"/>
      <c r="AQ144" s="8"/>
      <c r="AR144" s="21"/>
      <c r="AS144" s="256" t="s">
        <v>757</v>
      </c>
    </row>
    <row r="145" spans="1:45" hidden="1" x14ac:dyDescent="0.25">
      <c r="A145" s="9">
        <v>142</v>
      </c>
      <c r="B145" s="9" t="s">
        <v>28</v>
      </c>
      <c r="C145" s="9" t="s">
        <v>753</v>
      </c>
      <c r="D145" s="9" t="s">
        <v>754</v>
      </c>
      <c r="E145" s="9"/>
      <c r="F145" s="15" t="s">
        <v>145</v>
      </c>
      <c r="G145" s="9"/>
      <c r="H145" s="9" t="s">
        <v>31</v>
      </c>
      <c r="I145" s="9"/>
      <c r="J145" s="9"/>
      <c r="K145" s="9">
        <v>7.0000000000000001E-3</v>
      </c>
      <c r="L145" s="9">
        <v>7.0000000000000001E-3</v>
      </c>
      <c r="M145" s="9" t="s">
        <v>812</v>
      </c>
      <c r="N145" s="9" t="s">
        <v>33</v>
      </c>
      <c r="O145" s="9">
        <f t="shared" si="15"/>
        <v>0.21000000000000002</v>
      </c>
      <c r="P145" s="9">
        <f t="shared" si="16"/>
        <v>0.245</v>
      </c>
      <c r="Q145" s="9">
        <f t="shared" si="17"/>
        <v>0.14000000000000001</v>
      </c>
      <c r="R145" s="9">
        <f t="shared" si="18"/>
        <v>0.10500000000000001</v>
      </c>
      <c r="S145" s="38">
        <v>0.70000000000000007</v>
      </c>
      <c r="T145" s="252">
        <v>105991.94</v>
      </c>
      <c r="U145" s="194">
        <v>741.94358</v>
      </c>
      <c r="V145" s="9"/>
      <c r="W145" s="9"/>
      <c r="X145" s="9" t="s">
        <v>825</v>
      </c>
      <c r="Y145" s="321">
        <v>70793</v>
      </c>
      <c r="Z145" s="19" t="s">
        <v>755</v>
      </c>
      <c r="AA145" s="15" t="s">
        <v>145</v>
      </c>
      <c r="AB145" s="16">
        <v>141</v>
      </c>
      <c r="AC145" s="113"/>
      <c r="AD145" s="109"/>
      <c r="AE145" s="109"/>
      <c r="AF145" s="110"/>
      <c r="AG145" s="169">
        <f t="shared" si="14"/>
        <v>2.0999999999999999E-3</v>
      </c>
      <c r="AH145" s="109"/>
      <c r="AI145" s="109"/>
      <c r="AJ145" s="110"/>
      <c r="AK145" s="113"/>
      <c r="AL145" s="299"/>
      <c r="AM145" s="299"/>
      <c r="AN145" s="21"/>
      <c r="AO145" s="20"/>
      <c r="AP145" s="8"/>
      <c r="AQ145" s="8"/>
      <c r="AR145" s="21"/>
      <c r="AS145" s="256" t="s">
        <v>757</v>
      </c>
    </row>
    <row r="146" spans="1:45" hidden="1" x14ac:dyDescent="0.25">
      <c r="A146" s="9">
        <v>143</v>
      </c>
      <c r="B146" s="9" t="s">
        <v>28</v>
      </c>
      <c r="C146" s="9" t="s">
        <v>753</v>
      </c>
      <c r="D146" s="9" t="s">
        <v>754</v>
      </c>
      <c r="E146" s="9"/>
      <c r="F146" s="15" t="s">
        <v>145</v>
      </c>
      <c r="G146" s="9"/>
      <c r="H146" s="9" t="s">
        <v>31</v>
      </c>
      <c r="I146" s="9"/>
      <c r="J146" s="9"/>
      <c r="K146" s="9">
        <v>7.0000000000000001E-3</v>
      </c>
      <c r="L146" s="9">
        <v>7.0000000000000001E-3</v>
      </c>
      <c r="M146" s="9" t="s">
        <v>812</v>
      </c>
      <c r="N146" s="9" t="s">
        <v>33</v>
      </c>
      <c r="O146" s="9">
        <f t="shared" si="15"/>
        <v>0.21000000000000002</v>
      </c>
      <c r="P146" s="9">
        <f t="shared" si="16"/>
        <v>0.245</v>
      </c>
      <c r="Q146" s="9">
        <f t="shared" si="17"/>
        <v>0.14000000000000001</v>
      </c>
      <c r="R146" s="9">
        <f t="shared" si="18"/>
        <v>0.10500000000000001</v>
      </c>
      <c r="S146" s="38">
        <v>0.70000000000000007</v>
      </c>
      <c r="T146" s="252">
        <v>105991.94</v>
      </c>
      <c r="U146" s="194">
        <v>741.94358</v>
      </c>
      <c r="V146" s="9"/>
      <c r="W146" s="9"/>
      <c r="X146" s="9" t="s">
        <v>825</v>
      </c>
      <c r="Y146" s="321">
        <v>70793</v>
      </c>
      <c r="Z146" s="19" t="s">
        <v>755</v>
      </c>
      <c r="AA146" s="15" t="s">
        <v>145</v>
      </c>
      <c r="AB146" s="16">
        <v>142</v>
      </c>
      <c r="AC146" s="113"/>
      <c r="AD146" s="109"/>
      <c r="AE146" s="109"/>
      <c r="AF146" s="110"/>
      <c r="AG146" s="169">
        <f t="shared" si="14"/>
        <v>2.0999999999999999E-3</v>
      </c>
      <c r="AH146" s="109"/>
      <c r="AI146" s="109"/>
      <c r="AJ146" s="110"/>
      <c r="AK146" s="113"/>
      <c r="AL146" s="299"/>
      <c r="AM146" s="299"/>
      <c r="AN146" s="21"/>
      <c r="AO146" s="20"/>
      <c r="AP146" s="8"/>
      <c r="AQ146" s="8"/>
      <c r="AR146" s="21"/>
      <c r="AS146" s="256" t="s">
        <v>757</v>
      </c>
    </row>
    <row r="147" spans="1:45" hidden="1" x14ac:dyDescent="0.25">
      <c r="A147" s="9">
        <v>144</v>
      </c>
      <c r="B147" s="9" t="s">
        <v>28</v>
      </c>
      <c r="C147" s="9" t="s">
        <v>753</v>
      </c>
      <c r="D147" s="9" t="s">
        <v>754</v>
      </c>
      <c r="E147" s="9"/>
      <c r="F147" s="15" t="s">
        <v>145</v>
      </c>
      <c r="G147" s="9"/>
      <c r="H147" s="9" t="s">
        <v>31</v>
      </c>
      <c r="I147" s="9"/>
      <c r="J147" s="9"/>
      <c r="K147" s="9">
        <v>7.0000000000000001E-3</v>
      </c>
      <c r="L147" s="9">
        <v>7.0000000000000001E-3</v>
      </c>
      <c r="M147" s="9" t="s">
        <v>812</v>
      </c>
      <c r="N147" s="9" t="s">
        <v>33</v>
      </c>
      <c r="O147" s="9">
        <f t="shared" si="15"/>
        <v>0.21000000000000002</v>
      </c>
      <c r="P147" s="9">
        <f t="shared" si="16"/>
        <v>0.245</v>
      </c>
      <c r="Q147" s="9">
        <f t="shared" si="17"/>
        <v>0.14000000000000001</v>
      </c>
      <c r="R147" s="9">
        <f t="shared" si="18"/>
        <v>0.10500000000000001</v>
      </c>
      <c r="S147" s="38">
        <v>0.70000000000000007</v>
      </c>
      <c r="T147" s="252">
        <v>105991.94</v>
      </c>
      <c r="U147" s="194">
        <v>741.94358</v>
      </c>
      <c r="V147" s="9"/>
      <c r="W147" s="9"/>
      <c r="X147" s="9" t="s">
        <v>825</v>
      </c>
      <c r="Y147" s="321">
        <v>70793</v>
      </c>
      <c r="Z147" s="19" t="s">
        <v>755</v>
      </c>
      <c r="AA147" s="15" t="s">
        <v>145</v>
      </c>
      <c r="AB147" s="16">
        <v>143</v>
      </c>
      <c r="AC147" s="113"/>
      <c r="AD147" s="109"/>
      <c r="AE147" s="109"/>
      <c r="AF147" s="110"/>
      <c r="AG147" s="169">
        <f t="shared" si="14"/>
        <v>2.0999999999999999E-3</v>
      </c>
      <c r="AH147" s="109"/>
      <c r="AI147" s="109"/>
      <c r="AJ147" s="110"/>
      <c r="AK147" s="113"/>
      <c r="AL147" s="299"/>
      <c r="AM147" s="299"/>
      <c r="AN147" s="21"/>
      <c r="AO147" s="20"/>
      <c r="AP147" s="8"/>
      <c r="AQ147" s="8"/>
      <c r="AR147" s="21"/>
      <c r="AS147" s="256" t="s">
        <v>757</v>
      </c>
    </row>
    <row r="148" spans="1:45" hidden="1" x14ac:dyDescent="0.25">
      <c r="A148" s="9">
        <v>145</v>
      </c>
      <c r="B148" s="9" t="s">
        <v>28</v>
      </c>
      <c r="C148" s="9" t="s">
        <v>753</v>
      </c>
      <c r="D148" s="9" t="s">
        <v>754</v>
      </c>
      <c r="E148" s="9"/>
      <c r="F148" s="15" t="s">
        <v>145</v>
      </c>
      <c r="G148" s="9"/>
      <c r="H148" s="9" t="s">
        <v>31</v>
      </c>
      <c r="I148" s="9"/>
      <c r="J148" s="9"/>
      <c r="K148" s="9">
        <v>7.0000000000000001E-3</v>
      </c>
      <c r="L148" s="9">
        <v>7.0000000000000001E-3</v>
      </c>
      <c r="M148" s="9" t="s">
        <v>812</v>
      </c>
      <c r="N148" s="9" t="s">
        <v>33</v>
      </c>
      <c r="O148" s="9">
        <f t="shared" si="15"/>
        <v>0.21000000000000002</v>
      </c>
      <c r="P148" s="9">
        <f t="shared" si="16"/>
        <v>0.245</v>
      </c>
      <c r="Q148" s="9">
        <f t="shared" si="17"/>
        <v>0.14000000000000001</v>
      </c>
      <c r="R148" s="9">
        <f t="shared" si="18"/>
        <v>0.10500000000000001</v>
      </c>
      <c r="S148" s="38">
        <v>0.70000000000000007</v>
      </c>
      <c r="T148" s="252">
        <v>105991.94</v>
      </c>
      <c r="U148" s="194">
        <v>741.94358</v>
      </c>
      <c r="V148" s="9"/>
      <c r="W148" s="9"/>
      <c r="X148" s="9" t="s">
        <v>825</v>
      </c>
      <c r="Y148" s="321">
        <v>70793</v>
      </c>
      <c r="Z148" s="19" t="s">
        <v>755</v>
      </c>
      <c r="AA148" s="15" t="s">
        <v>145</v>
      </c>
      <c r="AB148" s="16">
        <v>144</v>
      </c>
      <c r="AC148" s="113"/>
      <c r="AD148" s="109"/>
      <c r="AE148" s="109"/>
      <c r="AF148" s="110"/>
      <c r="AG148" s="169">
        <f t="shared" si="14"/>
        <v>2.0999999999999999E-3</v>
      </c>
      <c r="AH148" s="109"/>
      <c r="AI148" s="109"/>
      <c r="AJ148" s="110"/>
      <c r="AK148" s="113"/>
      <c r="AL148" s="299"/>
      <c r="AM148" s="299"/>
      <c r="AN148" s="21"/>
      <c r="AO148" s="20"/>
      <c r="AP148" s="8"/>
      <c r="AQ148" s="8"/>
      <c r="AR148" s="21"/>
      <c r="AS148" s="256" t="s">
        <v>757</v>
      </c>
    </row>
    <row r="149" spans="1:45" hidden="1" x14ac:dyDescent="0.25">
      <c r="A149" s="9">
        <v>146</v>
      </c>
      <c r="B149" s="9" t="s">
        <v>28</v>
      </c>
      <c r="C149" s="9" t="s">
        <v>753</v>
      </c>
      <c r="D149" s="9" t="s">
        <v>754</v>
      </c>
      <c r="E149" s="9"/>
      <c r="F149" s="15" t="s">
        <v>145</v>
      </c>
      <c r="G149" s="9"/>
      <c r="H149" s="9" t="s">
        <v>31</v>
      </c>
      <c r="I149" s="9"/>
      <c r="J149" s="9"/>
      <c r="K149" s="9">
        <v>7.0000000000000001E-3</v>
      </c>
      <c r="L149" s="9">
        <v>7.0000000000000001E-3</v>
      </c>
      <c r="M149" s="9" t="s">
        <v>812</v>
      </c>
      <c r="N149" s="9" t="s">
        <v>33</v>
      </c>
      <c r="O149" s="9">
        <f t="shared" si="15"/>
        <v>0.21000000000000002</v>
      </c>
      <c r="P149" s="9">
        <f t="shared" si="16"/>
        <v>0.245</v>
      </c>
      <c r="Q149" s="9">
        <f t="shared" si="17"/>
        <v>0.14000000000000001</v>
      </c>
      <c r="R149" s="9">
        <f t="shared" si="18"/>
        <v>0.10500000000000001</v>
      </c>
      <c r="S149" s="38">
        <v>0.70000000000000007</v>
      </c>
      <c r="T149" s="252">
        <v>105991.94</v>
      </c>
      <c r="U149" s="194">
        <v>741.94358</v>
      </c>
      <c r="V149" s="9"/>
      <c r="W149" s="9"/>
      <c r="X149" s="9" t="s">
        <v>825</v>
      </c>
      <c r="Y149" s="321">
        <v>70793</v>
      </c>
      <c r="Z149" s="19" t="s">
        <v>755</v>
      </c>
      <c r="AA149" s="15" t="s">
        <v>145</v>
      </c>
      <c r="AB149" s="16">
        <v>145</v>
      </c>
      <c r="AC149" s="113"/>
      <c r="AD149" s="109"/>
      <c r="AE149" s="109"/>
      <c r="AF149" s="110"/>
      <c r="AG149" s="169">
        <f t="shared" si="14"/>
        <v>2.0999999999999999E-3</v>
      </c>
      <c r="AH149" s="109"/>
      <c r="AI149" s="109"/>
      <c r="AJ149" s="110"/>
      <c r="AK149" s="113"/>
      <c r="AL149" s="299"/>
      <c r="AM149" s="299"/>
      <c r="AN149" s="21"/>
      <c r="AO149" s="20"/>
      <c r="AP149" s="8"/>
      <c r="AQ149" s="8"/>
      <c r="AR149" s="21"/>
      <c r="AS149" s="256" t="s">
        <v>757</v>
      </c>
    </row>
    <row r="150" spans="1:45" hidden="1" x14ac:dyDescent="0.25">
      <c r="A150" s="9">
        <v>147</v>
      </c>
      <c r="B150" s="9" t="s">
        <v>28</v>
      </c>
      <c r="C150" s="9" t="s">
        <v>753</v>
      </c>
      <c r="D150" s="9" t="s">
        <v>754</v>
      </c>
      <c r="E150" s="9"/>
      <c r="F150" s="15" t="s">
        <v>145</v>
      </c>
      <c r="G150" s="9"/>
      <c r="H150" s="9" t="s">
        <v>31</v>
      </c>
      <c r="I150" s="9"/>
      <c r="J150" s="9"/>
      <c r="K150" s="9">
        <v>7.0000000000000001E-3</v>
      </c>
      <c r="L150" s="9">
        <v>7.0000000000000001E-3</v>
      </c>
      <c r="M150" s="9" t="s">
        <v>812</v>
      </c>
      <c r="N150" s="9" t="s">
        <v>33</v>
      </c>
      <c r="O150" s="9">
        <f t="shared" si="15"/>
        <v>0.21000000000000002</v>
      </c>
      <c r="P150" s="9">
        <f t="shared" si="16"/>
        <v>0.245</v>
      </c>
      <c r="Q150" s="9">
        <f t="shared" si="17"/>
        <v>0.14000000000000001</v>
      </c>
      <c r="R150" s="9">
        <f t="shared" si="18"/>
        <v>0.10500000000000001</v>
      </c>
      <c r="S150" s="38">
        <v>0.70000000000000007</v>
      </c>
      <c r="T150" s="252">
        <v>105991.94</v>
      </c>
      <c r="U150" s="194">
        <v>741.94358</v>
      </c>
      <c r="V150" s="9"/>
      <c r="W150" s="9"/>
      <c r="X150" s="9" t="s">
        <v>825</v>
      </c>
      <c r="Y150" s="321">
        <v>70793</v>
      </c>
      <c r="Z150" s="19" t="s">
        <v>755</v>
      </c>
      <c r="AA150" s="15" t="s">
        <v>145</v>
      </c>
      <c r="AB150" s="16">
        <v>146</v>
      </c>
      <c r="AC150" s="113"/>
      <c r="AD150" s="109"/>
      <c r="AE150" s="109"/>
      <c r="AF150" s="110"/>
      <c r="AG150" s="169">
        <f t="shared" si="14"/>
        <v>2.0999999999999999E-3</v>
      </c>
      <c r="AH150" s="109"/>
      <c r="AI150" s="109"/>
      <c r="AJ150" s="110"/>
      <c r="AK150" s="113"/>
      <c r="AL150" s="299"/>
      <c r="AM150" s="299"/>
      <c r="AN150" s="21"/>
      <c r="AO150" s="20"/>
      <c r="AP150" s="8"/>
      <c r="AQ150" s="8"/>
      <c r="AR150" s="21"/>
      <c r="AS150" s="256" t="s">
        <v>757</v>
      </c>
    </row>
    <row r="151" spans="1:45" hidden="1" x14ac:dyDescent="0.25">
      <c r="A151" s="9">
        <v>148</v>
      </c>
      <c r="B151" s="9" t="s">
        <v>28</v>
      </c>
      <c r="C151" s="9" t="s">
        <v>753</v>
      </c>
      <c r="D151" s="9" t="s">
        <v>754</v>
      </c>
      <c r="E151" s="9"/>
      <c r="F151" s="15" t="s">
        <v>145</v>
      </c>
      <c r="G151" s="9"/>
      <c r="H151" s="9" t="s">
        <v>31</v>
      </c>
      <c r="I151" s="9"/>
      <c r="J151" s="9"/>
      <c r="K151" s="9">
        <v>7.0000000000000001E-3</v>
      </c>
      <c r="L151" s="9">
        <v>7.0000000000000001E-3</v>
      </c>
      <c r="M151" s="9" t="s">
        <v>812</v>
      </c>
      <c r="N151" s="9" t="s">
        <v>33</v>
      </c>
      <c r="O151" s="9">
        <f t="shared" si="15"/>
        <v>0.21000000000000002</v>
      </c>
      <c r="P151" s="9">
        <f t="shared" si="16"/>
        <v>0.245</v>
      </c>
      <c r="Q151" s="9">
        <f t="shared" si="17"/>
        <v>0.14000000000000001</v>
      </c>
      <c r="R151" s="9">
        <f t="shared" si="18"/>
        <v>0.10500000000000001</v>
      </c>
      <c r="S151" s="38">
        <v>0.70000000000000007</v>
      </c>
      <c r="T151" s="252">
        <v>105991.94</v>
      </c>
      <c r="U151" s="194">
        <v>741.94358</v>
      </c>
      <c r="V151" s="9"/>
      <c r="W151" s="9"/>
      <c r="X151" s="9" t="s">
        <v>825</v>
      </c>
      <c r="Y151" s="321">
        <v>70793</v>
      </c>
      <c r="Z151" s="19" t="s">
        <v>755</v>
      </c>
      <c r="AA151" s="15" t="s">
        <v>145</v>
      </c>
      <c r="AB151" s="16">
        <v>147</v>
      </c>
      <c r="AC151" s="113"/>
      <c r="AD151" s="109"/>
      <c r="AE151" s="109"/>
      <c r="AF151" s="110"/>
      <c r="AG151" s="169">
        <f t="shared" si="14"/>
        <v>2.0999999999999999E-3</v>
      </c>
      <c r="AH151" s="109"/>
      <c r="AI151" s="109"/>
      <c r="AJ151" s="110"/>
      <c r="AK151" s="113"/>
      <c r="AL151" s="299"/>
      <c r="AM151" s="299"/>
      <c r="AN151" s="21"/>
      <c r="AO151" s="20"/>
      <c r="AP151" s="8"/>
      <c r="AQ151" s="8"/>
      <c r="AR151" s="21"/>
      <c r="AS151" s="256" t="s">
        <v>757</v>
      </c>
    </row>
    <row r="152" spans="1:45" hidden="1" x14ac:dyDescent="0.25">
      <c r="A152" s="9">
        <v>149</v>
      </c>
      <c r="B152" s="9" t="s">
        <v>28</v>
      </c>
      <c r="C152" s="9" t="s">
        <v>753</v>
      </c>
      <c r="D152" s="9" t="s">
        <v>754</v>
      </c>
      <c r="E152" s="9"/>
      <c r="F152" s="15" t="s">
        <v>145</v>
      </c>
      <c r="G152" s="9"/>
      <c r="H152" s="9" t="s">
        <v>31</v>
      </c>
      <c r="I152" s="9"/>
      <c r="J152" s="9"/>
      <c r="K152" s="9">
        <v>7.0000000000000001E-3</v>
      </c>
      <c r="L152" s="9">
        <v>7.0000000000000001E-3</v>
      </c>
      <c r="M152" s="9" t="s">
        <v>812</v>
      </c>
      <c r="N152" s="9" t="s">
        <v>33</v>
      </c>
      <c r="O152" s="9">
        <f t="shared" si="15"/>
        <v>0.21000000000000002</v>
      </c>
      <c r="P152" s="9">
        <f t="shared" si="16"/>
        <v>0.245</v>
      </c>
      <c r="Q152" s="9">
        <f t="shared" si="17"/>
        <v>0.14000000000000001</v>
      </c>
      <c r="R152" s="9">
        <f t="shared" si="18"/>
        <v>0.10500000000000001</v>
      </c>
      <c r="S152" s="38">
        <v>0.70000000000000007</v>
      </c>
      <c r="T152" s="252">
        <v>105991.94</v>
      </c>
      <c r="U152" s="194">
        <v>741.94358</v>
      </c>
      <c r="V152" s="9"/>
      <c r="W152" s="9"/>
      <c r="X152" s="9" t="s">
        <v>825</v>
      </c>
      <c r="Y152" s="321">
        <v>70793</v>
      </c>
      <c r="Z152" s="19" t="s">
        <v>755</v>
      </c>
      <c r="AA152" s="15" t="s">
        <v>145</v>
      </c>
      <c r="AB152" s="16">
        <v>148</v>
      </c>
      <c r="AC152" s="113"/>
      <c r="AD152" s="109"/>
      <c r="AE152" s="109"/>
      <c r="AF152" s="110"/>
      <c r="AG152" s="169">
        <f t="shared" si="14"/>
        <v>2.0999999999999999E-3</v>
      </c>
      <c r="AH152" s="109"/>
      <c r="AI152" s="109"/>
      <c r="AJ152" s="110"/>
      <c r="AK152" s="113"/>
      <c r="AL152" s="299"/>
      <c r="AM152" s="299"/>
      <c r="AN152" s="21"/>
      <c r="AO152" s="20"/>
      <c r="AP152" s="8"/>
      <c r="AQ152" s="8"/>
      <c r="AR152" s="21"/>
      <c r="AS152" s="256" t="s">
        <v>757</v>
      </c>
    </row>
    <row r="153" spans="1:45" hidden="1" x14ac:dyDescent="0.25">
      <c r="A153" s="9">
        <v>150</v>
      </c>
      <c r="B153" s="9" t="s">
        <v>28</v>
      </c>
      <c r="C153" s="9" t="s">
        <v>753</v>
      </c>
      <c r="D153" s="9" t="s">
        <v>754</v>
      </c>
      <c r="E153" s="9"/>
      <c r="F153" s="15" t="s">
        <v>145</v>
      </c>
      <c r="G153" s="9"/>
      <c r="H153" s="9" t="s">
        <v>31</v>
      </c>
      <c r="I153" s="9"/>
      <c r="J153" s="9"/>
      <c r="K153" s="9">
        <v>7.0000000000000001E-3</v>
      </c>
      <c r="L153" s="9">
        <v>7.0000000000000001E-3</v>
      </c>
      <c r="M153" s="9" t="s">
        <v>812</v>
      </c>
      <c r="N153" s="9" t="s">
        <v>33</v>
      </c>
      <c r="O153" s="9">
        <f t="shared" si="15"/>
        <v>0.21000000000000002</v>
      </c>
      <c r="P153" s="9">
        <f t="shared" si="16"/>
        <v>0.245</v>
      </c>
      <c r="Q153" s="9">
        <f t="shared" si="17"/>
        <v>0.14000000000000001</v>
      </c>
      <c r="R153" s="9">
        <f t="shared" si="18"/>
        <v>0.10500000000000001</v>
      </c>
      <c r="S153" s="38">
        <v>0.70000000000000007</v>
      </c>
      <c r="T153" s="252">
        <v>105991.94</v>
      </c>
      <c r="U153" s="194">
        <v>741.94358</v>
      </c>
      <c r="V153" s="9"/>
      <c r="W153" s="9"/>
      <c r="X153" s="9" t="s">
        <v>825</v>
      </c>
      <c r="Y153" s="321">
        <v>70793</v>
      </c>
      <c r="Z153" s="19" t="s">
        <v>755</v>
      </c>
      <c r="AA153" s="15" t="s">
        <v>145</v>
      </c>
      <c r="AB153" s="16">
        <v>149</v>
      </c>
      <c r="AC153" s="113"/>
      <c r="AD153" s="109"/>
      <c r="AE153" s="109"/>
      <c r="AF153" s="110"/>
      <c r="AG153" s="169">
        <f t="shared" si="14"/>
        <v>2.0999999999999999E-3</v>
      </c>
      <c r="AH153" s="109"/>
      <c r="AI153" s="109"/>
      <c r="AJ153" s="110"/>
      <c r="AK153" s="113"/>
      <c r="AL153" s="299"/>
      <c r="AM153" s="299"/>
      <c r="AN153" s="21"/>
      <c r="AO153" s="20"/>
      <c r="AP153" s="8"/>
      <c r="AQ153" s="8"/>
      <c r="AR153" s="21"/>
      <c r="AS153" s="256" t="s">
        <v>757</v>
      </c>
    </row>
    <row r="154" spans="1:45" hidden="1" x14ac:dyDescent="0.25">
      <c r="A154" s="9">
        <v>151</v>
      </c>
      <c r="B154" s="9" t="s">
        <v>28</v>
      </c>
      <c r="C154" s="9" t="s">
        <v>753</v>
      </c>
      <c r="D154" s="9" t="s">
        <v>754</v>
      </c>
      <c r="E154" s="9"/>
      <c r="F154" s="15" t="s">
        <v>145</v>
      </c>
      <c r="G154" s="9"/>
      <c r="H154" s="9" t="s">
        <v>31</v>
      </c>
      <c r="I154" s="9"/>
      <c r="J154" s="9"/>
      <c r="K154" s="9">
        <v>7.0000000000000001E-3</v>
      </c>
      <c r="L154" s="9">
        <v>7.0000000000000001E-3</v>
      </c>
      <c r="M154" s="9" t="s">
        <v>812</v>
      </c>
      <c r="N154" s="9" t="s">
        <v>33</v>
      </c>
      <c r="O154" s="9">
        <f t="shared" si="15"/>
        <v>0.21000000000000002</v>
      </c>
      <c r="P154" s="9">
        <f t="shared" si="16"/>
        <v>0.245</v>
      </c>
      <c r="Q154" s="9">
        <f t="shared" si="17"/>
        <v>0.14000000000000001</v>
      </c>
      <c r="R154" s="9">
        <f t="shared" si="18"/>
        <v>0.10500000000000001</v>
      </c>
      <c r="S154" s="38">
        <v>0.70000000000000007</v>
      </c>
      <c r="T154" s="252">
        <v>105991.94</v>
      </c>
      <c r="U154" s="194">
        <v>741.94358</v>
      </c>
      <c r="V154" s="9"/>
      <c r="W154" s="9"/>
      <c r="X154" s="9" t="s">
        <v>825</v>
      </c>
      <c r="Y154" s="321">
        <v>70793</v>
      </c>
      <c r="Z154" s="19" t="s">
        <v>755</v>
      </c>
      <c r="AA154" s="15" t="s">
        <v>145</v>
      </c>
      <c r="AB154" s="16">
        <v>150</v>
      </c>
      <c r="AC154" s="113"/>
      <c r="AD154" s="109"/>
      <c r="AE154" s="109"/>
      <c r="AF154" s="110"/>
      <c r="AG154" s="169">
        <f t="shared" si="14"/>
        <v>2.0999999999999999E-3</v>
      </c>
      <c r="AH154" s="109"/>
      <c r="AI154" s="109"/>
      <c r="AJ154" s="110"/>
      <c r="AK154" s="113"/>
      <c r="AL154" s="299"/>
      <c r="AM154" s="299"/>
      <c r="AN154" s="21"/>
      <c r="AO154" s="20"/>
      <c r="AP154" s="8"/>
      <c r="AQ154" s="8"/>
      <c r="AR154" s="21"/>
      <c r="AS154" s="256" t="s">
        <v>757</v>
      </c>
    </row>
    <row r="155" spans="1:45" hidden="1" x14ac:dyDescent="0.25">
      <c r="A155" s="9">
        <v>152</v>
      </c>
      <c r="B155" s="9" t="s">
        <v>28</v>
      </c>
      <c r="C155" s="9" t="s">
        <v>753</v>
      </c>
      <c r="D155" s="9" t="s">
        <v>754</v>
      </c>
      <c r="E155" s="9"/>
      <c r="F155" s="15" t="s">
        <v>145</v>
      </c>
      <c r="G155" s="9"/>
      <c r="H155" s="9" t="s">
        <v>31</v>
      </c>
      <c r="I155" s="9"/>
      <c r="J155" s="9"/>
      <c r="K155" s="9">
        <v>7.0000000000000001E-3</v>
      </c>
      <c r="L155" s="9">
        <v>7.0000000000000001E-3</v>
      </c>
      <c r="M155" s="9" t="s">
        <v>812</v>
      </c>
      <c r="N155" s="9" t="s">
        <v>33</v>
      </c>
      <c r="O155" s="9">
        <f t="shared" si="15"/>
        <v>0.21000000000000002</v>
      </c>
      <c r="P155" s="9">
        <f t="shared" si="16"/>
        <v>0.245</v>
      </c>
      <c r="Q155" s="9">
        <f t="shared" si="17"/>
        <v>0.14000000000000001</v>
      </c>
      <c r="R155" s="9">
        <f t="shared" si="18"/>
        <v>0.10500000000000001</v>
      </c>
      <c r="S155" s="38">
        <v>0.70000000000000007</v>
      </c>
      <c r="T155" s="252">
        <v>105991.94</v>
      </c>
      <c r="U155" s="194">
        <v>741.94358</v>
      </c>
      <c r="V155" s="9"/>
      <c r="W155" s="9"/>
      <c r="X155" s="9" t="s">
        <v>825</v>
      </c>
      <c r="Y155" s="321">
        <v>70793</v>
      </c>
      <c r="Z155" s="19" t="s">
        <v>755</v>
      </c>
      <c r="AA155" s="15" t="s">
        <v>145</v>
      </c>
      <c r="AB155" s="16">
        <v>151</v>
      </c>
      <c r="AC155" s="113"/>
      <c r="AD155" s="109"/>
      <c r="AE155" s="109"/>
      <c r="AF155" s="110"/>
      <c r="AG155" s="169">
        <f t="shared" si="14"/>
        <v>2.0999999999999999E-3</v>
      </c>
      <c r="AH155" s="109"/>
      <c r="AI155" s="109"/>
      <c r="AJ155" s="110"/>
      <c r="AK155" s="113"/>
      <c r="AL155" s="299"/>
      <c r="AM155" s="299"/>
      <c r="AN155" s="21"/>
      <c r="AO155" s="20"/>
      <c r="AP155" s="8"/>
      <c r="AQ155" s="8"/>
      <c r="AR155" s="21"/>
      <c r="AS155" s="256" t="s">
        <v>757</v>
      </c>
    </row>
    <row r="156" spans="1:45" hidden="1" x14ac:dyDescent="0.25">
      <c r="A156" s="9">
        <v>153</v>
      </c>
      <c r="B156" s="9" t="s">
        <v>28</v>
      </c>
      <c r="C156" s="9" t="s">
        <v>753</v>
      </c>
      <c r="D156" s="9" t="s">
        <v>754</v>
      </c>
      <c r="E156" s="9"/>
      <c r="F156" s="15" t="s">
        <v>145</v>
      </c>
      <c r="G156" s="9"/>
      <c r="H156" s="9" t="s">
        <v>31</v>
      </c>
      <c r="I156" s="9"/>
      <c r="J156" s="9"/>
      <c r="K156" s="9">
        <v>7.0000000000000001E-3</v>
      </c>
      <c r="L156" s="9">
        <v>7.0000000000000001E-3</v>
      </c>
      <c r="M156" s="9" t="s">
        <v>812</v>
      </c>
      <c r="N156" s="9" t="s">
        <v>33</v>
      </c>
      <c r="O156" s="9">
        <f t="shared" si="15"/>
        <v>0.21000000000000002</v>
      </c>
      <c r="P156" s="9">
        <f t="shared" si="16"/>
        <v>0.245</v>
      </c>
      <c r="Q156" s="9">
        <f t="shared" si="17"/>
        <v>0.14000000000000001</v>
      </c>
      <c r="R156" s="9">
        <f t="shared" si="18"/>
        <v>0.10500000000000001</v>
      </c>
      <c r="S156" s="38">
        <v>0.70000000000000007</v>
      </c>
      <c r="T156" s="252">
        <v>105991.94</v>
      </c>
      <c r="U156" s="194">
        <v>741.94358</v>
      </c>
      <c r="V156" s="9"/>
      <c r="W156" s="9"/>
      <c r="X156" s="9" t="s">
        <v>825</v>
      </c>
      <c r="Y156" s="321">
        <v>70793</v>
      </c>
      <c r="Z156" s="19" t="s">
        <v>755</v>
      </c>
      <c r="AA156" s="15" t="s">
        <v>145</v>
      </c>
      <c r="AB156" s="16">
        <v>152</v>
      </c>
      <c r="AC156" s="113"/>
      <c r="AD156" s="109"/>
      <c r="AE156" s="109"/>
      <c r="AF156" s="110"/>
      <c r="AG156" s="169">
        <f t="shared" si="14"/>
        <v>2.0999999999999999E-3</v>
      </c>
      <c r="AH156" s="109"/>
      <c r="AI156" s="109"/>
      <c r="AJ156" s="110"/>
      <c r="AK156" s="113"/>
      <c r="AL156" s="299"/>
      <c r="AM156" s="299"/>
      <c r="AN156" s="21"/>
      <c r="AO156" s="20"/>
      <c r="AP156" s="8"/>
      <c r="AQ156" s="8"/>
      <c r="AR156" s="21"/>
      <c r="AS156" s="256" t="s">
        <v>757</v>
      </c>
    </row>
    <row r="157" spans="1:45" hidden="1" x14ac:dyDescent="0.25">
      <c r="A157" s="9">
        <v>154</v>
      </c>
      <c r="B157" s="9" t="s">
        <v>28</v>
      </c>
      <c r="C157" s="9" t="s">
        <v>753</v>
      </c>
      <c r="D157" s="9" t="s">
        <v>754</v>
      </c>
      <c r="E157" s="9"/>
      <c r="F157" s="15" t="s">
        <v>145</v>
      </c>
      <c r="G157" s="9"/>
      <c r="H157" s="9" t="s">
        <v>31</v>
      </c>
      <c r="I157" s="9"/>
      <c r="J157" s="9"/>
      <c r="K157" s="9">
        <v>7.0000000000000001E-3</v>
      </c>
      <c r="L157" s="9">
        <v>7.0000000000000001E-3</v>
      </c>
      <c r="M157" s="9" t="s">
        <v>812</v>
      </c>
      <c r="N157" s="9" t="s">
        <v>33</v>
      </c>
      <c r="O157" s="9">
        <f t="shared" si="15"/>
        <v>0.21000000000000002</v>
      </c>
      <c r="P157" s="9">
        <f t="shared" si="16"/>
        <v>0.245</v>
      </c>
      <c r="Q157" s="9">
        <f t="shared" si="17"/>
        <v>0.14000000000000001</v>
      </c>
      <c r="R157" s="9">
        <f t="shared" si="18"/>
        <v>0.10500000000000001</v>
      </c>
      <c r="S157" s="38">
        <v>0.70000000000000007</v>
      </c>
      <c r="T157" s="252">
        <v>105991.94</v>
      </c>
      <c r="U157" s="194">
        <v>741.94358</v>
      </c>
      <c r="V157" s="9"/>
      <c r="W157" s="9"/>
      <c r="X157" s="9" t="s">
        <v>825</v>
      </c>
      <c r="Y157" s="321">
        <v>70793</v>
      </c>
      <c r="Z157" s="19" t="s">
        <v>755</v>
      </c>
      <c r="AA157" s="15" t="s">
        <v>145</v>
      </c>
      <c r="AB157" s="16">
        <v>153</v>
      </c>
      <c r="AC157" s="113"/>
      <c r="AD157" s="109"/>
      <c r="AE157" s="109"/>
      <c r="AF157" s="110"/>
      <c r="AG157" s="169">
        <f t="shared" si="14"/>
        <v>2.0999999999999999E-3</v>
      </c>
      <c r="AH157" s="109"/>
      <c r="AI157" s="109"/>
      <c r="AJ157" s="110"/>
      <c r="AK157" s="113"/>
      <c r="AL157" s="299"/>
      <c r="AM157" s="299"/>
      <c r="AN157" s="21"/>
      <c r="AO157" s="20"/>
      <c r="AP157" s="8"/>
      <c r="AQ157" s="8"/>
      <c r="AR157" s="21"/>
      <c r="AS157" s="256" t="s">
        <v>757</v>
      </c>
    </row>
    <row r="158" spans="1:45" hidden="1" x14ac:dyDescent="0.25">
      <c r="A158" s="9">
        <v>155</v>
      </c>
      <c r="B158" s="9" t="s">
        <v>28</v>
      </c>
      <c r="C158" s="9" t="s">
        <v>753</v>
      </c>
      <c r="D158" s="9" t="s">
        <v>754</v>
      </c>
      <c r="E158" s="9"/>
      <c r="F158" s="15" t="s">
        <v>145</v>
      </c>
      <c r="G158" s="9"/>
      <c r="H158" s="9" t="s">
        <v>31</v>
      </c>
      <c r="I158" s="9"/>
      <c r="J158" s="9"/>
      <c r="K158" s="9">
        <v>7.0000000000000001E-3</v>
      </c>
      <c r="L158" s="9">
        <v>7.0000000000000001E-3</v>
      </c>
      <c r="M158" s="9" t="s">
        <v>812</v>
      </c>
      <c r="N158" s="9" t="s">
        <v>33</v>
      </c>
      <c r="O158" s="9">
        <f t="shared" si="15"/>
        <v>0.21000000000000002</v>
      </c>
      <c r="P158" s="9">
        <f t="shared" si="16"/>
        <v>0.245</v>
      </c>
      <c r="Q158" s="9">
        <f t="shared" si="17"/>
        <v>0.14000000000000001</v>
      </c>
      <c r="R158" s="9">
        <f t="shared" si="18"/>
        <v>0.10500000000000001</v>
      </c>
      <c r="S158" s="38">
        <v>0.70000000000000007</v>
      </c>
      <c r="T158" s="252">
        <v>105991.94</v>
      </c>
      <c r="U158" s="194">
        <v>741.94358</v>
      </c>
      <c r="V158" s="9"/>
      <c r="W158" s="9"/>
      <c r="X158" s="9" t="s">
        <v>825</v>
      </c>
      <c r="Y158" s="321">
        <v>70793</v>
      </c>
      <c r="Z158" s="19" t="s">
        <v>755</v>
      </c>
      <c r="AA158" s="15" t="s">
        <v>145</v>
      </c>
      <c r="AB158" s="16">
        <v>154</v>
      </c>
      <c r="AC158" s="113"/>
      <c r="AD158" s="109"/>
      <c r="AE158" s="109"/>
      <c r="AF158" s="110"/>
      <c r="AG158" s="169">
        <f t="shared" si="14"/>
        <v>2.0999999999999999E-3</v>
      </c>
      <c r="AH158" s="109"/>
      <c r="AI158" s="109"/>
      <c r="AJ158" s="110"/>
      <c r="AK158" s="113"/>
      <c r="AL158" s="299"/>
      <c r="AM158" s="299"/>
      <c r="AN158" s="21"/>
      <c r="AO158" s="20"/>
      <c r="AP158" s="8"/>
      <c r="AQ158" s="8"/>
      <c r="AR158" s="21"/>
      <c r="AS158" s="256" t="s">
        <v>757</v>
      </c>
    </row>
    <row r="159" spans="1:45" hidden="1" x14ac:dyDescent="0.25">
      <c r="A159" s="9">
        <v>156</v>
      </c>
      <c r="B159" s="9" t="s">
        <v>28</v>
      </c>
      <c r="C159" s="9" t="s">
        <v>753</v>
      </c>
      <c r="D159" s="9" t="s">
        <v>754</v>
      </c>
      <c r="E159" s="9"/>
      <c r="F159" s="15" t="s">
        <v>145</v>
      </c>
      <c r="G159" s="9"/>
      <c r="H159" s="9" t="s">
        <v>31</v>
      </c>
      <c r="I159" s="9"/>
      <c r="J159" s="9"/>
      <c r="K159" s="9">
        <v>7.0000000000000001E-3</v>
      </c>
      <c r="L159" s="9">
        <v>7.0000000000000001E-3</v>
      </c>
      <c r="M159" s="9" t="s">
        <v>812</v>
      </c>
      <c r="N159" s="9" t="s">
        <v>33</v>
      </c>
      <c r="O159" s="9">
        <f t="shared" si="15"/>
        <v>0.21000000000000002</v>
      </c>
      <c r="P159" s="9">
        <f t="shared" si="16"/>
        <v>0.245</v>
      </c>
      <c r="Q159" s="9">
        <f t="shared" si="17"/>
        <v>0.14000000000000001</v>
      </c>
      <c r="R159" s="9">
        <f t="shared" si="18"/>
        <v>0.10500000000000001</v>
      </c>
      <c r="S159" s="38">
        <v>0.70000000000000007</v>
      </c>
      <c r="T159" s="252">
        <v>105991.94</v>
      </c>
      <c r="U159" s="194">
        <v>741.94358</v>
      </c>
      <c r="V159" s="9"/>
      <c r="W159" s="9"/>
      <c r="X159" s="9" t="s">
        <v>825</v>
      </c>
      <c r="Y159" s="321">
        <v>70793</v>
      </c>
      <c r="Z159" s="19" t="s">
        <v>755</v>
      </c>
      <c r="AA159" s="15" t="s">
        <v>145</v>
      </c>
      <c r="AB159" s="16">
        <v>155</v>
      </c>
      <c r="AC159" s="113"/>
      <c r="AD159" s="109"/>
      <c r="AE159" s="109"/>
      <c r="AF159" s="110"/>
      <c r="AG159" s="169">
        <f t="shared" si="14"/>
        <v>2.0999999999999999E-3</v>
      </c>
      <c r="AH159" s="109"/>
      <c r="AI159" s="109"/>
      <c r="AJ159" s="110"/>
      <c r="AK159" s="113"/>
      <c r="AL159" s="299"/>
      <c r="AM159" s="299"/>
      <c r="AN159" s="21"/>
      <c r="AO159" s="20"/>
      <c r="AP159" s="8"/>
      <c r="AQ159" s="8"/>
      <c r="AR159" s="21"/>
      <c r="AS159" s="256" t="s">
        <v>757</v>
      </c>
    </row>
    <row r="160" spans="1:45" hidden="1" x14ac:dyDescent="0.25">
      <c r="A160" s="9">
        <v>157</v>
      </c>
      <c r="B160" s="9" t="s">
        <v>28</v>
      </c>
      <c r="C160" s="9" t="s">
        <v>753</v>
      </c>
      <c r="D160" s="9" t="s">
        <v>754</v>
      </c>
      <c r="E160" s="9"/>
      <c r="F160" s="15" t="s">
        <v>145</v>
      </c>
      <c r="G160" s="9"/>
      <c r="H160" s="9" t="s">
        <v>31</v>
      </c>
      <c r="I160" s="9"/>
      <c r="J160" s="9"/>
      <c r="K160" s="9">
        <v>7.0000000000000001E-3</v>
      </c>
      <c r="L160" s="9">
        <v>7.0000000000000001E-3</v>
      </c>
      <c r="M160" s="9" t="s">
        <v>812</v>
      </c>
      <c r="N160" s="9" t="s">
        <v>33</v>
      </c>
      <c r="O160" s="9">
        <f t="shared" si="15"/>
        <v>0.21000000000000002</v>
      </c>
      <c r="P160" s="9">
        <f t="shared" si="16"/>
        <v>0.245</v>
      </c>
      <c r="Q160" s="9">
        <f t="shared" si="17"/>
        <v>0.14000000000000001</v>
      </c>
      <c r="R160" s="9">
        <f t="shared" si="18"/>
        <v>0.10500000000000001</v>
      </c>
      <c r="S160" s="38">
        <v>0.70000000000000007</v>
      </c>
      <c r="T160" s="252">
        <v>105991.94</v>
      </c>
      <c r="U160" s="194">
        <v>741.94358</v>
      </c>
      <c r="V160" s="9"/>
      <c r="W160" s="9"/>
      <c r="X160" s="9" t="s">
        <v>825</v>
      </c>
      <c r="Y160" s="321">
        <v>70793</v>
      </c>
      <c r="Z160" s="19" t="s">
        <v>755</v>
      </c>
      <c r="AA160" s="15" t="s">
        <v>145</v>
      </c>
      <c r="AB160" s="16">
        <v>156</v>
      </c>
      <c r="AC160" s="113"/>
      <c r="AD160" s="109"/>
      <c r="AE160" s="109"/>
      <c r="AF160" s="110"/>
      <c r="AG160" s="169">
        <f t="shared" si="14"/>
        <v>2.0999999999999999E-3</v>
      </c>
      <c r="AH160" s="109"/>
      <c r="AI160" s="109"/>
      <c r="AJ160" s="110"/>
      <c r="AK160" s="113"/>
      <c r="AL160" s="299"/>
      <c r="AM160" s="299"/>
      <c r="AN160" s="21"/>
      <c r="AO160" s="20"/>
      <c r="AP160" s="8"/>
      <c r="AQ160" s="8"/>
      <c r="AR160" s="21"/>
      <c r="AS160" s="256" t="s">
        <v>757</v>
      </c>
    </row>
    <row r="161" spans="1:45" hidden="1" x14ac:dyDescent="0.25">
      <c r="A161" s="9">
        <v>158</v>
      </c>
      <c r="B161" s="9" t="s">
        <v>28</v>
      </c>
      <c r="C161" s="9" t="s">
        <v>753</v>
      </c>
      <c r="D161" s="9" t="s">
        <v>754</v>
      </c>
      <c r="E161" s="9"/>
      <c r="F161" s="15" t="s">
        <v>145</v>
      </c>
      <c r="G161" s="9"/>
      <c r="H161" s="9" t="s">
        <v>31</v>
      </c>
      <c r="I161" s="9"/>
      <c r="J161" s="9"/>
      <c r="K161" s="9">
        <v>7.0000000000000001E-3</v>
      </c>
      <c r="L161" s="9">
        <v>7.0000000000000001E-3</v>
      </c>
      <c r="M161" s="9" t="s">
        <v>812</v>
      </c>
      <c r="N161" s="9" t="s">
        <v>33</v>
      </c>
      <c r="O161" s="9">
        <f t="shared" si="15"/>
        <v>0.21000000000000002</v>
      </c>
      <c r="P161" s="9">
        <f t="shared" si="16"/>
        <v>0.245</v>
      </c>
      <c r="Q161" s="9">
        <f t="shared" si="17"/>
        <v>0.14000000000000001</v>
      </c>
      <c r="R161" s="9">
        <f t="shared" si="18"/>
        <v>0.10500000000000001</v>
      </c>
      <c r="S161" s="38">
        <v>0.70000000000000007</v>
      </c>
      <c r="T161" s="252">
        <v>105991.94</v>
      </c>
      <c r="U161" s="194">
        <v>741.94358</v>
      </c>
      <c r="V161" s="9"/>
      <c r="W161" s="9"/>
      <c r="X161" s="9" t="s">
        <v>825</v>
      </c>
      <c r="Y161" s="321">
        <v>70793</v>
      </c>
      <c r="Z161" s="19" t="s">
        <v>755</v>
      </c>
      <c r="AA161" s="15" t="s">
        <v>145</v>
      </c>
      <c r="AB161" s="16">
        <v>157</v>
      </c>
      <c r="AC161" s="113"/>
      <c r="AD161" s="109"/>
      <c r="AE161" s="109"/>
      <c r="AF161" s="110"/>
      <c r="AG161" s="169">
        <f t="shared" si="14"/>
        <v>2.0999999999999999E-3</v>
      </c>
      <c r="AH161" s="109"/>
      <c r="AI161" s="109"/>
      <c r="AJ161" s="110"/>
      <c r="AK161" s="113"/>
      <c r="AL161" s="299"/>
      <c r="AM161" s="299"/>
      <c r="AN161" s="21"/>
      <c r="AO161" s="20"/>
      <c r="AP161" s="8"/>
      <c r="AQ161" s="8"/>
      <c r="AR161" s="21"/>
      <c r="AS161" s="256" t="s">
        <v>757</v>
      </c>
    </row>
    <row r="162" spans="1:45" hidden="1" x14ac:dyDescent="0.25">
      <c r="A162" s="9">
        <v>159</v>
      </c>
      <c r="B162" s="9" t="s">
        <v>28</v>
      </c>
      <c r="C162" s="9" t="s">
        <v>753</v>
      </c>
      <c r="D162" s="9" t="s">
        <v>754</v>
      </c>
      <c r="E162" s="9"/>
      <c r="F162" s="15" t="s">
        <v>145</v>
      </c>
      <c r="G162" s="9"/>
      <c r="H162" s="9" t="s">
        <v>31</v>
      </c>
      <c r="I162" s="9"/>
      <c r="J162" s="9"/>
      <c r="K162" s="9">
        <v>7.0000000000000001E-3</v>
      </c>
      <c r="L162" s="9">
        <v>7.0000000000000001E-3</v>
      </c>
      <c r="M162" s="9" t="s">
        <v>812</v>
      </c>
      <c r="N162" s="9" t="s">
        <v>33</v>
      </c>
      <c r="O162" s="9">
        <f t="shared" si="15"/>
        <v>0.21000000000000002</v>
      </c>
      <c r="P162" s="9">
        <f t="shared" si="16"/>
        <v>0.245</v>
      </c>
      <c r="Q162" s="9">
        <f t="shared" si="17"/>
        <v>0.14000000000000001</v>
      </c>
      <c r="R162" s="9">
        <f t="shared" si="18"/>
        <v>0.10500000000000001</v>
      </c>
      <c r="S162" s="38">
        <v>0.70000000000000007</v>
      </c>
      <c r="T162" s="252">
        <v>105991.94</v>
      </c>
      <c r="U162" s="194">
        <v>741.94358</v>
      </c>
      <c r="V162" s="9"/>
      <c r="W162" s="9"/>
      <c r="X162" s="9" t="s">
        <v>825</v>
      </c>
      <c r="Y162" s="321">
        <v>70793</v>
      </c>
      <c r="Z162" s="19" t="s">
        <v>755</v>
      </c>
      <c r="AA162" s="15" t="s">
        <v>145</v>
      </c>
      <c r="AB162" s="16">
        <v>158</v>
      </c>
      <c r="AC162" s="113"/>
      <c r="AD162" s="109"/>
      <c r="AE162" s="109"/>
      <c r="AF162" s="110"/>
      <c r="AG162" s="169">
        <f t="shared" si="14"/>
        <v>2.0999999999999999E-3</v>
      </c>
      <c r="AH162" s="109"/>
      <c r="AI162" s="109"/>
      <c r="AJ162" s="110"/>
      <c r="AK162" s="113"/>
      <c r="AL162" s="299"/>
      <c r="AM162" s="299"/>
      <c r="AN162" s="21"/>
      <c r="AO162" s="20"/>
      <c r="AP162" s="8"/>
      <c r="AQ162" s="8"/>
      <c r="AR162" s="21"/>
      <c r="AS162" s="256" t="s">
        <v>757</v>
      </c>
    </row>
    <row r="163" spans="1:45" hidden="1" x14ac:dyDescent="0.25">
      <c r="A163" s="9">
        <v>160</v>
      </c>
      <c r="B163" s="9" t="s">
        <v>28</v>
      </c>
      <c r="C163" s="9" t="s">
        <v>753</v>
      </c>
      <c r="D163" s="9" t="s">
        <v>754</v>
      </c>
      <c r="E163" s="9"/>
      <c r="F163" s="15" t="s">
        <v>145</v>
      </c>
      <c r="G163" s="9"/>
      <c r="H163" s="9" t="s">
        <v>31</v>
      </c>
      <c r="I163" s="9"/>
      <c r="J163" s="9"/>
      <c r="K163" s="9">
        <v>7.0000000000000001E-3</v>
      </c>
      <c r="L163" s="9">
        <v>7.0000000000000001E-3</v>
      </c>
      <c r="M163" s="9" t="s">
        <v>812</v>
      </c>
      <c r="N163" s="9" t="s">
        <v>33</v>
      </c>
      <c r="O163" s="9">
        <f t="shared" si="15"/>
        <v>0.21000000000000002</v>
      </c>
      <c r="P163" s="9">
        <f t="shared" si="16"/>
        <v>0.245</v>
      </c>
      <c r="Q163" s="9">
        <f t="shared" si="17"/>
        <v>0.14000000000000001</v>
      </c>
      <c r="R163" s="9">
        <f t="shared" si="18"/>
        <v>0.10500000000000001</v>
      </c>
      <c r="S163" s="38">
        <v>0.70000000000000007</v>
      </c>
      <c r="T163" s="252">
        <v>105991.94</v>
      </c>
      <c r="U163" s="194">
        <v>741.94358</v>
      </c>
      <c r="V163" s="9"/>
      <c r="W163" s="9"/>
      <c r="X163" s="9" t="s">
        <v>825</v>
      </c>
      <c r="Y163" s="321">
        <v>70793</v>
      </c>
      <c r="Z163" s="19" t="s">
        <v>755</v>
      </c>
      <c r="AA163" s="15" t="s">
        <v>145</v>
      </c>
      <c r="AB163" s="16">
        <v>159</v>
      </c>
      <c r="AC163" s="113"/>
      <c r="AD163" s="109"/>
      <c r="AE163" s="109"/>
      <c r="AF163" s="110"/>
      <c r="AG163" s="169">
        <f t="shared" si="14"/>
        <v>2.0999999999999999E-3</v>
      </c>
      <c r="AH163" s="109"/>
      <c r="AI163" s="109"/>
      <c r="AJ163" s="110"/>
      <c r="AK163" s="113"/>
      <c r="AL163" s="299"/>
      <c r="AM163" s="299"/>
      <c r="AN163" s="21"/>
      <c r="AO163" s="20"/>
      <c r="AP163" s="8"/>
      <c r="AQ163" s="8"/>
      <c r="AR163" s="21"/>
      <c r="AS163" s="256" t="s">
        <v>757</v>
      </c>
    </row>
    <row r="164" spans="1:45" hidden="1" x14ac:dyDescent="0.25">
      <c r="A164" s="9">
        <v>161</v>
      </c>
      <c r="B164" s="9" t="s">
        <v>28</v>
      </c>
      <c r="C164" s="9" t="s">
        <v>753</v>
      </c>
      <c r="D164" s="9" t="s">
        <v>754</v>
      </c>
      <c r="E164" s="9"/>
      <c r="F164" s="15" t="s">
        <v>145</v>
      </c>
      <c r="G164" s="9"/>
      <c r="H164" s="9" t="s">
        <v>31</v>
      </c>
      <c r="I164" s="9"/>
      <c r="J164" s="9"/>
      <c r="K164" s="9">
        <v>7.0000000000000001E-3</v>
      </c>
      <c r="L164" s="9">
        <v>7.0000000000000001E-3</v>
      </c>
      <c r="M164" s="9" t="s">
        <v>812</v>
      </c>
      <c r="N164" s="9" t="s">
        <v>33</v>
      </c>
      <c r="O164" s="9">
        <f t="shared" si="15"/>
        <v>0.21000000000000002</v>
      </c>
      <c r="P164" s="9">
        <f t="shared" si="16"/>
        <v>0.245</v>
      </c>
      <c r="Q164" s="9">
        <f t="shared" si="17"/>
        <v>0.14000000000000001</v>
      </c>
      <c r="R164" s="9">
        <f t="shared" si="18"/>
        <v>0.10500000000000001</v>
      </c>
      <c r="S164" s="38">
        <v>0.70000000000000007</v>
      </c>
      <c r="T164" s="252">
        <v>105991.94</v>
      </c>
      <c r="U164" s="194">
        <v>741.94358</v>
      </c>
      <c r="V164" s="9"/>
      <c r="W164" s="9"/>
      <c r="X164" s="9" t="s">
        <v>825</v>
      </c>
      <c r="Y164" s="321">
        <v>70793</v>
      </c>
      <c r="Z164" s="19" t="s">
        <v>755</v>
      </c>
      <c r="AA164" s="15" t="s">
        <v>145</v>
      </c>
      <c r="AB164" s="16">
        <v>160</v>
      </c>
      <c r="AC164" s="113"/>
      <c r="AD164" s="109"/>
      <c r="AE164" s="109"/>
      <c r="AF164" s="110"/>
      <c r="AG164" s="169">
        <f t="shared" si="14"/>
        <v>2.0999999999999999E-3</v>
      </c>
      <c r="AH164" s="109"/>
      <c r="AI164" s="109"/>
      <c r="AJ164" s="110"/>
      <c r="AK164" s="113"/>
      <c r="AL164" s="299"/>
      <c r="AM164" s="299"/>
      <c r="AN164" s="21"/>
      <c r="AO164" s="20"/>
      <c r="AP164" s="8"/>
      <c r="AQ164" s="8"/>
      <c r="AR164" s="21"/>
      <c r="AS164" s="256" t="s">
        <v>757</v>
      </c>
    </row>
    <row r="165" spans="1:45" hidden="1" x14ac:dyDescent="0.25">
      <c r="A165" s="9">
        <v>162</v>
      </c>
      <c r="B165" s="9" t="s">
        <v>28</v>
      </c>
      <c r="C165" s="9" t="s">
        <v>753</v>
      </c>
      <c r="D165" s="9" t="s">
        <v>754</v>
      </c>
      <c r="E165" s="9"/>
      <c r="F165" s="15" t="s">
        <v>145</v>
      </c>
      <c r="G165" s="9"/>
      <c r="H165" s="9" t="s">
        <v>31</v>
      </c>
      <c r="I165" s="9"/>
      <c r="J165" s="9"/>
      <c r="K165" s="9">
        <v>7.0000000000000001E-3</v>
      </c>
      <c r="L165" s="9">
        <v>7.0000000000000001E-3</v>
      </c>
      <c r="M165" s="9" t="s">
        <v>812</v>
      </c>
      <c r="N165" s="9" t="s">
        <v>33</v>
      </c>
      <c r="O165" s="9">
        <f t="shared" si="15"/>
        <v>0.21000000000000002</v>
      </c>
      <c r="P165" s="9">
        <f t="shared" si="16"/>
        <v>0.245</v>
      </c>
      <c r="Q165" s="9">
        <f t="shared" si="17"/>
        <v>0.14000000000000001</v>
      </c>
      <c r="R165" s="9">
        <f t="shared" si="18"/>
        <v>0.10500000000000001</v>
      </c>
      <c r="S165" s="38">
        <v>0.70000000000000007</v>
      </c>
      <c r="T165" s="252">
        <v>105991.94</v>
      </c>
      <c r="U165" s="194">
        <v>741.94358</v>
      </c>
      <c r="V165" s="9"/>
      <c r="W165" s="9"/>
      <c r="X165" s="9" t="s">
        <v>825</v>
      </c>
      <c r="Y165" s="321">
        <v>70793</v>
      </c>
      <c r="Z165" s="19" t="s">
        <v>755</v>
      </c>
      <c r="AA165" s="15" t="s">
        <v>145</v>
      </c>
      <c r="AB165" s="16">
        <v>161</v>
      </c>
      <c r="AC165" s="113"/>
      <c r="AD165" s="109"/>
      <c r="AE165" s="109"/>
      <c r="AF165" s="110"/>
      <c r="AG165" s="169">
        <f t="shared" si="14"/>
        <v>2.0999999999999999E-3</v>
      </c>
      <c r="AH165" s="109"/>
      <c r="AI165" s="109"/>
      <c r="AJ165" s="110"/>
      <c r="AK165" s="113"/>
      <c r="AL165" s="299"/>
      <c r="AM165" s="299"/>
      <c r="AN165" s="21"/>
      <c r="AO165" s="20"/>
      <c r="AP165" s="8"/>
      <c r="AQ165" s="8"/>
      <c r="AR165" s="21"/>
      <c r="AS165" s="256" t="s">
        <v>757</v>
      </c>
    </row>
    <row r="166" spans="1:45" hidden="1" x14ac:dyDescent="0.25">
      <c r="A166" s="9">
        <v>163</v>
      </c>
      <c r="B166" s="9" t="s">
        <v>28</v>
      </c>
      <c r="C166" s="9" t="s">
        <v>753</v>
      </c>
      <c r="D166" s="9" t="s">
        <v>754</v>
      </c>
      <c r="E166" s="9"/>
      <c r="F166" s="15" t="s">
        <v>145</v>
      </c>
      <c r="G166" s="9"/>
      <c r="H166" s="9" t="s">
        <v>31</v>
      </c>
      <c r="I166" s="9"/>
      <c r="J166" s="9"/>
      <c r="K166" s="9">
        <v>7.0000000000000001E-3</v>
      </c>
      <c r="L166" s="9">
        <v>7.0000000000000001E-3</v>
      </c>
      <c r="M166" s="9" t="s">
        <v>812</v>
      </c>
      <c r="N166" s="9" t="s">
        <v>33</v>
      </c>
      <c r="O166" s="9">
        <f t="shared" si="15"/>
        <v>0.21000000000000002</v>
      </c>
      <c r="P166" s="9">
        <f t="shared" si="16"/>
        <v>0.245</v>
      </c>
      <c r="Q166" s="9">
        <f t="shared" si="17"/>
        <v>0.14000000000000001</v>
      </c>
      <c r="R166" s="9">
        <f t="shared" si="18"/>
        <v>0.10500000000000001</v>
      </c>
      <c r="S166" s="38">
        <v>0.70000000000000007</v>
      </c>
      <c r="T166" s="252">
        <v>105991.94</v>
      </c>
      <c r="U166" s="194">
        <v>741.94358</v>
      </c>
      <c r="V166" s="9"/>
      <c r="W166" s="9"/>
      <c r="X166" s="9" t="s">
        <v>825</v>
      </c>
      <c r="Y166" s="321">
        <v>70793</v>
      </c>
      <c r="Z166" s="19" t="s">
        <v>755</v>
      </c>
      <c r="AA166" s="15" t="s">
        <v>145</v>
      </c>
      <c r="AB166" s="16">
        <v>162</v>
      </c>
      <c r="AC166" s="113"/>
      <c r="AD166" s="109"/>
      <c r="AE166" s="109"/>
      <c r="AF166" s="110"/>
      <c r="AG166" s="169">
        <f t="shared" si="14"/>
        <v>2.0999999999999999E-3</v>
      </c>
      <c r="AH166" s="109"/>
      <c r="AI166" s="109"/>
      <c r="AJ166" s="110"/>
      <c r="AK166" s="113"/>
      <c r="AL166" s="299"/>
      <c r="AM166" s="299"/>
      <c r="AN166" s="21"/>
      <c r="AO166" s="20"/>
      <c r="AP166" s="8"/>
      <c r="AQ166" s="8"/>
      <c r="AR166" s="21"/>
      <c r="AS166" s="256" t="s">
        <v>757</v>
      </c>
    </row>
    <row r="167" spans="1:45" hidden="1" x14ac:dyDescent="0.25">
      <c r="A167" s="9">
        <v>164</v>
      </c>
      <c r="B167" s="9" t="s">
        <v>28</v>
      </c>
      <c r="C167" s="9" t="s">
        <v>753</v>
      </c>
      <c r="D167" s="9" t="s">
        <v>754</v>
      </c>
      <c r="E167" s="9"/>
      <c r="F167" s="15" t="s">
        <v>145</v>
      </c>
      <c r="G167" s="9"/>
      <c r="H167" s="9" t="s">
        <v>31</v>
      </c>
      <c r="I167" s="9"/>
      <c r="J167" s="9"/>
      <c r="K167" s="9">
        <v>7.0000000000000001E-3</v>
      </c>
      <c r="L167" s="9">
        <v>7.0000000000000001E-3</v>
      </c>
      <c r="M167" s="9" t="s">
        <v>812</v>
      </c>
      <c r="N167" s="9" t="s">
        <v>33</v>
      </c>
      <c r="O167" s="9">
        <f t="shared" si="15"/>
        <v>0.21000000000000002</v>
      </c>
      <c r="P167" s="9">
        <f t="shared" si="16"/>
        <v>0.245</v>
      </c>
      <c r="Q167" s="9">
        <f t="shared" si="17"/>
        <v>0.14000000000000001</v>
      </c>
      <c r="R167" s="9">
        <f t="shared" si="18"/>
        <v>0.10500000000000001</v>
      </c>
      <c r="S167" s="38">
        <v>0.70000000000000007</v>
      </c>
      <c r="T167" s="252">
        <v>105991.94</v>
      </c>
      <c r="U167" s="194">
        <v>741.94358</v>
      </c>
      <c r="V167" s="9"/>
      <c r="W167" s="9"/>
      <c r="X167" s="9" t="s">
        <v>825</v>
      </c>
      <c r="Y167" s="321">
        <v>70793</v>
      </c>
      <c r="Z167" s="19" t="s">
        <v>755</v>
      </c>
      <c r="AA167" s="15" t="s">
        <v>145</v>
      </c>
      <c r="AB167" s="16">
        <v>163</v>
      </c>
      <c r="AC167" s="113"/>
      <c r="AD167" s="109"/>
      <c r="AE167" s="109"/>
      <c r="AF167" s="110"/>
      <c r="AG167" s="169">
        <f t="shared" si="14"/>
        <v>2.0999999999999999E-3</v>
      </c>
      <c r="AH167" s="109"/>
      <c r="AI167" s="109"/>
      <c r="AJ167" s="110"/>
      <c r="AK167" s="113"/>
      <c r="AL167" s="299"/>
      <c r="AM167" s="299"/>
      <c r="AN167" s="21"/>
      <c r="AO167" s="20"/>
      <c r="AP167" s="8"/>
      <c r="AQ167" s="8"/>
      <c r="AR167" s="21"/>
      <c r="AS167" s="256" t="s">
        <v>757</v>
      </c>
    </row>
    <row r="168" spans="1:45" hidden="1" x14ac:dyDescent="0.25">
      <c r="A168" s="9">
        <v>165</v>
      </c>
      <c r="B168" s="9" t="s">
        <v>28</v>
      </c>
      <c r="C168" s="9" t="s">
        <v>753</v>
      </c>
      <c r="D168" s="9" t="s">
        <v>754</v>
      </c>
      <c r="E168" s="9"/>
      <c r="F168" s="15" t="s">
        <v>145</v>
      </c>
      <c r="G168" s="9"/>
      <c r="H168" s="9" t="s">
        <v>31</v>
      </c>
      <c r="I168" s="9"/>
      <c r="J168" s="9"/>
      <c r="K168" s="9">
        <v>7.0000000000000001E-3</v>
      </c>
      <c r="L168" s="9">
        <v>7.0000000000000001E-3</v>
      </c>
      <c r="M168" s="9" t="s">
        <v>812</v>
      </c>
      <c r="N168" s="9" t="s">
        <v>33</v>
      </c>
      <c r="O168" s="9">
        <f t="shared" si="15"/>
        <v>0.21000000000000002</v>
      </c>
      <c r="P168" s="9">
        <f t="shared" si="16"/>
        <v>0.245</v>
      </c>
      <c r="Q168" s="9">
        <f t="shared" si="17"/>
        <v>0.14000000000000001</v>
      </c>
      <c r="R168" s="9">
        <f t="shared" si="18"/>
        <v>0.10500000000000001</v>
      </c>
      <c r="S168" s="38">
        <v>0.70000000000000007</v>
      </c>
      <c r="T168" s="252">
        <v>105991.94</v>
      </c>
      <c r="U168" s="194">
        <v>741.94358</v>
      </c>
      <c r="V168" s="9"/>
      <c r="W168" s="9"/>
      <c r="X168" s="9" t="s">
        <v>825</v>
      </c>
      <c r="Y168" s="321">
        <v>70793</v>
      </c>
      <c r="Z168" s="19" t="s">
        <v>755</v>
      </c>
      <c r="AA168" s="15" t="s">
        <v>145</v>
      </c>
      <c r="AB168" s="16">
        <v>164</v>
      </c>
      <c r="AC168" s="113"/>
      <c r="AD168" s="109"/>
      <c r="AE168" s="109"/>
      <c r="AF168" s="110"/>
      <c r="AG168" s="169">
        <f t="shared" si="14"/>
        <v>2.0999999999999999E-3</v>
      </c>
      <c r="AH168" s="109"/>
      <c r="AI168" s="109"/>
      <c r="AJ168" s="110"/>
      <c r="AK168" s="113"/>
      <c r="AL168" s="299"/>
      <c r="AM168" s="299"/>
      <c r="AN168" s="21"/>
      <c r="AO168" s="20"/>
      <c r="AP168" s="8"/>
      <c r="AQ168" s="8"/>
      <c r="AR168" s="21"/>
      <c r="AS168" s="256" t="s">
        <v>757</v>
      </c>
    </row>
    <row r="169" spans="1:45" hidden="1" x14ac:dyDescent="0.25">
      <c r="A169" s="9">
        <v>166</v>
      </c>
      <c r="B169" s="9" t="s">
        <v>28</v>
      </c>
      <c r="C169" s="9" t="s">
        <v>753</v>
      </c>
      <c r="D169" s="9" t="s">
        <v>754</v>
      </c>
      <c r="E169" s="9"/>
      <c r="F169" s="15" t="s">
        <v>145</v>
      </c>
      <c r="G169" s="9"/>
      <c r="H169" s="9" t="s">
        <v>31</v>
      </c>
      <c r="I169" s="9"/>
      <c r="J169" s="9"/>
      <c r="K169" s="9">
        <v>7.0000000000000001E-3</v>
      </c>
      <c r="L169" s="9">
        <v>7.0000000000000001E-3</v>
      </c>
      <c r="M169" s="9" t="s">
        <v>812</v>
      </c>
      <c r="N169" s="9" t="s">
        <v>33</v>
      </c>
      <c r="O169" s="9">
        <f t="shared" si="15"/>
        <v>0.21000000000000002</v>
      </c>
      <c r="P169" s="9">
        <f t="shared" si="16"/>
        <v>0.245</v>
      </c>
      <c r="Q169" s="9">
        <f t="shared" si="17"/>
        <v>0.14000000000000001</v>
      </c>
      <c r="R169" s="9">
        <f t="shared" si="18"/>
        <v>0.10500000000000001</v>
      </c>
      <c r="S169" s="38">
        <v>0.70000000000000007</v>
      </c>
      <c r="T169" s="252">
        <v>105991.94</v>
      </c>
      <c r="U169" s="194">
        <v>741.94358</v>
      </c>
      <c r="V169" s="9"/>
      <c r="W169" s="9"/>
      <c r="X169" s="9" t="s">
        <v>825</v>
      </c>
      <c r="Y169" s="321">
        <v>70793</v>
      </c>
      <c r="Z169" s="19" t="s">
        <v>755</v>
      </c>
      <c r="AA169" s="15" t="s">
        <v>145</v>
      </c>
      <c r="AB169" s="16">
        <v>165</v>
      </c>
      <c r="AC169" s="113"/>
      <c r="AD169" s="109"/>
      <c r="AE169" s="109"/>
      <c r="AF169" s="110"/>
      <c r="AG169" s="169">
        <f t="shared" si="14"/>
        <v>2.0999999999999999E-3</v>
      </c>
      <c r="AH169" s="109"/>
      <c r="AI169" s="109"/>
      <c r="AJ169" s="110"/>
      <c r="AK169" s="113"/>
      <c r="AL169" s="299"/>
      <c r="AM169" s="299"/>
      <c r="AN169" s="21"/>
      <c r="AO169" s="20"/>
      <c r="AP169" s="8"/>
      <c r="AQ169" s="8"/>
      <c r="AR169" s="21"/>
      <c r="AS169" s="256" t="s">
        <v>757</v>
      </c>
    </row>
    <row r="170" spans="1:45" hidden="1" x14ac:dyDescent="0.25">
      <c r="A170" s="9">
        <v>167</v>
      </c>
      <c r="B170" s="9" t="s">
        <v>28</v>
      </c>
      <c r="C170" s="9" t="s">
        <v>753</v>
      </c>
      <c r="D170" s="9" t="s">
        <v>754</v>
      </c>
      <c r="E170" s="9"/>
      <c r="F170" s="15" t="s">
        <v>145</v>
      </c>
      <c r="G170" s="9"/>
      <c r="H170" s="9" t="s">
        <v>31</v>
      </c>
      <c r="I170" s="9"/>
      <c r="J170" s="9"/>
      <c r="K170" s="9">
        <v>7.0000000000000001E-3</v>
      </c>
      <c r="L170" s="9">
        <v>7.0000000000000001E-3</v>
      </c>
      <c r="M170" s="9" t="s">
        <v>812</v>
      </c>
      <c r="N170" s="9" t="s">
        <v>33</v>
      </c>
      <c r="O170" s="9">
        <f t="shared" si="15"/>
        <v>0.21000000000000002</v>
      </c>
      <c r="P170" s="9">
        <f t="shared" si="16"/>
        <v>0.245</v>
      </c>
      <c r="Q170" s="9">
        <f t="shared" si="17"/>
        <v>0.14000000000000001</v>
      </c>
      <c r="R170" s="9">
        <f t="shared" si="18"/>
        <v>0.10500000000000001</v>
      </c>
      <c r="S170" s="38">
        <v>0.70000000000000007</v>
      </c>
      <c r="T170" s="252">
        <v>105991.94</v>
      </c>
      <c r="U170" s="194">
        <v>741.94358</v>
      </c>
      <c r="V170" s="9"/>
      <c r="W170" s="9"/>
      <c r="X170" s="9" t="s">
        <v>825</v>
      </c>
      <c r="Y170" s="321">
        <v>70793</v>
      </c>
      <c r="Z170" s="19" t="s">
        <v>755</v>
      </c>
      <c r="AA170" s="15" t="s">
        <v>145</v>
      </c>
      <c r="AB170" s="16">
        <v>166</v>
      </c>
      <c r="AC170" s="113"/>
      <c r="AD170" s="109"/>
      <c r="AE170" s="109"/>
      <c r="AF170" s="110"/>
      <c r="AG170" s="169">
        <f t="shared" si="14"/>
        <v>2.0999999999999999E-3</v>
      </c>
      <c r="AH170" s="109"/>
      <c r="AI170" s="109"/>
      <c r="AJ170" s="110"/>
      <c r="AK170" s="113"/>
      <c r="AL170" s="299"/>
      <c r="AM170" s="299"/>
      <c r="AN170" s="21"/>
      <c r="AO170" s="20"/>
      <c r="AP170" s="8"/>
      <c r="AQ170" s="8"/>
      <c r="AR170" s="21"/>
      <c r="AS170" s="256" t="s">
        <v>757</v>
      </c>
    </row>
    <row r="171" spans="1:45" hidden="1" x14ac:dyDescent="0.25">
      <c r="A171" s="9">
        <v>168</v>
      </c>
      <c r="B171" s="9" t="s">
        <v>28</v>
      </c>
      <c r="C171" s="9" t="s">
        <v>753</v>
      </c>
      <c r="D171" s="9" t="s">
        <v>754</v>
      </c>
      <c r="E171" s="9"/>
      <c r="F171" s="15" t="s">
        <v>145</v>
      </c>
      <c r="G171" s="9"/>
      <c r="H171" s="9" t="s">
        <v>31</v>
      </c>
      <c r="I171" s="9"/>
      <c r="J171" s="9"/>
      <c r="K171" s="9">
        <v>0.02</v>
      </c>
      <c r="L171" s="9">
        <v>0.02</v>
      </c>
      <c r="M171" s="9" t="s">
        <v>812</v>
      </c>
      <c r="N171" s="9" t="s">
        <v>33</v>
      </c>
      <c r="O171" s="9">
        <f t="shared" si="15"/>
        <v>0.6</v>
      </c>
      <c r="P171" s="9">
        <f t="shared" si="16"/>
        <v>0.7</v>
      </c>
      <c r="Q171" s="9">
        <f t="shared" si="17"/>
        <v>0.4</v>
      </c>
      <c r="R171" s="9">
        <f t="shared" si="18"/>
        <v>0.3</v>
      </c>
      <c r="S171" s="38">
        <v>2</v>
      </c>
      <c r="T171" s="252">
        <v>105991.94</v>
      </c>
      <c r="U171" s="194">
        <v>2119.8388</v>
      </c>
      <c r="V171" s="9"/>
      <c r="W171" s="9"/>
      <c r="X171" s="9" t="s">
        <v>824</v>
      </c>
      <c r="Y171" s="321">
        <v>70793</v>
      </c>
      <c r="Z171" s="19" t="s">
        <v>755</v>
      </c>
      <c r="AA171" s="15" t="s">
        <v>145</v>
      </c>
      <c r="AB171" s="16">
        <v>167</v>
      </c>
      <c r="AC171" s="113"/>
      <c r="AD171" s="109"/>
      <c r="AE171" s="109"/>
      <c r="AF171" s="110"/>
      <c r="AG171" s="169">
        <f t="shared" si="14"/>
        <v>6.0000000000000001E-3</v>
      </c>
      <c r="AH171" s="109"/>
      <c r="AI171" s="109"/>
      <c r="AJ171" s="110"/>
      <c r="AK171" s="113"/>
      <c r="AL171" s="299"/>
      <c r="AM171" s="299"/>
      <c r="AN171" s="21"/>
      <c r="AO171" s="20"/>
      <c r="AP171" s="8"/>
      <c r="AQ171" s="8"/>
      <c r="AR171" s="21"/>
      <c r="AS171" s="256" t="s">
        <v>757</v>
      </c>
    </row>
    <row r="172" spans="1:45" hidden="1" x14ac:dyDescent="0.25">
      <c r="A172" s="9">
        <v>169</v>
      </c>
      <c r="B172" s="9" t="s">
        <v>28</v>
      </c>
      <c r="C172" s="9" t="s">
        <v>753</v>
      </c>
      <c r="D172" s="9" t="s">
        <v>754</v>
      </c>
      <c r="E172" s="9"/>
      <c r="F172" s="15" t="s">
        <v>145</v>
      </c>
      <c r="G172" s="9"/>
      <c r="H172" s="9" t="s">
        <v>31</v>
      </c>
      <c r="I172" s="9"/>
      <c r="J172" s="9"/>
      <c r="K172" s="9">
        <v>0.02</v>
      </c>
      <c r="L172" s="9">
        <v>0.02</v>
      </c>
      <c r="M172" s="9" t="s">
        <v>812</v>
      </c>
      <c r="N172" s="9" t="s">
        <v>33</v>
      </c>
      <c r="O172" s="9">
        <f t="shared" si="15"/>
        <v>0.6</v>
      </c>
      <c r="P172" s="9">
        <f t="shared" si="16"/>
        <v>0.7</v>
      </c>
      <c r="Q172" s="9">
        <f t="shared" si="17"/>
        <v>0.4</v>
      </c>
      <c r="R172" s="9">
        <f t="shared" si="18"/>
        <v>0.3</v>
      </c>
      <c r="S172" s="38">
        <v>2</v>
      </c>
      <c r="T172" s="252">
        <v>105991.94</v>
      </c>
      <c r="U172" s="194">
        <v>2119.8388</v>
      </c>
      <c r="V172" s="9"/>
      <c r="W172" s="9"/>
      <c r="X172" s="9" t="s">
        <v>824</v>
      </c>
      <c r="Y172" s="321">
        <v>70793</v>
      </c>
      <c r="Z172" s="19" t="s">
        <v>755</v>
      </c>
      <c r="AA172" s="15" t="s">
        <v>145</v>
      </c>
      <c r="AB172" s="16">
        <v>168</v>
      </c>
      <c r="AC172" s="113"/>
      <c r="AD172" s="109"/>
      <c r="AE172" s="109"/>
      <c r="AF172" s="110"/>
      <c r="AG172" s="169">
        <f t="shared" si="14"/>
        <v>6.0000000000000001E-3</v>
      </c>
      <c r="AH172" s="109"/>
      <c r="AI172" s="109"/>
      <c r="AJ172" s="110"/>
      <c r="AK172" s="113"/>
      <c r="AL172" s="299"/>
      <c r="AM172" s="299"/>
      <c r="AN172" s="21"/>
      <c r="AO172" s="20"/>
      <c r="AP172" s="8"/>
      <c r="AQ172" s="8"/>
      <c r="AR172" s="21"/>
      <c r="AS172" s="256" t="s">
        <v>757</v>
      </c>
    </row>
    <row r="173" spans="1:45" hidden="1" x14ac:dyDescent="0.25">
      <c r="A173" s="9">
        <v>170</v>
      </c>
      <c r="B173" s="9" t="s">
        <v>28</v>
      </c>
      <c r="C173" s="9" t="s">
        <v>753</v>
      </c>
      <c r="D173" s="9" t="s">
        <v>754</v>
      </c>
      <c r="E173" s="9"/>
      <c r="F173" s="15" t="s">
        <v>145</v>
      </c>
      <c r="G173" s="9"/>
      <c r="H173" s="9" t="s">
        <v>31</v>
      </c>
      <c r="I173" s="9"/>
      <c r="J173" s="9"/>
      <c r="K173" s="9">
        <v>0.02</v>
      </c>
      <c r="L173" s="9">
        <v>0.02</v>
      </c>
      <c r="M173" s="9" t="s">
        <v>812</v>
      </c>
      <c r="N173" s="9" t="s">
        <v>33</v>
      </c>
      <c r="O173" s="9">
        <f t="shared" si="15"/>
        <v>0.6</v>
      </c>
      <c r="P173" s="9">
        <f t="shared" si="16"/>
        <v>0.7</v>
      </c>
      <c r="Q173" s="9">
        <f t="shared" si="17"/>
        <v>0.4</v>
      </c>
      <c r="R173" s="9">
        <f t="shared" si="18"/>
        <v>0.3</v>
      </c>
      <c r="S173" s="38">
        <v>2</v>
      </c>
      <c r="T173" s="252">
        <v>105991.94</v>
      </c>
      <c r="U173" s="194">
        <v>2119.8388</v>
      </c>
      <c r="V173" s="9"/>
      <c r="W173" s="9"/>
      <c r="X173" s="9" t="s">
        <v>824</v>
      </c>
      <c r="Y173" s="321">
        <v>70793</v>
      </c>
      <c r="Z173" s="19" t="s">
        <v>755</v>
      </c>
      <c r="AA173" s="15" t="s">
        <v>145</v>
      </c>
      <c r="AB173" s="16">
        <v>169</v>
      </c>
      <c r="AC173" s="113"/>
      <c r="AD173" s="109"/>
      <c r="AE173" s="109"/>
      <c r="AF173" s="110"/>
      <c r="AG173" s="169">
        <f t="shared" si="14"/>
        <v>6.0000000000000001E-3</v>
      </c>
      <c r="AH173" s="109"/>
      <c r="AI173" s="109"/>
      <c r="AJ173" s="110"/>
      <c r="AK173" s="113"/>
      <c r="AL173" s="299"/>
      <c r="AM173" s="299"/>
      <c r="AN173" s="21"/>
      <c r="AO173" s="20"/>
      <c r="AP173" s="8"/>
      <c r="AQ173" s="8"/>
      <c r="AR173" s="21"/>
      <c r="AS173" s="256" t="s">
        <v>757</v>
      </c>
    </row>
    <row r="174" spans="1:45" hidden="1" x14ac:dyDescent="0.25">
      <c r="A174" s="9">
        <v>171</v>
      </c>
      <c r="B174" s="9" t="s">
        <v>28</v>
      </c>
      <c r="C174" s="9" t="s">
        <v>753</v>
      </c>
      <c r="D174" s="9" t="s">
        <v>754</v>
      </c>
      <c r="E174" s="9"/>
      <c r="F174" s="15" t="s">
        <v>145</v>
      </c>
      <c r="G174" s="9"/>
      <c r="H174" s="9" t="s">
        <v>31</v>
      </c>
      <c r="I174" s="9"/>
      <c r="J174" s="9"/>
      <c r="K174" s="9">
        <v>0.02</v>
      </c>
      <c r="L174" s="9">
        <v>0.02</v>
      </c>
      <c r="M174" s="9" t="s">
        <v>812</v>
      </c>
      <c r="N174" s="9" t="s">
        <v>33</v>
      </c>
      <c r="O174" s="9">
        <f t="shared" si="15"/>
        <v>0.6</v>
      </c>
      <c r="P174" s="9">
        <f t="shared" si="16"/>
        <v>0.7</v>
      </c>
      <c r="Q174" s="9">
        <f t="shared" si="17"/>
        <v>0.4</v>
      </c>
      <c r="R174" s="9">
        <f t="shared" si="18"/>
        <v>0.3</v>
      </c>
      <c r="S174" s="38">
        <v>2</v>
      </c>
      <c r="T174" s="252">
        <v>105991.94</v>
      </c>
      <c r="U174" s="194">
        <v>2119.8388</v>
      </c>
      <c r="V174" s="9"/>
      <c r="W174" s="9"/>
      <c r="X174" s="9" t="s">
        <v>824</v>
      </c>
      <c r="Y174" s="321">
        <v>70793</v>
      </c>
      <c r="Z174" s="19" t="s">
        <v>755</v>
      </c>
      <c r="AA174" s="15" t="s">
        <v>145</v>
      </c>
      <c r="AB174" s="16">
        <v>170</v>
      </c>
      <c r="AC174" s="113"/>
      <c r="AD174" s="109"/>
      <c r="AE174" s="109"/>
      <c r="AF174" s="110"/>
      <c r="AG174" s="169">
        <f t="shared" si="14"/>
        <v>6.0000000000000001E-3</v>
      </c>
      <c r="AH174" s="109"/>
      <c r="AI174" s="109"/>
      <c r="AJ174" s="110"/>
      <c r="AK174" s="113"/>
      <c r="AL174" s="299"/>
      <c r="AM174" s="299"/>
      <c r="AN174" s="21"/>
      <c r="AO174" s="20"/>
      <c r="AP174" s="8"/>
      <c r="AQ174" s="8"/>
      <c r="AR174" s="21"/>
      <c r="AS174" s="256" t="s">
        <v>757</v>
      </c>
    </row>
    <row r="175" spans="1:45" hidden="1" x14ac:dyDescent="0.25">
      <c r="A175" s="9">
        <v>172</v>
      </c>
      <c r="B175" s="9" t="s">
        <v>28</v>
      </c>
      <c r="C175" s="9" t="s">
        <v>753</v>
      </c>
      <c r="D175" s="9" t="s">
        <v>754</v>
      </c>
      <c r="E175" s="9"/>
      <c r="F175" s="15" t="s">
        <v>145</v>
      </c>
      <c r="G175" s="9"/>
      <c r="H175" s="9" t="s">
        <v>31</v>
      </c>
      <c r="I175" s="9"/>
      <c r="J175" s="9"/>
      <c r="K175" s="9">
        <v>0.02</v>
      </c>
      <c r="L175" s="9">
        <v>0.02</v>
      </c>
      <c r="M175" s="9" t="s">
        <v>812</v>
      </c>
      <c r="N175" s="9" t="s">
        <v>33</v>
      </c>
      <c r="O175" s="9">
        <f t="shared" si="15"/>
        <v>0.6</v>
      </c>
      <c r="P175" s="9">
        <f t="shared" si="16"/>
        <v>0.7</v>
      </c>
      <c r="Q175" s="9">
        <f t="shared" si="17"/>
        <v>0.4</v>
      </c>
      <c r="R175" s="9">
        <f t="shared" si="18"/>
        <v>0.3</v>
      </c>
      <c r="S175" s="38">
        <v>2</v>
      </c>
      <c r="T175" s="252">
        <v>105991.94</v>
      </c>
      <c r="U175" s="194">
        <v>2119.8388</v>
      </c>
      <c r="V175" s="9"/>
      <c r="W175" s="9"/>
      <c r="X175" s="9" t="s">
        <v>824</v>
      </c>
      <c r="Y175" s="321">
        <v>70793</v>
      </c>
      <c r="Z175" s="19" t="s">
        <v>755</v>
      </c>
      <c r="AA175" s="15" t="s">
        <v>145</v>
      </c>
      <c r="AB175" s="16">
        <v>171</v>
      </c>
      <c r="AC175" s="113"/>
      <c r="AD175" s="109"/>
      <c r="AE175" s="109"/>
      <c r="AF175" s="110"/>
      <c r="AG175" s="169">
        <f t="shared" si="14"/>
        <v>6.0000000000000001E-3</v>
      </c>
      <c r="AH175" s="109"/>
      <c r="AI175" s="109"/>
      <c r="AJ175" s="110"/>
      <c r="AK175" s="113"/>
      <c r="AL175" s="299"/>
      <c r="AM175" s="299"/>
      <c r="AN175" s="21"/>
      <c r="AO175" s="20"/>
      <c r="AP175" s="8"/>
      <c r="AQ175" s="8"/>
      <c r="AR175" s="21"/>
      <c r="AS175" s="256" t="s">
        <v>757</v>
      </c>
    </row>
    <row r="176" spans="1:45" hidden="1" x14ac:dyDescent="0.25">
      <c r="A176" s="9">
        <v>173</v>
      </c>
      <c r="B176" s="9" t="s">
        <v>28</v>
      </c>
      <c r="C176" s="9" t="s">
        <v>753</v>
      </c>
      <c r="D176" s="9" t="s">
        <v>754</v>
      </c>
      <c r="E176" s="9"/>
      <c r="F176" s="15" t="s">
        <v>145</v>
      </c>
      <c r="G176" s="9"/>
      <c r="H176" s="9" t="s">
        <v>31</v>
      </c>
      <c r="I176" s="9"/>
      <c r="J176" s="9"/>
      <c r="K176" s="9">
        <v>0.02</v>
      </c>
      <c r="L176" s="9">
        <v>0.02</v>
      </c>
      <c r="M176" s="9" t="s">
        <v>812</v>
      </c>
      <c r="N176" s="9" t="s">
        <v>33</v>
      </c>
      <c r="O176" s="9">
        <f t="shared" si="15"/>
        <v>0.6</v>
      </c>
      <c r="P176" s="9">
        <f t="shared" si="16"/>
        <v>0.7</v>
      </c>
      <c r="Q176" s="9">
        <f t="shared" si="17"/>
        <v>0.4</v>
      </c>
      <c r="R176" s="9">
        <f t="shared" si="18"/>
        <v>0.3</v>
      </c>
      <c r="S176" s="38">
        <v>2</v>
      </c>
      <c r="T176" s="252">
        <v>105991.94</v>
      </c>
      <c r="U176" s="194">
        <v>2119.8388</v>
      </c>
      <c r="V176" s="9"/>
      <c r="W176" s="9"/>
      <c r="X176" s="9" t="s">
        <v>824</v>
      </c>
      <c r="Y176" s="321">
        <v>70793</v>
      </c>
      <c r="Z176" s="19" t="s">
        <v>755</v>
      </c>
      <c r="AA176" s="15" t="s">
        <v>145</v>
      </c>
      <c r="AB176" s="16">
        <v>172</v>
      </c>
      <c r="AC176" s="113"/>
      <c r="AD176" s="109"/>
      <c r="AE176" s="109"/>
      <c r="AF176" s="110"/>
      <c r="AG176" s="169">
        <f t="shared" si="14"/>
        <v>6.0000000000000001E-3</v>
      </c>
      <c r="AH176" s="109"/>
      <c r="AI176" s="109"/>
      <c r="AJ176" s="110"/>
      <c r="AK176" s="113"/>
      <c r="AL176" s="299"/>
      <c r="AM176" s="299"/>
      <c r="AN176" s="21"/>
      <c r="AO176" s="20"/>
      <c r="AP176" s="8"/>
      <c r="AQ176" s="8"/>
      <c r="AR176" s="21"/>
      <c r="AS176" s="256" t="s">
        <v>757</v>
      </c>
    </row>
    <row r="177" spans="1:45" hidden="1" x14ac:dyDescent="0.25">
      <c r="A177" s="9">
        <v>174</v>
      </c>
      <c r="B177" s="9" t="s">
        <v>28</v>
      </c>
      <c r="C177" s="9" t="s">
        <v>753</v>
      </c>
      <c r="D177" s="9" t="s">
        <v>754</v>
      </c>
      <c r="E177" s="9"/>
      <c r="F177" s="15" t="s">
        <v>145</v>
      </c>
      <c r="G177" s="9"/>
      <c r="H177" s="9" t="s">
        <v>31</v>
      </c>
      <c r="I177" s="9"/>
      <c r="J177" s="9"/>
      <c r="K177" s="9">
        <v>0.02</v>
      </c>
      <c r="L177" s="9">
        <v>0.02</v>
      </c>
      <c r="M177" s="9" t="s">
        <v>812</v>
      </c>
      <c r="N177" s="9" t="s">
        <v>33</v>
      </c>
      <c r="O177" s="9">
        <f t="shared" si="15"/>
        <v>0.6</v>
      </c>
      <c r="P177" s="9">
        <f t="shared" si="16"/>
        <v>0.7</v>
      </c>
      <c r="Q177" s="9">
        <f t="shared" si="17"/>
        <v>0.4</v>
      </c>
      <c r="R177" s="9">
        <f t="shared" si="18"/>
        <v>0.3</v>
      </c>
      <c r="S177" s="38">
        <v>2</v>
      </c>
      <c r="T177" s="252">
        <v>105991.94</v>
      </c>
      <c r="U177" s="194">
        <v>2119.8388</v>
      </c>
      <c r="V177" s="9"/>
      <c r="W177" s="9"/>
      <c r="X177" s="9" t="s">
        <v>824</v>
      </c>
      <c r="Y177" s="321">
        <v>70793</v>
      </c>
      <c r="Z177" s="19" t="s">
        <v>755</v>
      </c>
      <c r="AA177" s="15" t="s">
        <v>145</v>
      </c>
      <c r="AB177" s="16">
        <v>173</v>
      </c>
      <c r="AC177" s="113"/>
      <c r="AD177" s="109"/>
      <c r="AE177" s="109"/>
      <c r="AF177" s="110"/>
      <c r="AG177" s="169">
        <f t="shared" si="14"/>
        <v>6.0000000000000001E-3</v>
      </c>
      <c r="AH177" s="109"/>
      <c r="AI177" s="109"/>
      <c r="AJ177" s="110"/>
      <c r="AK177" s="113"/>
      <c r="AL177" s="299"/>
      <c r="AM177" s="299"/>
      <c r="AN177" s="21"/>
      <c r="AO177" s="20"/>
      <c r="AP177" s="8"/>
      <c r="AQ177" s="8"/>
      <c r="AR177" s="21"/>
      <c r="AS177" s="256" t="s">
        <v>757</v>
      </c>
    </row>
    <row r="178" spans="1:45" ht="30" hidden="1" x14ac:dyDescent="0.25">
      <c r="A178" s="9">
        <v>175</v>
      </c>
      <c r="B178" s="9" t="s">
        <v>28</v>
      </c>
      <c r="C178" s="9" t="s">
        <v>753</v>
      </c>
      <c r="D178" s="9" t="s">
        <v>754</v>
      </c>
      <c r="E178" s="9"/>
      <c r="F178" s="15" t="s">
        <v>797</v>
      </c>
      <c r="G178" s="9"/>
      <c r="H178" s="9" t="s">
        <v>31</v>
      </c>
      <c r="I178" s="9"/>
      <c r="J178" s="9"/>
      <c r="K178" s="9">
        <v>5.0000000000000001E-4</v>
      </c>
      <c r="L178" s="9">
        <v>4.0000000000000001E-3</v>
      </c>
      <c r="M178" s="9" t="s">
        <v>786</v>
      </c>
      <c r="N178" s="9" t="s">
        <v>33</v>
      </c>
      <c r="O178" s="9">
        <f t="shared" si="15"/>
        <v>0.12</v>
      </c>
      <c r="P178" s="9">
        <f t="shared" si="16"/>
        <v>0.13999999999999999</v>
      </c>
      <c r="Q178" s="9">
        <f t="shared" si="17"/>
        <v>8.0000000000000016E-2</v>
      </c>
      <c r="R178" s="9">
        <f t="shared" si="18"/>
        <v>0.06</v>
      </c>
      <c r="S178" s="38">
        <v>0.4</v>
      </c>
      <c r="T178" s="252">
        <v>105991.94</v>
      </c>
      <c r="U178" s="194">
        <v>423.96776</v>
      </c>
      <c r="V178" s="9"/>
      <c r="W178" s="9"/>
      <c r="X178" s="9" t="s">
        <v>798</v>
      </c>
      <c r="Y178" s="321">
        <v>70793</v>
      </c>
      <c r="Z178" s="19" t="s">
        <v>755</v>
      </c>
      <c r="AA178" s="15" t="s">
        <v>797</v>
      </c>
      <c r="AB178" s="16">
        <v>174</v>
      </c>
      <c r="AC178" s="113"/>
      <c r="AD178" s="109"/>
      <c r="AE178" s="109"/>
      <c r="AF178" s="110"/>
      <c r="AG178" s="169">
        <f t="shared" si="14"/>
        <v>1.1999999999999999E-3</v>
      </c>
      <c r="AH178" s="109"/>
      <c r="AI178" s="109"/>
      <c r="AJ178" s="110"/>
      <c r="AK178" s="113"/>
      <c r="AL178" s="299"/>
      <c r="AM178" s="299"/>
      <c r="AN178" s="21"/>
      <c r="AO178" s="20"/>
      <c r="AP178" s="8"/>
      <c r="AQ178" s="8"/>
      <c r="AR178" s="21"/>
      <c r="AS178" s="256" t="s">
        <v>757</v>
      </c>
    </row>
    <row r="179" spans="1:45" ht="30" hidden="1" x14ac:dyDescent="0.25">
      <c r="A179" s="9">
        <v>176</v>
      </c>
      <c r="B179" s="9" t="s">
        <v>28</v>
      </c>
      <c r="C179" s="9" t="s">
        <v>753</v>
      </c>
      <c r="D179" s="9" t="s">
        <v>754</v>
      </c>
      <c r="E179" s="9"/>
      <c r="F179" s="15" t="s">
        <v>797</v>
      </c>
      <c r="G179" s="9"/>
      <c r="H179" s="9" t="s">
        <v>31</v>
      </c>
      <c r="I179" s="9"/>
      <c r="J179" s="9"/>
      <c r="K179" s="9">
        <v>5.0000000000000001E-4</v>
      </c>
      <c r="L179" s="9">
        <v>1.5E-3</v>
      </c>
      <c r="M179" s="9" t="s">
        <v>789</v>
      </c>
      <c r="N179" s="9" t="s">
        <v>33</v>
      </c>
      <c r="O179" s="9">
        <f t="shared" si="15"/>
        <v>4.4999999999999998E-2</v>
      </c>
      <c r="P179" s="9">
        <f t="shared" si="16"/>
        <v>5.2499999999999998E-2</v>
      </c>
      <c r="Q179" s="9">
        <f t="shared" si="17"/>
        <v>0.03</v>
      </c>
      <c r="R179" s="9">
        <f t="shared" si="18"/>
        <v>2.2499999999999999E-2</v>
      </c>
      <c r="S179" s="38">
        <v>0.15</v>
      </c>
      <c r="T179" s="252">
        <v>105991.94</v>
      </c>
      <c r="U179" s="194">
        <v>158.98791</v>
      </c>
      <c r="V179" s="9"/>
      <c r="W179" s="9"/>
      <c r="X179" s="9" t="s">
        <v>798</v>
      </c>
      <c r="Y179" s="321">
        <v>70793</v>
      </c>
      <c r="Z179" s="19" t="s">
        <v>755</v>
      </c>
      <c r="AA179" s="15" t="s">
        <v>797</v>
      </c>
      <c r="AB179" s="16">
        <v>175</v>
      </c>
      <c r="AC179" s="113"/>
      <c r="AD179" s="109"/>
      <c r="AE179" s="109"/>
      <c r="AF179" s="110"/>
      <c r="AG179" s="169">
        <f t="shared" si="14"/>
        <v>4.4999999999999999E-4</v>
      </c>
      <c r="AH179" s="109"/>
      <c r="AI179" s="109"/>
      <c r="AJ179" s="110"/>
      <c r="AK179" s="113"/>
      <c r="AL179" s="299"/>
      <c r="AM179" s="299"/>
      <c r="AN179" s="21"/>
      <c r="AO179" s="20"/>
      <c r="AP179" s="8"/>
      <c r="AQ179" s="8"/>
      <c r="AR179" s="21"/>
      <c r="AS179" s="256" t="s">
        <v>757</v>
      </c>
    </row>
    <row r="180" spans="1:45" ht="30" hidden="1" x14ac:dyDescent="0.25">
      <c r="A180" s="9">
        <v>177</v>
      </c>
      <c r="B180" s="9" t="s">
        <v>28</v>
      </c>
      <c r="C180" s="9" t="s">
        <v>753</v>
      </c>
      <c r="D180" s="9" t="s">
        <v>754</v>
      </c>
      <c r="E180" s="9"/>
      <c r="F180" s="15" t="s">
        <v>797</v>
      </c>
      <c r="G180" s="9"/>
      <c r="H180" s="9" t="s">
        <v>31</v>
      </c>
      <c r="I180" s="9"/>
      <c r="J180" s="9"/>
      <c r="K180" s="9">
        <v>5.0000000000000001E-4</v>
      </c>
      <c r="L180" s="9">
        <v>2E-3</v>
      </c>
      <c r="M180" s="9" t="s">
        <v>792</v>
      </c>
      <c r="N180" s="9" t="s">
        <v>33</v>
      </c>
      <c r="O180" s="9">
        <f t="shared" si="15"/>
        <v>0.06</v>
      </c>
      <c r="P180" s="9">
        <f t="shared" si="16"/>
        <v>6.9999999999999993E-2</v>
      </c>
      <c r="Q180" s="9">
        <f t="shared" si="17"/>
        <v>4.0000000000000008E-2</v>
      </c>
      <c r="R180" s="9">
        <f t="shared" si="18"/>
        <v>0.03</v>
      </c>
      <c r="S180" s="38">
        <v>0.2</v>
      </c>
      <c r="T180" s="252">
        <v>105991.94</v>
      </c>
      <c r="U180" s="194">
        <v>211.98388</v>
      </c>
      <c r="V180" s="9"/>
      <c r="W180" s="9"/>
      <c r="X180" s="9" t="s">
        <v>798</v>
      </c>
      <c r="Y180" s="321">
        <v>70793</v>
      </c>
      <c r="Z180" s="19" t="s">
        <v>755</v>
      </c>
      <c r="AA180" s="15" t="s">
        <v>797</v>
      </c>
      <c r="AB180" s="16">
        <v>176</v>
      </c>
      <c r="AC180" s="113"/>
      <c r="AD180" s="109"/>
      <c r="AE180" s="109"/>
      <c r="AF180" s="110"/>
      <c r="AG180" s="169">
        <f t="shared" si="14"/>
        <v>5.9999999999999995E-4</v>
      </c>
      <c r="AH180" s="109"/>
      <c r="AI180" s="109"/>
      <c r="AJ180" s="110"/>
      <c r="AK180" s="113"/>
      <c r="AL180" s="299"/>
      <c r="AM180" s="299"/>
      <c r="AN180" s="21"/>
      <c r="AO180" s="20"/>
      <c r="AP180" s="8"/>
      <c r="AQ180" s="8"/>
      <c r="AR180" s="21"/>
      <c r="AS180" s="256" t="s">
        <v>757</v>
      </c>
    </row>
    <row r="181" spans="1:45" hidden="1" x14ac:dyDescent="0.25">
      <c r="A181" s="9">
        <v>178</v>
      </c>
      <c r="B181" s="9" t="s">
        <v>28</v>
      </c>
      <c r="C181" s="9" t="s">
        <v>753</v>
      </c>
      <c r="D181" s="9" t="s">
        <v>754</v>
      </c>
      <c r="E181" s="9"/>
      <c r="F181" s="15" t="s">
        <v>145</v>
      </c>
      <c r="G181" s="9"/>
      <c r="H181" s="9" t="s">
        <v>31</v>
      </c>
      <c r="I181" s="9"/>
      <c r="J181" s="9"/>
      <c r="K181" s="9">
        <v>0.02</v>
      </c>
      <c r="L181" s="9">
        <v>0.02</v>
      </c>
      <c r="M181" s="9" t="s">
        <v>812</v>
      </c>
      <c r="N181" s="9" t="s">
        <v>33</v>
      </c>
      <c r="O181" s="9">
        <f t="shared" si="15"/>
        <v>0.6</v>
      </c>
      <c r="P181" s="9">
        <f t="shared" si="16"/>
        <v>0.7</v>
      </c>
      <c r="Q181" s="9">
        <f t="shared" si="17"/>
        <v>0.4</v>
      </c>
      <c r="R181" s="9">
        <f t="shared" si="18"/>
        <v>0.3</v>
      </c>
      <c r="S181" s="38">
        <v>2</v>
      </c>
      <c r="T181" s="252">
        <v>105991.94</v>
      </c>
      <c r="U181" s="194">
        <v>2119.8388</v>
      </c>
      <c r="V181" s="9"/>
      <c r="W181" s="9"/>
      <c r="X181" s="9" t="s">
        <v>824</v>
      </c>
      <c r="Y181" s="321">
        <v>70793</v>
      </c>
      <c r="Z181" s="19" t="s">
        <v>755</v>
      </c>
      <c r="AA181" s="15" t="s">
        <v>145</v>
      </c>
      <c r="AB181" s="16">
        <v>177</v>
      </c>
      <c r="AC181" s="113"/>
      <c r="AD181" s="109"/>
      <c r="AE181" s="109"/>
      <c r="AF181" s="110"/>
      <c r="AG181" s="169">
        <f t="shared" si="14"/>
        <v>6.0000000000000001E-3</v>
      </c>
      <c r="AH181" s="109"/>
      <c r="AI181" s="109"/>
      <c r="AJ181" s="110"/>
      <c r="AK181" s="113"/>
      <c r="AL181" s="299"/>
      <c r="AM181" s="299"/>
      <c r="AN181" s="21"/>
      <c r="AO181" s="20"/>
      <c r="AP181" s="8"/>
      <c r="AQ181" s="8"/>
      <c r="AR181" s="21"/>
      <c r="AS181" s="256" t="s">
        <v>757</v>
      </c>
    </row>
    <row r="182" spans="1:45" hidden="1" x14ac:dyDescent="0.25">
      <c r="A182" s="9">
        <v>179</v>
      </c>
      <c r="B182" s="9" t="s">
        <v>28</v>
      </c>
      <c r="C182" s="9" t="s">
        <v>753</v>
      </c>
      <c r="D182" s="9" t="s">
        <v>754</v>
      </c>
      <c r="E182" s="9"/>
      <c r="F182" s="15" t="s">
        <v>145</v>
      </c>
      <c r="G182" s="9"/>
      <c r="H182" s="9" t="s">
        <v>31</v>
      </c>
      <c r="I182" s="9"/>
      <c r="J182" s="9"/>
      <c r="K182" s="9">
        <v>0.02</v>
      </c>
      <c r="L182" s="9">
        <v>0.02</v>
      </c>
      <c r="M182" s="9" t="s">
        <v>812</v>
      </c>
      <c r="N182" s="9" t="s">
        <v>33</v>
      </c>
      <c r="O182" s="9">
        <f t="shared" si="15"/>
        <v>0.6</v>
      </c>
      <c r="P182" s="9">
        <f t="shared" si="16"/>
        <v>0.7</v>
      </c>
      <c r="Q182" s="9">
        <f t="shared" si="17"/>
        <v>0.4</v>
      </c>
      <c r="R182" s="9">
        <f t="shared" si="18"/>
        <v>0.3</v>
      </c>
      <c r="S182" s="38">
        <v>2</v>
      </c>
      <c r="T182" s="252">
        <v>105991.94</v>
      </c>
      <c r="U182" s="194">
        <v>2119.8388</v>
      </c>
      <c r="V182" s="9"/>
      <c r="W182" s="9"/>
      <c r="X182" s="9" t="s">
        <v>824</v>
      </c>
      <c r="Y182" s="321">
        <v>70793</v>
      </c>
      <c r="Z182" s="19" t="s">
        <v>755</v>
      </c>
      <c r="AA182" s="15" t="s">
        <v>145</v>
      </c>
      <c r="AB182" s="16">
        <v>178</v>
      </c>
      <c r="AC182" s="113"/>
      <c r="AD182" s="109"/>
      <c r="AE182" s="109"/>
      <c r="AF182" s="110"/>
      <c r="AG182" s="169">
        <f t="shared" si="14"/>
        <v>6.0000000000000001E-3</v>
      </c>
      <c r="AH182" s="109"/>
      <c r="AI182" s="109"/>
      <c r="AJ182" s="110"/>
      <c r="AK182" s="113"/>
      <c r="AL182" s="299"/>
      <c r="AM182" s="299"/>
      <c r="AN182" s="21"/>
      <c r="AO182" s="20"/>
      <c r="AP182" s="8"/>
      <c r="AQ182" s="8"/>
      <c r="AR182" s="21"/>
      <c r="AS182" s="256" t="s">
        <v>757</v>
      </c>
    </row>
    <row r="183" spans="1:45" hidden="1" x14ac:dyDescent="0.25">
      <c r="A183" s="9">
        <v>180</v>
      </c>
      <c r="B183" s="9" t="s">
        <v>28</v>
      </c>
      <c r="C183" s="9" t="s">
        <v>753</v>
      </c>
      <c r="D183" s="9" t="s">
        <v>754</v>
      </c>
      <c r="E183" s="9"/>
      <c r="F183" s="15" t="s">
        <v>145</v>
      </c>
      <c r="G183" s="9"/>
      <c r="H183" s="9" t="s">
        <v>31</v>
      </c>
      <c r="I183" s="9"/>
      <c r="J183" s="9"/>
      <c r="K183" s="9">
        <v>0.02</v>
      </c>
      <c r="L183" s="9">
        <v>0.02</v>
      </c>
      <c r="M183" s="9" t="s">
        <v>812</v>
      </c>
      <c r="N183" s="9" t="s">
        <v>33</v>
      </c>
      <c r="O183" s="9">
        <f t="shared" si="15"/>
        <v>0.6</v>
      </c>
      <c r="P183" s="9">
        <f t="shared" si="16"/>
        <v>0.7</v>
      </c>
      <c r="Q183" s="9">
        <f t="shared" si="17"/>
        <v>0.4</v>
      </c>
      <c r="R183" s="9">
        <f t="shared" si="18"/>
        <v>0.3</v>
      </c>
      <c r="S183" s="38">
        <v>2</v>
      </c>
      <c r="T183" s="252">
        <v>105991.94</v>
      </c>
      <c r="U183" s="194">
        <v>2119.8388</v>
      </c>
      <c r="V183" s="9"/>
      <c r="W183" s="9"/>
      <c r="X183" s="9" t="s">
        <v>824</v>
      </c>
      <c r="Y183" s="321">
        <v>70793</v>
      </c>
      <c r="Z183" s="19" t="s">
        <v>755</v>
      </c>
      <c r="AA183" s="15" t="s">
        <v>145</v>
      </c>
      <c r="AB183" s="16">
        <v>179</v>
      </c>
      <c r="AC183" s="113"/>
      <c r="AD183" s="109"/>
      <c r="AE183" s="109"/>
      <c r="AF183" s="110"/>
      <c r="AG183" s="169">
        <f t="shared" si="14"/>
        <v>6.0000000000000001E-3</v>
      </c>
      <c r="AH183" s="109"/>
      <c r="AI183" s="109"/>
      <c r="AJ183" s="110"/>
      <c r="AK183" s="113"/>
      <c r="AL183" s="299"/>
      <c r="AM183" s="299"/>
      <c r="AN183" s="21"/>
      <c r="AO183" s="20"/>
      <c r="AP183" s="8"/>
      <c r="AQ183" s="8"/>
      <c r="AR183" s="21"/>
      <c r="AS183" s="256" t="s">
        <v>757</v>
      </c>
    </row>
    <row r="184" spans="1:45" hidden="1" x14ac:dyDescent="0.25">
      <c r="A184" s="9">
        <v>181</v>
      </c>
      <c r="B184" s="9" t="s">
        <v>28</v>
      </c>
      <c r="C184" s="9" t="s">
        <v>753</v>
      </c>
      <c r="D184" s="9" t="s">
        <v>754</v>
      </c>
      <c r="E184" s="9"/>
      <c r="F184" s="15" t="s">
        <v>145</v>
      </c>
      <c r="G184" s="9"/>
      <c r="H184" s="9" t="s">
        <v>31</v>
      </c>
      <c r="I184" s="9"/>
      <c r="J184" s="9"/>
      <c r="K184" s="9">
        <v>0.02</v>
      </c>
      <c r="L184" s="9">
        <v>0.02</v>
      </c>
      <c r="M184" s="9" t="s">
        <v>812</v>
      </c>
      <c r="N184" s="9" t="s">
        <v>33</v>
      </c>
      <c r="O184" s="9">
        <f t="shared" si="15"/>
        <v>0.6</v>
      </c>
      <c r="P184" s="9">
        <f t="shared" si="16"/>
        <v>0.7</v>
      </c>
      <c r="Q184" s="9">
        <f t="shared" si="17"/>
        <v>0.4</v>
      </c>
      <c r="R184" s="9">
        <f t="shared" si="18"/>
        <v>0.3</v>
      </c>
      <c r="S184" s="38">
        <v>2</v>
      </c>
      <c r="T184" s="252">
        <v>105991.94</v>
      </c>
      <c r="U184" s="194">
        <v>2119.8388</v>
      </c>
      <c r="V184" s="9"/>
      <c r="W184" s="9"/>
      <c r="X184" s="9" t="s">
        <v>824</v>
      </c>
      <c r="Y184" s="321">
        <v>70793</v>
      </c>
      <c r="Z184" s="19" t="s">
        <v>755</v>
      </c>
      <c r="AA184" s="15" t="s">
        <v>145</v>
      </c>
      <c r="AB184" s="16">
        <v>180</v>
      </c>
      <c r="AC184" s="113"/>
      <c r="AD184" s="109"/>
      <c r="AE184" s="109"/>
      <c r="AF184" s="110"/>
      <c r="AG184" s="169">
        <f t="shared" si="14"/>
        <v>6.0000000000000001E-3</v>
      </c>
      <c r="AH184" s="109"/>
      <c r="AI184" s="109"/>
      <c r="AJ184" s="110"/>
      <c r="AK184" s="113"/>
      <c r="AL184" s="299"/>
      <c r="AM184" s="299"/>
      <c r="AN184" s="21"/>
      <c r="AO184" s="20"/>
      <c r="AP184" s="8"/>
      <c r="AQ184" s="8"/>
      <c r="AR184" s="21"/>
      <c r="AS184" s="256" t="s">
        <v>757</v>
      </c>
    </row>
    <row r="185" spans="1:45" hidden="1" x14ac:dyDescent="0.25">
      <c r="A185" s="9">
        <v>182</v>
      </c>
      <c r="B185" s="9" t="s">
        <v>28</v>
      </c>
      <c r="C185" s="9" t="s">
        <v>753</v>
      </c>
      <c r="D185" s="9" t="s">
        <v>754</v>
      </c>
      <c r="E185" s="9"/>
      <c r="F185" s="15" t="s">
        <v>145</v>
      </c>
      <c r="G185" s="9"/>
      <c r="H185" s="9" t="s">
        <v>31</v>
      </c>
      <c r="I185" s="9"/>
      <c r="J185" s="9"/>
      <c r="K185" s="9">
        <v>0.02</v>
      </c>
      <c r="L185" s="9">
        <v>0.02</v>
      </c>
      <c r="M185" s="9" t="s">
        <v>812</v>
      </c>
      <c r="N185" s="9" t="s">
        <v>33</v>
      </c>
      <c r="O185" s="9">
        <f t="shared" si="15"/>
        <v>0.6</v>
      </c>
      <c r="P185" s="9">
        <f t="shared" si="16"/>
        <v>0.7</v>
      </c>
      <c r="Q185" s="9">
        <f t="shared" si="17"/>
        <v>0.4</v>
      </c>
      <c r="R185" s="9">
        <f t="shared" si="18"/>
        <v>0.3</v>
      </c>
      <c r="S185" s="38">
        <v>2</v>
      </c>
      <c r="T185" s="252">
        <v>105991.94</v>
      </c>
      <c r="U185" s="194">
        <v>2119.8388</v>
      </c>
      <c r="V185" s="9"/>
      <c r="W185" s="9"/>
      <c r="X185" s="9" t="s">
        <v>824</v>
      </c>
      <c r="Y185" s="321">
        <v>70793</v>
      </c>
      <c r="Z185" s="19" t="s">
        <v>755</v>
      </c>
      <c r="AA185" s="15" t="s">
        <v>145</v>
      </c>
      <c r="AB185" s="16">
        <v>181</v>
      </c>
      <c r="AC185" s="113"/>
      <c r="AD185" s="109"/>
      <c r="AE185" s="109"/>
      <c r="AF185" s="110"/>
      <c r="AG185" s="169">
        <f t="shared" si="14"/>
        <v>6.0000000000000001E-3</v>
      </c>
      <c r="AH185" s="109"/>
      <c r="AI185" s="109"/>
      <c r="AJ185" s="110"/>
      <c r="AK185" s="113"/>
      <c r="AL185" s="299"/>
      <c r="AM185" s="299"/>
      <c r="AN185" s="21"/>
      <c r="AO185" s="20"/>
      <c r="AP185" s="8"/>
      <c r="AQ185" s="8"/>
      <c r="AR185" s="21"/>
      <c r="AS185" s="256" t="s">
        <v>757</v>
      </c>
    </row>
    <row r="186" spans="1:45" hidden="1" x14ac:dyDescent="0.25">
      <c r="A186" s="9">
        <v>183</v>
      </c>
      <c r="B186" s="9" t="s">
        <v>28</v>
      </c>
      <c r="C186" s="9" t="s">
        <v>753</v>
      </c>
      <c r="D186" s="9" t="s">
        <v>754</v>
      </c>
      <c r="E186" s="9"/>
      <c r="F186" s="15" t="s">
        <v>145</v>
      </c>
      <c r="G186" s="9"/>
      <c r="H186" s="9" t="s">
        <v>31</v>
      </c>
      <c r="I186" s="9"/>
      <c r="J186" s="9"/>
      <c r="K186" s="9">
        <v>0.02</v>
      </c>
      <c r="L186" s="9">
        <v>0.02</v>
      </c>
      <c r="M186" s="9" t="s">
        <v>812</v>
      </c>
      <c r="N186" s="9" t="s">
        <v>33</v>
      </c>
      <c r="O186" s="9">
        <f t="shared" si="15"/>
        <v>0.6</v>
      </c>
      <c r="P186" s="9">
        <f t="shared" si="16"/>
        <v>0.7</v>
      </c>
      <c r="Q186" s="9">
        <f t="shared" si="17"/>
        <v>0.4</v>
      </c>
      <c r="R186" s="9">
        <f t="shared" si="18"/>
        <v>0.3</v>
      </c>
      <c r="S186" s="38">
        <v>2</v>
      </c>
      <c r="T186" s="252">
        <v>105991.94</v>
      </c>
      <c r="U186" s="194">
        <v>2119.8388</v>
      </c>
      <c r="V186" s="9"/>
      <c r="W186" s="9"/>
      <c r="X186" s="9" t="s">
        <v>824</v>
      </c>
      <c r="Y186" s="321">
        <v>70793</v>
      </c>
      <c r="Z186" s="19" t="s">
        <v>755</v>
      </c>
      <c r="AA186" s="15" t="s">
        <v>145</v>
      </c>
      <c r="AB186" s="16">
        <v>182</v>
      </c>
      <c r="AC186" s="113"/>
      <c r="AD186" s="109"/>
      <c r="AE186" s="109"/>
      <c r="AF186" s="110"/>
      <c r="AG186" s="169">
        <f t="shared" si="14"/>
        <v>6.0000000000000001E-3</v>
      </c>
      <c r="AH186" s="109"/>
      <c r="AI186" s="109"/>
      <c r="AJ186" s="110"/>
      <c r="AK186" s="113"/>
      <c r="AL186" s="299"/>
      <c r="AM186" s="299"/>
      <c r="AN186" s="21"/>
      <c r="AO186" s="20"/>
      <c r="AP186" s="8"/>
      <c r="AQ186" s="8"/>
      <c r="AR186" s="21"/>
      <c r="AS186" s="256" t="s">
        <v>757</v>
      </c>
    </row>
    <row r="187" spans="1:45" hidden="1" x14ac:dyDescent="0.25">
      <c r="A187" s="9">
        <v>184</v>
      </c>
      <c r="B187" s="9" t="s">
        <v>28</v>
      </c>
      <c r="C187" s="9" t="s">
        <v>753</v>
      </c>
      <c r="D187" s="9" t="s">
        <v>754</v>
      </c>
      <c r="E187" s="9"/>
      <c r="F187" s="15" t="s">
        <v>145</v>
      </c>
      <c r="G187" s="9"/>
      <c r="H187" s="9" t="s">
        <v>31</v>
      </c>
      <c r="I187" s="9"/>
      <c r="J187" s="9"/>
      <c r="K187" s="9">
        <v>0.02</v>
      </c>
      <c r="L187" s="9">
        <v>0.02</v>
      </c>
      <c r="M187" s="9" t="s">
        <v>812</v>
      </c>
      <c r="N187" s="9" t="s">
        <v>33</v>
      </c>
      <c r="O187" s="9">
        <f t="shared" si="15"/>
        <v>0.6</v>
      </c>
      <c r="P187" s="9">
        <f t="shared" si="16"/>
        <v>0.7</v>
      </c>
      <c r="Q187" s="9">
        <f t="shared" si="17"/>
        <v>0.4</v>
      </c>
      <c r="R187" s="9">
        <f t="shared" si="18"/>
        <v>0.3</v>
      </c>
      <c r="S187" s="38">
        <v>2</v>
      </c>
      <c r="T187" s="252">
        <v>105991.94</v>
      </c>
      <c r="U187" s="194">
        <v>2119.8388</v>
      </c>
      <c r="V187" s="9"/>
      <c r="W187" s="9"/>
      <c r="X187" s="9" t="s">
        <v>824</v>
      </c>
      <c r="Y187" s="321">
        <v>70793</v>
      </c>
      <c r="Z187" s="19" t="s">
        <v>755</v>
      </c>
      <c r="AA187" s="15" t="s">
        <v>145</v>
      </c>
      <c r="AB187" s="16">
        <v>183</v>
      </c>
      <c r="AC187" s="113"/>
      <c r="AD187" s="109"/>
      <c r="AE187" s="109"/>
      <c r="AF187" s="110"/>
      <c r="AG187" s="169">
        <f t="shared" si="14"/>
        <v>6.0000000000000001E-3</v>
      </c>
      <c r="AH187" s="109"/>
      <c r="AI187" s="109"/>
      <c r="AJ187" s="110"/>
      <c r="AK187" s="113"/>
      <c r="AL187" s="299"/>
      <c r="AM187" s="299"/>
      <c r="AN187" s="21"/>
      <c r="AO187" s="20"/>
      <c r="AP187" s="8"/>
      <c r="AQ187" s="8"/>
      <c r="AR187" s="21"/>
      <c r="AS187" s="256" t="s">
        <v>757</v>
      </c>
    </row>
    <row r="188" spans="1:45" hidden="1" x14ac:dyDescent="0.25">
      <c r="A188" s="9">
        <v>185</v>
      </c>
      <c r="B188" s="9" t="s">
        <v>28</v>
      </c>
      <c r="C188" s="9" t="s">
        <v>753</v>
      </c>
      <c r="D188" s="9" t="s">
        <v>754</v>
      </c>
      <c r="E188" s="9"/>
      <c r="F188" s="15" t="s">
        <v>145</v>
      </c>
      <c r="G188" s="9"/>
      <c r="H188" s="9" t="s">
        <v>31</v>
      </c>
      <c r="I188" s="9"/>
      <c r="J188" s="9"/>
      <c r="K188" s="9">
        <v>0.02</v>
      </c>
      <c r="L188" s="9">
        <v>0.02</v>
      </c>
      <c r="M188" s="9" t="s">
        <v>812</v>
      </c>
      <c r="N188" s="9" t="s">
        <v>33</v>
      </c>
      <c r="O188" s="9">
        <f t="shared" si="15"/>
        <v>0.6</v>
      </c>
      <c r="P188" s="9">
        <f t="shared" si="16"/>
        <v>0.7</v>
      </c>
      <c r="Q188" s="9">
        <f t="shared" si="17"/>
        <v>0.4</v>
      </c>
      <c r="R188" s="9">
        <f t="shared" si="18"/>
        <v>0.3</v>
      </c>
      <c r="S188" s="38">
        <v>2</v>
      </c>
      <c r="T188" s="252">
        <v>105991.94</v>
      </c>
      <c r="U188" s="194">
        <v>2119.8388</v>
      </c>
      <c r="V188" s="9"/>
      <c r="W188" s="9"/>
      <c r="X188" s="9" t="s">
        <v>824</v>
      </c>
      <c r="Y188" s="321">
        <v>70793</v>
      </c>
      <c r="Z188" s="19" t="s">
        <v>755</v>
      </c>
      <c r="AA188" s="15" t="s">
        <v>145</v>
      </c>
      <c r="AB188" s="16">
        <v>184</v>
      </c>
      <c r="AC188" s="113"/>
      <c r="AD188" s="109"/>
      <c r="AE188" s="109"/>
      <c r="AF188" s="110"/>
      <c r="AG188" s="169">
        <f t="shared" si="14"/>
        <v>6.0000000000000001E-3</v>
      </c>
      <c r="AH188" s="109"/>
      <c r="AI188" s="109"/>
      <c r="AJ188" s="110"/>
      <c r="AK188" s="113"/>
      <c r="AL188" s="299"/>
      <c r="AM188" s="299"/>
      <c r="AN188" s="21"/>
      <c r="AO188" s="20"/>
      <c r="AP188" s="8"/>
      <c r="AQ188" s="8"/>
      <c r="AR188" s="21"/>
      <c r="AS188" s="256" t="s">
        <v>757</v>
      </c>
    </row>
    <row r="189" spans="1:45" hidden="1" x14ac:dyDescent="0.25">
      <c r="A189" s="9">
        <v>186</v>
      </c>
      <c r="B189" s="9" t="s">
        <v>28</v>
      </c>
      <c r="C189" s="9" t="s">
        <v>753</v>
      </c>
      <c r="D189" s="9" t="s">
        <v>754</v>
      </c>
      <c r="E189" s="9"/>
      <c r="F189" s="15" t="s">
        <v>145</v>
      </c>
      <c r="G189" s="9"/>
      <c r="H189" s="9" t="s">
        <v>31</v>
      </c>
      <c r="I189" s="9"/>
      <c r="J189" s="9"/>
      <c r="K189" s="9">
        <v>0.02</v>
      </c>
      <c r="L189" s="9">
        <v>0.02</v>
      </c>
      <c r="M189" s="9" t="s">
        <v>812</v>
      </c>
      <c r="N189" s="9" t="s">
        <v>33</v>
      </c>
      <c r="O189" s="9">
        <f t="shared" si="15"/>
        <v>0.6</v>
      </c>
      <c r="P189" s="9">
        <f t="shared" si="16"/>
        <v>0.7</v>
      </c>
      <c r="Q189" s="9">
        <f t="shared" si="17"/>
        <v>0.4</v>
      </c>
      <c r="R189" s="9">
        <f t="shared" si="18"/>
        <v>0.3</v>
      </c>
      <c r="S189" s="38">
        <v>2</v>
      </c>
      <c r="T189" s="252">
        <v>105991.94</v>
      </c>
      <c r="U189" s="194">
        <v>2119.8388</v>
      </c>
      <c r="V189" s="9"/>
      <c r="W189" s="9"/>
      <c r="X189" s="9" t="s">
        <v>824</v>
      </c>
      <c r="Y189" s="321">
        <v>70793</v>
      </c>
      <c r="Z189" s="19" t="s">
        <v>755</v>
      </c>
      <c r="AA189" s="15" t="s">
        <v>145</v>
      </c>
      <c r="AB189" s="16">
        <v>185</v>
      </c>
      <c r="AC189" s="113"/>
      <c r="AD189" s="109"/>
      <c r="AE189" s="109"/>
      <c r="AF189" s="110"/>
      <c r="AG189" s="169">
        <f t="shared" si="14"/>
        <v>6.0000000000000001E-3</v>
      </c>
      <c r="AH189" s="109"/>
      <c r="AI189" s="109"/>
      <c r="AJ189" s="110"/>
      <c r="AK189" s="113"/>
      <c r="AL189" s="299"/>
      <c r="AM189" s="299"/>
      <c r="AN189" s="21"/>
      <c r="AO189" s="20"/>
      <c r="AP189" s="8"/>
      <c r="AQ189" s="8"/>
      <c r="AR189" s="21"/>
      <c r="AS189" s="256" t="s">
        <v>757</v>
      </c>
    </row>
    <row r="190" spans="1:45" hidden="1" x14ac:dyDescent="0.25">
      <c r="A190" s="9">
        <v>187</v>
      </c>
      <c r="B190" s="9" t="s">
        <v>28</v>
      </c>
      <c r="C190" s="9" t="s">
        <v>753</v>
      </c>
      <c r="D190" s="9" t="s">
        <v>754</v>
      </c>
      <c r="E190" s="9"/>
      <c r="F190" s="15" t="s">
        <v>145</v>
      </c>
      <c r="G190" s="9"/>
      <c r="H190" s="9" t="s">
        <v>31</v>
      </c>
      <c r="I190" s="9"/>
      <c r="J190" s="9"/>
      <c r="K190" s="9">
        <v>0.02</v>
      </c>
      <c r="L190" s="9">
        <v>0.02</v>
      </c>
      <c r="M190" s="9" t="s">
        <v>812</v>
      </c>
      <c r="N190" s="9" t="s">
        <v>33</v>
      </c>
      <c r="O190" s="9">
        <f t="shared" si="15"/>
        <v>0.6</v>
      </c>
      <c r="P190" s="9">
        <f t="shared" si="16"/>
        <v>0.7</v>
      </c>
      <c r="Q190" s="9">
        <f t="shared" si="17"/>
        <v>0.4</v>
      </c>
      <c r="R190" s="9">
        <f t="shared" si="18"/>
        <v>0.3</v>
      </c>
      <c r="S190" s="38">
        <v>2</v>
      </c>
      <c r="T190" s="252">
        <v>105991.94</v>
      </c>
      <c r="U190" s="194">
        <v>2119.8388</v>
      </c>
      <c r="V190" s="9"/>
      <c r="W190" s="9"/>
      <c r="X190" s="9" t="s">
        <v>824</v>
      </c>
      <c r="Y190" s="321">
        <v>70793</v>
      </c>
      <c r="Z190" s="19" t="s">
        <v>755</v>
      </c>
      <c r="AA190" s="15" t="s">
        <v>145</v>
      </c>
      <c r="AB190" s="16">
        <v>186</v>
      </c>
      <c r="AC190" s="113"/>
      <c r="AD190" s="109"/>
      <c r="AE190" s="109"/>
      <c r="AF190" s="110"/>
      <c r="AG190" s="169">
        <f t="shared" si="14"/>
        <v>6.0000000000000001E-3</v>
      </c>
      <c r="AH190" s="109"/>
      <c r="AI190" s="109"/>
      <c r="AJ190" s="110"/>
      <c r="AK190" s="113"/>
      <c r="AL190" s="299"/>
      <c r="AM190" s="299"/>
      <c r="AN190" s="21"/>
      <c r="AO190" s="20"/>
      <c r="AP190" s="8"/>
      <c r="AQ190" s="8"/>
      <c r="AR190" s="21"/>
      <c r="AS190" s="256" t="s">
        <v>757</v>
      </c>
    </row>
    <row r="191" spans="1:45" hidden="1" x14ac:dyDescent="0.25">
      <c r="A191" s="9">
        <v>188</v>
      </c>
      <c r="B191" s="9" t="s">
        <v>28</v>
      </c>
      <c r="C191" s="9" t="s">
        <v>753</v>
      </c>
      <c r="D191" s="9" t="s">
        <v>754</v>
      </c>
      <c r="E191" s="9"/>
      <c r="F191" s="15" t="s">
        <v>145</v>
      </c>
      <c r="G191" s="9"/>
      <c r="H191" s="9" t="s">
        <v>31</v>
      </c>
      <c r="I191" s="9"/>
      <c r="J191" s="9"/>
      <c r="K191" s="9">
        <v>0.02</v>
      </c>
      <c r="L191" s="9">
        <v>0.02</v>
      </c>
      <c r="M191" s="9" t="s">
        <v>812</v>
      </c>
      <c r="N191" s="9" t="s">
        <v>33</v>
      </c>
      <c r="O191" s="9">
        <f t="shared" si="15"/>
        <v>0.6</v>
      </c>
      <c r="P191" s="9">
        <f t="shared" si="16"/>
        <v>0.7</v>
      </c>
      <c r="Q191" s="9">
        <f t="shared" si="17"/>
        <v>0.4</v>
      </c>
      <c r="R191" s="9">
        <f t="shared" si="18"/>
        <v>0.3</v>
      </c>
      <c r="S191" s="38">
        <v>2</v>
      </c>
      <c r="T191" s="252">
        <v>105991.94</v>
      </c>
      <c r="U191" s="194">
        <v>2119.8388</v>
      </c>
      <c r="V191" s="9"/>
      <c r="W191" s="9"/>
      <c r="X191" s="9" t="s">
        <v>824</v>
      </c>
      <c r="Y191" s="321">
        <v>70793</v>
      </c>
      <c r="Z191" s="19" t="s">
        <v>755</v>
      </c>
      <c r="AA191" s="15" t="s">
        <v>145</v>
      </c>
      <c r="AB191" s="16">
        <v>187</v>
      </c>
      <c r="AC191" s="113"/>
      <c r="AD191" s="109"/>
      <c r="AE191" s="109"/>
      <c r="AF191" s="110"/>
      <c r="AG191" s="169">
        <f t="shared" si="14"/>
        <v>6.0000000000000001E-3</v>
      </c>
      <c r="AH191" s="109"/>
      <c r="AI191" s="109"/>
      <c r="AJ191" s="110"/>
      <c r="AK191" s="113"/>
      <c r="AL191" s="299"/>
      <c r="AM191" s="299"/>
      <c r="AN191" s="21"/>
      <c r="AO191" s="20"/>
      <c r="AP191" s="8"/>
      <c r="AQ191" s="8"/>
      <c r="AR191" s="21"/>
      <c r="AS191" s="256" t="s">
        <v>757</v>
      </c>
    </row>
    <row r="192" spans="1:45" hidden="1" x14ac:dyDescent="0.25">
      <c r="A192" s="9">
        <v>189</v>
      </c>
      <c r="B192" s="9" t="s">
        <v>28</v>
      </c>
      <c r="C192" s="9" t="s">
        <v>753</v>
      </c>
      <c r="D192" s="9" t="s">
        <v>754</v>
      </c>
      <c r="E192" s="9"/>
      <c r="F192" s="15" t="s">
        <v>145</v>
      </c>
      <c r="G192" s="9"/>
      <c r="H192" s="9" t="s">
        <v>31</v>
      </c>
      <c r="I192" s="9"/>
      <c r="J192" s="9"/>
      <c r="K192" s="9">
        <v>0.02</v>
      </c>
      <c r="L192" s="9">
        <v>0.02</v>
      </c>
      <c r="M192" s="9" t="s">
        <v>812</v>
      </c>
      <c r="N192" s="9" t="s">
        <v>33</v>
      </c>
      <c r="O192" s="9">
        <f t="shared" si="15"/>
        <v>0.6</v>
      </c>
      <c r="P192" s="9">
        <f t="shared" si="16"/>
        <v>0.7</v>
      </c>
      <c r="Q192" s="9">
        <f t="shared" si="17"/>
        <v>0.4</v>
      </c>
      <c r="R192" s="9">
        <f t="shared" si="18"/>
        <v>0.3</v>
      </c>
      <c r="S192" s="38">
        <v>2</v>
      </c>
      <c r="T192" s="252">
        <v>105991.94</v>
      </c>
      <c r="U192" s="194">
        <v>2119.8388</v>
      </c>
      <c r="V192" s="9"/>
      <c r="W192" s="9"/>
      <c r="X192" s="9" t="s">
        <v>824</v>
      </c>
      <c r="Y192" s="321">
        <v>70793</v>
      </c>
      <c r="Z192" s="19" t="s">
        <v>755</v>
      </c>
      <c r="AA192" s="15" t="s">
        <v>145</v>
      </c>
      <c r="AB192" s="16">
        <v>188</v>
      </c>
      <c r="AC192" s="113"/>
      <c r="AD192" s="109"/>
      <c r="AE192" s="109"/>
      <c r="AF192" s="110"/>
      <c r="AG192" s="169">
        <f t="shared" si="14"/>
        <v>6.0000000000000001E-3</v>
      </c>
      <c r="AH192" s="109"/>
      <c r="AI192" s="109"/>
      <c r="AJ192" s="110"/>
      <c r="AK192" s="113"/>
      <c r="AL192" s="299"/>
      <c r="AM192" s="299"/>
      <c r="AN192" s="21"/>
      <c r="AO192" s="20"/>
      <c r="AP192" s="8"/>
      <c r="AQ192" s="8"/>
      <c r="AR192" s="21"/>
      <c r="AS192" s="256" t="s">
        <v>757</v>
      </c>
    </row>
    <row r="193" spans="1:45" hidden="1" x14ac:dyDescent="0.25">
      <c r="A193" s="9">
        <v>190</v>
      </c>
      <c r="B193" s="9" t="s">
        <v>28</v>
      </c>
      <c r="C193" s="9" t="s">
        <v>753</v>
      </c>
      <c r="D193" s="9" t="s">
        <v>754</v>
      </c>
      <c r="E193" s="9"/>
      <c r="F193" s="15" t="s">
        <v>145</v>
      </c>
      <c r="G193" s="9"/>
      <c r="H193" s="9" t="s">
        <v>31</v>
      </c>
      <c r="I193" s="9"/>
      <c r="J193" s="9"/>
      <c r="K193" s="9">
        <v>0.02</v>
      </c>
      <c r="L193" s="9">
        <v>0.02</v>
      </c>
      <c r="M193" s="9" t="s">
        <v>812</v>
      </c>
      <c r="N193" s="9" t="s">
        <v>33</v>
      </c>
      <c r="O193" s="9">
        <f t="shared" si="15"/>
        <v>0.6</v>
      </c>
      <c r="P193" s="9">
        <f t="shared" si="16"/>
        <v>0.7</v>
      </c>
      <c r="Q193" s="9">
        <f t="shared" si="17"/>
        <v>0.4</v>
      </c>
      <c r="R193" s="9">
        <f t="shared" si="18"/>
        <v>0.3</v>
      </c>
      <c r="S193" s="38">
        <v>2</v>
      </c>
      <c r="T193" s="252">
        <v>105991.94</v>
      </c>
      <c r="U193" s="194">
        <v>2119.8388</v>
      </c>
      <c r="V193" s="9"/>
      <c r="W193" s="9"/>
      <c r="X193" s="9" t="s">
        <v>824</v>
      </c>
      <c r="Y193" s="321">
        <v>70793</v>
      </c>
      <c r="Z193" s="19" t="s">
        <v>755</v>
      </c>
      <c r="AA193" s="15" t="s">
        <v>145</v>
      </c>
      <c r="AB193" s="16">
        <v>189</v>
      </c>
      <c r="AC193" s="113"/>
      <c r="AD193" s="109"/>
      <c r="AE193" s="109"/>
      <c r="AF193" s="110"/>
      <c r="AG193" s="169">
        <f t="shared" si="14"/>
        <v>6.0000000000000001E-3</v>
      </c>
      <c r="AH193" s="109"/>
      <c r="AI193" s="109"/>
      <c r="AJ193" s="110"/>
      <c r="AK193" s="113"/>
      <c r="AL193" s="299"/>
      <c r="AM193" s="299"/>
      <c r="AN193" s="21"/>
      <c r="AO193" s="20"/>
      <c r="AP193" s="8"/>
      <c r="AQ193" s="8"/>
      <c r="AR193" s="21"/>
      <c r="AS193" s="256" t="s">
        <v>757</v>
      </c>
    </row>
    <row r="194" spans="1:45" hidden="1" x14ac:dyDescent="0.25">
      <c r="A194" s="9">
        <v>191</v>
      </c>
      <c r="B194" s="9" t="s">
        <v>28</v>
      </c>
      <c r="C194" s="9" t="s">
        <v>753</v>
      </c>
      <c r="D194" s="9" t="s">
        <v>754</v>
      </c>
      <c r="E194" s="9"/>
      <c r="F194" s="15" t="s">
        <v>145</v>
      </c>
      <c r="G194" s="9"/>
      <c r="H194" s="9" t="s">
        <v>31</v>
      </c>
      <c r="I194" s="9"/>
      <c r="J194" s="9"/>
      <c r="K194" s="9">
        <v>0.02</v>
      </c>
      <c r="L194" s="9">
        <v>0.02</v>
      </c>
      <c r="M194" s="9" t="s">
        <v>812</v>
      </c>
      <c r="N194" s="9" t="s">
        <v>33</v>
      </c>
      <c r="O194" s="9">
        <f t="shared" si="15"/>
        <v>0.6</v>
      </c>
      <c r="P194" s="9">
        <f t="shared" si="16"/>
        <v>0.7</v>
      </c>
      <c r="Q194" s="9">
        <f t="shared" si="17"/>
        <v>0.4</v>
      </c>
      <c r="R194" s="9">
        <f t="shared" si="18"/>
        <v>0.3</v>
      </c>
      <c r="S194" s="38">
        <v>2</v>
      </c>
      <c r="T194" s="252">
        <v>105991.94</v>
      </c>
      <c r="U194" s="194">
        <v>2119.8388</v>
      </c>
      <c r="V194" s="9"/>
      <c r="W194" s="9"/>
      <c r="X194" s="9" t="s">
        <v>824</v>
      </c>
      <c r="Y194" s="321">
        <v>70793</v>
      </c>
      <c r="Z194" s="19" t="s">
        <v>755</v>
      </c>
      <c r="AA194" s="15" t="s">
        <v>145</v>
      </c>
      <c r="AB194" s="16">
        <v>190</v>
      </c>
      <c r="AC194" s="113"/>
      <c r="AD194" s="109"/>
      <c r="AE194" s="109"/>
      <c r="AF194" s="110"/>
      <c r="AG194" s="169">
        <f t="shared" si="14"/>
        <v>6.0000000000000001E-3</v>
      </c>
      <c r="AH194" s="109"/>
      <c r="AI194" s="109"/>
      <c r="AJ194" s="110"/>
      <c r="AK194" s="113"/>
      <c r="AL194" s="299"/>
      <c r="AM194" s="299"/>
      <c r="AN194" s="21"/>
      <c r="AO194" s="20"/>
      <c r="AP194" s="8"/>
      <c r="AQ194" s="8"/>
      <c r="AR194" s="21"/>
      <c r="AS194" s="256" t="s">
        <v>757</v>
      </c>
    </row>
    <row r="195" spans="1:45" hidden="1" x14ac:dyDescent="0.25">
      <c r="A195" s="9">
        <v>192</v>
      </c>
      <c r="B195" s="9" t="s">
        <v>28</v>
      </c>
      <c r="C195" s="9" t="s">
        <v>753</v>
      </c>
      <c r="D195" s="9" t="s">
        <v>754</v>
      </c>
      <c r="E195" s="9"/>
      <c r="F195" s="15" t="s">
        <v>145</v>
      </c>
      <c r="G195" s="9"/>
      <c r="H195" s="9" t="s">
        <v>31</v>
      </c>
      <c r="I195" s="9"/>
      <c r="J195" s="9"/>
      <c r="K195" s="9">
        <v>0.02</v>
      </c>
      <c r="L195" s="9">
        <v>0.02</v>
      </c>
      <c r="M195" s="9" t="s">
        <v>812</v>
      </c>
      <c r="N195" s="9" t="s">
        <v>33</v>
      </c>
      <c r="O195" s="9">
        <f t="shared" si="15"/>
        <v>0.6</v>
      </c>
      <c r="P195" s="9">
        <f t="shared" si="16"/>
        <v>0.7</v>
      </c>
      <c r="Q195" s="9">
        <f t="shared" si="17"/>
        <v>0.4</v>
      </c>
      <c r="R195" s="9">
        <f t="shared" si="18"/>
        <v>0.3</v>
      </c>
      <c r="S195" s="38">
        <v>2</v>
      </c>
      <c r="T195" s="252">
        <v>105991.94</v>
      </c>
      <c r="U195" s="194">
        <v>2119.8388</v>
      </c>
      <c r="V195" s="9"/>
      <c r="W195" s="9"/>
      <c r="X195" s="9" t="s">
        <v>824</v>
      </c>
      <c r="Y195" s="321">
        <v>70793</v>
      </c>
      <c r="Z195" s="19" t="s">
        <v>755</v>
      </c>
      <c r="AA195" s="15" t="s">
        <v>145</v>
      </c>
      <c r="AB195" s="16">
        <v>191</v>
      </c>
      <c r="AC195" s="113"/>
      <c r="AD195" s="109"/>
      <c r="AE195" s="109"/>
      <c r="AF195" s="110"/>
      <c r="AG195" s="169">
        <f t="shared" si="14"/>
        <v>6.0000000000000001E-3</v>
      </c>
      <c r="AH195" s="109"/>
      <c r="AI195" s="109"/>
      <c r="AJ195" s="110"/>
      <c r="AK195" s="113"/>
      <c r="AL195" s="299"/>
      <c r="AM195" s="299"/>
      <c r="AN195" s="21"/>
      <c r="AO195" s="20"/>
      <c r="AP195" s="8"/>
      <c r="AQ195" s="8"/>
      <c r="AR195" s="21"/>
      <c r="AS195" s="256" t="s">
        <v>757</v>
      </c>
    </row>
    <row r="196" spans="1:45" hidden="1" x14ac:dyDescent="0.25">
      <c r="A196" s="9">
        <v>193</v>
      </c>
      <c r="B196" s="9" t="s">
        <v>28</v>
      </c>
      <c r="C196" s="9" t="s">
        <v>753</v>
      </c>
      <c r="D196" s="9" t="s">
        <v>754</v>
      </c>
      <c r="E196" s="9"/>
      <c r="F196" s="15" t="s">
        <v>145</v>
      </c>
      <c r="G196" s="9"/>
      <c r="H196" s="9" t="s">
        <v>31</v>
      </c>
      <c r="I196" s="9"/>
      <c r="J196" s="9"/>
      <c r="K196" s="9">
        <v>0.02</v>
      </c>
      <c r="L196" s="9">
        <v>0.02</v>
      </c>
      <c r="M196" s="9" t="s">
        <v>812</v>
      </c>
      <c r="N196" s="9" t="s">
        <v>33</v>
      </c>
      <c r="O196" s="9">
        <f t="shared" si="15"/>
        <v>0.6</v>
      </c>
      <c r="P196" s="9">
        <f t="shared" si="16"/>
        <v>0.7</v>
      </c>
      <c r="Q196" s="9">
        <f t="shared" si="17"/>
        <v>0.4</v>
      </c>
      <c r="R196" s="9">
        <f t="shared" si="18"/>
        <v>0.3</v>
      </c>
      <c r="S196" s="38">
        <v>2</v>
      </c>
      <c r="T196" s="252">
        <v>105991.94</v>
      </c>
      <c r="U196" s="194">
        <v>2119.8388</v>
      </c>
      <c r="V196" s="9"/>
      <c r="W196" s="9"/>
      <c r="X196" s="9" t="s">
        <v>824</v>
      </c>
      <c r="Y196" s="321">
        <v>70793</v>
      </c>
      <c r="Z196" s="19" t="s">
        <v>755</v>
      </c>
      <c r="AA196" s="15" t="s">
        <v>145</v>
      </c>
      <c r="AB196" s="16">
        <v>192</v>
      </c>
      <c r="AC196" s="141"/>
      <c r="AD196" s="163"/>
      <c r="AE196" s="163"/>
      <c r="AF196" s="164"/>
      <c r="AG196" s="169">
        <f t="shared" si="14"/>
        <v>6.0000000000000001E-3</v>
      </c>
      <c r="AH196" s="163"/>
      <c r="AI196" s="163"/>
      <c r="AJ196" s="164"/>
      <c r="AK196" s="141"/>
      <c r="AL196" s="265"/>
      <c r="AM196" s="265"/>
      <c r="AN196" s="127"/>
      <c r="AO196" s="126"/>
      <c r="AP196" s="72"/>
      <c r="AQ196" s="72"/>
      <c r="AR196" s="127"/>
      <c r="AS196" s="256" t="s">
        <v>757</v>
      </c>
    </row>
    <row r="197" spans="1:45" hidden="1" x14ac:dyDescent="0.25">
      <c r="A197" s="9">
        <v>194</v>
      </c>
      <c r="B197" s="9" t="s">
        <v>28</v>
      </c>
      <c r="C197" s="9" t="s">
        <v>753</v>
      </c>
      <c r="D197" s="9" t="s">
        <v>754</v>
      </c>
      <c r="E197" s="9"/>
      <c r="F197" s="15" t="s">
        <v>145</v>
      </c>
      <c r="G197" s="9"/>
      <c r="H197" s="9" t="s">
        <v>31</v>
      </c>
      <c r="I197" s="9"/>
      <c r="J197" s="9"/>
      <c r="K197" s="9">
        <v>0.02</v>
      </c>
      <c r="L197" s="9">
        <v>0.02</v>
      </c>
      <c r="M197" s="9" t="s">
        <v>812</v>
      </c>
      <c r="N197" s="9" t="s">
        <v>33</v>
      </c>
      <c r="O197" s="9">
        <f t="shared" si="15"/>
        <v>0.6</v>
      </c>
      <c r="P197" s="9">
        <f t="shared" si="16"/>
        <v>0.7</v>
      </c>
      <c r="Q197" s="9">
        <f t="shared" si="17"/>
        <v>0.4</v>
      </c>
      <c r="R197" s="9">
        <f t="shared" si="18"/>
        <v>0.3</v>
      </c>
      <c r="S197" s="38">
        <v>2</v>
      </c>
      <c r="T197" s="252">
        <v>105991.94</v>
      </c>
      <c r="U197" s="194">
        <v>2119.8388</v>
      </c>
      <c r="V197" s="9"/>
      <c r="W197" s="9"/>
      <c r="X197" s="9" t="s">
        <v>824</v>
      </c>
      <c r="Y197" s="321">
        <v>70793</v>
      </c>
      <c r="Z197" s="19" t="s">
        <v>755</v>
      </c>
      <c r="AA197" s="15" t="s">
        <v>145</v>
      </c>
      <c r="AB197" s="16">
        <v>193</v>
      </c>
      <c r="AC197" s="141"/>
      <c r="AD197" s="163"/>
      <c r="AE197" s="163"/>
      <c r="AF197" s="164"/>
      <c r="AG197" s="169">
        <f t="shared" ref="AG197:AG205" si="19">L197*0.3</f>
        <v>6.0000000000000001E-3</v>
      </c>
      <c r="AH197" s="163"/>
      <c r="AI197" s="163"/>
      <c r="AJ197" s="164"/>
      <c r="AK197" s="141"/>
      <c r="AL197" s="265"/>
      <c r="AM197" s="265"/>
      <c r="AN197" s="127"/>
      <c r="AO197" s="126"/>
      <c r="AP197" s="72"/>
      <c r="AQ197" s="72"/>
      <c r="AR197" s="127"/>
      <c r="AS197" s="256" t="s">
        <v>757</v>
      </c>
    </row>
    <row r="198" spans="1:45" hidden="1" x14ac:dyDescent="0.25">
      <c r="A198" s="9">
        <v>195</v>
      </c>
      <c r="B198" s="9" t="s">
        <v>28</v>
      </c>
      <c r="C198" s="9" t="s">
        <v>753</v>
      </c>
      <c r="D198" s="9" t="s">
        <v>754</v>
      </c>
      <c r="E198" s="9"/>
      <c r="F198" s="15" t="s">
        <v>145</v>
      </c>
      <c r="G198" s="9"/>
      <c r="H198" s="9" t="s">
        <v>31</v>
      </c>
      <c r="I198" s="9"/>
      <c r="J198" s="9"/>
      <c r="K198" s="9">
        <v>0.02</v>
      </c>
      <c r="L198" s="9">
        <v>0.02</v>
      </c>
      <c r="M198" s="9" t="s">
        <v>812</v>
      </c>
      <c r="N198" s="9" t="s">
        <v>33</v>
      </c>
      <c r="O198" s="9">
        <f t="shared" ref="O198:O261" si="20">S198*0.3</f>
        <v>0.6</v>
      </c>
      <c r="P198" s="9">
        <f t="shared" ref="P198:P261" si="21">S198*0.35</f>
        <v>0.7</v>
      </c>
      <c r="Q198" s="9">
        <f t="shared" ref="Q198:Q261" si="22">S198*0.2</f>
        <v>0.4</v>
      </c>
      <c r="R198" s="9">
        <f t="shared" ref="R198:R261" si="23">S198*0.15</f>
        <v>0.3</v>
      </c>
      <c r="S198" s="38">
        <v>2</v>
      </c>
      <c r="T198" s="252">
        <v>105991.94</v>
      </c>
      <c r="U198" s="194">
        <v>2119.8388</v>
      </c>
      <c r="V198" s="9"/>
      <c r="W198" s="9"/>
      <c r="X198" s="9" t="s">
        <v>824</v>
      </c>
      <c r="Y198" s="321">
        <v>70793</v>
      </c>
      <c r="Z198" s="19" t="s">
        <v>755</v>
      </c>
      <c r="AA198" s="15" t="s">
        <v>145</v>
      </c>
      <c r="AB198" s="16">
        <v>194</v>
      </c>
      <c r="AC198" s="141"/>
      <c r="AD198" s="163"/>
      <c r="AE198" s="163"/>
      <c r="AF198" s="164"/>
      <c r="AG198" s="169">
        <f t="shared" si="19"/>
        <v>6.0000000000000001E-3</v>
      </c>
      <c r="AH198" s="163"/>
      <c r="AI198" s="163"/>
      <c r="AJ198" s="164"/>
      <c r="AK198" s="141"/>
      <c r="AL198" s="265"/>
      <c r="AM198" s="265"/>
      <c r="AN198" s="127"/>
      <c r="AO198" s="126"/>
      <c r="AP198" s="72"/>
      <c r="AQ198" s="72"/>
      <c r="AR198" s="127"/>
      <c r="AS198" s="256" t="s">
        <v>757</v>
      </c>
    </row>
    <row r="199" spans="1:45" hidden="1" x14ac:dyDescent="0.25">
      <c r="A199" s="9">
        <v>196</v>
      </c>
      <c r="B199" s="9" t="s">
        <v>28</v>
      </c>
      <c r="C199" s="9" t="s">
        <v>753</v>
      </c>
      <c r="D199" s="9" t="s">
        <v>754</v>
      </c>
      <c r="E199" s="9"/>
      <c r="F199" s="15" t="s">
        <v>145</v>
      </c>
      <c r="G199" s="9"/>
      <c r="H199" s="9" t="s">
        <v>31</v>
      </c>
      <c r="I199" s="9"/>
      <c r="J199" s="9"/>
      <c r="K199" s="9">
        <v>0.02</v>
      </c>
      <c r="L199" s="9">
        <v>0.02</v>
      </c>
      <c r="M199" s="9" t="s">
        <v>812</v>
      </c>
      <c r="N199" s="9" t="s">
        <v>33</v>
      </c>
      <c r="O199" s="9">
        <f t="shared" si="20"/>
        <v>0.6</v>
      </c>
      <c r="P199" s="9">
        <f t="shared" si="21"/>
        <v>0.7</v>
      </c>
      <c r="Q199" s="9">
        <f t="shared" si="22"/>
        <v>0.4</v>
      </c>
      <c r="R199" s="9">
        <f t="shared" si="23"/>
        <v>0.3</v>
      </c>
      <c r="S199" s="38">
        <v>2</v>
      </c>
      <c r="T199" s="252">
        <v>105991.94</v>
      </c>
      <c r="U199" s="194">
        <v>2119.8388</v>
      </c>
      <c r="V199" s="9"/>
      <c r="W199" s="9"/>
      <c r="X199" s="9" t="s">
        <v>824</v>
      </c>
      <c r="Y199" s="321">
        <v>70793</v>
      </c>
      <c r="Z199" s="19" t="s">
        <v>755</v>
      </c>
      <c r="AA199" s="15" t="s">
        <v>145</v>
      </c>
      <c r="AB199" s="16">
        <v>195</v>
      </c>
      <c r="AC199" s="141"/>
      <c r="AD199" s="163"/>
      <c r="AE199" s="163"/>
      <c r="AF199" s="164"/>
      <c r="AG199" s="169">
        <f t="shared" si="19"/>
        <v>6.0000000000000001E-3</v>
      </c>
      <c r="AH199" s="163"/>
      <c r="AI199" s="163"/>
      <c r="AJ199" s="164"/>
      <c r="AK199" s="141"/>
      <c r="AL199" s="265"/>
      <c r="AM199" s="265"/>
      <c r="AN199" s="127"/>
      <c r="AO199" s="126"/>
      <c r="AP199" s="72"/>
      <c r="AQ199" s="72"/>
      <c r="AR199" s="127"/>
      <c r="AS199" s="256" t="s">
        <v>757</v>
      </c>
    </row>
    <row r="200" spans="1:45" hidden="1" x14ac:dyDescent="0.25">
      <c r="A200" s="9">
        <v>197</v>
      </c>
      <c r="B200" s="9" t="s">
        <v>28</v>
      </c>
      <c r="C200" s="9" t="s">
        <v>753</v>
      </c>
      <c r="D200" s="9" t="s">
        <v>754</v>
      </c>
      <c r="E200" s="9"/>
      <c r="F200" s="15" t="s">
        <v>145</v>
      </c>
      <c r="G200" s="9"/>
      <c r="H200" s="9" t="s">
        <v>31</v>
      </c>
      <c r="I200" s="9"/>
      <c r="J200" s="9"/>
      <c r="K200" s="9">
        <v>0.02</v>
      </c>
      <c r="L200" s="9">
        <v>0.02</v>
      </c>
      <c r="M200" s="9" t="s">
        <v>812</v>
      </c>
      <c r="N200" s="9" t="s">
        <v>33</v>
      </c>
      <c r="O200" s="9">
        <f t="shared" si="20"/>
        <v>0.6</v>
      </c>
      <c r="P200" s="9">
        <f t="shared" si="21"/>
        <v>0.7</v>
      </c>
      <c r="Q200" s="9">
        <f t="shared" si="22"/>
        <v>0.4</v>
      </c>
      <c r="R200" s="9">
        <f t="shared" si="23"/>
        <v>0.3</v>
      </c>
      <c r="S200" s="38">
        <v>2</v>
      </c>
      <c r="T200" s="252">
        <v>105991.94</v>
      </c>
      <c r="U200" s="194">
        <v>2119.8388</v>
      </c>
      <c r="V200" s="9"/>
      <c r="W200" s="9"/>
      <c r="X200" s="9" t="s">
        <v>824</v>
      </c>
      <c r="Y200" s="321">
        <v>70793</v>
      </c>
      <c r="Z200" s="19" t="s">
        <v>755</v>
      </c>
      <c r="AA200" s="15" t="s">
        <v>145</v>
      </c>
      <c r="AB200" s="16">
        <v>196</v>
      </c>
      <c r="AC200" s="141"/>
      <c r="AD200" s="163"/>
      <c r="AE200" s="163"/>
      <c r="AF200" s="164"/>
      <c r="AG200" s="169">
        <f t="shared" si="19"/>
        <v>6.0000000000000001E-3</v>
      </c>
      <c r="AH200" s="163"/>
      <c r="AI200" s="163"/>
      <c r="AJ200" s="164"/>
      <c r="AK200" s="141"/>
      <c r="AL200" s="265"/>
      <c r="AM200" s="265"/>
      <c r="AN200" s="127"/>
      <c r="AO200" s="126"/>
      <c r="AP200" s="72"/>
      <c r="AQ200" s="72"/>
      <c r="AR200" s="127"/>
      <c r="AS200" s="256" t="s">
        <v>757</v>
      </c>
    </row>
    <row r="201" spans="1:45" hidden="1" x14ac:dyDescent="0.25">
      <c r="A201" s="9">
        <v>198</v>
      </c>
      <c r="B201" s="9" t="s">
        <v>28</v>
      </c>
      <c r="C201" s="9" t="s">
        <v>753</v>
      </c>
      <c r="D201" s="9" t="s">
        <v>754</v>
      </c>
      <c r="E201" s="9"/>
      <c r="F201" s="15" t="s">
        <v>145</v>
      </c>
      <c r="G201" s="9"/>
      <c r="H201" s="9" t="s">
        <v>31</v>
      </c>
      <c r="I201" s="9"/>
      <c r="J201" s="9"/>
      <c r="K201" s="9">
        <v>0.02</v>
      </c>
      <c r="L201" s="9">
        <v>0.02</v>
      </c>
      <c r="M201" s="9" t="s">
        <v>812</v>
      </c>
      <c r="N201" s="9" t="s">
        <v>33</v>
      </c>
      <c r="O201" s="9">
        <f t="shared" si="20"/>
        <v>0.6</v>
      </c>
      <c r="P201" s="9">
        <f t="shared" si="21"/>
        <v>0.7</v>
      </c>
      <c r="Q201" s="9">
        <f t="shared" si="22"/>
        <v>0.4</v>
      </c>
      <c r="R201" s="9">
        <f t="shared" si="23"/>
        <v>0.3</v>
      </c>
      <c r="S201" s="38">
        <v>2</v>
      </c>
      <c r="T201" s="252">
        <v>105991.94</v>
      </c>
      <c r="U201" s="194">
        <v>2119.8388</v>
      </c>
      <c r="V201" s="9"/>
      <c r="W201" s="9"/>
      <c r="X201" s="9" t="s">
        <v>824</v>
      </c>
      <c r="Y201" s="321">
        <v>70793</v>
      </c>
      <c r="Z201" s="19" t="s">
        <v>755</v>
      </c>
      <c r="AA201" s="15" t="s">
        <v>145</v>
      </c>
      <c r="AB201" s="16">
        <v>197</v>
      </c>
      <c r="AC201" s="141"/>
      <c r="AD201" s="163"/>
      <c r="AE201" s="163"/>
      <c r="AF201" s="164"/>
      <c r="AG201" s="169">
        <f t="shared" si="19"/>
        <v>6.0000000000000001E-3</v>
      </c>
      <c r="AH201" s="163"/>
      <c r="AI201" s="163"/>
      <c r="AJ201" s="164"/>
      <c r="AK201" s="141"/>
      <c r="AL201" s="265"/>
      <c r="AM201" s="265"/>
      <c r="AN201" s="127"/>
      <c r="AO201" s="126"/>
      <c r="AP201" s="72"/>
      <c r="AQ201" s="72"/>
      <c r="AR201" s="127"/>
      <c r="AS201" s="256" t="s">
        <v>757</v>
      </c>
    </row>
    <row r="202" spans="1:45" hidden="1" x14ac:dyDescent="0.25">
      <c r="A202" s="9">
        <v>199</v>
      </c>
      <c r="B202" s="9" t="s">
        <v>28</v>
      </c>
      <c r="C202" s="9" t="s">
        <v>753</v>
      </c>
      <c r="D202" s="9" t="s">
        <v>754</v>
      </c>
      <c r="E202" s="9"/>
      <c r="F202" s="15" t="s">
        <v>145</v>
      </c>
      <c r="G202" s="9"/>
      <c r="H202" s="9" t="s">
        <v>31</v>
      </c>
      <c r="I202" s="9"/>
      <c r="J202" s="9"/>
      <c r="K202" s="9">
        <v>0.01</v>
      </c>
      <c r="L202" s="9">
        <v>0.01</v>
      </c>
      <c r="M202" s="9" t="s">
        <v>812</v>
      </c>
      <c r="N202" s="9" t="s">
        <v>33</v>
      </c>
      <c r="O202" s="9">
        <f t="shared" si="20"/>
        <v>0.3</v>
      </c>
      <c r="P202" s="9">
        <f t="shared" si="21"/>
        <v>0.35</v>
      </c>
      <c r="Q202" s="9">
        <f t="shared" si="22"/>
        <v>0.2</v>
      </c>
      <c r="R202" s="9">
        <f t="shared" si="23"/>
        <v>0.15</v>
      </c>
      <c r="S202" s="38">
        <v>1</v>
      </c>
      <c r="T202" s="252">
        <v>105991.94</v>
      </c>
      <c r="U202" s="194">
        <v>1059.9194</v>
      </c>
      <c r="V202" s="9"/>
      <c r="W202" s="9"/>
      <c r="X202" s="9" t="s">
        <v>826</v>
      </c>
      <c r="Y202" s="321">
        <v>70793</v>
      </c>
      <c r="Z202" s="19" t="s">
        <v>755</v>
      </c>
      <c r="AA202" s="15" t="s">
        <v>145</v>
      </c>
      <c r="AB202" s="16">
        <v>198</v>
      </c>
      <c r="AC202" s="141"/>
      <c r="AD202" s="163"/>
      <c r="AE202" s="163"/>
      <c r="AF202" s="164"/>
      <c r="AG202" s="169">
        <f t="shared" si="19"/>
        <v>3.0000000000000001E-3</v>
      </c>
      <c r="AH202" s="163"/>
      <c r="AI202" s="163"/>
      <c r="AJ202" s="164"/>
      <c r="AK202" s="141"/>
      <c r="AL202" s="265"/>
      <c r="AM202" s="265"/>
      <c r="AN202" s="127"/>
      <c r="AO202" s="126"/>
      <c r="AP202" s="72"/>
      <c r="AQ202" s="72"/>
      <c r="AR202" s="127"/>
      <c r="AS202" s="256" t="s">
        <v>757</v>
      </c>
    </row>
    <row r="203" spans="1:45" hidden="1" x14ac:dyDescent="0.25">
      <c r="A203" s="9">
        <v>200</v>
      </c>
      <c r="B203" s="9" t="s">
        <v>28</v>
      </c>
      <c r="C203" s="9" t="s">
        <v>753</v>
      </c>
      <c r="D203" s="9" t="s">
        <v>754</v>
      </c>
      <c r="E203" s="9"/>
      <c r="F203" s="15" t="s">
        <v>145</v>
      </c>
      <c r="G203" s="9"/>
      <c r="H203" s="9" t="s">
        <v>31</v>
      </c>
      <c r="I203" s="9"/>
      <c r="J203" s="9"/>
      <c r="K203" s="9">
        <v>0.01</v>
      </c>
      <c r="L203" s="9">
        <v>0.01</v>
      </c>
      <c r="M203" s="9" t="s">
        <v>812</v>
      </c>
      <c r="N203" s="9" t="s">
        <v>33</v>
      </c>
      <c r="O203" s="9">
        <f t="shared" si="20"/>
        <v>0.3</v>
      </c>
      <c r="P203" s="9">
        <f t="shared" si="21"/>
        <v>0.35</v>
      </c>
      <c r="Q203" s="9">
        <f t="shared" si="22"/>
        <v>0.2</v>
      </c>
      <c r="R203" s="9">
        <f t="shared" si="23"/>
        <v>0.15</v>
      </c>
      <c r="S203" s="38">
        <v>1</v>
      </c>
      <c r="T203" s="252">
        <v>105991.94</v>
      </c>
      <c r="U203" s="31">
        <v>1059.9194</v>
      </c>
      <c r="V203" s="9"/>
      <c r="W203" s="9"/>
      <c r="X203" s="9" t="s">
        <v>826</v>
      </c>
      <c r="Y203" s="321">
        <v>70793</v>
      </c>
      <c r="Z203" s="19" t="s">
        <v>755</v>
      </c>
      <c r="AA203" s="15" t="s">
        <v>145</v>
      </c>
      <c r="AB203" s="16">
        <v>199</v>
      </c>
      <c r="AC203" s="141"/>
      <c r="AD203" s="163"/>
      <c r="AE203" s="163"/>
      <c r="AF203" s="164"/>
      <c r="AG203" s="169">
        <f t="shared" si="19"/>
        <v>3.0000000000000001E-3</v>
      </c>
      <c r="AH203" s="163"/>
      <c r="AI203" s="163"/>
      <c r="AJ203" s="164"/>
      <c r="AK203" s="141"/>
      <c r="AL203" s="265"/>
      <c r="AM203" s="265"/>
      <c r="AN203" s="127"/>
      <c r="AO203" s="126"/>
      <c r="AP203" s="72"/>
      <c r="AQ203" s="72"/>
      <c r="AR203" s="127"/>
      <c r="AS203" s="256" t="s">
        <v>757</v>
      </c>
    </row>
    <row r="204" spans="1:45" hidden="1" x14ac:dyDescent="0.25">
      <c r="A204" s="9">
        <v>201</v>
      </c>
      <c r="B204" s="9" t="s">
        <v>28</v>
      </c>
      <c r="C204" s="9" t="s">
        <v>753</v>
      </c>
      <c r="D204" s="9" t="s">
        <v>754</v>
      </c>
      <c r="E204" s="9"/>
      <c r="F204" s="15" t="s">
        <v>145</v>
      </c>
      <c r="G204" s="9"/>
      <c r="H204" s="9" t="s">
        <v>31</v>
      </c>
      <c r="I204" s="9"/>
      <c r="J204" s="9"/>
      <c r="K204" s="9">
        <v>0.01</v>
      </c>
      <c r="L204" s="9">
        <v>0.01</v>
      </c>
      <c r="M204" s="9" t="s">
        <v>812</v>
      </c>
      <c r="N204" s="9" t="s">
        <v>33</v>
      </c>
      <c r="O204" s="9">
        <f t="shared" si="20"/>
        <v>0.3</v>
      </c>
      <c r="P204" s="9">
        <f t="shared" si="21"/>
        <v>0.35</v>
      </c>
      <c r="Q204" s="9">
        <f t="shared" si="22"/>
        <v>0.2</v>
      </c>
      <c r="R204" s="9">
        <f t="shared" si="23"/>
        <v>0.15</v>
      </c>
      <c r="S204" s="38">
        <v>1</v>
      </c>
      <c r="T204" s="252">
        <v>105991.94</v>
      </c>
      <c r="U204" s="31">
        <v>1059.9194</v>
      </c>
      <c r="V204" s="9"/>
      <c r="W204" s="9"/>
      <c r="X204" s="9" t="s">
        <v>826</v>
      </c>
      <c r="Y204" s="321">
        <v>70793</v>
      </c>
      <c r="Z204" s="19" t="s">
        <v>755</v>
      </c>
      <c r="AA204" s="15" t="s">
        <v>145</v>
      </c>
      <c r="AB204" s="16">
        <v>200</v>
      </c>
      <c r="AC204" s="141"/>
      <c r="AD204" s="163"/>
      <c r="AE204" s="163"/>
      <c r="AF204" s="164"/>
      <c r="AG204" s="169">
        <f t="shared" si="19"/>
        <v>3.0000000000000001E-3</v>
      </c>
      <c r="AH204" s="163"/>
      <c r="AI204" s="163"/>
      <c r="AJ204" s="164"/>
      <c r="AK204" s="141"/>
      <c r="AL204" s="265"/>
      <c r="AM204" s="265"/>
      <c r="AN204" s="127"/>
      <c r="AO204" s="126"/>
      <c r="AP204" s="72"/>
      <c r="AQ204" s="72"/>
      <c r="AR204" s="127"/>
      <c r="AS204" s="256" t="s">
        <v>757</v>
      </c>
    </row>
    <row r="205" spans="1:45" hidden="1" x14ac:dyDescent="0.25">
      <c r="A205" s="9">
        <v>202</v>
      </c>
      <c r="B205" s="9" t="s">
        <v>28</v>
      </c>
      <c r="C205" s="9" t="s">
        <v>753</v>
      </c>
      <c r="D205" s="9" t="s">
        <v>754</v>
      </c>
      <c r="E205" s="9"/>
      <c r="F205" s="15" t="s">
        <v>145</v>
      </c>
      <c r="G205" s="9"/>
      <c r="H205" s="9" t="s">
        <v>31</v>
      </c>
      <c r="I205" s="9"/>
      <c r="J205" s="9"/>
      <c r="K205" s="9">
        <v>0.01</v>
      </c>
      <c r="L205" s="9">
        <v>0.01</v>
      </c>
      <c r="M205" s="9" t="s">
        <v>812</v>
      </c>
      <c r="N205" s="9" t="s">
        <v>33</v>
      </c>
      <c r="O205" s="9">
        <f t="shared" si="20"/>
        <v>0.3</v>
      </c>
      <c r="P205" s="9">
        <f t="shared" si="21"/>
        <v>0.35</v>
      </c>
      <c r="Q205" s="9">
        <f t="shared" si="22"/>
        <v>0.2</v>
      </c>
      <c r="R205" s="9">
        <f t="shared" si="23"/>
        <v>0.15</v>
      </c>
      <c r="S205" s="38">
        <v>1</v>
      </c>
      <c r="T205" s="252">
        <v>105991.94</v>
      </c>
      <c r="U205" s="31">
        <v>1059.9194</v>
      </c>
      <c r="V205" s="9"/>
      <c r="W205" s="9"/>
      <c r="X205" s="9" t="s">
        <v>826</v>
      </c>
      <c r="Y205" s="321">
        <v>70793</v>
      </c>
      <c r="Z205" s="19" t="s">
        <v>755</v>
      </c>
      <c r="AA205" s="15" t="s">
        <v>145</v>
      </c>
      <c r="AB205" s="16">
        <v>201</v>
      </c>
      <c r="AC205" s="141"/>
      <c r="AD205" s="163"/>
      <c r="AE205" s="163"/>
      <c r="AF205" s="164"/>
      <c r="AG205" s="169">
        <f t="shared" si="19"/>
        <v>3.0000000000000001E-3</v>
      </c>
      <c r="AH205" s="163"/>
      <c r="AI205" s="163"/>
      <c r="AJ205" s="164"/>
      <c r="AK205" s="141"/>
      <c r="AL205" s="265"/>
      <c r="AM205" s="265"/>
      <c r="AN205" s="127"/>
      <c r="AO205" s="126"/>
      <c r="AP205" s="72"/>
      <c r="AQ205" s="72"/>
      <c r="AR205" s="127"/>
      <c r="AS205" s="256" t="s">
        <v>757</v>
      </c>
    </row>
    <row r="206" spans="1:45" x14ac:dyDescent="0.25">
      <c r="A206" s="9">
        <v>203</v>
      </c>
      <c r="B206" s="9" t="s">
        <v>28</v>
      </c>
      <c r="C206" s="9" t="s">
        <v>753</v>
      </c>
      <c r="D206" s="25" t="s">
        <v>754</v>
      </c>
      <c r="E206" s="25"/>
      <c r="F206" s="28" t="s">
        <v>827</v>
      </c>
      <c r="G206" s="25"/>
      <c r="H206" s="25" t="s">
        <v>31</v>
      </c>
      <c r="I206" s="25"/>
      <c r="J206" s="25"/>
      <c r="K206" s="25">
        <v>1.6E-2</v>
      </c>
      <c r="L206" s="25">
        <v>1.6E-2</v>
      </c>
      <c r="M206" s="25" t="s">
        <v>812</v>
      </c>
      <c r="N206" s="25" t="s">
        <v>33</v>
      </c>
      <c r="O206" s="25">
        <f t="shared" si="20"/>
        <v>0.48</v>
      </c>
      <c r="P206" s="25">
        <f t="shared" si="21"/>
        <v>0.55999999999999994</v>
      </c>
      <c r="Q206" s="25">
        <f t="shared" si="22"/>
        <v>0.32000000000000006</v>
      </c>
      <c r="R206" s="25">
        <f t="shared" si="23"/>
        <v>0.24</v>
      </c>
      <c r="S206" s="38">
        <v>1.6</v>
      </c>
      <c r="T206" s="252">
        <v>105991.94</v>
      </c>
      <c r="U206" s="31">
        <v>1695.87104</v>
      </c>
      <c r="V206" s="9"/>
      <c r="W206" s="9"/>
      <c r="X206" s="25" t="s">
        <v>828</v>
      </c>
      <c r="Y206" s="25">
        <v>70795</v>
      </c>
      <c r="Z206" s="19" t="s">
        <v>755</v>
      </c>
      <c r="AA206" s="15" t="s">
        <v>827</v>
      </c>
      <c r="AB206" s="16">
        <v>1</v>
      </c>
      <c r="AC206" s="141"/>
      <c r="AD206" s="163"/>
      <c r="AE206" s="163"/>
      <c r="AF206" s="164"/>
      <c r="AG206" s="141"/>
      <c r="AH206" s="163"/>
      <c r="AI206" s="163"/>
      <c r="AJ206" s="164"/>
      <c r="AK206" s="126"/>
      <c r="AL206" s="72"/>
      <c r="AM206" s="72"/>
      <c r="AN206" s="127"/>
      <c r="AO206" s="126"/>
      <c r="AP206" s="72"/>
      <c r="AQ206" s="72"/>
      <c r="AR206" s="127"/>
      <c r="AS206" s="256" t="s">
        <v>757</v>
      </c>
    </row>
    <row r="207" spans="1:45" x14ac:dyDescent="0.25">
      <c r="A207" s="9">
        <v>204</v>
      </c>
      <c r="B207" s="9" t="s">
        <v>28</v>
      </c>
      <c r="C207" s="9" t="s">
        <v>753</v>
      </c>
      <c r="D207" s="25" t="s">
        <v>754</v>
      </c>
      <c r="E207" s="25"/>
      <c r="F207" s="28" t="s">
        <v>827</v>
      </c>
      <c r="G207" s="25"/>
      <c r="H207" s="25" t="s">
        <v>31</v>
      </c>
      <c r="I207" s="25"/>
      <c r="J207" s="25"/>
      <c r="K207" s="25">
        <v>1.6E-2</v>
      </c>
      <c r="L207" s="25">
        <v>1.6E-2</v>
      </c>
      <c r="M207" s="25" t="s">
        <v>812</v>
      </c>
      <c r="N207" s="25" t="s">
        <v>33</v>
      </c>
      <c r="O207" s="25">
        <f t="shared" si="20"/>
        <v>0.48</v>
      </c>
      <c r="P207" s="25">
        <f t="shared" si="21"/>
        <v>0.55999999999999994</v>
      </c>
      <c r="Q207" s="25">
        <f t="shared" si="22"/>
        <v>0.32000000000000006</v>
      </c>
      <c r="R207" s="25">
        <f t="shared" si="23"/>
        <v>0.24</v>
      </c>
      <c r="S207" s="38">
        <v>1.6</v>
      </c>
      <c r="T207" s="252">
        <v>105991.94</v>
      </c>
      <c r="U207" s="31">
        <v>1695.87104</v>
      </c>
      <c r="V207" s="9"/>
      <c r="W207" s="9"/>
      <c r="X207" s="25" t="s">
        <v>828</v>
      </c>
      <c r="Y207" s="25">
        <v>70795</v>
      </c>
      <c r="Z207" s="19" t="s">
        <v>755</v>
      </c>
      <c r="AA207" s="15" t="s">
        <v>827</v>
      </c>
      <c r="AB207" s="16">
        <v>2</v>
      </c>
      <c r="AC207" s="141"/>
      <c r="AD207" s="163"/>
      <c r="AE207" s="163"/>
      <c r="AF207" s="164"/>
      <c r="AG207" s="141"/>
      <c r="AH207" s="163"/>
      <c r="AI207" s="163"/>
      <c r="AJ207" s="164"/>
      <c r="AK207" s="126"/>
      <c r="AL207" s="72"/>
      <c r="AM207" s="72"/>
      <c r="AN207" s="127"/>
      <c r="AO207" s="126"/>
      <c r="AP207" s="72"/>
      <c r="AQ207" s="72"/>
      <c r="AR207" s="127"/>
      <c r="AS207" s="256" t="s">
        <v>757</v>
      </c>
    </row>
    <row r="208" spans="1:45" x14ac:dyDescent="0.25">
      <c r="A208" s="9">
        <v>205</v>
      </c>
      <c r="B208" s="9" t="s">
        <v>28</v>
      </c>
      <c r="C208" s="9" t="s">
        <v>753</v>
      </c>
      <c r="D208" s="25" t="s">
        <v>754</v>
      </c>
      <c r="E208" s="25"/>
      <c r="F208" s="28" t="s">
        <v>827</v>
      </c>
      <c r="G208" s="25"/>
      <c r="H208" s="25" t="s">
        <v>31</v>
      </c>
      <c r="I208" s="25"/>
      <c r="J208" s="25"/>
      <c r="K208" s="25">
        <v>1.6E-2</v>
      </c>
      <c r="L208" s="25">
        <v>1.6E-2</v>
      </c>
      <c r="M208" s="25" t="s">
        <v>812</v>
      </c>
      <c r="N208" s="25" t="s">
        <v>33</v>
      </c>
      <c r="O208" s="25">
        <f t="shared" si="20"/>
        <v>0.48</v>
      </c>
      <c r="P208" s="25">
        <f t="shared" si="21"/>
        <v>0.55999999999999994</v>
      </c>
      <c r="Q208" s="25">
        <f t="shared" si="22"/>
        <v>0.32000000000000006</v>
      </c>
      <c r="R208" s="25">
        <f t="shared" si="23"/>
        <v>0.24</v>
      </c>
      <c r="S208" s="38">
        <v>1.6</v>
      </c>
      <c r="T208" s="252">
        <v>105991.94</v>
      </c>
      <c r="U208" s="31">
        <v>1695.87104</v>
      </c>
      <c r="V208" s="9"/>
      <c r="W208" s="9"/>
      <c r="X208" s="25" t="s">
        <v>828</v>
      </c>
      <c r="Y208" s="25">
        <v>70795</v>
      </c>
      <c r="Z208" s="19" t="s">
        <v>755</v>
      </c>
      <c r="AA208" s="15" t="s">
        <v>827</v>
      </c>
      <c r="AB208" s="16">
        <v>3</v>
      </c>
      <c r="AC208" s="141"/>
      <c r="AD208" s="163"/>
      <c r="AE208" s="163"/>
      <c r="AF208" s="164"/>
      <c r="AG208" s="141"/>
      <c r="AH208" s="163"/>
      <c r="AI208" s="163"/>
      <c r="AJ208" s="164"/>
      <c r="AK208" s="126"/>
      <c r="AL208" s="72"/>
      <c r="AM208" s="72"/>
      <c r="AN208" s="127"/>
      <c r="AO208" s="126"/>
      <c r="AP208" s="72"/>
      <c r="AQ208" s="72"/>
      <c r="AR208" s="127"/>
      <c r="AS208" s="256" t="s">
        <v>757</v>
      </c>
    </row>
    <row r="209" spans="1:45" x14ac:dyDescent="0.25">
      <c r="A209" s="9">
        <v>206</v>
      </c>
      <c r="B209" s="9" t="s">
        <v>28</v>
      </c>
      <c r="C209" s="9" t="s">
        <v>753</v>
      </c>
      <c r="D209" s="25" t="s">
        <v>754</v>
      </c>
      <c r="E209" s="25"/>
      <c r="F209" s="28" t="s">
        <v>827</v>
      </c>
      <c r="G209" s="25"/>
      <c r="H209" s="25" t="s">
        <v>31</v>
      </c>
      <c r="I209" s="25"/>
      <c r="J209" s="25"/>
      <c r="K209" s="25">
        <v>1.6E-2</v>
      </c>
      <c r="L209" s="25">
        <v>1.6E-2</v>
      </c>
      <c r="M209" s="25" t="s">
        <v>812</v>
      </c>
      <c r="N209" s="25" t="s">
        <v>33</v>
      </c>
      <c r="O209" s="25">
        <f t="shared" si="20"/>
        <v>0.48</v>
      </c>
      <c r="P209" s="25">
        <f t="shared" si="21"/>
        <v>0.55999999999999994</v>
      </c>
      <c r="Q209" s="25">
        <f t="shared" si="22"/>
        <v>0.32000000000000006</v>
      </c>
      <c r="R209" s="25">
        <f t="shared" si="23"/>
        <v>0.24</v>
      </c>
      <c r="S209" s="38">
        <v>1.6</v>
      </c>
      <c r="T209" s="252">
        <v>105991.94</v>
      </c>
      <c r="U209" s="31">
        <v>1695.87104</v>
      </c>
      <c r="V209" s="9"/>
      <c r="W209" s="9"/>
      <c r="X209" s="25" t="s">
        <v>828</v>
      </c>
      <c r="Y209" s="25">
        <v>70795</v>
      </c>
      <c r="Z209" s="19" t="s">
        <v>755</v>
      </c>
      <c r="AA209" s="15" t="s">
        <v>827</v>
      </c>
      <c r="AB209" s="16">
        <v>4</v>
      </c>
      <c r="AC209" s="141"/>
      <c r="AD209" s="163"/>
      <c r="AE209" s="163"/>
      <c r="AF209" s="164"/>
      <c r="AG209" s="141"/>
      <c r="AH209" s="163"/>
      <c r="AI209" s="163"/>
      <c r="AJ209" s="164"/>
      <c r="AK209" s="126"/>
      <c r="AL209" s="72"/>
      <c r="AM209" s="72"/>
      <c r="AN209" s="127"/>
      <c r="AO209" s="126"/>
      <c r="AP209" s="72"/>
      <c r="AQ209" s="72"/>
      <c r="AR209" s="127"/>
      <c r="AS209" s="256" t="s">
        <v>757</v>
      </c>
    </row>
    <row r="210" spans="1:45" x14ac:dyDescent="0.25">
      <c r="A210" s="9">
        <v>207</v>
      </c>
      <c r="B210" s="9" t="s">
        <v>28</v>
      </c>
      <c r="C210" s="9" t="s">
        <v>753</v>
      </c>
      <c r="D210" s="25" t="s">
        <v>754</v>
      </c>
      <c r="E210" s="25"/>
      <c r="F210" s="28" t="s">
        <v>827</v>
      </c>
      <c r="G210" s="25"/>
      <c r="H210" s="25" t="s">
        <v>31</v>
      </c>
      <c r="I210" s="25"/>
      <c r="J210" s="25"/>
      <c r="K210" s="25">
        <v>1.6E-2</v>
      </c>
      <c r="L210" s="25">
        <v>1.6E-2</v>
      </c>
      <c r="M210" s="25" t="s">
        <v>812</v>
      </c>
      <c r="N210" s="25" t="s">
        <v>33</v>
      </c>
      <c r="O210" s="25">
        <f t="shared" si="20"/>
        <v>0.48</v>
      </c>
      <c r="P210" s="25">
        <f t="shared" si="21"/>
        <v>0.55999999999999994</v>
      </c>
      <c r="Q210" s="25">
        <f t="shared" si="22"/>
        <v>0.32000000000000006</v>
      </c>
      <c r="R210" s="25">
        <f t="shared" si="23"/>
        <v>0.24</v>
      </c>
      <c r="S210" s="38">
        <v>1.6</v>
      </c>
      <c r="T210" s="252">
        <v>105991.94</v>
      </c>
      <c r="U210" s="31">
        <v>1695.87104</v>
      </c>
      <c r="V210" s="9"/>
      <c r="W210" s="9"/>
      <c r="X210" s="25" t="s">
        <v>828</v>
      </c>
      <c r="Y210" s="25">
        <v>70795</v>
      </c>
      <c r="Z210" s="19" t="s">
        <v>755</v>
      </c>
      <c r="AA210" s="15" t="s">
        <v>827</v>
      </c>
      <c r="AB210" s="16">
        <v>5</v>
      </c>
      <c r="AC210" s="141"/>
      <c r="AD210" s="163"/>
      <c r="AE210" s="163"/>
      <c r="AF210" s="164"/>
      <c r="AG210" s="141"/>
      <c r="AH210" s="163"/>
      <c r="AI210" s="163"/>
      <c r="AJ210" s="164"/>
      <c r="AK210" s="126"/>
      <c r="AL210" s="72"/>
      <c r="AM210" s="72"/>
      <c r="AN210" s="127"/>
      <c r="AO210" s="126"/>
      <c r="AP210" s="72"/>
      <c r="AQ210" s="72"/>
      <c r="AR210" s="127"/>
      <c r="AS210" s="256" t="s">
        <v>757</v>
      </c>
    </row>
    <row r="211" spans="1:45" x14ac:dyDescent="0.25">
      <c r="A211" s="9">
        <v>208</v>
      </c>
      <c r="B211" s="9" t="s">
        <v>28</v>
      </c>
      <c r="C211" s="9" t="s">
        <v>753</v>
      </c>
      <c r="D211" s="25" t="s">
        <v>754</v>
      </c>
      <c r="E211" s="25"/>
      <c r="F211" s="28" t="s">
        <v>827</v>
      </c>
      <c r="G211" s="25"/>
      <c r="H211" s="25" t="s">
        <v>31</v>
      </c>
      <c r="I211" s="25"/>
      <c r="J211" s="25"/>
      <c r="K211" s="25">
        <v>1.6E-2</v>
      </c>
      <c r="L211" s="25">
        <v>1.6E-2</v>
      </c>
      <c r="M211" s="25" t="s">
        <v>812</v>
      </c>
      <c r="N211" s="25" t="s">
        <v>33</v>
      </c>
      <c r="O211" s="25">
        <f t="shared" si="20"/>
        <v>0.48</v>
      </c>
      <c r="P211" s="25">
        <f t="shared" si="21"/>
        <v>0.55999999999999994</v>
      </c>
      <c r="Q211" s="25">
        <f t="shared" si="22"/>
        <v>0.32000000000000006</v>
      </c>
      <c r="R211" s="25">
        <f t="shared" si="23"/>
        <v>0.24</v>
      </c>
      <c r="S211" s="38">
        <v>1.6</v>
      </c>
      <c r="T211" s="252">
        <v>105991.94</v>
      </c>
      <c r="U211" s="31">
        <v>1695.87104</v>
      </c>
      <c r="V211" s="9"/>
      <c r="W211" s="9"/>
      <c r="X211" s="25" t="s">
        <v>828</v>
      </c>
      <c r="Y211" s="25">
        <v>70795</v>
      </c>
      <c r="Z211" s="19" t="s">
        <v>755</v>
      </c>
      <c r="AA211" s="15" t="s">
        <v>827</v>
      </c>
      <c r="AB211" s="16">
        <v>6</v>
      </c>
      <c r="AC211" s="141"/>
      <c r="AD211" s="163"/>
      <c r="AE211" s="163"/>
      <c r="AF211" s="164"/>
      <c r="AG211" s="141"/>
      <c r="AH211" s="163"/>
      <c r="AI211" s="163"/>
      <c r="AJ211" s="164"/>
      <c r="AK211" s="126"/>
      <c r="AL211" s="72"/>
      <c r="AM211" s="72"/>
      <c r="AN211" s="127"/>
      <c r="AO211" s="126"/>
      <c r="AP211" s="72"/>
      <c r="AQ211" s="72"/>
      <c r="AR211" s="127"/>
      <c r="AS211" s="256" t="s">
        <v>757</v>
      </c>
    </row>
    <row r="212" spans="1:45" x14ac:dyDescent="0.25">
      <c r="A212" s="9">
        <v>209</v>
      </c>
      <c r="B212" s="9" t="s">
        <v>28</v>
      </c>
      <c r="C212" s="9" t="s">
        <v>753</v>
      </c>
      <c r="D212" s="25" t="s">
        <v>754</v>
      </c>
      <c r="E212" s="25"/>
      <c r="F212" s="28" t="s">
        <v>827</v>
      </c>
      <c r="G212" s="25"/>
      <c r="H212" s="25" t="s">
        <v>31</v>
      </c>
      <c r="I212" s="25"/>
      <c r="J212" s="25"/>
      <c r="K212" s="25">
        <v>1.6E-2</v>
      </c>
      <c r="L212" s="25">
        <v>1.6E-2</v>
      </c>
      <c r="M212" s="25" t="s">
        <v>812</v>
      </c>
      <c r="N212" s="25" t="s">
        <v>33</v>
      </c>
      <c r="O212" s="25">
        <f t="shared" si="20"/>
        <v>0.48</v>
      </c>
      <c r="P212" s="25">
        <f t="shared" si="21"/>
        <v>0.55999999999999994</v>
      </c>
      <c r="Q212" s="25">
        <f t="shared" si="22"/>
        <v>0.32000000000000006</v>
      </c>
      <c r="R212" s="25">
        <f t="shared" si="23"/>
        <v>0.24</v>
      </c>
      <c r="S212" s="38">
        <v>1.6</v>
      </c>
      <c r="T212" s="252">
        <v>105991.94</v>
      </c>
      <c r="U212" s="31">
        <v>1695.87104</v>
      </c>
      <c r="V212" s="9"/>
      <c r="W212" s="9"/>
      <c r="X212" s="25" t="s">
        <v>829</v>
      </c>
      <c r="Y212" s="25">
        <v>70795</v>
      </c>
      <c r="Z212" s="19" t="s">
        <v>755</v>
      </c>
      <c r="AA212" s="15" t="s">
        <v>827</v>
      </c>
      <c r="AB212" s="16">
        <v>7</v>
      </c>
      <c r="AC212" s="141"/>
      <c r="AD212" s="163"/>
      <c r="AE212" s="163"/>
      <c r="AF212" s="164"/>
      <c r="AG212" s="141"/>
      <c r="AH212" s="163"/>
      <c r="AI212" s="163"/>
      <c r="AJ212" s="164"/>
      <c r="AK212" s="126"/>
      <c r="AL212" s="72"/>
      <c r="AM212" s="72"/>
      <c r="AN212" s="127"/>
      <c r="AO212" s="126"/>
      <c r="AP212" s="72"/>
      <c r="AQ212" s="72"/>
      <c r="AR212" s="127"/>
      <c r="AS212" s="256" t="s">
        <v>757</v>
      </c>
    </row>
    <row r="213" spans="1:45" x14ac:dyDescent="0.25">
      <c r="A213" s="9">
        <v>210</v>
      </c>
      <c r="B213" s="9" t="s">
        <v>28</v>
      </c>
      <c r="C213" s="9" t="s">
        <v>753</v>
      </c>
      <c r="D213" s="25" t="s">
        <v>754</v>
      </c>
      <c r="E213" s="25"/>
      <c r="F213" s="28" t="s">
        <v>827</v>
      </c>
      <c r="G213" s="25"/>
      <c r="H213" s="25" t="s">
        <v>31</v>
      </c>
      <c r="I213" s="25"/>
      <c r="J213" s="25"/>
      <c r="K213" s="25">
        <v>1.6E-2</v>
      </c>
      <c r="L213" s="25">
        <v>1.6E-2</v>
      </c>
      <c r="M213" s="25" t="s">
        <v>812</v>
      </c>
      <c r="N213" s="25" t="s">
        <v>33</v>
      </c>
      <c r="O213" s="25">
        <f t="shared" si="20"/>
        <v>0.48</v>
      </c>
      <c r="P213" s="25">
        <f t="shared" si="21"/>
        <v>0.55999999999999994</v>
      </c>
      <c r="Q213" s="25">
        <f t="shared" si="22"/>
        <v>0.32000000000000006</v>
      </c>
      <c r="R213" s="25">
        <f t="shared" si="23"/>
        <v>0.24</v>
      </c>
      <c r="S213" s="38">
        <v>1.6</v>
      </c>
      <c r="T213" s="252">
        <v>105991.94</v>
      </c>
      <c r="U213" s="31">
        <v>1695.87104</v>
      </c>
      <c r="V213" s="9"/>
      <c r="W213" s="9"/>
      <c r="X213" s="25" t="s">
        <v>829</v>
      </c>
      <c r="Y213" s="25">
        <v>70795</v>
      </c>
      <c r="Z213" s="19" t="s">
        <v>755</v>
      </c>
      <c r="AA213" s="15" t="s">
        <v>827</v>
      </c>
      <c r="AB213" s="16">
        <v>8</v>
      </c>
      <c r="AC213" s="141"/>
      <c r="AD213" s="163"/>
      <c r="AE213" s="163"/>
      <c r="AF213" s="164"/>
      <c r="AG213" s="141"/>
      <c r="AH213" s="163"/>
      <c r="AI213" s="163"/>
      <c r="AJ213" s="164"/>
      <c r="AK213" s="126"/>
      <c r="AL213" s="72"/>
      <c r="AM213" s="72"/>
      <c r="AN213" s="127"/>
      <c r="AO213" s="126"/>
      <c r="AP213" s="72"/>
      <c r="AQ213" s="72"/>
      <c r="AR213" s="127"/>
      <c r="AS213" s="256" t="s">
        <v>757</v>
      </c>
    </row>
    <row r="214" spans="1:45" x14ac:dyDescent="0.25">
      <c r="A214" s="9">
        <v>211</v>
      </c>
      <c r="B214" s="9" t="s">
        <v>28</v>
      </c>
      <c r="C214" s="9" t="s">
        <v>753</v>
      </c>
      <c r="D214" s="25" t="s">
        <v>754</v>
      </c>
      <c r="E214" s="25"/>
      <c r="F214" s="28" t="s">
        <v>827</v>
      </c>
      <c r="G214" s="25"/>
      <c r="H214" s="25" t="s">
        <v>31</v>
      </c>
      <c r="I214" s="25"/>
      <c r="J214" s="25"/>
      <c r="K214" s="25">
        <v>1.6E-2</v>
      </c>
      <c r="L214" s="25">
        <v>1.6E-2</v>
      </c>
      <c r="M214" s="25" t="s">
        <v>812</v>
      </c>
      <c r="N214" s="25" t="s">
        <v>33</v>
      </c>
      <c r="O214" s="25">
        <f t="shared" si="20"/>
        <v>0.48</v>
      </c>
      <c r="P214" s="25">
        <f t="shared" si="21"/>
        <v>0.55999999999999994</v>
      </c>
      <c r="Q214" s="25">
        <f t="shared" si="22"/>
        <v>0.32000000000000006</v>
      </c>
      <c r="R214" s="25">
        <f t="shared" si="23"/>
        <v>0.24</v>
      </c>
      <c r="S214" s="38">
        <v>1.6</v>
      </c>
      <c r="T214" s="252">
        <v>105991.94</v>
      </c>
      <c r="U214" s="31">
        <v>1695.87104</v>
      </c>
      <c r="V214" s="9"/>
      <c r="W214" s="9"/>
      <c r="X214" s="25" t="s">
        <v>829</v>
      </c>
      <c r="Y214" s="25">
        <v>70795</v>
      </c>
      <c r="Z214" s="19" t="s">
        <v>755</v>
      </c>
      <c r="AA214" s="15" t="s">
        <v>827</v>
      </c>
      <c r="AB214" s="16">
        <v>9</v>
      </c>
      <c r="AC214" s="141"/>
      <c r="AD214" s="163"/>
      <c r="AE214" s="163"/>
      <c r="AF214" s="164"/>
      <c r="AG214" s="141"/>
      <c r="AH214" s="163"/>
      <c r="AI214" s="163"/>
      <c r="AJ214" s="164"/>
      <c r="AK214" s="126"/>
      <c r="AL214" s="72"/>
      <c r="AM214" s="72"/>
      <c r="AN214" s="127"/>
      <c r="AO214" s="126"/>
      <c r="AP214" s="72"/>
      <c r="AQ214" s="72"/>
      <c r="AR214" s="127"/>
      <c r="AS214" s="256" t="s">
        <v>757</v>
      </c>
    </row>
    <row r="215" spans="1:45" x14ac:dyDescent="0.25">
      <c r="A215" s="9">
        <v>212</v>
      </c>
      <c r="B215" s="9" t="s">
        <v>28</v>
      </c>
      <c r="C215" s="9" t="s">
        <v>753</v>
      </c>
      <c r="D215" s="25" t="s">
        <v>754</v>
      </c>
      <c r="E215" s="25"/>
      <c r="F215" s="28" t="s">
        <v>827</v>
      </c>
      <c r="G215" s="25"/>
      <c r="H215" s="25" t="s">
        <v>31</v>
      </c>
      <c r="I215" s="25"/>
      <c r="J215" s="25"/>
      <c r="K215" s="25">
        <v>1.6E-2</v>
      </c>
      <c r="L215" s="25">
        <v>1.6E-2</v>
      </c>
      <c r="M215" s="25" t="s">
        <v>812</v>
      </c>
      <c r="N215" s="25" t="s">
        <v>33</v>
      </c>
      <c r="O215" s="25">
        <f t="shared" si="20"/>
        <v>0.48</v>
      </c>
      <c r="P215" s="25">
        <f t="shared" si="21"/>
        <v>0.55999999999999994</v>
      </c>
      <c r="Q215" s="25">
        <f t="shared" si="22"/>
        <v>0.32000000000000006</v>
      </c>
      <c r="R215" s="25">
        <f t="shared" si="23"/>
        <v>0.24</v>
      </c>
      <c r="S215" s="38">
        <v>1.6</v>
      </c>
      <c r="T215" s="252">
        <v>105991.94</v>
      </c>
      <c r="U215" s="31">
        <v>1695.87104</v>
      </c>
      <c r="V215" s="9"/>
      <c r="W215" s="9"/>
      <c r="X215" s="25" t="s">
        <v>829</v>
      </c>
      <c r="Y215" s="25">
        <v>70795</v>
      </c>
      <c r="Z215" s="19" t="s">
        <v>755</v>
      </c>
      <c r="AA215" s="15" t="s">
        <v>827</v>
      </c>
      <c r="AB215" s="16">
        <v>10</v>
      </c>
      <c r="AC215" s="141"/>
      <c r="AD215" s="163"/>
      <c r="AE215" s="163"/>
      <c r="AF215" s="164"/>
      <c r="AG215" s="141"/>
      <c r="AH215" s="163"/>
      <c r="AI215" s="163"/>
      <c r="AJ215" s="164"/>
      <c r="AK215" s="126"/>
      <c r="AL215" s="72"/>
      <c r="AM215" s="72"/>
      <c r="AN215" s="127"/>
      <c r="AO215" s="126"/>
      <c r="AP215" s="72"/>
      <c r="AQ215" s="72"/>
      <c r="AR215" s="127"/>
      <c r="AS215" s="256" t="s">
        <v>757</v>
      </c>
    </row>
    <row r="216" spans="1:45" x14ac:dyDescent="0.25">
      <c r="A216" s="9">
        <v>213</v>
      </c>
      <c r="B216" s="9" t="s">
        <v>28</v>
      </c>
      <c r="C216" s="9" t="s">
        <v>753</v>
      </c>
      <c r="D216" s="25" t="s">
        <v>754</v>
      </c>
      <c r="E216" s="25"/>
      <c r="F216" s="28" t="s">
        <v>827</v>
      </c>
      <c r="G216" s="25"/>
      <c r="H216" s="25" t="s">
        <v>31</v>
      </c>
      <c r="I216" s="25"/>
      <c r="J216" s="25"/>
      <c r="K216" s="25">
        <v>1.6E-2</v>
      </c>
      <c r="L216" s="25">
        <v>1.6E-2</v>
      </c>
      <c r="M216" s="25" t="s">
        <v>812</v>
      </c>
      <c r="N216" s="25" t="s">
        <v>33</v>
      </c>
      <c r="O216" s="25">
        <f t="shared" si="20"/>
        <v>0.48</v>
      </c>
      <c r="P216" s="25">
        <f t="shared" si="21"/>
        <v>0.55999999999999994</v>
      </c>
      <c r="Q216" s="25">
        <f t="shared" si="22"/>
        <v>0.32000000000000006</v>
      </c>
      <c r="R216" s="25">
        <f t="shared" si="23"/>
        <v>0.24</v>
      </c>
      <c r="S216" s="38">
        <v>1.6</v>
      </c>
      <c r="T216" s="252">
        <v>105991.94</v>
      </c>
      <c r="U216" s="31">
        <v>1695.87104</v>
      </c>
      <c r="V216" s="9"/>
      <c r="W216" s="9"/>
      <c r="X216" s="25" t="s">
        <v>829</v>
      </c>
      <c r="Y216" s="25">
        <v>70795</v>
      </c>
      <c r="Z216" s="19" t="s">
        <v>755</v>
      </c>
      <c r="AA216" s="15" t="s">
        <v>827</v>
      </c>
      <c r="AB216" s="16">
        <v>11</v>
      </c>
      <c r="AC216" s="141"/>
      <c r="AD216" s="163"/>
      <c r="AE216" s="163"/>
      <c r="AF216" s="164"/>
      <c r="AG216" s="141"/>
      <c r="AH216" s="163"/>
      <c r="AI216" s="163"/>
      <c r="AJ216" s="164"/>
      <c r="AK216" s="126"/>
      <c r="AL216" s="72"/>
      <c r="AM216" s="72"/>
      <c r="AN216" s="127"/>
      <c r="AO216" s="126"/>
      <c r="AP216" s="72"/>
      <c r="AQ216" s="72"/>
      <c r="AR216" s="127"/>
      <c r="AS216" s="256" t="s">
        <v>757</v>
      </c>
    </row>
    <row r="217" spans="1:45" x14ac:dyDescent="0.25">
      <c r="A217" s="9">
        <v>214</v>
      </c>
      <c r="B217" s="9" t="s">
        <v>28</v>
      </c>
      <c r="C217" s="9" t="s">
        <v>753</v>
      </c>
      <c r="D217" s="25" t="s">
        <v>754</v>
      </c>
      <c r="E217" s="25"/>
      <c r="F217" s="28" t="s">
        <v>827</v>
      </c>
      <c r="G217" s="25"/>
      <c r="H217" s="25" t="s">
        <v>31</v>
      </c>
      <c r="I217" s="25"/>
      <c r="J217" s="25"/>
      <c r="K217" s="25">
        <v>1.6E-2</v>
      </c>
      <c r="L217" s="25">
        <v>1.6E-2</v>
      </c>
      <c r="M217" s="25" t="s">
        <v>812</v>
      </c>
      <c r="N217" s="25" t="s">
        <v>33</v>
      </c>
      <c r="O217" s="25">
        <f t="shared" si="20"/>
        <v>0.48</v>
      </c>
      <c r="P217" s="25">
        <f t="shared" si="21"/>
        <v>0.55999999999999994</v>
      </c>
      <c r="Q217" s="25">
        <f t="shared" si="22"/>
        <v>0.32000000000000006</v>
      </c>
      <c r="R217" s="25">
        <f t="shared" si="23"/>
        <v>0.24</v>
      </c>
      <c r="S217" s="38">
        <v>1.6</v>
      </c>
      <c r="T217" s="252">
        <v>105991.94</v>
      </c>
      <c r="U217" s="31">
        <v>1695.87104</v>
      </c>
      <c r="V217" s="9"/>
      <c r="W217" s="9"/>
      <c r="X217" s="25" t="s">
        <v>829</v>
      </c>
      <c r="Y217" s="25">
        <v>70795</v>
      </c>
      <c r="Z217" s="19" t="s">
        <v>755</v>
      </c>
      <c r="AA217" s="15" t="s">
        <v>827</v>
      </c>
      <c r="AB217" s="16">
        <v>12</v>
      </c>
      <c r="AC217" s="141"/>
      <c r="AD217" s="163"/>
      <c r="AE217" s="163"/>
      <c r="AF217" s="164"/>
      <c r="AG217" s="141"/>
      <c r="AH217" s="163"/>
      <c r="AI217" s="163"/>
      <c r="AJ217" s="164"/>
      <c r="AK217" s="126"/>
      <c r="AL217" s="72"/>
      <c r="AM217" s="72"/>
      <c r="AN217" s="127"/>
      <c r="AO217" s="126"/>
      <c r="AP217" s="72"/>
      <c r="AQ217" s="72"/>
      <c r="AR217" s="127"/>
      <c r="AS217" s="256" t="s">
        <v>757</v>
      </c>
    </row>
    <row r="218" spans="1:45" x14ac:dyDescent="0.25">
      <c r="A218" s="9">
        <v>215</v>
      </c>
      <c r="B218" s="9" t="s">
        <v>28</v>
      </c>
      <c r="C218" s="9" t="s">
        <v>753</v>
      </c>
      <c r="D218" s="25" t="s">
        <v>754</v>
      </c>
      <c r="E218" s="25"/>
      <c r="F218" s="28" t="s">
        <v>827</v>
      </c>
      <c r="G218" s="25"/>
      <c r="H218" s="25" t="s">
        <v>31</v>
      </c>
      <c r="I218" s="25"/>
      <c r="J218" s="25"/>
      <c r="K218" s="25">
        <v>1.6E-2</v>
      </c>
      <c r="L218" s="25">
        <v>1.6E-2</v>
      </c>
      <c r="M218" s="25" t="s">
        <v>812</v>
      </c>
      <c r="N218" s="25" t="s">
        <v>33</v>
      </c>
      <c r="O218" s="25">
        <f t="shared" si="20"/>
        <v>0.48</v>
      </c>
      <c r="P218" s="25">
        <f t="shared" si="21"/>
        <v>0.55999999999999994</v>
      </c>
      <c r="Q218" s="25">
        <f t="shared" si="22"/>
        <v>0.32000000000000006</v>
      </c>
      <c r="R218" s="25">
        <f t="shared" si="23"/>
        <v>0.24</v>
      </c>
      <c r="S218" s="38">
        <v>1.6</v>
      </c>
      <c r="T218" s="252">
        <v>105991.94</v>
      </c>
      <c r="U218" s="31">
        <v>1695.87104</v>
      </c>
      <c r="V218" s="9"/>
      <c r="W218" s="9"/>
      <c r="X218" s="25" t="s">
        <v>829</v>
      </c>
      <c r="Y218" s="25">
        <v>70795</v>
      </c>
      <c r="Z218" s="19" t="s">
        <v>755</v>
      </c>
      <c r="AA218" s="15" t="s">
        <v>827</v>
      </c>
      <c r="AB218" s="16">
        <v>13</v>
      </c>
      <c r="AC218" s="141"/>
      <c r="AD218" s="163"/>
      <c r="AE218" s="163"/>
      <c r="AF218" s="164"/>
      <c r="AG218" s="141"/>
      <c r="AH218" s="163"/>
      <c r="AI218" s="163"/>
      <c r="AJ218" s="164"/>
      <c r="AK218" s="126"/>
      <c r="AL218" s="72"/>
      <c r="AM218" s="72"/>
      <c r="AN218" s="127"/>
      <c r="AO218" s="126"/>
      <c r="AP218" s="72"/>
      <c r="AQ218" s="72"/>
      <c r="AR218" s="127"/>
      <c r="AS218" s="256" t="s">
        <v>757</v>
      </c>
    </row>
    <row r="219" spans="1:45" x14ac:dyDescent="0.25">
      <c r="A219" s="9">
        <v>216</v>
      </c>
      <c r="B219" s="9" t="s">
        <v>28</v>
      </c>
      <c r="C219" s="9" t="s">
        <v>753</v>
      </c>
      <c r="D219" s="25" t="s">
        <v>754</v>
      </c>
      <c r="E219" s="25"/>
      <c r="F219" s="28" t="s">
        <v>827</v>
      </c>
      <c r="G219" s="25"/>
      <c r="H219" s="25" t="s">
        <v>31</v>
      </c>
      <c r="I219" s="25"/>
      <c r="J219" s="25"/>
      <c r="K219" s="25">
        <v>1.6E-2</v>
      </c>
      <c r="L219" s="25">
        <v>1.6E-2</v>
      </c>
      <c r="M219" s="25" t="s">
        <v>812</v>
      </c>
      <c r="N219" s="25" t="s">
        <v>33</v>
      </c>
      <c r="O219" s="25">
        <f t="shared" si="20"/>
        <v>0.48</v>
      </c>
      <c r="P219" s="25">
        <f t="shared" si="21"/>
        <v>0.55999999999999994</v>
      </c>
      <c r="Q219" s="25">
        <f t="shared" si="22"/>
        <v>0.32000000000000006</v>
      </c>
      <c r="R219" s="25">
        <f t="shared" si="23"/>
        <v>0.24</v>
      </c>
      <c r="S219" s="38">
        <v>1.6</v>
      </c>
      <c r="T219" s="252">
        <v>105991.94</v>
      </c>
      <c r="U219" s="31">
        <v>1695.87104</v>
      </c>
      <c r="V219" s="9"/>
      <c r="W219" s="9"/>
      <c r="X219" s="25" t="s">
        <v>829</v>
      </c>
      <c r="Y219" s="25">
        <v>70795</v>
      </c>
      <c r="Z219" s="19" t="s">
        <v>755</v>
      </c>
      <c r="AA219" s="15" t="s">
        <v>827</v>
      </c>
      <c r="AB219" s="16">
        <v>14</v>
      </c>
      <c r="AC219" s="141"/>
      <c r="AD219" s="163"/>
      <c r="AE219" s="163"/>
      <c r="AF219" s="164"/>
      <c r="AG219" s="141"/>
      <c r="AH219" s="163"/>
      <c r="AI219" s="163"/>
      <c r="AJ219" s="164"/>
      <c r="AK219" s="126"/>
      <c r="AL219" s="72"/>
      <c r="AM219" s="72"/>
      <c r="AN219" s="127"/>
      <c r="AO219" s="126"/>
      <c r="AP219" s="72"/>
      <c r="AQ219" s="72"/>
      <c r="AR219" s="127"/>
      <c r="AS219" s="256" t="s">
        <v>757</v>
      </c>
    </row>
    <row r="220" spans="1:45" x14ac:dyDescent="0.25">
      <c r="A220" s="9">
        <v>217</v>
      </c>
      <c r="B220" s="9" t="s">
        <v>28</v>
      </c>
      <c r="C220" s="9" t="s">
        <v>753</v>
      </c>
      <c r="D220" s="25" t="s">
        <v>754</v>
      </c>
      <c r="E220" s="25"/>
      <c r="F220" s="28" t="s">
        <v>827</v>
      </c>
      <c r="G220" s="25"/>
      <c r="H220" s="25" t="s">
        <v>31</v>
      </c>
      <c r="I220" s="25"/>
      <c r="J220" s="25"/>
      <c r="K220" s="25">
        <v>1.6E-2</v>
      </c>
      <c r="L220" s="25">
        <v>1.6E-2</v>
      </c>
      <c r="M220" s="25" t="s">
        <v>812</v>
      </c>
      <c r="N220" s="25" t="s">
        <v>33</v>
      </c>
      <c r="O220" s="25">
        <f t="shared" si="20"/>
        <v>0.48</v>
      </c>
      <c r="P220" s="25">
        <f t="shared" si="21"/>
        <v>0.55999999999999994</v>
      </c>
      <c r="Q220" s="25">
        <f t="shared" si="22"/>
        <v>0.32000000000000006</v>
      </c>
      <c r="R220" s="25">
        <f t="shared" si="23"/>
        <v>0.24</v>
      </c>
      <c r="S220" s="38">
        <v>1.6</v>
      </c>
      <c r="T220" s="252">
        <v>105991.94</v>
      </c>
      <c r="U220" s="31">
        <v>1695.87104</v>
      </c>
      <c r="V220" s="9"/>
      <c r="W220" s="9"/>
      <c r="X220" s="25" t="s">
        <v>830</v>
      </c>
      <c r="Y220" s="25">
        <v>70796</v>
      </c>
      <c r="Z220" s="19" t="s">
        <v>755</v>
      </c>
      <c r="AA220" s="15" t="s">
        <v>827</v>
      </c>
      <c r="AB220" s="16">
        <v>1</v>
      </c>
      <c r="AC220" s="141"/>
      <c r="AD220" s="163"/>
      <c r="AE220" s="163"/>
      <c r="AF220" s="164"/>
      <c r="AG220" s="141"/>
      <c r="AH220" s="163"/>
      <c r="AI220" s="163"/>
      <c r="AJ220" s="164"/>
      <c r="AK220" s="126"/>
      <c r="AL220" s="72"/>
      <c r="AM220" s="72"/>
      <c r="AN220" s="127"/>
      <c r="AO220" s="126"/>
      <c r="AP220" s="72"/>
      <c r="AQ220" s="72"/>
      <c r="AR220" s="127"/>
      <c r="AS220" s="256" t="s">
        <v>757</v>
      </c>
    </row>
    <row r="221" spans="1:45" x14ac:dyDescent="0.25">
      <c r="A221" s="9">
        <v>218</v>
      </c>
      <c r="B221" s="9" t="s">
        <v>28</v>
      </c>
      <c r="C221" s="9" t="s">
        <v>753</v>
      </c>
      <c r="D221" s="25" t="s">
        <v>754</v>
      </c>
      <c r="E221" s="25"/>
      <c r="F221" s="28" t="s">
        <v>827</v>
      </c>
      <c r="G221" s="25"/>
      <c r="H221" s="25" t="s">
        <v>31</v>
      </c>
      <c r="I221" s="25"/>
      <c r="J221" s="25"/>
      <c r="K221" s="25">
        <v>1.6E-2</v>
      </c>
      <c r="L221" s="25">
        <v>1.6E-2</v>
      </c>
      <c r="M221" s="25" t="s">
        <v>812</v>
      </c>
      <c r="N221" s="25" t="s">
        <v>33</v>
      </c>
      <c r="O221" s="25">
        <f t="shared" si="20"/>
        <v>0.48</v>
      </c>
      <c r="P221" s="25">
        <f t="shared" si="21"/>
        <v>0.55999999999999994</v>
      </c>
      <c r="Q221" s="25">
        <f t="shared" si="22"/>
        <v>0.32000000000000006</v>
      </c>
      <c r="R221" s="25">
        <f t="shared" si="23"/>
        <v>0.24</v>
      </c>
      <c r="S221" s="38">
        <v>1.6</v>
      </c>
      <c r="T221" s="252">
        <v>105991.94</v>
      </c>
      <c r="U221" s="31">
        <v>1695.87104</v>
      </c>
      <c r="V221" s="9"/>
      <c r="W221" s="9"/>
      <c r="X221" s="25" t="s">
        <v>830</v>
      </c>
      <c r="Y221" s="25">
        <v>70796</v>
      </c>
      <c r="Z221" s="19" t="s">
        <v>755</v>
      </c>
      <c r="AA221" s="15" t="s">
        <v>827</v>
      </c>
      <c r="AB221" s="16">
        <v>2</v>
      </c>
      <c r="AC221" s="141"/>
      <c r="AD221" s="163"/>
      <c r="AE221" s="163"/>
      <c r="AF221" s="164"/>
      <c r="AG221" s="141"/>
      <c r="AH221" s="163"/>
      <c r="AI221" s="163"/>
      <c r="AJ221" s="164"/>
      <c r="AK221" s="126"/>
      <c r="AL221" s="72"/>
      <c r="AM221" s="72"/>
      <c r="AN221" s="127"/>
      <c r="AO221" s="126"/>
      <c r="AP221" s="72"/>
      <c r="AQ221" s="72"/>
      <c r="AR221" s="127"/>
      <c r="AS221" s="256" t="s">
        <v>757</v>
      </c>
    </row>
    <row r="222" spans="1:45" x14ac:dyDescent="0.25">
      <c r="A222" s="9">
        <v>219</v>
      </c>
      <c r="B222" s="9" t="s">
        <v>28</v>
      </c>
      <c r="C222" s="9" t="s">
        <v>753</v>
      </c>
      <c r="D222" s="25" t="s">
        <v>754</v>
      </c>
      <c r="E222" s="25"/>
      <c r="F222" s="28" t="s">
        <v>827</v>
      </c>
      <c r="G222" s="25"/>
      <c r="H222" s="25" t="s">
        <v>31</v>
      </c>
      <c r="I222" s="25"/>
      <c r="J222" s="25"/>
      <c r="K222" s="25">
        <v>1.6E-2</v>
      </c>
      <c r="L222" s="25">
        <v>1.6E-2</v>
      </c>
      <c r="M222" s="25" t="s">
        <v>812</v>
      </c>
      <c r="N222" s="25" t="s">
        <v>33</v>
      </c>
      <c r="O222" s="25">
        <f t="shared" si="20"/>
        <v>0.48</v>
      </c>
      <c r="P222" s="25">
        <f t="shared" si="21"/>
        <v>0.55999999999999994</v>
      </c>
      <c r="Q222" s="25">
        <f t="shared" si="22"/>
        <v>0.32000000000000006</v>
      </c>
      <c r="R222" s="25">
        <f t="shared" si="23"/>
        <v>0.24</v>
      </c>
      <c r="S222" s="38">
        <v>1.6</v>
      </c>
      <c r="T222" s="252">
        <v>105991.94</v>
      </c>
      <c r="U222" s="31">
        <v>1695.87104</v>
      </c>
      <c r="V222" s="9"/>
      <c r="W222" s="9"/>
      <c r="X222" s="25" t="s">
        <v>830</v>
      </c>
      <c r="Y222" s="25">
        <v>70796</v>
      </c>
      <c r="Z222" s="19" t="s">
        <v>755</v>
      </c>
      <c r="AA222" s="15" t="s">
        <v>827</v>
      </c>
      <c r="AB222" s="16">
        <v>3</v>
      </c>
      <c r="AC222" s="141"/>
      <c r="AD222" s="163"/>
      <c r="AE222" s="163"/>
      <c r="AF222" s="164"/>
      <c r="AG222" s="141"/>
      <c r="AH222" s="163"/>
      <c r="AI222" s="163"/>
      <c r="AJ222" s="164"/>
      <c r="AK222" s="126"/>
      <c r="AL222" s="72"/>
      <c r="AM222" s="72"/>
      <c r="AN222" s="127"/>
      <c r="AO222" s="126"/>
      <c r="AP222" s="72"/>
      <c r="AQ222" s="72"/>
      <c r="AR222" s="127"/>
      <c r="AS222" s="256" t="s">
        <v>757</v>
      </c>
    </row>
    <row r="223" spans="1:45" x14ac:dyDescent="0.25">
      <c r="A223" s="9">
        <v>220</v>
      </c>
      <c r="B223" s="9" t="s">
        <v>28</v>
      </c>
      <c r="C223" s="9" t="s">
        <v>753</v>
      </c>
      <c r="D223" s="25" t="s">
        <v>754</v>
      </c>
      <c r="E223" s="25"/>
      <c r="F223" s="28" t="s">
        <v>827</v>
      </c>
      <c r="G223" s="25"/>
      <c r="H223" s="25" t="s">
        <v>31</v>
      </c>
      <c r="I223" s="25"/>
      <c r="J223" s="25"/>
      <c r="K223" s="25">
        <v>1.6E-2</v>
      </c>
      <c r="L223" s="25">
        <v>1.6E-2</v>
      </c>
      <c r="M223" s="25" t="s">
        <v>812</v>
      </c>
      <c r="N223" s="25" t="s">
        <v>33</v>
      </c>
      <c r="O223" s="25">
        <f t="shared" si="20"/>
        <v>0.48</v>
      </c>
      <c r="P223" s="25">
        <f t="shared" si="21"/>
        <v>0.55999999999999994</v>
      </c>
      <c r="Q223" s="25">
        <f t="shared" si="22"/>
        <v>0.32000000000000006</v>
      </c>
      <c r="R223" s="25">
        <f t="shared" si="23"/>
        <v>0.24</v>
      </c>
      <c r="S223" s="38">
        <v>1.6</v>
      </c>
      <c r="T223" s="252">
        <v>105991.94</v>
      </c>
      <c r="U223" s="31">
        <v>1695.87104</v>
      </c>
      <c r="V223" s="9"/>
      <c r="W223" s="9"/>
      <c r="X223" s="25" t="s">
        <v>830</v>
      </c>
      <c r="Y223" s="25">
        <v>70796</v>
      </c>
      <c r="Z223" s="19" t="s">
        <v>755</v>
      </c>
      <c r="AA223" s="15" t="s">
        <v>827</v>
      </c>
      <c r="AB223" s="16">
        <v>4</v>
      </c>
      <c r="AC223" s="141"/>
      <c r="AD223" s="163"/>
      <c r="AE223" s="163"/>
      <c r="AF223" s="164"/>
      <c r="AG223" s="141"/>
      <c r="AH223" s="163"/>
      <c r="AI223" s="163"/>
      <c r="AJ223" s="164"/>
      <c r="AK223" s="126"/>
      <c r="AL223" s="72"/>
      <c r="AM223" s="72"/>
      <c r="AN223" s="127"/>
      <c r="AO223" s="126"/>
      <c r="AP223" s="72"/>
      <c r="AQ223" s="72"/>
      <c r="AR223" s="127"/>
      <c r="AS223" s="256" t="s">
        <v>757</v>
      </c>
    </row>
    <row r="224" spans="1:45" x14ac:dyDescent="0.25">
      <c r="A224" s="9">
        <v>221</v>
      </c>
      <c r="B224" s="9" t="s">
        <v>28</v>
      </c>
      <c r="C224" s="9" t="s">
        <v>753</v>
      </c>
      <c r="D224" s="25" t="s">
        <v>754</v>
      </c>
      <c r="E224" s="25"/>
      <c r="F224" s="28" t="s">
        <v>827</v>
      </c>
      <c r="G224" s="25"/>
      <c r="H224" s="25" t="s">
        <v>31</v>
      </c>
      <c r="I224" s="25"/>
      <c r="J224" s="25"/>
      <c r="K224" s="25">
        <v>1.7000000000000001E-2</v>
      </c>
      <c r="L224" s="25">
        <v>1.7000000000000001E-2</v>
      </c>
      <c r="M224" s="25" t="s">
        <v>812</v>
      </c>
      <c r="N224" s="25" t="s">
        <v>33</v>
      </c>
      <c r="O224" s="25">
        <f t="shared" si="20"/>
        <v>0.51</v>
      </c>
      <c r="P224" s="25">
        <f t="shared" si="21"/>
        <v>0.59499999999999997</v>
      </c>
      <c r="Q224" s="25">
        <f t="shared" si="22"/>
        <v>0.34000000000000008</v>
      </c>
      <c r="R224" s="25">
        <f t="shared" si="23"/>
        <v>0.255</v>
      </c>
      <c r="S224" s="38">
        <v>1.7000000000000002</v>
      </c>
      <c r="T224" s="252">
        <v>105991.94</v>
      </c>
      <c r="U224" s="31">
        <v>1801.8629800000001</v>
      </c>
      <c r="V224" s="9"/>
      <c r="W224" s="9"/>
      <c r="X224" s="25" t="s">
        <v>831</v>
      </c>
      <c r="Y224" s="25">
        <v>70796</v>
      </c>
      <c r="Z224" s="19" t="s">
        <v>755</v>
      </c>
      <c r="AA224" s="15" t="s">
        <v>827</v>
      </c>
      <c r="AB224" s="16">
        <v>5</v>
      </c>
      <c r="AC224" s="141"/>
      <c r="AD224" s="163"/>
      <c r="AE224" s="163"/>
      <c r="AF224" s="164"/>
      <c r="AG224" s="141"/>
      <c r="AH224" s="163"/>
      <c r="AI224" s="163"/>
      <c r="AJ224" s="164"/>
      <c r="AK224" s="126"/>
      <c r="AL224" s="72"/>
      <c r="AM224" s="72"/>
      <c r="AN224" s="127"/>
      <c r="AO224" s="126"/>
      <c r="AP224" s="72"/>
      <c r="AQ224" s="72"/>
      <c r="AR224" s="127"/>
      <c r="AS224" s="256" t="s">
        <v>757</v>
      </c>
    </row>
    <row r="225" spans="1:45" x14ac:dyDescent="0.25">
      <c r="A225" s="9">
        <v>222</v>
      </c>
      <c r="B225" s="9" t="s">
        <v>28</v>
      </c>
      <c r="C225" s="9" t="s">
        <v>753</v>
      </c>
      <c r="D225" s="25" t="s">
        <v>754</v>
      </c>
      <c r="E225" s="25"/>
      <c r="F225" s="28" t="s">
        <v>827</v>
      </c>
      <c r="G225" s="25"/>
      <c r="H225" s="25" t="s">
        <v>31</v>
      </c>
      <c r="I225" s="25"/>
      <c r="J225" s="25"/>
      <c r="K225" s="25">
        <v>1.7000000000000001E-2</v>
      </c>
      <c r="L225" s="25">
        <v>1.7000000000000001E-2</v>
      </c>
      <c r="M225" s="25" t="s">
        <v>812</v>
      </c>
      <c r="N225" s="25" t="s">
        <v>33</v>
      </c>
      <c r="O225" s="25">
        <f t="shared" si="20"/>
        <v>0.51</v>
      </c>
      <c r="P225" s="25">
        <f t="shared" si="21"/>
        <v>0.59499999999999997</v>
      </c>
      <c r="Q225" s="25">
        <f t="shared" si="22"/>
        <v>0.34000000000000008</v>
      </c>
      <c r="R225" s="25">
        <f t="shared" si="23"/>
        <v>0.255</v>
      </c>
      <c r="S225" s="38">
        <v>1.7000000000000002</v>
      </c>
      <c r="T225" s="252">
        <v>105991.94</v>
      </c>
      <c r="U225" s="31">
        <v>1801.8629800000001</v>
      </c>
      <c r="V225" s="9"/>
      <c r="W225" s="9"/>
      <c r="X225" s="25" t="s">
        <v>831</v>
      </c>
      <c r="Y225" s="25">
        <v>70796</v>
      </c>
      <c r="Z225" s="19" t="s">
        <v>755</v>
      </c>
      <c r="AA225" s="15" t="s">
        <v>827</v>
      </c>
      <c r="AB225" s="16">
        <v>6</v>
      </c>
      <c r="AC225" s="141"/>
      <c r="AD225" s="163"/>
      <c r="AE225" s="163"/>
      <c r="AF225" s="164"/>
      <c r="AG225" s="141"/>
      <c r="AH225" s="163"/>
      <c r="AI225" s="163"/>
      <c r="AJ225" s="164"/>
      <c r="AK225" s="126"/>
      <c r="AL225" s="72"/>
      <c r="AM225" s="72"/>
      <c r="AN225" s="127"/>
      <c r="AO225" s="126"/>
      <c r="AP225" s="72"/>
      <c r="AQ225" s="72"/>
      <c r="AR225" s="127"/>
      <c r="AS225" s="256" t="s">
        <v>757</v>
      </c>
    </row>
    <row r="226" spans="1:45" x14ac:dyDescent="0.25">
      <c r="A226" s="9">
        <v>223</v>
      </c>
      <c r="B226" s="9" t="s">
        <v>28</v>
      </c>
      <c r="C226" s="9" t="s">
        <v>753</v>
      </c>
      <c r="D226" s="25" t="s">
        <v>754</v>
      </c>
      <c r="E226" s="25"/>
      <c r="F226" s="28" t="s">
        <v>827</v>
      </c>
      <c r="G226" s="25"/>
      <c r="H226" s="25" t="s">
        <v>31</v>
      </c>
      <c r="I226" s="25"/>
      <c r="J226" s="25"/>
      <c r="K226" s="25">
        <v>1.7000000000000001E-2</v>
      </c>
      <c r="L226" s="25">
        <v>1.7000000000000001E-2</v>
      </c>
      <c r="M226" s="25" t="s">
        <v>812</v>
      </c>
      <c r="N226" s="25" t="s">
        <v>33</v>
      </c>
      <c r="O226" s="25">
        <f t="shared" si="20"/>
        <v>0.51</v>
      </c>
      <c r="P226" s="25">
        <f t="shared" si="21"/>
        <v>0.59499999999999997</v>
      </c>
      <c r="Q226" s="25">
        <f t="shared" si="22"/>
        <v>0.34000000000000008</v>
      </c>
      <c r="R226" s="25">
        <f t="shared" si="23"/>
        <v>0.255</v>
      </c>
      <c r="S226" s="38">
        <v>1.7000000000000002</v>
      </c>
      <c r="T226" s="252">
        <v>105991.94</v>
      </c>
      <c r="U226" s="31">
        <v>1801.8629800000001</v>
      </c>
      <c r="V226" s="9"/>
      <c r="W226" s="9"/>
      <c r="X226" s="25" t="s">
        <v>831</v>
      </c>
      <c r="Y226" s="25">
        <v>70796</v>
      </c>
      <c r="Z226" s="19" t="s">
        <v>755</v>
      </c>
      <c r="AA226" s="15" t="s">
        <v>827</v>
      </c>
      <c r="AB226" s="16">
        <v>7</v>
      </c>
      <c r="AC226" s="141"/>
      <c r="AD226" s="163"/>
      <c r="AE226" s="163"/>
      <c r="AF226" s="164"/>
      <c r="AG226" s="141"/>
      <c r="AH226" s="163"/>
      <c r="AI226" s="163"/>
      <c r="AJ226" s="164"/>
      <c r="AK226" s="126"/>
      <c r="AL226" s="72"/>
      <c r="AM226" s="72"/>
      <c r="AN226" s="127"/>
      <c r="AO226" s="126"/>
      <c r="AP226" s="72"/>
      <c r="AQ226" s="72"/>
      <c r="AR226" s="127"/>
      <c r="AS226" s="256" t="s">
        <v>757</v>
      </c>
    </row>
    <row r="227" spans="1:45" x14ac:dyDescent="0.25">
      <c r="A227" s="9">
        <v>224</v>
      </c>
      <c r="B227" s="9" t="s">
        <v>28</v>
      </c>
      <c r="C227" s="9" t="s">
        <v>753</v>
      </c>
      <c r="D227" s="25" t="s">
        <v>754</v>
      </c>
      <c r="E227" s="25"/>
      <c r="F227" s="28" t="s">
        <v>827</v>
      </c>
      <c r="G227" s="25"/>
      <c r="H227" s="25" t="s">
        <v>31</v>
      </c>
      <c r="I227" s="25"/>
      <c r="J227" s="25"/>
      <c r="K227" s="25">
        <v>1.7000000000000001E-2</v>
      </c>
      <c r="L227" s="25">
        <v>1.7000000000000001E-2</v>
      </c>
      <c r="M227" s="25" t="s">
        <v>812</v>
      </c>
      <c r="N227" s="25" t="s">
        <v>33</v>
      </c>
      <c r="O227" s="25">
        <f t="shared" si="20"/>
        <v>0.51</v>
      </c>
      <c r="P227" s="25">
        <f t="shared" si="21"/>
        <v>0.59499999999999997</v>
      </c>
      <c r="Q227" s="25">
        <f t="shared" si="22"/>
        <v>0.34000000000000008</v>
      </c>
      <c r="R227" s="25">
        <f t="shared" si="23"/>
        <v>0.255</v>
      </c>
      <c r="S227" s="38">
        <v>1.7000000000000002</v>
      </c>
      <c r="T227" s="252">
        <v>105991.94</v>
      </c>
      <c r="U227" s="31">
        <v>1801.8629800000001</v>
      </c>
      <c r="V227" s="9"/>
      <c r="W227" s="9"/>
      <c r="X227" s="25" t="s">
        <v>831</v>
      </c>
      <c r="Y227" s="25">
        <v>70796</v>
      </c>
      <c r="Z227" s="19" t="s">
        <v>755</v>
      </c>
      <c r="AA227" s="15" t="s">
        <v>827</v>
      </c>
      <c r="AB227" s="16">
        <v>8</v>
      </c>
      <c r="AC227" s="141"/>
      <c r="AD227" s="163"/>
      <c r="AE227" s="163"/>
      <c r="AF227" s="164"/>
      <c r="AG227" s="141"/>
      <c r="AH227" s="163"/>
      <c r="AI227" s="163"/>
      <c r="AJ227" s="164"/>
      <c r="AK227" s="126"/>
      <c r="AL227" s="72"/>
      <c r="AM227" s="72"/>
      <c r="AN227" s="127"/>
      <c r="AO227" s="126"/>
      <c r="AP227" s="72"/>
      <c r="AQ227" s="72"/>
      <c r="AR227" s="127"/>
      <c r="AS227" s="256" t="s">
        <v>757</v>
      </c>
    </row>
    <row r="228" spans="1:45" x14ac:dyDescent="0.25">
      <c r="A228" s="9">
        <v>225</v>
      </c>
      <c r="B228" s="9" t="s">
        <v>28</v>
      </c>
      <c r="C228" s="9" t="s">
        <v>753</v>
      </c>
      <c r="D228" s="25" t="s">
        <v>754</v>
      </c>
      <c r="E228" s="25"/>
      <c r="F228" s="28" t="s">
        <v>827</v>
      </c>
      <c r="G228" s="25"/>
      <c r="H228" s="25" t="s">
        <v>31</v>
      </c>
      <c r="I228" s="25"/>
      <c r="J228" s="25"/>
      <c r="K228" s="25">
        <v>1.7000000000000001E-2</v>
      </c>
      <c r="L228" s="25">
        <v>1.7000000000000001E-2</v>
      </c>
      <c r="M228" s="25" t="s">
        <v>812</v>
      </c>
      <c r="N228" s="25" t="s">
        <v>33</v>
      </c>
      <c r="O228" s="25">
        <f t="shared" si="20"/>
        <v>0.51</v>
      </c>
      <c r="P228" s="25">
        <f t="shared" si="21"/>
        <v>0.59499999999999997</v>
      </c>
      <c r="Q228" s="25">
        <f t="shared" si="22"/>
        <v>0.34000000000000008</v>
      </c>
      <c r="R228" s="25">
        <f t="shared" si="23"/>
        <v>0.255</v>
      </c>
      <c r="S228" s="38">
        <v>1.7000000000000002</v>
      </c>
      <c r="T228" s="252">
        <v>105991.94</v>
      </c>
      <c r="U228" s="31">
        <v>1801.8629800000001</v>
      </c>
      <c r="V228" s="9"/>
      <c r="W228" s="9"/>
      <c r="X228" s="25" t="s">
        <v>831</v>
      </c>
      <c r="Y228" s="25">
        <v>70796</v>
      </c>
      <c r="Z228" s="19" t="s">
        <v>755</v>
      </c>
      <c r="AA228" s="15" t="s">
        <v>827</v>
      </c>
      <c r="AB228" s="16">
        <v>9</v>
      </c>
      <c r="AC228" s="141"/>
      <c r="AD228" s="163"/>
      <c r="AE228" s="163"/>
      <c r="AF228" s="164"/>
      <c r="AG228" s="141"/>
      <c r="AH228" s="163"/>
      <c r="AI228" s="163"/>
      <c r="AJ228" s="164"/>
      <c r="AK228" s="126"/>
      <c r="AL228" s="72"/>
      <c r="AM228" s="72"/>
      <c r="AN228" s="127"/>
      <c r="AO228" s="126"/>
      <c r="AP228" s="72"/>
      <c r="AQ228" s="72"/>
      <c r="AR228" s="127"/>
      <c r="AS228" s="256" t="s">
        <v>757</v>
      </c>
    </row>
    <row r="229" spans="1:45" x14ac:dyDescent="0.25">
      <c r="A229" s="9">
        <v>226</v>
      </c>
      <c r="B229" s="9" t="s">
        <v>28</v>
      </c>
      <c r="C229" s="9" t="s">
        <v>753</v>
      </c>
      <c r="D229" s="25" t="s">
        <v>754</v>
      </c>
      <c r="E229" s="25"/>
      <c r="F229" s="28" t="s">
        <v>827</v>
      </c>
      <c r="G229" s="25"/>
      <c r="H229" s="25" t="s">
        <v>31</v>
      </c>
      <c r="I229" s="25"/>
      <c r="J229" s="25"/>
      <c r="K229" s="25">
        <v>1.7000000000000001E-2</v>
      </c>
      <c r="L229" s="25">
        <v>1.7000000000000001E-2</v>
      </c>
      <c r="M229" s="25" t="s">
        <v>812</v>
      </c>
      <c r="N229" s="25" t="s">
        <v>33</v>
      </c>
      <c r="O229" s="25">
        <f t="shared" si="20"/>
        <v>0.51</v>
      </c>
      <c r="P229" s="25">
        <f t="shared" si="21"/>
        <v>0.59499999999999997</v>
      </c>
      <c r="Q229" s="25">
        <f t="shared" si="22"/>
        <v>0.34000000000000008</v>
      </c>
      <c r="R229" s="25">
        <f t="shared" si="23"/>
        <v>0.255</v>
      </c>
      <c r="S229" s="38">
        <v>1.7000000000000002</v>
      </c>
      <c r="T229" s="252">
        <v>105991.94</v>
      </c>
      <c r="U229" s="31">
        <v>1801.8629800000001</v>
      </c>
      <c r="V229" s="9"/>
      <c r="W229" s="9"/>
      <c r="X229" s="25" t="s">
        <v>831</v>
      </c>
      <c r="Y229" s="25">
        <v>70796</v>
      </c>
      <c r="Z229" s="19" t="s">
        <v>755</v>
      </c>
      <c r="AA229" s="15" t="s">
        <v>827</v>
      </c>
      <c r="AB229" s="16">
        <v>10</v>
      </c>
      <c r="AC229" s="141"/>
      <c r="AD229" s="163"/>
      <c r="AE229" s="163"/>
      <c r="AF229" s="164"/>
      <c r="AG229" s="141"/>
      <c r="AH229" s="163"/>
      <c r="AI229" s="163"/>
      <c r="AJ229" s="164"/>
      <c r="AK229" s="126"/>
      <c r="AL229" s="72"/>
      <c r="AM229" s="72"/>
      <c r="AN229" s="127"/>
      <c r="AO229" s="126"/>
      <c r="AP229" s="72"/>
      <c r="AQ229" s="72"/>
      <c r="AR229" s="127"/>
      <c r="AS229" s="256" t="s">
        <v>757</v>
      </c>
    </row>
    <row r="230" spans="1:45" x14ac:dyDescent="0.25">
      <c r="A230" s="9">
        <v>227</v>
      </c>
      <c r="B230" s="9" t="s">
        <v>28</v>
      </c>
      <c r="C230" s="9" t="s">
        <v>753</v>
      </c>
      <c r="D230" s="25" t="s">
        <v>754</v>
      </c>
      <c r="E230" s="25"/>
      <c r="F230" s="28" t="s">
        <v>827</v>
      </c>
      <c r="G230" s="25"/>
      <c r="H230" s="25" t="s">
        <v>31</v>
      </c>
      <c r="I230" s="25"/>
      <c r="J230" s="25"/>
      <c r="K230" s="25">
        <v>1.7000000000000001E-2</v>
      </c>
      <c r="L230" s="25">
        <v>1.7000000000000001E-2</v>
      </c>
      <c r="M230" s="25" t="s">
        <v>812</v>
      </c>
      <c r="N230" s="25" t="s">
        <v>33</v>
      </c>
      <c r="O230" s="25">
        <f t="shared" si="20"/>
        <v>0.51</v>
      </c>
      <c r="P230" s="25">
        <f t="shared" si="21"/>
        <v>0.59499999999999997</v>
      </c>
      <c r="Q230" s="25">
        <f t="shared" si="22"/>
        <v>0.34000000000000008</v>
      </c>
      <c r="R230" s="25">
        <f t="shared" si="23"/>
        <v>0.255</v>
      </c>
      <c r="S230" s="38">
        <v>1.7000000000000002</v>
      </c>
      <c r="T230" s="252">
        <v>105991.94</v>
      </c>
      <c r="U230" s="31">
        <v>1801.8629800000001</v>
      </c>
      <c r="V230" s="9"/>
      <c r="W230" s="9"/>
      <c r="X230" s="25" t="s">
        <v>831</v>
      </c>
      <c r="Y230" s="25">
        <v>70796</v>
      </c>
      <c r="Z230" s="19" t="s">
        <v>755</v>
      </c>
      <c r="AA230" s="15" t="s">
        <v>827</v>
      </c>
      <c r="AB230" s="16">
        <v>11</v>
      </c>
      <c r="AC230" s="141"/>
      <c r="AD230" s="163"/>
      <c r="AE230" s="163"/>
      <c r="AF230" s="164"/>
      <c r="AG230" s="141"/>
      <c r="AH230" s="163"/>
      <c r="AI230" s="163"/>
      <c r="AJ230" s="164"/>
      <c r="AK230" s="126"/>
      <c r="AL230" s="72"/>
      <c r="AM230" s="72"/>
      <c r="AN230" s="127"/>
      <c r="AO230" s="126"/>
      <c r="AP230" s="72"/>
      <c r="AQ230" s="72"/>
      <c r="AR230" s="127"/>
      <c r="AS230" s="256" t="s">
        <v>757</v>
      </c>
    </row>
    <row r="231" spans="1:45" x14ac:dyDescent="0.25">
      <c r="A231" s="9">
        <v>228</v>
      </c>
      <c r="B231" s="9" t="s">
        <v>28</v>
      </c>
      <c r="C231" s="9" t="s">
        <v>753</v>
      </c>
      <c r="D231" s="25" t="s">
        <v>754</v>
      </c>
      <c r="E231" s="25"/>
      <c r="F231" s="28" t="s">
        <v>827</v>
      </c>
      <c r="G231" s="25"/>
      <c r="H231" s="25" t="s">
        <v>31</v>
      </c>
      <c r="I231" s="25"/>
      <c r="J231" s="25"/>
      <c r="K231" s="25">
        <v>1.7000000000000001E-2</v>
      </c>
      <c r="L231" s="25">
        <v>1.7000000000000001E-2</v>
      </c>
      <c r="M231" s="25" t="s">
        <v>812</v>
      </c>
      <c r="N231" s="25" t="s">
        <v>33</v>
      </c>
      <c r="O231" s="25">
        <f t="shared" si="20"/>
        <v>0.51</v>
      </c>
      <c r="P231" s="25">
        <f t="shared" si="21"/>
        <v>0.59499999999999997</v>
      </c>
      <c r="Q231" s="25">
        <f t="shared" si="22"/>
        <v>0.34000000000000008</v>
      </c>
      <c r="R231" s="25">
        <f t="shared" si="23"/>
        <v>0.255</v>
      </c>
      <c r="S231" s="38">
        <v>1.7000000000000002</v>
      </c>
      <c r="T231" s="252">
        <v>105991.94</v>
      </c>
      <c r="U231" s="31">
        <v>1801.8629800000001</v>
      </c>
      <c r="V231" s="9"/>
      <c r="W231" s="9"/>
      <c r="X231" s="25" t="s">
        <v>831</v>
      </c>
      <c r="Y231" s="25">
        <v>70796</v>
      </c>
      <c r="Z231" s="19" t="s">
        <v>755</v>
      </c>
      <c r="AA231" s="15" t="s">
        <v>827</v>
      </c>
      <c r="AB231" s="16">
        <v>12</v>
      </c>
      <c r="AC231" s="141"/>
      <c r="AD231" s="163"/>
      <c r="AE231" s="163"/>
      <c r="AF231" s="164"/>
      <c r="AG231" s="141"/>
      <c r="AH231" s="163"/>
      <c r="AI231" s="163"/>
      <c r="AJ231" s="164"/>
      <c r="AK231" s="126"/>
      <c r="AL231" s="72"/>
      <c r="AM231" s="72"/>
      <c r="AN231" s="127"/>
      <c r="AO231" s="126"/>
      <c r="AP231" s="72"/>
      <c r="AQ231" s="72"/>
      <c r="AR231" s="127"/>
      <c r="AS231" s="256" t="s">
        <v>757</v>
      </c>
    </row>
    <row r="232" spans="1:45" x14ac:dyDescent="0.25">
      <c r="A232" s="9">
        <v>229</v>
      </c>
      <c r="B232" s="9" t="s">
        <v>28</v>
      </c>
      <c r="C232" s="9" t="s">
        <v>753</v>
      </c>
      <c r="D232" s="25" t="s">
        <v>754</v>
      </c>
      <c r="E232" s="25"/>
      <c r="F232" s="28" t="s">
        <v>827</v>
      </c>
      <c r="G232" s="25"/>
      <c r="H232" s="25" t="s">
        <v>31</v>
      </c>
      <c r="I232" s="25"/>
      <c r="J232" s="25"/>
      <c r="K232" s="25">
        <v>1.7000000000000001E-2</v>
      </c>
      <c r="L232" s="25">
        <v>1.7000000000000001E-2</v>
      </c>
      <c r="M232" s="25" t="s">
        <v>812</v>
      </c>
      <c r="N232" s="25" t="s">
        <v>33</v>
      </c>
      <c r="O232" s="25">
        <f t="shared" si="20"/>
        <v>0.51</v>
      </c>
      <c r="P232" s="25">
        <f t="shared" si="21"/>
        <v>0.59499999999999997</v>
      </c>
      <c r="Q232" s="25">
        <f t="shared" si="22"/>
        <v>0.34000000000000008</v>
      </c>
      <c r="R232" s="25">
        <f t="shared" si="23"/>
        <v>0.255</v>
      </c>
      <c r="S232" s="38">
        <v>1.7000000000000002</v>
      </c>
      <c r="T232" s="252">
        <v>105991.94</v>
      </c>
      <c r="U232" s="31">
        <v>1801.8629800000001</v>
      </c>
      <c r="V232" s="9"/>
      <c r="W232" s="9"/>
      <c r="X232" s="25" t="s">
        <v>831</v>
      </c>
      <c r="Y232" s="25">
        <v>70796</v>
      </c>
      <c r="Z232" s="19" t="s">
        <v>755</v>
      </c>
      <c r="AA232" s="15" t="s">
        <v>827</v>
      </c>
      <c r="AB232" s="16">
        <v>13</v>
      </c>
      <c r="AC232" s="141"/>
      <c r="AD232" s="163"/>
      <c r="AE232" s="163"/>
      <c r="AF232" s="164"/>
      <c r="AG232" s="141"/>
      <c r="AH232" s="163"/>
      <c r="AI232" s="163"/>
      <c r="AJ232" s="164"/>
      <c r="AK232" s="126"/>
      <c r="AL232" s="72"/>
      <c r="AM232" s="72"/>
      <c r="AN232" s="127"/>
      <c r="AO232" s="126"/>
      <c r="AP232" s="72"/>
      <c r="AQ232" s="72"/>
      <c r="AR232" s="127"/>
      <c r="AS232" s="256" t="s">
        <v>757</v>
      </c>
    </row>
    <row r="233" spans="1:45" x14ac:dyDescent="0.25">
      <c r="A233" s="9">
        <v>230</v>
      </c>
      <c r="B233" s="9" t="s">
        <v>28</v>
      </c>
      <c r="C233" s="9" t="s">
        <v>753</v>
      </c>
      <c r="D233" s="25" t="s">
        <v>754</v>
      </c>
      <c r="E233" s="25"/>
      <c r="F233" s="28" t="s">
        <v>827</v>
      </c>
      <c r="G233" s="25"/>
      <c r="H233" s="25" t="s">
        <v>31</v>
      </c>
      <c r="I233" s="25"/>
      <c r="J233" s="25"/>
      <c r="K233" s="25">
        <v>1.7000000000000001E-2</v>
      </c>
      <c r="L233" s="25">
        <v>1.7000000000000001E-2</v>
      </c>
      <c r="M233" s="25" t="s">
        <v>812</v>
      </c>
      <c r="N233" s="25" t="s">
        <v>33</v>
      </c>
      <c r="O233" s="25">
        <f t="shared" si="20"/>
        <v>0.51</v>
      </c>
      <c r="P233" s="25">
        <f t="shared" si="21"/>
        <v>0.59499999999999997</v>
      </c>
      <c r="Q233" s="25">
        <f t="shared" si="22"/>
        <v>0.34000000000000008</v>
      </c>
      <c r="R233" s="25">
        <f t="shared" si="23"/>
        <v>0.255</v>
      </c>
      <c r="S233" s="38">
        <v>1.7000000000000002</v>
      </c>
      <c r="T233" s="252">
        <v>105991.94</v>
      </c>
      <c r="U233" s="31">
        <v>1801.8629800000001</v>
      </c>
      <c r="V233" s="9"/>
      <c r="W233" s="9"/>
      <c r="X233" s="25" t="s">
        <v>831</v>
      </c>
      <c r="Y233" s="25">
        <v>70796</v>
      </c>
      <c r="Z233" s="19" t="s">
        <v>755</v>
      </c>
      <c r="AA233" s="15" t="s">
        <v>827</v>
      </c>
      <c r="AB233" s="16">
        <v>14</v>
      </c>
      <c r="AC233" s="141"/>
      <c r="AD233" s="163"/>
      <c r="AE233" s="163"/>
      <c r="AF233" s="164"/>
      <c r="AG233" s="141"/>
      <c r="AH233" s="163"/>
      <c r="AI233" s="163"/>
      <c r="AJ233" s="164"/>
      <c r="AK233" s="126"/>
      <c r="AL233" s="72"/>
      <c r="AM233" s="72"/>
      <c r="AN233" s="127"/>
      <c r="AO233" s="126"/>
      <c r="AP233" s="72"/>
      <c r="AQ233" s="72"/>
      <c r="AR233" s="127"/>
      <c r="AS233" s="256" t="s">
        <v>757</v>
      </c>
    </row>
    <row r="234" spans="1:45" x14ac:dyDescent="0.25">
      <c r="A234" s="9">
        <v>231</v>
      </c>
      <c r="B234" s="9" t="s">
        <v>28</v>
      </c>
      <c r="C234" s="9" t="s">
        <v>753</v>
      </c>
      <c r="D234" s="25" t="s">
        <v>754</v>
      </c>
      <c r="E234" s="25"/>
      <c r="F234" s="28" t="s">
        <v>827</v>
      </c>
      <c r="G234" s="25"/>
      <c r="H234" s="25" t="s">
        <v>31</v>
      </c>
      <c r="I234" s="25"/>
      <c r="J234" s="25"/>
      <c r="K234" s="25">
        <v>1.7000000000000001E-2</v>
      </c>
      <c r="L234" s="25">
        <v>1.7000000000000001E-2</v>
      </c>
      <c r="M234" s="25" t="s">
        <v>812</v>
      </c>
      <c r="N234" s="25" t="s">
        <v>33</v>
      </c>
      <c r="O234" s="25">
        <f t="shared" si="20"/>
        <v>0.51</v>
      </c>
      <c r="P234" s="25">
        <f t="shared" si="21"/>
        <v>0.59499999999999997</v>
      </c>
      <c r="Q234" s="25">
        <f t="shared" si="22"/>
        <v>0.34000000000000008</v>
      </c>
      <c r="R234" s="25">
        <f t="shared" si="23"/>
        <v>0.255</v>
      </c>
      <c r="S234" s="38">
        <v>1.7000000000000002</v>
      </c>
      <c r="T234" s="252">
        <v>105991.94</v>
      </c>
      <c r="U234" s="31">
        <v>1801.8629800000001</v>
      </c>
      <c r="V234" s="9"/>
      <c r="W234" s="9"/>
      <c r="X234" s="25" t="s">
        <v>831</v>
      </c>
      <c r="Y234" s="25">
        <v>70796</v>
      </c>
      <c r="Z234" s="19" t="s">
        <v>755</v>
      </c>
      <c r="AA234" s="15" t="s">
        <v>827</v>
      </c>
      <c r="AB234" s="16">
        <v>15</v>
      </c>
      <c r="AC234" s="141"/>
      <c r="AD234" s="163"/>
      <c r="AE234" s="163"/>
      <c r="AF234" s="164"/>
      <c r="AG234" s="141"/>
      <c r="AH234" s="163"/>
      <c r="AI234" s="163"/>
      <c r="AJ234" s="164"/>
      <c r="AK234" s="126"/>
      <c r="AL234" s="72"/>
      <c r="AM234" s="72"/>
      <c r="AN234" s="127"/>
      <c r="AO234" s="126"/>
      <c r="AP234" s="72"/>
      <c r="AQ234" s="72"/>
      <c r="AR234" s="127"/>
      <c r="AS234" s="256" t="s">
        <v>757</v>
      </c>
    </row>
    <row r="235" spans="1:45" x14ac:dyDescent="0.25">
      <c r="A235" s="9">
        <v>232</v>
      </c>
      <c r="B235" s="9" t="s">
        <v>28</v>
      </c>
      <c r="C235" s="9" t="s">
        <v>753</v>
      </c>
      <c r="D235" s="25" t="s">
        <v>754</v>
      </c>
      <c r="E235" s="25"/>
      <c r="F235" s="28" t="s">
        <v>827</v>
      </c>
      <c r="G235" s="25"/>
      <c r="H235" s="25" t="s">
        <v>31</v>
      </c>
      <c r="I235" s="25"/>
      <c r="J235" s="25"/>
      <c r="K235" s="25">
        <v>1.7000000000000001E-2</v>
      </c>
      <c r="L235" s="25">
        <v>1.7000000000000001E-2</v>
      </c>
      <c r="M235" s="25" t="s">
        <v>812</v>
      </c>
      <c r="N235" s="25" t="s">
        <v>33</v>
      </c>
      <c r="O235" s="25">
        <f t="shared" si="20"/>
        <v>0.51</v>
      </c>
      <c r="P235" s="25">
        <f t="shared" si="21"/>
        <v>0.59499999999999997</v>
      </c>
      <c r="Q235" s="25">
        <f t="shared" si="22"/>
        <v>0.34000000000000008</v>
      </c>
      <c r="R235" s="25">
        <f t="shared" si="23"/>
        <v>0.255</v>
      </c>
      <c r="S235" s="38">
        <v>1.7000000000000002</v>
      </c>
      <c r="T235" s="252">
        <v>105991.94</v>
      </c>
      <c r="U235" s="31">
        <v>1801.8629800000001</v>
      </c>
      <c r="V235" s="9"/>
      <c r="W235" s="9"/>
      <c r="X235" s="25" t="s">
        <v>831</v>
      </c>
      <c r="Y235" s="25">
        <v>70796</v>
      </c>
      <c r="Z235" s="19" t="s">
        <v>755</v>
      </c>
      <c r="AA235" s="15" t="s">
        <v>827</v>
      </c>
      <c r="AB235" s="16">
        <v>16</v>
      </c>
      <c r="AC235" s="141"/>
      <c r="AD235" s="163"/>
      <c r="AE235" s="163"/>
      <c r="AF235" s="164"/>
      <c r="AG235" s="141"/>
      <c r="AH235" s="163"/>
      <c r="AI235" s="163"/>
      <c r="AJ235" s="164"/>
      <c r="AK235" s="126"/>
      <c r="AL235" s="72"/>
      <c r="AM235" s="72"/>
      <c r="AN235" s="127"/>
      <c r="AO235" s="126"/>
      <c r="AP235" s="72"/>
      <c r="AQ235" s="72"/>
      <c r="AR235" s="127"/>
      <c r="AS235" s="256" t="s">
        <v>757</v>
      </c>
    </row>
    <row r="236" spans="1:45" x14ac:dyDescent="0.25">
      <c r="A236" s="9">
        <v>233</v>
      </c>
      <c r="B236" s="9" t="s">
        <v>28</v>
      </c>
      <c r="C236" s="9" t="s">
        <v>753</v>
      </c>
      <c r="D236" s="25" t="s">
        <v>754</v>
      </c>
      <c r="E236" s="25"/>
      <c r="F236" s="28" t="s">
        <v>827</v>
      </c>
      <c r="G236" s="25"/>
      <c r="H236" s="25" t="s">
        <v>31</v>
      </c>
      <c r="I236" s="25"/>
      <c r="J236" s="25"/>
      <c r="K236" s="25">
        <v>1.4999999999999999E-2</v>
      </c>
      <c r="L236" s="25">
        <v>1.4999999999999999E-2</v>
      </c>
      <c r="M236" s="25" t="s">
        <v>812</v>
      </c>
      <c r="N236" s="25" t="s">
        <v>33</v>
      </c>
      <c r="O236" s="25">
        <f t="shared" si="20"/>
        <v>0.44999999999999996</v>
      </c>
      <c r="P236" s="25">
        <f t="shared" si="21"/>
        <v>0.52499999999999991</v>
      </c>
      <c r="Q236" s="25">
        <f t="shared" si="22"/>
        <v>0.30000000000000004</v>
      </c>
      <c r="R236" s="25">
        <f t="shared" si="23"/>
        <v>0.22499999999999998</v>
      </c>
      <c r="S236" s="38">
        <v>1.5</v>
      </c>
      <c r="T236" s="252">
        <v>105991.94</v>
      </c>
      <c r="U236" s="31">
        <v>1589.8790999999999</v>
      </c>
      <c r="V236" s="9"/>
      <c r="W236" s="9"/>
      <c r="X236" s="25" t="s">
        <v>832</v>
      </c>
      <c r="Y236" s="25">
        <v>70796</v>
      </c>
      <c r="Z236" s="19" t="s">
        <v>755</v>
      </c>
      <c r="AA236" s="15" t="s">
        <v>827</v>
      </c>
      <c r="AB236" s="16">
        <v>17</v>
      </c>
      <c r="AC236" s="141"/>
      <c r="AD236" s="163"/>
      <c r="AE236" s="163"/>
      <c r="AF236" s="164"/>
      <c r="AG236" s="141"/>
      <c r="AH236" s="163"/>
      <c r="AI236" s="163"/>
      <c r="AJ236" s="164"/>
      <c r="AK236" s="126"/>
      <c r="AL236" s="72"/>
      <c r="AM236" s="72"/>
      <c r="AN236" s="127"/>
      <c r="AO236" s="126"/>
      <c r="AP236" s="72"/>
      <c r="AQ236" s="72"/>
      <c r="AR236" s="127"/>
      <c r="AS236" s="256" t="s">
        <v>757</v>
      </c>
    </row>
    <row r="237" spans="1:45" x14ac:dyDescent="0.25">
      <c r="A237" s="9">
        <v>234</v>
      </c>
      <c r="B237" s="9" t="s">
        <v>28</v>
      </c>
      <c r="C237" s="9" t="s">
        <v>753</v>
      </c>
      <c r="D237" s="25" t="s">
        <v>754</v>
      </c>
      <c r="E237" s="25"/>
      <c r="F237" s="28" t="s">
        <v>827</v>
      </c>
      <c r="G237" s="25"/>
      <c r="H237" s="25" t="s">
        <v>31</v>
      </c>
      <c r="I237" s="25"/>
      <c r="J237" s="25"/>
      <c r="K237" s="25">
        <v>1.4999999999999999E-2</v>
      </c>
      <c r="L237" s="25">
        <v>1.4999999999999999E-2</v>
      </c>
      <c r="M237" s="25" t="s">
        <v>812</v>
      </c>
      <c r="N237" s="25" t="s">
        <v>33</v>
      </c>
      <c r="O237" s="25">
        <f t="shared" si="20"/>
        <v>0.44999999999999996</v>
      </c>
      <c r="P237" s="25">
        <f t="shared" si="21"/>
        <v>0.52499999999999991</v>
      </c>
      <c r="Q237" s="25">
        <f t="shared" si="22"/>
        <v>0.30000000000000004</v>
      </c>
      <c r="R237" s="25">
        <f t="shared" si="23"/>
        <v>0.22499999999999998</v>
      </c>
      <c r="S237" s="38">
        <v>1.5</v>
      </c>
      <c r="T237" s="252">
        <v>105991.94</v>
      </c>
      <c r="U237" s="31">
        <v>1589.8790999999999</v>
      </c>
      <c r="V237" s="9"/>
      <c r="W237" s="9"/>
      <c r="X237" s="25" t="s">
        <v>832</v>
      </c>
      <c r="Y237" s="25">
        <v>70796</v>
      </c>
      <c r="Z237" s="19" t="s">
        <v>755</v>
      </c>
      <c r="AA237" s="15" t="s">
        <v>827</v>
      </c>
      <c r="AB237" s="16">
        <v>18</v>
      </c>
      <c r="AC237" s="141"/>
      <c r="AD237" s="163"/>
      <c r="AE237" s="163"/>
      <c r="AF237" s="164"/>
      <c r="AG237" s="141"/>
      <c r="AH237" s="163"/>
      <c r="AI237" s="163"/>
      <c r="AJ237" s="164"/>
      <c r="AK237" s="126"/>
      <c r="AL237" s="72"/>
      <c r="AM237" s="72"/>
      <c r="AN237" s="127"/>
      <c r="AO237" s="126"/>
      <c r="AP237" s="72"/>
      <c r="AQ237" s="72"/>
      <c r="AR237" s="127"/>
      <c r="AS237" s="256" t="s">
        <v>757</v>
      </c>
    </row>
    <row r="238" spans="1:45" x14ac:dyDescent="0.25">
      <c r="A238" s="9">
        <v>235</v>
      </c>
      <c r="B238" s="9" t="s">
        <v>28</v>
      </c>
      <c r="C238" s="9" t="s">
        <v>753</v>
      </c>
      <c r="D238" s="25" t="s">
        <v>754</v>
      </c>
      <c r="E238" s="25"/>
      <c r="F238" s="28" t="s">
        <v>827</v>
      </c>
      <c r="G238" s="25"/>
      <c r="H238" s="25" t="s">
        <v>31</v>
      </c>
      <c r="I238" s="25"/>
      <c r="J238" s="25"/>
      <c r="K238" s="25">
        <v>1.4999999999999999E-2</v>
      </c>
      <c r="L238" s="25">
        <v>1.4999999999999999E-2</v>
      </c>
      <c r="M238" s="25" t="s">
        <v>812</v>
      </c>
      <c r="N238" s="25" t="s">
        <v>33</v>
      </c>
      <c r="O238" s="25">
        <f t="shared" si="20"/>
        <v>0.44999999999999996</v>
      </c>
      <c r="P238" s="25">
        <f t="shared" si="21"/>
        <v>0.52499999999999991</v>
      </c>
      <c r="Q238" s="25">
        <f t="shared" si="22"/>
        <v>0.30000000000000004</v>
      </c>
      <c r="R238" s="25">
        <f t="shared" si="23"/>
        <v>0.22499999999999998</v>
      </c>
      <c r="S238" s="38">
        <v>1.5</v>
      </c>
      <c r="T238" s="252">
        <v>105991.94</v>
      </c>
      <c r="U238" s="31">
        <v>1589.8790999999999</v>
      </c>
      <c r="V238" s="9"/>
      <c r="W238" s="9"/>
      <c r="X238" s="25" t="s">
        <v>832</v>
      </c>
      <c r="Y238" s="25">
        <v>70796</v>
      </c>
      <c r="Z238" s="19" t="s">
        <v>755</v>
      </c>
      <c r="AA238" s="15" t="s">
        <v>827</v>
      </c>
      <c r="AB238" s="16">
        <v>19</v>
      </c>
      <c r="AC238" s="141"/>
      <c r="AD238" s="163"/>
      <c r="AE238" s="163"/>
      <c r="AF238" s="164"/>
      <c r="AG238" s="141"/>
      <c r="AH238" s="163"/>
      <c r="AI238" s="163"/>
      <c r="AJ238" s="164"/>
      <c r="AK238" s="126"/>
      <c r="AL238" s="72"/>
      <c r="AM238" s="72"/>
      <c r="AN238" s="127"/>
      <c r="AO238" s="126"/>
      <c r="AP238" s="72"/>
      <c r="AQ238" s="72"/>
      <c r="AR238" s="127"/>
      <c r="AS238" s="256" t="s">
        <v>757</v>
      </c>
    </row>
    <row r="239" spans="1:45" x14ac:dyDescent="0.25">
      <c r="A239" s="9">
        <v>236</v>
      </c>
      <c r="B239" s="9" t="s">
        <v>28</v>
      </c>
      <c r="C239" s="9" t="s">
        <v>753</v>
      </c>
      <c r="D239" s="25" t="s">
        <v>754</v>
      </c>
      <c r="E239" s="25"/>
      <c r="F239" s="28" t="s">
        <v>827</v>
      </c>
      <c r="G239" s="25"/>
      <c r="H239" s="25" t="s">
        <v>31</v>
      </c>
      <c r="I239" s="25"/>
      <c r="J239" s="25"/>
      <c r="K239" s="25">
        <v>1.6500000000000001E-2</v>
      </c>
      <c r="L239" s="25">
        <v>1.6500000000000001E-2</v>
      </c>
      <c r="M239" s="25" t="s">
        <v>812</v>
      </c>
      <c r="N239" s="25" t="s">
        <v>33</v>
      </c>
      <c r="O239" s="25">
        <f t="shared" si="20"/>
        <v>0.495</v>
      </c>
      <c r="P239" s="25">
        <f t="shared" si="21"/>
        <v>0.57750000000000001</v>
      </c>
      <c r="Q239" s="25">
        <f t="shared" si="22"/>
        <v>0.33000000000000007</v>
      </c>
      <c r="R239" s="25">
        <f t="shared" si="23"/>
        <v>0.2475</v>
      </c>
      <c r="S239" s="38">
        <v>1.6500000000000001</v>
      </c>
      <c r="T239" s="252">
        <v>105991.94</v>
      </c>
      <c r="U239" s="31">
        <v>1748.8670100000002</v>
      </c>
      <c r="V239" s="9"/>
      <c r="W239" s="9"/>
      <c r="X239" s="25" t="s">
        <v>833</v>
      </c>
      <c r="Y239" s="25">
        <v>70797</v>
      </c>
      <c r="Z239" s="19" t="s">
        <v>755</v>
      </c>
      <c r="AA239" s="15" t="s">
        <v>827</v>
      </c>
      <c r="AB239" s="16">
        <v>1</v>
      </c>
      <c r="AC239" s="141"/>
      <c r="AD239" s="163"/>
      <c r="AE239" s="163"/>
      <c r="AF239" s="164"/>
      <c r="AG239" s="141"/>
      <c r="AH239" s="163"/>
      <c r="AI239" s="163"/>
      <c r="AJ239" s="164"/>
      <c r="AK239" s="126"/>
      <c r="AL239" s="72"/>
      <c r="AM239" s="72"/>
      <c r="AN239" s="127"/>
      <c r="AO239" s="126"/>
      <c r="AP239" s="72"/>
      <c r="AQ239" s="72"/>
      <c r="AR239" s="127"/>
      <c r="AS239" s="256" t="s">
        <v>757</v>
      </c>
    </row>
    <row r="240" spans="1:45" x14ac:dyDescent="0.25">
      <c r="A240" s="9">
        <v>237</v>
      </c>
      <c r="B240" s="9" t="s">
        <v>28</v>
      </c>
      <c r="C240" s="9" t="s">
        <v>753</v>
      </c>
      <c r="D240" s="25" t="s">
        <v>754</v>
      </c>
      <c r="E240" s="25"/>
      <c r="F240" s="28" t="s">
        <v>827</v>
      </c>
      <c r="G240" s="25"/>
      <c r="H240" s="25" t="s">
        <v>31</v>
      </c>
      <c r="I240" s="25"/>
      <c r="J240" s="25"/>
      <c r="K240" s="25">
        <v>1.6500000000000001E-2</v>
      </c>
      <c r="L240" s="25">
        <v>1.6500000000000001E-2</v>
      </c>
      <c r="M240" s="25" t="s">
        <v>812</v>
      </c>
      <c r="N240" s="25" t="s">
        <v>33</v>
      </c>
      <c r="O240" s="25">
        <f t="shared" si="20"/>
        <v>0.495</v>
      </c>
      <c r="P240" s="25">
        <f t="shared" si="21"/>
        <v>0.57750000000000001</v>
      </c>
      <c r="Q240" s="25">
        <f t="shared" si="22"/>
        <v>0.33000000000000007</v>
      </c>
      <c r="R240" s="25">
        <f t="shared" si="23"/>
        <v>0.2475</v>
      </c>
      <c r="S240" s="38">
        <v>1.6500000000000001</v>
      </c>
      <c r="T240" s="252">
        <v>105991.94</v>
      </c>
      <c r="U240" s="31">
        <v>1748.8670100000002</v>
      </c>
      <c r="V240" s="9"/>
      <c r="W240" s="9"/>
      <c r="X240" s="25" t="s">
        <v>833</v>
      </c>
      <c r="Y240" s="25">
        <v>70797</v>
      </c>
      <c r="Z240" s="19" t="s">
        <v>755</v>
      </c>
      <c r="AA240" s="15" t="s">
        <v>827</v>
      </c>
      <c r="AB240" s="16">
        <v>2</v>
      </c>
      <c r="AC240" s="141"/>
      <c r="AD240" s="163"/>
      <c r="AE240" s="163"/>
      <c r="AF240" s="164"/>
      <c r="AG240" s="141"/>
      <c r="AH240" s="163"/>
      <c r="AI240" s="163"/>
      <c r="AJ240" s="164"/>
      <c r="AK240" s="126"/>
      <c r="AL240" s="72"/>
      <c r="AM240" s="72"/>
      <c r="AN240" s="127"/>
      <c r="AO240" s="126"/>
      <c r="AP240" s="72"/>
      <c r="AQ240" s="72"/>
      <c r="AR240" s="127"/>
      <c r="AS240" s="256" t="s">
        <v>757</v>
      </c>
    </row>
    <row r="241" spans="1:45" x14ac:dyDescent="0.25">
      <c r="A241" s="9">
        <v>238</v>
      </c>
      <c r="B241" s="9" t="s">
        <v>28</v>
      </c>
      <c r="C241" s="9" t="s">
        <v>753</v>
      </c>
      <c r="D241" s="25" t="s">
        <v>754</v>
      </c>
      <c r="E241" s="25"/>
      <c r="F241" s="28" t="s">
        <v>827</v>
      </c>
      <c r="G241" s="25"/>
      <c r="H241" s="25" t="s">
        <v>31</v>
      </c>
      <c r="I241" s="25"/>
      <c r="J241" s="25"/>
      <c r="K241" s="25">
        <v>1.6500000000000001E-2</v>
      </c>
      <c r="L241" s="25">
        <v>1.6500000000000001E-2</v>
      </c>
      <c r="M241" s="25" t="s">
        <v>812</v>
      </c>
      <c r="N241" s="25" t="s">
        <v>33</v>
      </c>
      <c r="O241" s="25">
        <f t="shared" si="20"/>
        <v>0.495</v>
      </c>
      <c r="P241" s="25">
        <f t="shared" si="21"/>
        <v>0.57750000000000001</v>
      </c>
      <c r="Q241" s="25">
        <f t="shared" si="22"/>
        <v>0.33000000000000007</v>
      </c>
      <c r="R241" s="25">
        <f t="shared" si="23"/>
        <v>0.2475</v>
      </c>
      <c r="S241" s="38">
        <v>1.6500000000000001</v>
      </c>
      <c r="T241" s="252">
        <v>105991.94</v>
      </c>
      <c r="U241" s="194">
        <v>1748.8670100000002</v>
      </c>
      <c r="V241" s="9"/>
      <c r="W241" s="9"/>
      <c r="X241" s="25" t="s">
        <v>833</v>
      </c>
      <c r="Y241" s="25">
        <v>70797</v>
      </c>
      <c r="Z241" s="19" t="s">
        <v>755</v>
      </c>
      <c r="AA241" s="15" t="s">
        <v>827</v>
      </c>
      <c r="AB241" s="16">
        <v>3</v>
      </c>
      <c r="AC241" s="141"/>
      <c r="AD241" s="163"/>
      <c r="AE241" s="163"/>
      <c r="AF241" s="164"/>
      <c r="AG241" s="141"/>
      <c r="AH241" s="163"/>
      <c r="AI241" s="163"/>
      <c r="AJ241" s="164"/>
      <c r="AK241" s="126"/>
      <c r="AL241" s="72"/>
      <c r="AM241" s="72"/>
      <c r="AN241" s="127"/>
      <c r="AO241" s="126"/>
      <c r="AP241" s="72"/>
      <c r="AQ241" s="72"/>
      <c r="AR241" s="127"/>
      <c r="AS241" s="256" t="s">
        <v>757</v>
      </c>
    </row>
    <row r="242" spans="1:45" x14ac:dyDescent="0.25">
      <c r="A242" s="9">
        <v>239</v>
      </c>
      <c r="B242" s="9" t="s">
        <v>28</v>
      </c>
      <c r="C242" s="9" t="s">
        <v>753</v>
      </c>
      <c r="D242" s="25" t="s">
        <v>754</v>
      </c>
      <c r="E242" s="25"/>
      <c r="F242" s="28" t="s">
        <v>827</v>
      </c>
      <c r="G242" s="25"/>
      <c r="H242" s="25" t="s">
        <v>31</v>
      </c>
      <c r="I242" s="25"/>
      <c r="J242" s="25"/>
      <c r="K242" s="25">
        <v>1.6500000000000001E-2</v>
      </c>
      <c r="L242" s="25">
        <v>1.6500000000000001E-2</v>
      </c>
      <c r="M242" s="25" t="s">
        <v>812</v>
      </c>
      <c r="N242" s="25" t="s">
        <v>33</v>
      </c>
      <c r="O242" s="25">
        <f t="shared" si="20"/>
        <v>0.495</v>
      </c>
      <c r="P242" s="25">
        <f t="shared" si="21"/>
        <v>0.57750000000000001</v>
      </c>
      <c r="Q242" s="25">
        <f t="shared" si="22"/>
        <v>0.33000000000000007</v>
      </c>
      <c r="R242" s="25">
        <f t="shared" si="23"/>
        <v>0.2475</v>
      </c>
      <c r="S242" s="38">
        <v>1.6500000000000001</v>
      </c>
      <c r="T242" s="252">
        <v>105991.94</v>
      </c>
      <c r="U242" s="194">
        <v>1748.8670100000002</v>
      </c>
      <c r="V242" s="9"/>
      <c r="W242" s="9"/>
      <c r="X242" s="25" t="s">
        <v>833</v>
      </c>
      <c r="Y242" s="25">
        <v>70797</v>
      </c>
      <c r="Z242" s="19" t="s">
        <v>755</v>
      </c>
      <c r="AA242" s="15" t="s">
        <v>827</v>
      </c>
      <c r="AB242" s="16">
        <v>4</v>
      </c>
      <c r="AC242" s="141"/>
      <c r="AD242" s="163"/>
      <c r="AE242" s="163"/>
      <c r="AF242" s="164"/>
      <c r="AG242" s="141"/>
      <c r="AH242" s="163"/>
      <c r="AI242" s="163"/>
      <c r="AJ242" s="164"/>
      <c r="AK242" s="126"/>
      <c r="AL242" s="72"/>
      <c r="AM242" s="72"/>
      <c r="AN242" s="127"/>
      <c r="AO242" s="126"/>
      <c r="AP242" s="72"/>
      <c r="AQ242" s="72"/>
      <c r="AR242" s="127"/>
      <c r="AS242" s="256" t="s">
        <v>757</v>
      </c>
    </row>
    <row r="243" spans="1:45" x14ac:dyDescent="0.25">
      <c r="A243" s="9">
        <v>240</v>
      </c>
      <c r="B243" s="9" t="s">
        <v>28</v>
      </c>
      <c r="C243" s="9" t="s">
        <v>753</v>
      </c>
      <c r="D243" s="25" t="s">
        <v>754</v>
      </c>
      <c r="E243" s="25"/>
      <c r="F243" s="28" t="s">
        <v>827</v>
      </c>
      <c r="G243" s="25"/>
      <c r="H243" s="25" t="s">
        <v>31</v>
      </c>
      <c r="I243" s="25"/>
      <c r="J243" s="25"/>
      <c r="K243" s="25">
        <v>1.6500000000000001E-2</v>
      </c>
      <c r="L243" s="25">
        <v>1.6500000000000001E-2</v>
      </c>
      <c r="M243" s="25" t="s">
        <v>812</v>
      </c>
      <c r="N243" s="25" t="s">
        <v>33</v>
      </c>
      <c r="O243" s="25">
        <f t="shared" si="20"/>
        <v>0.495</v>
      </c>
      <c r="P243" s="25">
        <f t="shared" si="21"/>
        <v>0.57750000000000001</v>
      </c>
      <c r="Q243" s="25">
        <f t="shared" si="22"/>
        <v>0.33000000000000007</v>
      </c>
      <c r="R243" s="25">
        <f t="shared" si="23"/>
        <v>0.2475</v>
      </c>
      <c r="S243" s="38">
        <v>1.6500000000000001</v>
      </c>
      <c r="T243" s="252">
        <v>105991.94</v>
      </c>
      <c r="U243" s="194">
        <v>1748.8670100000002</v>
      </c>
      <c r="V243" s="9"/>
      <c r="W243" s="9"/>
      <c r="X243" s="25" t="s">
        <v>833</v>
      </c>
      <c r="Y243" s="25">
        <v>70797</v>
      </c>
      <c r="Z243" s="19" t="s">
        <v>755</v>
      </c>
      <c r="AA243" s="15" t="s">
        <v>827</v>
      </c>
      <c r="AB243" s="16">
        <v>5</v>
      </c>
      <c r="AC243" s="141"/>
      <c r="AD243" s="163"/>
      <c r="AE243" s="163"/>
      <c r="AF243" s="164"/>
      <c r="AG243" s="141"/>
      <c r="AH243" s="163"/>
      <c r="AI243" s="163"/>
      <c r="AJ243" s="164"/>
      <c r="AK243" s="126"/>
      <c r="AL243" s="72"/>
      <c r="AM243" s="72"/>
      <c r="AN243" s="127"/>
      <c r="AO243" s="126"/>
      <c r="AP243" s="72"/>
      <c r="AQ243" s="72"/>
      <c r="AR243" s="127"/>
      <c r="AS243" s="256" t="s">
        <v>757</v>
      </c>
    </row>
    <row r="244" spans="1:45" x14ac:dyDescent="0.25">
      <c r="A244" s="9">
        <v>241</v>
      </c>
      <c r="B244" s="9" t="s">
        <v>28</v>
      </c>
      <c r="C244" s="9" t="s">
        <v>753</v>
      </c>
      <c r="D244" s="25" t="s">
        <v>754</v>
      </c>
      <c r="E244" s="25"/>
      <c r="F244" s="28" t="s">
        <v>827</v>
      </c>
      <c r="G244" s="25"/>
      <c r="H244" s="25" t="s">
        <v>31</v>
      </c>
      <c r="I244" s="25"/>
      <c r="J244" s="25"/>
      <c r="K244" s="25">
        <v>1.6500000000000001E-2</v>
      </c>
      <c r="L244" s="25">
        <v>1.6500000000000001E-2</v>
      </c>
      <c r="M244" s="25" t="s">
        <v>812</v>
      </c>
      <c r="N244" s="25" t="s">
        <v>33</v>
      </c>
      <c r="O244" s="25">
        <f t="shared" si="20"/>
        <v>0.495</v>
      </c>
      <c r="P244" s="25">
        <f t="shared" si="21"/>
        <v>0.57750000000000001</v>
      </c>
      <c r="Q244" s="25">
        <f t="shared" si="22"/>
        <v>0.33000000000000007</v>
      </c>
      <c r="R244" s="25">
        <f t="shared" si="23"/>
        <v>0.2475</v>
      </c>
      <c r="S244" s="38">
        <v>1.6500000000000001</v>
      </c>
      <c r="T244" s="252">
        <v>105991.94</v>
      </c>
      <c r="U244" s="194">
        <v>1748.8670100000002</v>
      </c>
      <c r="V244" s="9"/>
      <c r="W244" s="9"/>
      <c r="X244" s="25" t="s">
        <v>833</v>
      </c>
      <c r="Y244" s="25">
        <v>70797</v>
      </c>
      <c r="Z244" s="19" t="s">
        <v>755</v>
      </c>
      <c r="AA244" s="15" t="s">
        <v>827</v>
      </c>
      <c r="AB244" s="16">
        <v>6</v>
      </c>
      <c r="AC244" s="141"/>
      <c r="AD244" s="163"/>
      <c r="AE244" s="163"/>
      <c r="AF244" s="164"/>
      <c r="AG244" s="141"/>
      <c r="AH244" s="163"/>
      <c r="AI244" s="163"/>
      <c r="AJ244" s="164"/>
      <c r="AK244" s="126"/>
      <c r="AL244" s="72"/>
      <c r="AM244" s="72"/>
      <c r="AN244" s="127"/>
      <c r="AO244" s="126"/>
      <c r="AP244" s="72"/>
      <c r="AQ244" s="72"/>
      <c r="AR244" s="127"/>
      <c r="AS244" s="256" t="s">
        <v>757</v>
      </c>
    </row>
    <row r="245" spans="1:45" x14ac:dyDescent="0.25">
      <c r="A245" s="9">
        <v>242</v>
      </c>
      <c r="B245" s="9" t="s">
        <v>28</v>
      </c>
      <c r="C245" s="9" t="s">
        <v>753</v>
      </c>
      <c r="D245" s="25" t="s">
        <v>754</v>
      </c>
      <c r="E245" s="25"/>
      <c r="F245" s="28" t="s">
        <v>827</v>
      </c>
      <c r="G245" s="25"/>
      <c r="H245" s="25" t="s">
        <v>31</v>
      </c>
      <c r="I245" s="25"/>
      <c r="J245" s="25"/>
      <c r="K245" s="25">
        <v>1.6500000000000001E-2</v>
      </c>
      <c r="L245" s="25">
        <v>1.6500000000000001E-2</v>
      </c>
      <c r="M245" s="25" t="s">
        <v>812</v>
      </c>
      <c r="N245" s="25" t="s">
        <v>33</v>
      </c>
      <c r="O245" s="25">
        <f t="shared" si="20"/>
        <v>0.495</v>
      </c>
      <c r="P245" s="25">
        <f t="shared" si="21"/>
        <v>0.57750000000000001</v>
      </c>
      <c r="Q245" s="25">
        <f t="shared" si="22"/>
        <v>0.33000000000000007</v>
      </c>
      <c r="R245" s="25">
        <f t="shared" si="23"/>
        <v>0.2475</v>
      </c>
      <c r="S245" s="38">
        <v>1.6500000000000001</v>
      </c>
      <c r="T245" s="252">
        <v>105991.94</v>
      </c>
      <c r="U245" s="194">
        <v>1748.8670100000002</v>
      </c>
      <c r="V245" s="9"/>
      <c r="W245" s="9"/>
      <c r="X245" s="25" t="s">
        <v>833</v>
      </c>
      <c r="Y245" s="25">
        <v>70797</v>
      </c>
      <c r="Z245" s="19" t="s">
        <v>755</v>
      </c>
      <c r="AA245" s="15" t="s">
        <v>827</v>
      </c>
      <c r="AB245" s="16">
        <v>7</v>
      </c>
      <c r="AC245" s="141"/>
      <c r="AD245" s="163"/>
      <c r="AE245" s="163"/>
      <c r="AF245" s="164"/>
      <c r="AG245" s="141"/>
      <c r="AH245" s="163"/>
      <c r="AI245" s="163"/>
      <c r="AJ245" s="164"/>
      <c r="AK245" s="126"/>
      <c r="AL245" s="72"/>
      <c r="AM245" s="72"/>
      <c r="AN245" s="127"/>
      <c r="AO245" s="126"/>
      <c r="AP245" s="72"/>
      <c r="AQ245" s="72"/>
      <c r="AR245" s="127"/>
      <c r="AS245" s="256" t="s">
        <v>757</v>
      </c>
    </row>
    <row r="246" spans="1:45" x14ac:dyDescent="0.25">
      <c r="A246" s="9">
        <v>243</v>
      </c>
      <c r="B246" s="9" t="s">
        <v>28</v>
      </c>
      <c r="C246" s="9" t="s">
        <v>753</v>
      </c>
      <c r="D246" s="25" t="s">
        <v>754</v>
      </c>
      <c r="E246" s="25"/>
      <c r="F246" s="28" t="s">
        <v>827</v>
      </c>
      <c r="G246" s="25"/>
      <c r="H246" s="25" t="s">
        <v>31</v>
      </c>
      <c r="I246" s="25"/>
      <c r="J246" s="25"/>
      <c r="K246" s="25">
        <v>1.6500000000000001E-2</v>
      </c>
      <c r="L246" s="25">
        <v>1.6500000000000001E-2</v>
      </c>
      <c r="M246" s="25" t="s">
        <v>812</v>
      </c>
      <c r="N246" s="25" t="s">
        <v>33</v>
      </c>
      <c r="O246" s="25">
        <f t="shared" si="20"/>
        <v>0.495</v>
      </c>
      <c r="P246" s="25">
        <f t="shared" si="21"/>
        <v>0.57750000000000001</v>
      </c>
      <c r="Q246" s="25">
        <f t="shared" si="22"/>
        <v>0.33000000000000007</v>
      </c>
      <c r="R246" s="25">
        <f t="shared" si="23"/>
        <v>0.2475</v>
      </c>
      <c r="S246" s="38">
        <v>1.6500000000000001</v>
      </c>
      <c r="T246" s="252">
        <v>105991.94</v>
      </c>
      <c r="U246" s="194">
        <v>1748.8670100000002</v>
      </c>
      <c r="V246" s="9"/>
      <c r="W246" s="9"/>
      <c r="X246" s="25" t="s">
        <v>833</v>
      </c>
      <c r="Y246" s="25">
        <v>70797</v>
      </c>
      <c r="Z246" s="19" t="s">
        <v>755</v>
      </c>
      <c r="AA246" s="15" t="s">
        <v>827</v>
      </c>
      <c r="AB246" s="16">
        <v>8</v>
      </c>
      <c r="AC246" s="141"/>
      <c r="AD246" s="163"/>
      <c r="AE246" s="163"/>
      <c r="AF246" s="164"/>
      <c r="AG246" s="141"/>
      <c r="AH246" s="163"/>
      <c r="AI246" s="163"/>
      <c r="AJ246" s="164"/>
      <c r="AK246" s="126"/>
      <c r="AL246" s="72"/>
      <c r="AM246" s="72"/>
      <c r="AN246" s="127"/>
      <c r="AO246" s="126"/>
      <c r="AP246" s="72"/>
      <c r="AQ246" s="72"/>
      <c r="AR246" s="127"/>
      <c r="AS246" s="256" t="s">
        <v>757</v>
      </c>
    </row>
    <row r="247" spans="1:45" x14ac:dyDescent="0.25">
      <c r="A247" s="9">
        <v>244</v>
      </c>
      <c r="B247" s="9" t="s">
        <v>28</v>
      </c>
      <c r="C247" s="9" t="s">
        <v>753</v>
      </c>
      <c r="D247" s="25" t="s">
        <v>754</v>
      </c>
      <c r="E247" s="25"/>
      <c r="F247" s="28" t="s">
        <v>827</v>
      </c>
      <c r="G247" s="25"/>
      <c r="H247" s="25" t="s">
        <v>31</v>
      </c>
      <c r="I247" s="25"/>
      <c r="J247" s="25"/>
      <c r="K247" s="25">
        <v>1.6500000000000001E-2</v>
      </c>
      <c r="L247" s="25">
        <v>1.6500000000000001E-2</v>
      </c>
      <c r="M247" s="25" t="s">
        <v>812</v>
      </c>
      <c r="N247" s="25" t="s">
        <v>33</v>
      </c>
      <c r="O247" s="25">
        <f t="shared" si="20"/>
        <v>0.495</v>
      </c>
      <c r="P247" s="25">
        <f t="shared" si="21"/>
        <v>0.57750000000000001</v>
      </c>
      <c r="Q247" s="25">
        <f t="shared" si="22"/>
        <v>0.33000000000000007</v>
      </c>
      <c r="R247" s="25">
        <f t="shared" si="23"/>
        <v>0.2475</v>
      </c>
      <c r="S247" s="38">
        <v>1.6500000000000001</v>
      </c>
      <c r="T247" s="252">
        <v>105991.94</v>
      </c>
      <c r="U247" s="194">
        <v>1748.8670100000002</v>
      </c>
      <c r="V247" s="9"/>
      <c r="W247" s="9"/>
      <c r="X247" s="25" t="s">
        <v>833</v>
      </c>
      <c r="Y247" s="25">
        <v>70797</v>
      </c>
      <c r="Z247" s="19" t="s">
        <v>755</v>
      </c>
      <c r="AA247" s="15" t="s">
        <v>827</v>
      </c>
      <c r="AB247" s="16">
        <v>9</v>
      </c>
      <c r="AC247" s="141"/>
      <c r="AD247" s="163"/>
      <c r="AE247" s="163"/>
      <c r="AF247" s="164"/>
      <c r="AG247" s="141"/>
      <c r="AH247" s="163"/>
      <c r="AI247" s="163"/>
      <c r="AJ247" s="164"/>
      <c r="AK247" s="126"/>
      <c r="AL247" s="72"/>
      <c r="AM247" s="72"/>
      <c r="AN247" s="127"/>
      <c r="AO247" s="126"/>
      <c r="AP247" s="72"/>
      <c r="AQ247" s="72"/>
      <c r="AR247" s="127"/>
      <c r="AS247" s="256" t="s">
        <v>757</v>
      </c>
    </row>
    <row r="248" spans="1:45" x14ac:dyDescent="0.25">
      <c r="A248" s="9">
        <v>245</v>
      </c>
      <c r="B248" s="9" t="s">
        <v>28</v>
      </c>
      <c r="C248" s="9" t="s">
        <v>753</v>
      </c>
      <c r="D248" s="25" t="s">
        <v>754</v>
      </c>
      <c r="E248" s="25"/>
      <c r="F248" s="28" t="s">
        <v>827</v>
      </c>
      <c r="G248" s="25"/>
      <c r="H248" s="25" t="s">
        <v>31</v>
      </c>
      <c r="I248" s="25"/>
      <c r="J248" s="25"/>
      <c r="K248" s="25">
        <v>1.6500000000000001E-2</v>
      </c>
      <c r="L248" s="25">
        <v>1.6500000000000001E-2</v>
      </c>
      <c r="M248" s="25" t="s">
        <v>812</v>
      </c>
      <c r="N248" s="25" t="s">
        <v>33</v>
      </c>
      <c r="O248" s="25">
        <f t="shared" si="20"/>
        <v>0.495</v>
      </c>
      <c r="P248" s="25">
        <f t="shared" si="21"/>
        <v>0.57750000000000001</v>
      </c>
      <c r="Q248" s="25">
        <f t="shared" si="22"/>
        <v>0.33000000000000007</v>
      </c>
      <c r="R248" s="25">
        <f t="shared" si="23"/>
        <v>0.2475</v>
      </c>
      <c r="S248" s="38">
        <v>1.6500000000000001</v>
      </c>
      <c r="T248" s="252">
        <v>105991.94</v>
      </c>
      <c r="U248" s="194">
        <v>1748.8670100000002</v>
      </c>
      <c r="V248" s="9"/>
      <c r="W248" s="9"/>
      <c r="X248" s="25" t="s">
        <v>833</v>
      </c>
      <c r="Y248" s="25">
        <v>70797</v>
      </c>
      <c r="Z248" s="19" t="s">
        <v>755</v>
      </c>
      <c r="AA248" s="15" t="s">
        <v>827</v>
      </c>
      <c r="AB248" s="16">
        <v>10</v>
      </c>
      <c r="AC248" s="141"/>
      <c r="AD248" s="163"/>
      <c r="AE248" s="163"/>
      <c r="AF248" s="164"/>
      <c r="AG248" s="141"/>
      <c r="AH248" s="163"/>
      <c r="AI248" s="163"/>
      <c r="AJ248" s="164"/>
      <c r="AK248" s="126"/>
      <c r="AL248" s="72"/>
      <c r="AM248" s="72"/>
      <c r="AN248" s="127"/>
      <c r="AO248" s="126"/>
      <c r="AP248" s="72"/>
      <c r="AQ248" s="72"/>
      <c r="AR248" s="127"/>
      <c r="AS248" s="256" t="s">
        <v>757</v>
      </c>
    </row>
    <row r="249" spans="1:45" x14ac:dyDescent="0.25">
      <c r="A249" s="9">
        <v>246</v>
      </c>
      <c r="B249" s="9" t="s">
        <v>28</v>
      </c>
      <c r="C249" s="9" t="s">
        <v>753</v>
      </c>
      <c r="D249" s="25" t="s">
        <v>754</v>
      </c>
      <c r="E249" s="25"/>
      <c r="F249" s="28" t="s">
        <v>827</v>
      </c>
      <c r="G249" s="25"/>
      <c r="H249" s="25" t="s">
        <v>31</v>
      </c>
      <c r="I249" s="25"/>
      <c r="J249" s="25"/>
      <c r="K249" s="25">
        <v>1.6500000000000001E-2</v>
      </c>
      <c r="L249" s="25">
        <v>1.6500000000000001E-2</v>
      </c>
      <c r="M249" s="25" t="s">
        <v>812</v>
      </c>
      <c r="N249" s="25" t="s">
        <v>33</v>
      </c>
      <c r="O249" s="25">
        <f t="shared" si="20"/>
        <v>0.495</v>
      </c>
      <c r="P249" s="25">
        <f t="shared" si="21"/>
        <v>0.57750000000000001</v>
      </c>
      <c r="Q249" s="25">
        <f t="shared" si="22"/>
        <v>0.33000000000000007</v>
      </c>
      <c r="R249" s="25">
        <f t="shared" si="23"/>
        <v>0.2475</v>
      </c>
      <c r="S249" s="38">
        <v>1.6500000000000001</v>
      </c>
      <c r="T249" s="252">
        <v>105991.94</v>
      </c>
      <c r="U249" s="194">
        <v>1748.8670100000002</v>
      </c>
      <c r="V249" s="9"/>
      <c r="W249" s="9"/>
      <c r="X249" s="25" t="s">
        <v>833</v>
      </c>
      <c r="Y249" s="25">
        <v>70797</v>
      </c>
      <c r="Z249" s="19" t="s">
        <v>755</v>
      </c>
      <c r="AA249" s="15" t="s">
        <v>827</v>
      </c>
      <c r="AB249" s="16">
        <v>11</v>
      </c>
      <c r="AC249" s="141"/>
      <c r="AD249" s="163"/>
      <c r="AE249" s="163"/>
      <c r="AF249" s="164"/>
      <c r="AG249" s="141"/>
      <c r="AH249" s="163"/>
      <c r="AI249" s="163"/>
      <c r="AJ249" s="164"/>
      <c r="AK249" s="126"/>
      <c r="AL249" s="72"/>
      <c r="AM249" s="72"/>
      <c r="AN249" s="127"/>
      <c r="AO249" s="126"/>
      <c r="AP249" s="72"/>
      <c r="AQ249" s="72"/>
      <c r="AR249" s="127"/>
      <c r="AS249" s="256" t="s">
        <v>757</v>
      </c>
    </row>
    <row r="250" spans="1:45" x14ac:dyDescent="0.25">
      <c r="A250" s="9">
        <v>247</v>
      </c>
      <c r="B250" s="9" t="s">
        <v>28</v>
      </c>
      <c r="C250" s="9" t="s">
        <v>753</v>
      </c>
      <c r="D250" s="25" t="s">
        <v>754</v>
      </c>
      <c r="E250" s="25"/>
      <c r="F250" s="28" t="s">
        <v>827</v>
      </c>
      <c r="G250" s="25"/>
      <c r="H250" s="25" t="s">
        <v>31</v>
      </c>
      <c r="I250" s="25"/>
      <c r="J250" s="25"/>
      <c r="K250" s="25">
        <v>1.6500000000000001E-2</v>
      </c>
      <c r="L250" s="25">
        <v>1.6500000000000001E-2</v>
      </c>
      <c r="M250" s="25" t="s">
        <v>812</v>
      </c>
      <c r="N250" s="25" t="s">
        <v>33</v>
      </c>
      <c r="O250" s="25">
        <f t="shared" si="20"/>
        <v>0.495</v>
      </c>
      <c r="P250" s="25">
        <f t="shared" si="21"/>
        <v>0.57750000000000001</v>
      </c>
      <c r="Q250" s="25">
        <f t="shared" si="22"/>
        <v>0.33000000000000007</v>
      </c>
      <c r="R250" s="25">
        <f t="shared" si="23"/>
        <v>0.2475</v>
      </c>
      <c r="S250" s="38">
        <v>1.6500000000000001</v>
      </c>
      <c r="T250" s="252">
        <v>105991.94</v>
      </c>
      <c r="U250" s="194">
        <v>1748.8670100000002</v>
      </c>
      <c r="V250" s="9"/>
      <c r="W250" s="9"/>
      <c r="X250" s="25" t="s">
        <v>833</v>
      </c>
      <c r="Y250" s="25">
        <v>70797</v>
      </c>
      <c r="Z250" s="19" t="s">
        <v>755</v>
      </c>
      <c r="AA250" s="15" t="s">
        <v>827</v>
      </c>
      <c r="AB250" s="16">
        <v>12</v>
      </c>
      <c r="AC250" s="141"/>
      <c r="AD250" s="163"/>
      <c r="AE250" s="163"/>
      <c r="AF250" s="164"/>
      <c r="AG250" s="141"/>
      <c r="AH250" s="163"/>
      <c r="AI250" s="163"/>
      <c r="AJ250" s="164"/>
      <c r="AK250" s="126"/>
      <c r="AL250" s="72"/>
      <c r="AM250" s="72"/>
      <c r="AN250" s="127"/>
      <c r="AO250" s="126"/>
      <c r="AP250" s="72"/>
      <c r="AQ250" s="72"/>
      <c r="AR250" s="127"/>
      <c r="AS250" s="256" t="s">
        <v>757</v>
      </c>
    </row>
    <row r="251" spans="1:45" x14ac:dyDescent="0.25">
      <c r="A251" s="9">
        <v>248</v>
      </c>
      <c r="B251" s="9" t="s">
        <v>28</v>
      </c>
      <c r="C251" s="9" t="s">
        <v>753</v>
      </c>
      <c r="D251" s="25" t="s">
        <v>754</v>
      </c>
      <c r="E251" s="25"/>
      <c r="F251" s="28" t="s">
        <v>827</v>
      </c>
      <c r="G251" s="25"/>
      <c r="H251" s="25" t="s">
        <v>31</v>
      </c>
      <c r="I251" s="25"/>
      <c r="J251" s="25"/>
      <c r="K251" s="25">
        <v>1.6500000000000001E-2</v>
      </c>
      <c r="L251" s="25">
        <v>1.6500000000000001E-2</v>
      </c>
      <c r="M251" s="25" t="s">
        <v>812</v>
      </c>
      <c r="N251" s="25" t="s">
        <v>33</v>
      </c>
      <c r="O251" s="25">
        <f t="shared" si="20"/>
        <v>0.495</v>
      </c>
      <c r="P251" s="25">
        <f t="shared" si="21"/>
        <v>0.57750000000000001</v>
      </c>
      <c r="Q251" s="25">
        <f t="shared" si="22"/>
        <v>0.33000000000000007</v>
      </c>
      <c r="R251" s="25">
        <f t="shared" si="23"/>
        <v>0.2475</v>
      </c>
      <c r="S251" s="38">
        <v>1.6500000000000001</v>
      </c>
      <c r="T251" s="252">
        <v>105991.94</v>
      </c>
      <c r="U251" s="194">
        <v>1748.8670100000002</v>
      </c>
      <c r="V251" s="9"/>
      <c r="W251" s="9"/>
      <c r="X251" s="25" t="s">
        <v>833</v>
      </c>
      <c r="Y251" s="25">
        <v>70797</v>
      </c>
      <c r="Z251" s="19" t="s">
        <v>755</v>
      </c>
      <c r="AA251" s="15" t="s">
        <v>827</v>
      </c>
      <c r="AB251" s="16">
        <v>13</v>
      </c>
      <c r="AC251" s="141"/>
      <c r="AD251" s="163"/>
      <c r="AE251" s="163"/>
      <c r="AF251" s="164"/>
      <c r="AG251" s="141"/>
      <c r="AH251" s="163"/>
      <c r="AI251" s="163"/>
      <c r="AJ251" s="164"/>
      <c r="AK251" s="126"/>
      <c r="AL251" s="72"/>
      <c r="AM251" s="72"/>
      <c r="AN251" s="127"/>
      <c r="AO251" s="126"/>
      <c r="AP251" s="72"/>
      <c r="AQ251" s="72"/>
      <c r="AR251" s="127"/>
      <c r="AS251" s="256" t="s">
        <v>757</v>
      </c>
    </row>
    <row r="252" spans="1:45" x14ac:dyDescent="0.25">
      <c r="A252" s="9">
        <v>249</v>
      </c>
      <c r="B252" s="9" t="s">
        <v>28</v>
      </c>
      <c r="C252" s="9" t="s">
        <v>753</v>
      </c>
      <c r="D252" s="25" t="s">
        <v>754</v>
      </c>
      <c r="E252" s="25"/>
      <c r="F252" s="28" t="s">
        <v>827</v>
      </c>
      <c r="G252" s="25"/>
      <c r="H252" s="25" t="s">
        <v>31</v>
      </c>
      <c r="I252" s="25"/>
      <c r="J252" s="25"/>
      <c r="K252" s="25">
        <v>1.6500000000000001E-2</v>
      </c>
      <c r="L252" s="25">
        <v>1.6500000000000001E-2</v>
      </c>
      <c r="M252" s="25" t="s">
        <v>812</v>
      </c>
      <c r="N252" s="25" t="s">
        <v>33</v>
      </c>
      <c r="O252" s="25">
        <f t="shared" si="20"/>
        <v>0.495</v>
      </c>
      <c r="P252" s="25">
        <f t="shared" si="21"/>
        <v>0.57750000000000001</v>
      </c>
      <c r="Q252" s="25">
        <f t="shared" si="22"/>
        <v>0.33000000000000007</v>
      </c>
      <c r="R252" s="25">
        <f t="shared" si="23"/>
        <v>0.2475</v>
      </c>
      <c r="S252" s="38">
        <v>1.6500000000000001</v>
      </c>
      <c r="T252" s="252">
        <v>105991.94</v>
      </c>
      <c r="U252" s="194">
        <v>1748.8670100000002</v>
      </c>
      <c r="V252" s="9"/>
      <c r="W252" s="9"/>
      <c r="X252" s="25" t="s">
        <v>833</v>
      </c>
      <c r="Y252" s="25">
        <v>70797</v>
      </c>
      <c r="Z252" s="19" t="s">
        <v>755</v>
      </c>
      <c r="AA252" s="15" t="s">
        <v>827</v>
      </c>
      <c r="AB252" s="16">
        <v>14</v>
      </c>
      <c r="AC252" s="141"/>
      <c r="AD252" s="163"/>
      <c r="AE252" s="163"/>
      <c r="AF252" s="164"/>
      <c r="AG252" s="141"/>
      <c r="AH252" s="163"/>
      <c r="AI252" s="163"/>
      <c r="AJ252" s="164"/>
      <c r="AK252" s="126"/>
      <c r="AL252" s="72"/>
      <c r="AM252" s="72"/>
      <c r="AN252" s="127"/>
      <c r="AO252" s="126"/>
      <c r="AP252" s="72"/>
      <c r="AQ252" s="72"/>
      <c r="AR252" s="127"/>
      <c r="AS252" s="256" t="s">
        <v>757</v>
      </c>
    </row>
    <row r="253" spans="1:45" x14ac:dyDescent="0.25">
      <c r="A253" s="9">
        <v>250</v>
      </c>
      <c r="B253" s="9" t="s">
        <v>28</v>
      </c>
      <c r="C253" s="9" t="s">
        <v>753</v>
      </c>
      <c r="D253" s="25" t="s">
        <v>754</v>
      </c>
      <c r="E253" s="25"/>
      <c r="F253" s="28" t="s">
        <v>827</v>
      </c>
      <c r="G253" s="25"/>
      <c r="H253" s="25" t="s">
        <v>31</v>
      </c>
      <c r="I253" s="25"/>
      <c r="J253" s="25"/>
      <c r="K253" s="25">
        <v>1.6500000000000001E-2</v>
      </c>
      <c r="L253" s="25">
        <v>1.6500000000000001E-2</v>
      </c>
      <c r="M253" s="25" t="s">
        <v>812</v>
      </c>
      <c r="N253" s="25" t="s">
        <v>33</v>
      </c>
      <c r="O253" s="25">
        <f t="shared" si="20"/>
        <v>0.495</v>
      </c>
      <c r="P253" s="25">
        <f t="shared" si="21"/>
        <v>0.57750000000000001</v>
      </c>
      <c r="Q253" s="25">
        <f t="shared" si="22"/>
        <v>0.33000000000000007</v>
      </c>
      <c r="R253" s="25">
        <f t="shared" si="23"/>
        <v>0.2475</v>
      </c>
      <c r="S253" s="38">
        <v>1.6500000000000001</v>
      </c>
      <c r="T253" s="252">
        <v>105991.94</v>
      </c>
      <c r="U253" s="194">
        <v>1748.8670100000002</v>
      </c>
      <c r="V253" s="9"/>
      <c r="W253" s="9"/>
      <c r="X253" s="25" t="s">
        <v>833</v>
      </c>
      <c r="Y253" s="25">
        <v>70797</v>
      </c>
      <c r="Z253" s="19" t="s">
        <v>755</v>
      </c>
      <c r="AA253" s="15" t="s">
        <v>827</v>
      </c>
      <c r="AB253" s="16">
        <v>15</v>
      </c>
      <c r="AC253" s="141"/>
      <c r="AD253" s="163"/>
      <c r="AE253" s="163"/>
      <c r="AF253" s="164"/>
      <c r="AG253" s="141"/>
      <c r="AH253" s="163"/>
      <c r="AI253" s="163"/>
      <c r="AJ253" s="164"/>
      <c r="AK253" s="126"/>
      <c r="AL253" s="72"/>
      <c r="AM253" s="72"/>
      <c r="AN253" s="127"/>
      <c r="AO253" s="126"/>
      <c r="AP253" s="72"/>
      <c r="AQ253" s="72"/>
      <c r="AR253" s="127"/>
      <c r="AS253" s="256" t="s">
        <v>757</v>
      </c>
    </row>
    <row r="254" spans="1:45" x14ac:dyDescent="0.25">
      <c r="A254" s="9">
        <v>251</v>
      </c>
      <c r="B254" s="9" t="s">
        <v>28</v>
      </c>
      <c r="C254" s="9" t="s">
        <v>753</v>
      </c>
      <c r="D254" s="25" t="s">
        <v>754</v>
      </c>
      <c r="E254" s="25"/>
      <c r="F254" s="28" t="s">
        <v>827</v>
      </c>
      <c r="G254" s="25"/>
      <c r="H254" s="25" t="s">
        <v>31</v>
      </c>
      <c r="I254" s="25"/>
      <c r="J254" s="25"/>
      <c r="K254" s="25">
        <v>1.6500000000000001E-2</v>
      </c>
      <c r="L254" s="25">
        <v>1.6500000000000001E-2</v>
      </c>
      <c r="M254" s="25" t="s">
        <v>812</v>
      </c>
      <c r="N254" s="25" t="s">
        <v>33</v>
      </c>
      <c r="O254" s="25">
        <f t="shared" si="20"/>
        <v>0.495</v>
      </c>
      <c r="P254" s="25">
        <f t="shared" si="21"/>
        <v>0.57750000000000001</v>
      </c>
      <c r="Q254" s="25">
        <f t="shared" si="22"/>
        <v>0.33000000000000007</v>
      </c>
      <c r="R254" s="25">
        <f t="shared" si="23"/>
        <v>0.2475</v>
      </c>
      <c r="S254" s="38">
        <v>1.6500000000000001</v>
      </c>
      <c r="T254" s="252">
        <v>105991.94</v>
      </c>
      <c r="U254" s="194">
        <v>1748.8670100000002</v>
      </c>
      <c r="V254" s="9"/>
      <c r="W254" s="9"/>
      <c r="X254" s="25" t="s">
        <v>833</v>
      </c>
      <c r="Y254" s="25">
        <v>70797</v>
      </c>
      <c r="Z254" s="19" t="s">
        <v>755</v>
      </c>
      <c r="AA254" s="15" t="s">
        <v>827</v>
      </c>
      <c r="AB254" s="16">
        <v>16</v>
      </c>
      <c r="AC254" s="141"/>
      <c r="AD254" s="163"/>
      <c r="AE254" s="163"/>
      <c r="AF254" s="164"/>
      <c r="AG254" s="141"/>
      <c r="AH254" s="163"/>
      <c r="AI254" s="163"/>
      <c r="AJ254" s="164"/>
      <c r="AK254" s="126"/>
      <c r="AL254" s="72"/>
      <c r="AM254" s="72"/>
      <c r="AN254" s="127"/>
      <c r="AO254" s="126"/>
      <c r="AP254" s="72"/>
      <c r="AQ254" s="72"/>
      <c r="AR254" s="127"/>
      <c r="AS254" s="256" t="s">
        <v>757</v>
      </c>
    </row>
    <row r="255" spans="1:45" hidden="1" x14ac:dyDescent="0.25">
      <c r="A255" s="9">
        <v>252</v>
      </c>
      <c r="B255" s="9" t="s">
        <v>28</v>
      </c>
      <c r="C255" s="9" t="s">
        <v>753</v>
      </c>
      <c r="D255" s="9" t="s">
        <v>754</v>
      </c>
      <c r="E255" s="9"/>
      <c r="F255" s="15" t="s">
        <v>834</v>
      </c>
      <c r="G255" s="9"/>
      <c r="H255" s="9" t="s">
        <v>31</v>
      </c>
      <c r="I255" s="9"/>
      <c r="J255" s="9"/>
      <c r="K255" s="9">
        <v>0.52588000000000001</v>
      </c>
      <c r="L255" s="9">
        <v>3.6811600000000002</v>
      </c>
      <c r="M255" s="9" t="s">
        <v>795</v>
      </c>
      <c r="N255" s="9" t="s">
        <v>33</v>
      </c>
      <c r="O255" s="9">
        <f t="shared" si="20"/>
        <v>67.365228000000002</v>
      </c>
      <c r="P255" s="9">
        <f t="shared" si="21"/>
        <v>78.592765999999997</v>
      </c>
      <c r="Q255" s="9">
        <f t="shared" si="22"/>
        <v>44.910152000000011</v>
      </c>
      <c r="R255" s="9">
        <f t="shared" si="23"/>
        <v>33.682614000000001</v>
      </c>
      <c r="S255" s="38">
        <v>224.55076000000003</v>
      </c>
      <c r="T255" s="252">
        <v>105991.94</v>
      </c>
      <c r="U255" s="194">
        <v>390173.2898504</v>
      </c>
      <c r="V255" s="9"/>
      <c r="W255" s="9"/>
      <c r="X255" s="9" t="s">
        <v>835</v>
      </c>
      <c r="Y255" s="9">
        <v>677778</v>
      </c>
      <c r="Z255" s="19" t="s">
        <v>755</v>
      </c>
      <c r="AA255" s="15" t="s">
        <v>834</v>
      </c>
      <c r="AB255" s="16">
        <v>1</v>
      </c>
      <c r="AC255" s="141"/>
      <c r="AD255" s="163"/>
      <c r="AE255" s="163"/>
      <c r="AF255" s="164"/>
      <c r="AG255" s="141"/>
      <c r="AH255" s="163"/>
      <c r="AI255" s="163"/>
      <c r="AJ255" s="164"/>
      <c r="AK255" s="126"/>
      <c r="AL255" s="72"/>
      <c r="AM255" s="72"/>
      <c r="AN255" s="127"/>
      <c r="AO255" s="126"/>
      <c r="AP255" s="72"/>
      <c r="AQ255" s="72"/>
      <c r="AR255" s="127"/>
      <c r="AS255" s="256" t="s">
        <v>836</v>
      </c>
    </row>
    <row r="256" spans="1:45" ht="30" hidden="1" x14ac:dyDescent="0.25">
      <c r="A256" s="9">
        <v>253</v>
      </c>
      <c r="B256" s="9" t="s">
        <v>28</v>
      </c>
      <c r="C256" s="9" t="s">
        <v>753</v>
      </c>
      <c r="D256" s="9" t="s">
        <v>754</v>
      </c>
      <c r="E256" s="9"/>
      <c r="F256" s="15" t="s">
        <v>837</v>
      </c>
      <c r="G256" s="9"/>
      <c r="H256" s="9" t="s">
        <v>31</v>
      </c>
      <c r="I256" s="9"/>
      <c r="J256" s="9"/>
      <c r="K256" s="9">
        <v>4.4999999999999999E-4</v>
      </c>
      <c r="L256" s="9">
        <v>1.89E-2</v>
      </c>
      <c r="M256" s="9" t="s">
        <v>838</v>
      </c>
      <c r="N256" s="9" t="s">
        <v>33</v>
      </c>
      <c r="O256" s="9">
        <f t="shared" si="20"/>
        <v>0.56700000000000006</v>
      </c>
      <c r="P256" s="9">
        <f t="shared" si="21"/>
        <v>0.66149999999999998</v>
      </c>
      <c r="Q256" s="9">
        <f t="shared" si="22"/>
        <v>0.37800000000000006</v>
      </c>
      <c r="R256" s="9">
        <f t="shared" si="23"/>
        <v>0.28350000000000003</v>
      </c>
      <c r="S256" s="38">
        <v>1.8900000000000001</v>
      </c>
      <c r="T256" s="252">
        <v>105991.94</v>
      </c>
      <c r="U256" s="194">
        <v>2003.247666</v>
      </c>
      <c r="V256" s="9"/>
      <c r="W256" s="9"/>
      <c r="X256" s="9" t="s">
        <v>839</v>
      </c>
      <c r="Y256" s="9">
        <v>677778</v>
      </c>
      <c r="Z256" s="19" t="s">
        <v>755</v>
      </c>
      <c r="AA256" s="15" t="s">
        <v>837</v>
      </c>
      <c r="AB256" s="16">
        <v>2</v>
      </c>
      <c r="AC256" s="141"/>
      <c r="AD256" s="163"/>
      <c r="AE256" s="163"/>
      <c r="AF256" s="164"/>
      <c r="AG256" s="141"/>
      <c r="AH256" s="163"/>
      <c r="AI256" s="163"/>
      <c r="AJ256" s="164"/>
      <c r="AK256" s="126"/>
      <c r="AL256" s="72"/>
      <c r="AM256" s="72"/>
      <c r="AN256" s="127"/>
      <c r="AO256" s="126"/>
      <c r="AP256" s="72"/>
      <c r="AQ256" s="72"/>
      <c r="AR256" s="127"/>
      <c r="AS256" s="256" t="s">
        <v>836</v>
      </c>
    </row>
    <row r="257" spans="1:45" x14ac:dyDescent="0.25">
      <c r="A257" s="9">
        <v>254</v>
      </c>
      <c r="B257" s="25" t="s">
        <v>28</v>
      </c>
      <c r="C257" s="25" t="s">
        <v>753</v>
      </c>
      <c r="D257" s="25" t="s">
        <v>754</v>
      </c>
      <c r="E257" s="25"/>
      <c r="F257" s="325" t="s">
        <v>417</v>
      </c>
      <c r="G257" s="13"/>
      <c r="H257" s="13" t="s">
        <v>31</v>
      </c>
      <c r="I257" s="13"/>
      <c r="J257" s="13"/>
      <c r="K257" s="13">
        <v>4.0000000000000001E-3</v>
      </c>
      <c r="L257" s="13">
        <v>4.0000000000000001E-3</v>
      </c>
      <c r="M257" s="13" t="s">
        <v>812</v>
      </c>
      <c r="N257" s="13" t="s">
        <v>33</v>
      </c>
      <c r="O257" s="13">
        <f t="shared" si="20"/>
        <v>0.12</v>
      </c>
      <c r="P257" s="13">
        <f t="shared" si="21"/>
        <v>0.13999999999999999</v>
      </c>
      <c r="Q257" s="13">
        <f t="shared" si="22"/>
        <v>8.0000000000000016E-2</v>
      </c>
      <c r="R257" s="13">
        <f t="shared" si="23"/>
        <v>0.06</v>
      </c>
      <c r="S257" s="38">
        <v>0.4</v>
      </c>
      <c r="T257" s="252">
        <v>105991.94</v>
      </c>
      <c r="U257" s="194">
        <v>423.96776</v>
      </c>
      <c r="V257" s="9"/>
      <c r="W257" s="9"/>
      <c r="X257" s="13" t="s">
        <v>840</v>
      </c>
      <c r="Y257" s="25">
        <v>70787</v>
      </c>
      <c r="Z257" s="19" t="s">
        <v>755</v>
      </c>
      <c r="AA257" s="15" t="s">
        <v>417</v>
      </c>
      <c r="AB257" s="16">
        <v>1</v>
      </c>
      <c r="AC257" s="141"/>
      <c r="AD257" s="163"/>
      <c r="AE257" s="163"/>
      <c r="AF257" s="164"/>
      <c r="AG257" s="169">
        <f t="shared" ref="AG257:AG264" si="24">L257*0.3</f>
        <v>1.1999999999999999E-3</v>
      </c>
      <c r="AH257" s="163"/>
      <c r="AI257" s="163"/>
      <c r="AJ257" s="164"/>
      <c r="AK257" s="141"/>
      <c r="AL257" s="72"/>
      <c r="AM257" s="72"/>
      <c r="AN257" s="127"/>
      <c r="AO257" s="126"/>
      <c r="AP257" s="72"/>
      <c r="AQ257" s="72"/>
      <c r="AR257" s="127"/>
      <c r="AS257" s="256" t="s">
        <v>757</v>
      </c>
    </row>
    <row r="258" spans="1:45" x14ac:dyDescent="0.25">
      <c r="A258" s="9">
        <v>255</v>
      </c>
      <c r="B258" s="25" t="s">
        <v>28</v>
      </c>
      <c r="C258" s="25" t="s">
        <v>753</v>
      </c>
      <c r="D258" s="25" t="s">
        <v>754</v>
      </c>
      <c r="E258" s="25"/>
      <c r="F258" s="325" t="s">
        <v>417</v>
      </c>
      <c r="G258" s="13"/>
      <c r="H258" s="13" t="s">
        <v>31</v>
      </c>
      <c r="I258" s="13"/>
      <c r="J258" s="13"/>
      <c r="K258" s="13">
        <v>4.0000000000000001E-3</v>
      </c>
      <c r="L258" s="13">
        <v>4.0000000000000001E-3</v>
      </c>
      <c r="M258" s="13" t="s">
        <v>812</v>
      </c>
      <c r="N258" s="13" t="s">
        <v>33</v>
      </c>
      <c r="O258" s="13">
        <f t="shared" si="20"/>
        <v>0.12</v>
      </c>
      <c r="P258" s="13">
        <f t="shared" si="21"/>
        <v>0.13999999999999999</v>
      </c>
      <c r="Q258" s="13">
        <f t="shared" si="22"/>
        <v>8.0000000000000016E-2</v>
      </c>
      <c r="R258" s="13">
        <f t="shared" si="23"/>
        <v>0.06</v>
      </c>
      <c r="S258" s="38">
        <v>0.4</v>
      </c>
      <c r="T258" s="252">
        <v>105991.94</v>
      </c>
      <c r="U258" s="194">
        <v>423.96776</v>
      </c>
      <c r="V258" s="9"/>
      <c r="W258" s="9"/>
      <c r="X258" s="13" t="s">
        <v>840</v>
      </c>
      <c r="Y258" s="25">
        <v>70787</v>
      </c>
      <c r="Z258" s="19" t="s">
        <v>755</v>
      </c>
      <c r="AA258" s="15" t="s">
        <v>417</v>
      </c>
      <c r="AB258" s="16">
        <v>2</v>
      </c>
      <c r="AC258" s="141"/>
      <c r="AD258" s="163"/>
      <c r="AE258" s="163"/>
      <c r="AF258" s="164"/>
      <c r="AG258" s="169">
        <f t="shared" si="24"/>
        <v>1.1999999999999999E-3</v>
      </c>
      <c r="AH258" s="163"/>
      <c r="AI258" s="163"/>
      <c r="AJ258" s="164"/>
      <c r="AK258" s="141"/>
      <c r="AL258" s="72"/>
      <c r="AM258" s="72"/>
      <c r="AN258" s="127"/>
      <c r="AO258" s="126"/>
      <c r="AP258" s="72"/>
      <c r="AQ258" s="72"/>
      <c r="AR258" s="127"/>
      <c r="AS258" s="256" t="s">
        <v>757</v>
      </c>
    </row>
    <row r="259" spans="1:45" x14ac:dyDescent="0.25">
      <c r="A259" s="9">
        <v>256</v>
      </c>
      <c r="B259" s="25" t="s">
        <v>28</v>
      </c>
      <c r="C259" s="25" t="s">
        <v>753</v>
      </c>
      <c r="D259" s="25" t="s">
        <v>754</v>
      </c>
      <c r="E259" s="25"/>
      <c r="F259" s="325" t="s">
        <v>841</v>
      </c>
      <c r="G259" s="13"/>
      <c r="H259" s="13" t="s">
        <v>31</v>
      </c>
      <c r="I259" s="13"/>
      <c r="J259" s="13"/>
      <c r="K259" s="13">
        <v>3.7999999999999999E-2</v>
      </c>
      <c r="L259" s="13">
        <v>3.7999999999999999E-2</v>
      </c>
      <c r="M259" s="13" t="s">
        <v>812</v>
      </c>
      <c r="N259" s="13" t="s">
        <v>33</v>
      </c>
      <c r="O259" s="13">
        <f t="shared" si="20"/>
        <v>1.1399999999999999</v>
      </c>
      <c r="P259" s="13">
        <f t="shared" si="21"/>
        <v>1.3299999999999998</v>
      </c>
      <c r="Q259" s="13">
        <f t="shared" si="22"/>
        <v>0.76</v>
      </c>
      <c r="R259" s="13">
        <f t="shared" si="23"/>
        <v>0.56999999999999995</v>
      </c>
      <c r="S259" s="38">
        <v>3.8</v>
      </c>
      <c r="T259" s="252">
        <v>105991.94</v>
      </c>
      <c r="U259" s="194">
        <v>4027.6937200000002</v>
      </c>
      <c r="V259" s="9"/>
      <c r="W259" s="9"/>
      <c r="X259" s="13" t="s">
        <v>842</v>
      </c>
      <c r="Y259" s="25">
        <v>70787</v>
      </c>
      <c r="Z259" s="19" t="s">
        <v>755</v>
      </c>
      <c r="AA259" s="15" t="s">
        <v>841</v>
      </c>
      <c r="AB259" s="16">
        <v>3</v>
      </c>
      <c r="AC259" s="141"/>
      <c r="AD259" s="163"/>
      <c r="AE259" s="163"/>
      <c r="AF259" s="164"/>
      <c r="AG259" s="169">
        <f t="shared" si="24"/>
        <v>1.1399999999999999E-2</v>
      </c>
      <c r="AH259" s="163"/>
      <c r="AI259" s="163"/>
      <c r="AJ259" s="164"/>
      <c r="AK259" s="141"/>
      <c r="AL259" s="72"/>
      <c r="AM259" s="72"/>
      <c r="AN259" s="127"/>
      <c r="AO259" s="126"/>
      <c r="AP259" s="72"/>
      <c r="AQ259" s="72"/>
      <c r="AR259" s="127"/>
      <c r="AS259" s="256" t="s">
        <v>757</v>
      </c>
    </row>
    <row r="260" spans="1:45" x14ac:dyDescent="0.25">
      <c r="A260" s="9">
        <v>257</v>
      </c>
      <c r="B260" s="25" t="s">
        <v>28</v>
      </c>
      <c r="C260" s="25" t="s">
        <v>753</v>
      </c>
      <c r="D260" s="25" t="s">
        <v>754</v>
      </c>
      <c r="E260" s="25"/>
      <c r="F260" s="28" t="s">
        <v>843</v>
      </c>
      <c r="G260" s="25"/>
      <c r="H260" s="25" t="s">
        <v>31</v>
      </c>
      <c r="I260" s="25"/>
      <c r="J260" s="25"/>
      <c r="K260" s="25">
        <v>0.1</v>
      </c>
      <c r="L260" s="25">
        <v>0.1</v>
      </c>
      <c r="M260" s="25" t="s">
        <v>812</v>
      </c>
      <c r="N260" s="25" t="s">
        <v>33</v>
      </c>
      <c r="O260" s="25">
        <f t="shared" si="20"/>
        <v>2.8800000000000003</v>
      </c>
      <c r="P260" s="25">
        <f t="shared" si="21"/>
        <v>3.3600000000000003</v>
      </c>
      <c r="Q260" s="25">
        <f t="shared" si="22"/>
        <v>1.9200000000000004</v>
      </c>
      <c r="R260" s="25">
        <f t="shared" si="23"/>
        <v>1.4400000000000002</v>
      </c>
      <c r="S260" s="38">
        <v>9.6000000000000014</v>
      </c>
      <c r="T260" s="252">
        <v>105991.94</v>
      </c>
      <c r="U260" s="194">
        <v>10599.194000000001</v>
      </c>
      <c r="V260" s="9"/>
      <c r="W260" s="9"/>
      <c r="X260" s="25" t="s">
        <v>844</v>
      </c>
      <c r="Y260" s="25">
        <v>70787</v>
      </c>
      <c r="Z260" s="19" t="s">
        <v>755</v>
      </c>
      <c r="AA260" s="15" t="s">
        <v>843</v>
      </c>
      <c r="AB260" s="16">
        <v>4</v>
      </c>
      <c r="AC260" s="141"/>
      <c r="AD260" s="163"/>
      <c r="AE260" s="163"/>
      <c r="AF260" s="164"/>
      <c r="AG260" s="169">
        <f t="shared" si="24"/>
        <v>0.03</v>
      </c>
      <c r="AH260" s="184">
        <f t="shared" ref="AH260:AH264" si="25">L260*0.35</f>
        <v>3.4999999999999996E-2</v>
      </c>
      <c r="AI260" s="163"/>
      <c r="AJ260" s="164"/>
      <c r="AK260" s="141"/>
      <c r="AL260" s="163"/>
      <c r="AM260" s="72"/>
      <c r="AN260" s="127"/>
      <c r="AO260" s="126"/>
      <c r="AP260" s="72"/>
      <c r="AQ260" s="72"/>
      <c r="AR260" s="127"/>
      <c r="AS260" s="256" t="s">
        <v>757</v>
      </c>
    </row>
    <row r="261" spans="1:45" x14ac:dyDescent="0.25">
      <c r="A261" s="9">
        <v>258</v>
      </c>
      <c r="B261" s="25" t="s">
        <v>28</v>
      </c>
      <c r="C261" s="25" t="s">
        <v>753</v>
      </c>
      <c r="D261" s="25" t="s">
        <v>754</v>
      </c>
      <c r="E261" s="25"/>
      <c r="F261" s="28" t="s">
        <v>843</v>
      </c>
      <c r="G261" s="25"/>
      <c r="H261" s="25" t="s">
        <v>31</v>
      </c>
      <c r="I261" s="25"/>
      <c r="J261" s="25"/>
      <c r="K261" s="25">
        <v>0.1</v>
      </c>
      <c r="L261" s="25">
        <v>0.1</v>
      </c>
      <c r="M261" s="25" t="s">
        <v>812</v>
      </c>
      <c r="N261" s="25" t="s">
        <v>33</v>
      </c>
      <c r="O261" s="25">
        <f t="shared" si="20"/>
        <v>2.8800000000000003</v>
      </c>
      <c r="P261" s="25">
        <f t="shared" si="21"/>
        <v>3.3600000000000003</v>
      </c>
      <c r="Q261" s="25">
        <f t="shared" si="22"/>
        <v>1.9200000000000004</v>
      </c>
      <c r="R261" s="25">
        <f t="shared" si="23"/>
        <v>1.4400000000000002</v>
      </c>
      <c r="S261" s="38">
        <v>9.6000000000000014</v>
      </c>
      <c r="T261" s="252">
        <v>105991.94</v>
      </c>
      <c r="U261" s="194">
        <v>10599.194000000001</v>
      </c>
      <c r="V261" s="9"/>
      <c r="W261" s="9"/>
      <c r="X261" s="25" t="s">
        <v>844</v>
      </c>
      <c r="Y261" s="25">
        <v>70787</v>
      </c>
      <c r="Z261" s="19" t="s">
        <v>755</v>
      </c>
      <c r="AA261" s="15" t="s">
        <v>843</v>
      </c>
      <c r="AB261" s="16">
        <v>5</v>
      </c>
      <c r="AC261" s="141"/>
      <c r="AD261" s="163"/>
      <c r="AE261" s="163"/>
      <c r="AF261" s="164"/>
      <c r="AG261" s="169">
        <f t="shared" si="24"/>
        <v>0.03</v>
      </c>
      <c r="AH261" s="184">
        <f t="shared" si="25"/>
        <v>3.4999999999999996E-2</v>
      </c>
      <c r="AI261" s="163"/>
      <c r="AJ261" s="164"/>
      <c r="AK261" s="141"/>
      <c r="AL261" s="163"/>
      <c r="AM261" s="72"/>
      <c r="AN261" s="127"/>
      <c r="AO261" s="126"/>
      <c r="AP261" s="72"/>
      <c r="AQ261" s="72"/>
      <c r="AR261" s="127"/>
      <c r="AS261" s="256" t="s">
        <v>757</v>
      </c>
    </row>
    <row r="262" spans="1:45" x14ac:dyDescent="0.25">
      <c r="A262" s="9">
        <v>259</v>
      </c>
      <c r="B262" s="25" t="s">
        <v>28</v>
      </c>
      <c r="C262" s="25" t="s">
        <v>753</v>
      </c>
      <c r="D262" s="25" t="s">
        <v>754</v>
      </c>
      <c r="E262" s="25"/>
      <c r="F262" s="28" t="s">
        <v>843</v>
      </c>
      <c r="G262" s="25"/>
      <c r="H262" s="25" t="s">
        <v>31</v>
      </c>
      <c r="I262" s="25"/>
      <c r="J262" s="25"/>
      <c r="K262" s="25">
        <v>0.1</v>
      </c>
      <c r="L262" s="25">
        <v>0.1</v>
      </c>
      <c r="M262" s="25" t="s">
        <v>812</v>
      </c>
      <c r="N262" s="25" t="s">
        <v>33</v>
      </c>
      <c r="O262" s="25">
        <f t="shared" ref="O262:O325" si="26">S262*0.3</f>
        <v>2.8800000000000003</v>
      </c>
      <c r="P262" s="25">
        <f t="shared" ref="P262:P325" si="27">S262*0.35</f>
        <v>3.3600000000000003</v>
      </c>
      <c r="Q262" s="25">
        <f t="shared" ref="Q262:Q325" si="28">S262*0.2</f>
        <v>1.9200000000000004</v>
      </c>
      <c r="R262" s="25">
        <f t="shared" ref="R262:R325" si="29">S262*0.15</f>
        <v>1.4400000000000002</v>
      </c>
      <c r="S262" s="38">
        <v>9.6000000000000014</v>
      </c>
      <c r="T262" s="252">
        <v>105991.94</v>
      </c>
      <c r="U262" s="194">
        <v>10599.194000000001</v>
      </c>
      <c r="V262" s="9"/>
      <c r="W262" s="9"/>
      <c r="X262" s="25" t="s">
        <v>844</v>
      </c>
      <c r="Y262" s="25">
        <v>70787</v>
      </c>
      <c r="Z262" s="19" t="s">
        <v>755</v>
      </c>
      <c r="AA262" s="15" t="s">
        <v>843</v>
      </c>
      <c r="AB262" s="16">
        <v>6</v>
      </c>
      <c r="AC262" s="141"/>
      <c r="AD262" s="163"/>
      <c r="AE262" s="163"/>
      <c r="AF262" s="164"/>
      <c r="AG262" s="169">
        <f t="shared" si="24"/>
        <v>0.03</v>
      </c>
      <c r="AH262" s="184">
        <f t="shared" si="25"/>
        <v>3.4999999999999996E-2</v>
      </c>
      <c r="AI262" s="163"/>
      <c r="AJ262" s="164"/>
      <c r="AK262" s="141"/>
      <c r="AL262" s="163"/>
      <c r="AM262" s="72"/>
      <c r="AN262" s="127"/>
      <c r="AO262" s="126"/>
      <c r="AP262" s="72"/>
      <c r="AQ262" s="72"/>
      <c r="AR262" s="127"/>
      <c r="AS262" s="256" t="s">
        <v>757</v>
      </c>
    </row>
    <row r="263" spans="1:45" x14ac:dyDescent="0.25">
      <c r="A263" s="9">
        <v>260</v>
      </c>
      <c r="B263" s="25" t="s">
        <v>28</v>
      </c>
      <c r="C263" s="25" t="s">
        <v>753</v>
      </c>
      <c r="D263" s="25" t="s">
        <v>754</v>
      </c>
      <c r="E263" s="25"/>
      <c r="F263" s="28" t="s">
        <v>845</v>
      </c>
      <c r="G263" s="25"/>
      <c r="H263" s="25" t="s">
        <v>31</v>
      </c>
      <c r="I263" s="25"/>
      <c r="J263" s="25"/>
      <c r="K263" s="25">
        <v>8.5</v>
      </c>
      <c r="L263" s="25">
        <v>8.5</v>
      </c>
      <c r="M263" s="25" t="s">
        <v>812</v>
      </c>
      <c r="N263" s="25" t="s">
        <v>33</v>
      </c>
      <c r="O263" s="25">
        <f t="shared" si="26"/>
        <v>91.8</v>
      </c>
      <c r="P263" s="25">
        <f t="shared" si="27"/>
        <v>107.1</v>
      </c>
      <c r="Q263" s="25">
        <f t="shared" si="28"/>
        <v>61.2</v>
      </c>
      <c r="R263" s="25">
        <f t="shared" si="29"/>
        <v>45.9</v>
      </c>
      <c r="S263" s="38">
        <v>306</v>
      </c>
      <c r="T263" s="252">
        <v>105991.94</v>
      </c>
      <c r="U263" s="194">
        <v>900931.49</v>
      </c>
      <c r="V263" s="9"/>
      <c r="W263" s="9"/>
      <c r="X263" s="25" t="s">
        <v>846</v>
      </c>
      <c r="Y263" s="25">
        <v>70787</v>
      </c>
      <c r="Z263" s="19" t="s">
        <v>755</v>
      </c>
      <c r="AA263" s="15" t="s">
        <v>845</v>
      </c>
      <c r="AB263" s="16">
        <v>7</v>
      </c>
      <c r="AC263" s="141"/>
      <c r="AD263" s="163"/>
      <c r="AE263" s="163"/>
      <c r="AF263" s="164"/>
      <c r="AG263" s="169">
        <f t="shared" si="24"/>
        <v>2.5499999999999998</v>
      </c>
      <c r="AH263" s="184">
        <f t="shared" si="25"/>
        <v>2.9749999999999996</v>
      </c>
      <c r="AI263" s="163"/>
      <c r="AJ263" s="164"/>
      <c r="AK263" s="141"/>
      <c r="AL263" s="163"/>
      <c r="AM263" s="72"/>
      <c r="AN263" s="127"/>
      <c r="AO263" s="126"/>
      <c r="AP263" s="72"/>
      <c r="AQ263" s="72"/>
      <c r="AR263" s="127"/>
      <c r="AS263" s="256" t="s">
        <v>757</v>
      </c>
    </row>
    <row r="264" spans="1:45" x14ac:dyDescent="0.25">
      <c r="A264" s="9">
        <v>261</v>
      </c>
      <c r="B264" s="25" t="s">
        <v>28</v>
      </c>
      <c r="C264" s="25" t="s">
        <v>753</v>
      </c>
      <c r="D264" s="25" t="s">
        <v>754</v>
      </c>
      <c r="E264" s="25"/>
      <c r="F264" s="28" t="s">
        <v>847</v>
      </c>
      <c r="G264" s="25"/>
      <c r="H264" s="25" t="s">
        <v>31</v>
      </c>
      <c r="I264" s="25"/>
      <c r="J264" s="25"/>
      <c r="K264" s="25">
        <v>0.2</v>
      </c>
      <c r="L264" s="25">
        <v>0.2</v>
      </c>
      <c r="M264" s="25" t="s">
        <v>812</v>
      </c>
      <c r="N264" s="25" t="s">
        <v>33</v>
      </c>
      <c r="O264" s="25">
        <f t="shared" si="26"/>
        <v>5.1599999999999993</v>
      </c>
      <c r="P264" s="25">
        <f t="shared" si="27"/>
        <v>6.02</v>
      </c>
      <c r="Q264" s="25">
        <f t="shared" si="28"/>
        <v>3.44</v>
      </c>
      <c r="R264" s="25">
        <f t="shared" si="29"/>
        <v>2.5799999999999996</v>
      </c>
      <c r="S264" s="38">
        <v>17.2</v>
      </c>
      <c r="T264" s="252">
        <v>105991.94</v>
      </c>
      <c r="U264" s="194">
        <v>21198.388000000003</v>
      </c>
      <c r="V264" s="9"/>
      <c r="W264" s="9"/>
      <c r="X264" s="25" t="s">
        <v>848</v>
      </c>
      <c r="Y264" s="25">
        <v>70787</v>
      </c>
      <c r="Z264" s="19" t="s">
        <v>755</v>
      </c>
      <c r="AA264" s="15" t="s">
        <v>847</v>
      </c>
      <c r="AB264" s="16">
        <v>8</v>
      </c>
      <c r="AC264" s="141"/>
      <c r="AD264" s="163"/>
      <c r="AE264" s="163"/>
      <c r="AF264" s="164"/>
      <c r="AG264" s="169">
        <f t="shared" si="24"/>
        <v>0.06</v>
      </c>
      <c r="AH264" s="184">
        <f t="shared" si="25"/>
        <v>6.9999999999999993E-2</v>
      </c>
      <c r="AI264" s="163"/>
      <c r="AJ264" s="164"/>
      <c r="AK264" s="141"/>
      <c r="AL264" s="163"/>
      <c r="AM264" s="72"/>
      <c r="AN264" s="127"/>
      <c r="AO264" s="126"/>
      <c r="AP264" s="72"/>
      <c r="AQ264" s="72"/>
      <c r="AR264" s="127"/>
      <c r="AS264" s="256" t="s">
        <v>849</v>
      </c>
    </row>
    <row r="265" spans="1:45" hidden="1" x14ac:dyDescent="0.25">
      <c r="A265" s="9">
        <v>262</v>
      </c>
      <c r="B265" s="9" t="s">
        <v>28</v>
      </c>
      <c r="C265" s="9" t="s">
        <v>753</v>
      </c>
      <c r="D265" s="9" t="s">
        <v>754</v>
      </c>
      <c r="E265" s="9"/>
      <c r="F265" s="15" t="s">
        <v>850</v>
      </c>
      <c r="G265" s="9"/>
      <c r="H265" s="9" t="s">
        <v>31</v>
      </c>
      <c r="I265" s="9"/>
      <c r="J265" s="9"/>
      <c r="K265" s="9">
        <v>2.8570000000000002E-2</v>
      </c>
      <c r="L265" s="9">
        <v>2.8570000000000002E-2</v>
      </c>
      <c r="M265" s="9" t="s">
        <v>812</v>
      </c>
      <c r="N265" s="9" t="s">
        <v>33</v>
      </c>
      <c r="O265" s="9">
        <f t="shared" si="26"/>
        <v>0.85710000000000008</v>
      </c>
      <c r="P265" s="9">
        <f t="shared" si="27"/>
        <v>0.99995000000000001</v>
      </c>
      <c r="Q265" s="9">
        <f t="shared" si="28"/>
        <v>0.57140000000000002</v>
      </c>
      <c r="R265" s="9">
        <f t="shared" si="29"/>
        <v>0.42855000000000004</v>
      </c>
      <c r="S265" s="38">
        <v>2.8570000000000002</v>
      </c>
      <c r="T265" s="252">
        <v>105991.94</v>
      </c>
      <c r="U265" s="194">
        <v>3028.1897258000004</v>
      </c>
      <c r="V265" s="9"/>
      <c r="W265" s="9"/>
      <c r="X265" s="9" t="s">
        <v>851</v>
      </c>
      <c r="Y265" s="9">
        <v>70794</v>
      </c>
      <c r="Z265" s="19" t="s">
        <v>755</v>
      </c>
      <c r="AA265" s="15" t="s">
        <v>850</v>
      </c>
      <c r="AB265" s="16">
        <v>1</v>
      </c>
      <c r="AC265" s="141"/>
      <c r="AD265" s="163"/>
      <c r="AE265" s="163"/>
      <c r="AF265" s="164"/>
      <c r="AG265" s="141"/>
      <c r="AH265" s="163"/>
      <c r="AI265" s="163"/>
      <c r="AJ265" s="164"/>
      <c r="AK265" s="126"/>
      <c r="AL265" s="72"/>
      <c r="AM265" s="72"/>
      <c r="AN265" s="127"/>
      <c r="AO265" s="126"/>
      <c r="AP265" s="72"/>
      <c r="AQ265" s="72"/>
      <c r="AR265" s="127"/>
      <c r="AS265" s="256" t="s">
        <v>849</v>
      </c>
    </row>
    <row r="266" spans="1:45" hidden="1" x14ac:dyDescent="0.25">
      <c r="A266" s="9">
        <v>263</v>
      </c>
      <c r="B266" s="9" t="s">
        <v>28</v>
      </c>
      <c r="C266" s="9" t="s">
        <v>753</v>
      </c>
      <c r="D266" s="9" t="s">
        <v>754</v>
      </c>
      <c r="E266" s="9"/>
      <c r="F266" s="15" t="s">
        <v>850</v>
      </c>
      <c r="G266" s="9"/>
      <c r="H266" s="9" t="s">
        <v>31</v>
      </c>
      <c r="I266" s="9"/>
      <c r="J266" s="9"/>
      <c r="K266" s="9">
        <v>2.8570000000000002E-2</v>
      </c>
      <c r="L266" s="9">
        <v>2.8570000000000002E-2</v>
      </c>
      <c r="M266" s="9" t="s">
        <v>812</v>
      </c>
      <c r="N266" s="9" t="s">
        <v>33</v>
      </c>
      <c r="O266" s="9">
        <f t="shared" si="26"/>
        <v>0.85710000000000008</v>
      </c>
      <c r="P266" s="9">
        <f t="shared" si="27"/>
        <v>0.99995000000000001</v>
      </c>
      <c r="Q266" s="9">
        <f t="shared" si="28"/>
        <v>0.57140000000000002</v>
      </c>
      <c r="R266" s="9">
        <f t="shared" si="29"/>
        <v>0.42855000000000004</v>
      </c>
      <c r="S266" s="38">
        <v>2.8570000000000002</v>
      </c>
      <c r="T266" s="252">
        <v>105991.94</v>
      </c>
      <c r="U266" s="194">
        <v>3028.1897258000004</v>
      </c>
      <c r="V266" s="9"/>
      <c r="W266" s="9"/>
      <c r="X266" s="9" t="s">
        <v>851</v>
      </c>
      <c r="Y266" s="9">
        <v>70794</v>
      </c>
      <c r="Z266" s="19" t="s">
        <v>755</v>
      </c>
      <c r="AA266" s="15" t="s">
        <v>850</v>
      </c>
      <c r="AB266" s="16">
        <v>2</v>
      </c>
      <c r="AC266" s="141"/>
      <c r="AD266" s="163"/>
      <c r="AE266" s="163"/>
      <c r="AF266" s="164"/>
      <c r="AG266" s="141"/>
      <c r="AH266" s="163"/>
      <c r="AI266" s="163"/>
      <c r="AJ266" s="164"/>
      <c r="AK266" s="126"/>
      <c r="AL266" s="72"/>
      <c r="AM266" s="72"/>
      <c r="AN266" s="127"/>
      <c r="AO266" s="126"/>
      <c r="AP266" s="72"/>
      <c r="AQ266" s="72"/>
      <c r="AR266" s="127"/>
      <c r="AS266" s="256" t="s">
        <v>757</v>
      </c>
    </row>
    <row r="267" spans="1:45" hidden="1" x14ac:dyDescent="0.25">
      <c r="A267" s="9">
        <v>264</v>
      </c>
      <c r="B267" s="9" t="s">
        <v>28</v>
      </c>
      <c r="C267" s="9" t="s">
        <v>753</v>
      </c>
      <c r="D267" s="9" t="s">
        <v>754</v>
      </c>
      <c r="E267" s="9"/>
      <c r="F267" s="15" t="s">
        <v>850</v>
      </c>
      <c r="G267" s="9"/>
      <c r="H267" s="9" t="s">
        <v>31</v>
      </c>
      <c r="I267" s="9"/>
      <c r="J267" s="9"/>
      <c r="K267" s="9">
        <v>2.8570000000000002E-2</v>
      </c>
      <c r="L267" s="9">
        <v>2.8570000000000002E-2</v>
      </c>
      <c r="M267" s="9" t="s">
        <v>812</v>
      </c>
      <c r="N267" s="9" t="s">
        <v>33</v>
      </c>
      <c r="O267" s="9">
        <f t="shared" si="26"/>
        <v>0.85710000000000008</v>
      </c>
      <c r="P267" s="9">
        <f t="shared" si="27"/>
        <v>0.99995000000000001</v>
      </c>
      <c r="Q267" s="9">
        <f t="shared" si="28"/>
        <v>0.57140000000000002</v>
      </c>
      <c r="R267" s="9">
        <f t="shared" si="29"/>
        <v>0.42855000000000004</v>
      </c>
      <c r="S267" s="38">
        <v>2.8570000000000002</v>
      </c>
      <c r="T267" s="252">
        <v>105991.94</v>
      </c>
      <c r="U267" s="194">
        <v>3028.1897258000004</v>
      </c>
      <c r="V267" s="9"/>
      <c r="W267" s="9"/>
      <c r="X267" s="9" t="s">
        <v>851</v>
      </c>
      <c r="Y267" s="9">
        <v>70794</v>
      </c>
      <c r="Z267" s="19" t="s">
        <v>755</v>
      </c>
      <c r="AA267" s="15" t="s">
        <v>850</v>
      </c>
      <c r="AB267" s="16">
        <v>3</v>
      </c>
      <c r="AC267" s="141"/>
      <c r="AD267" s="163"/>
      <c r="AE267" s="163"/>
      <c r="AF267" s="164"/>
      <c r="AG267" s="141"/>
      <c r="AH267" s="163"/>
      <c r="AI267" s="163"/>
      <c r="AJ267" s="164"/>
      <c r="AK267" s="126"/>
      <c r="AL267" s="72"/>
      <c r="AM267" s="72"/>
      <c r="AN267" s="127"/>
      <c r="AO267" s="126"/>
      <c r="AP267" s="72"/>
      <c r="AQ267" s="72"/>
      <c r="AR267" s="127"/>
      <c r="AS267" s="256" t="s">
        <v>757</v>
      </c>
    </row>
    <row r="268" spans="1:45" hidden="1" x14ac:dyDescent="0.25">
      <c r="A268" s="9">
        <v>265</v>
      </c>
      <c r="B268" s="9" t="s">
        <v>28</v>
      </c>
      <c r="C268" s="9" t="s">
        <v>753</v>
      </c>
      <c r="D268" s="9" t="s">
        <v>754</v>
      </c>
      <c r="E268" s="9"/>
      <c r="F268" s="15" t="s">
        <v>850</v>
      </c>
      <c r="G268" s="9"/>
      <c r="H268" s="9" t="s">
        <v>31</v>
      </c>
      <c r="I268" s="9"/>
      <c r="J268" s="9"/>
      <c r="K268" s="9">
        <v>2.8570000000000002E-2</v>
      </c>
      <c r="L268" s="9">
        <v>2.8570000000000002E-2</v>
      </c>
      <c r="M268" s="9" t="s">
        <v>812</v>
      </c>
      <c r="N268" s="9" t="s">
        <v>33</v>
      </c>
      <c r="O268" s="9">
        <f t="shared" si="26"/>
        <v>0.85710000000000008</v>
      </c>
      <c r="P268" s="9">
        <f t="shared" si="27"/>
        <v>0.99995000000000001</v>
      </c>
      <c r="Q268" s="9">
        <f t="shared" si="28"/>
        <v>0.57140000000000002</v>
      </c>
      <c r="R268" s="9">
        <f t="shared" si="29"/>
        <v>0.42855000000000004</v>
      </c>
      <c r="S268" s="38">
        <v>2.8570000000000002</v>
      </c>
      <c r="T268" s="252">
        <v>105991.94</v>
      </c>
      <c r="U268" s="194">
        <v>3028.1897258000004</v>
      </c>
      <c r="V268" s="9"/>
      <c r="W268" s="9"/>
      <c r="X268" s="9" t="s">
        <v>851</v>
      </c>
      <c r="Y268" s="9">
        <v>70794</v>
      </c>
      <c r="Z268" s="19" t="s">
        <v>755</v>
      </c>
      <c r="AA268" s="15" t="s">
        <v>850</v>
      </c>
      <c r="AB268" s="16">
        <v>4</v>
      </c>
      <c r="AC268" s="141"/>
      <c r="AD268" s="163"/>
      <c r="AE268" s="163"/>
      <c r="AF268" s="164"/>
      <c r="AG268" s="141"/>
      <c r="AH268" s="163"/>
      <c r="AI268" s="163"/>
      <c r="AJ268" s="164"/>
      <c r="AK268" s="126"/>
      <c r="AL268" s="72"/>
      <c r="AM268" s="72"/>
      <c r="AN268" s="127"/>
      <c r="AO268" s="126"/>
      <c r="AP268" s="72"/>
      <c r="AQ268" s="72"/>
      <c r="AR268" s="127"/>
      <c r="AS268" s="256" t="s">
        <v>757</v>
      </c>
    </row>
    <row r="269" spans="1:45" hidden="1" x14ac:dyDescent="0.25">
      <c r="A269" s="9">
        <v>266</v>
      </c>
      <c r="B269" s="9" t="s">
        <v>28</v>
      </c>
      <c r="C269" s="9" t="s">
        <v>753</v>
      </c>
      <c r="D269" s="9" t="s">
        <v>754</v>
      </c>
      <c r="E269" s="9"/>
      <c r="F269" s="15" t="s">
        <v>850</v>
      </c>
      <c r="G269" s="9"/>
      <c r="H269" s="9" t="s">
        <v>31</v>
      </c>
      <c r="I269" s="9"/>
      <c r="J269" s="9"/>
      <c r="K269" s="9">
        <v>2.8570000000000002E-2</v>
      </c>
      <c r="L269" s="9">
        <v>2.8570000000000002E-2</v>
      </c>
      <c r="M269" s="9" t="s">
        <v>812</v>
      </c>
      <c r="N269" s="9" t="s">
        <v>33</v>
      </c>
      <c r="O269" s="9">
        <f t="shared" si="26"/>
        <v>0.85710000000000008</v>
      </c>
      <c r="P269" s="9">
        <f t="shared" si="27"/>
        <v>0.99995000000000001</v>
      </c>
      <c r="Q269" s="9">
        <f t="shared" si="28"/>
        <v>0.57140000000000002</v>
      </c>
      <c r="R269" s="9">
        <f t="shared" si="29"/>
        <v>0.42855000000000004</v>
      </c>
      <c r="S269" s="38">
        <v>2.8570000000000002</v>
      </c>
      <c r="T269" s="252">
        <v>105991.94</v>
      </c>
      <c r="U269" s="194">
        <v>3028.1897258000004</v>
      </c>
      <c r="V269" s="9"/>
      <c r="W269" s="9"/>
      <c r="X269" s="9" t="s">
        <v>851</v>
      </c>
      <c r="Y269" s="9">
        <v>70794</v>
      </c>
      <c r="Z269" s="19" t="s">
        <v>755</v>
      </c>
      <c r="AA269" s="15" t="s">
        <v>850</v>
      </c>
      <c r="AB269" s="16">
        <v>5</v>
      </c>
      <c r="AC269" s="141"/>
      <c r="AD269" s="163"/>
      <c r="AE269" s="163"/>
      <c r="AF269" s="164"/>
      <c r="AG269" s="141"/>
      <c r="AH269" s="163"/>
      <c r="AI269" s="163"/>
      <c r="AJ269" s="164"/>
      <c r="AK269" s="126"/>
      <c r="AL269" s="72"/>
      <c r="AM269" s="72"/>
      <c r="AN269" s="127"/>
      <c r="AO269" s="126"/>
      <c r="AP269" s="72"/>
      <c r="AQ269" s="72"/>
      <c r="AR269" s="127"/>
      <c r="AS269" s="256" t="s">
        <v>757</v>
      </c>
    </row>
    <row r="270" spans="1:45" hidden="1" x14ac:dyDescent="0.25">
      <c r="A270" s="9">
        <v>267</v>
      </c>
      <c r="B270" s="9" t="s">
        <v>28</v>
      </c>
      <c r="C270" s="9" t="s">
        <v>753</v>
      </c>
      <c r="D270" s="9" t="s">
        <v>754</v>
      </c>
      <c r="E270" s="9"/>
      <c r="F270" s="15" t="s">
        <v>850</v>
      </c>
      <c r="G270" s="9"/>
      <c r="H270" s="9" t="s">
        <v>31</v>
      </c>
      <c r="I270" s="9"/>
      <c r="J270" s="9"/>
      <c r="K270" s="9">
        <v>2.8570000000000002E-2</v>
      </c>
      <c r="L270" s="9">
        <v>2.8570000000000002E-2</v>
      </c>
      <c r="M270" s="9" t="s">
        <v>812</v>
      </c>
      <c r="N270" s="9" t="s">
        <v>33</v>
      </c>
      <c r="O270" s="9">
        <f t="shared" si="26"/>
        <v>0.85710000000000008</v>
      </c>
      <c r="P270" s="9">
        <f t="shared" si="27"/>
        <v>0.99995000000000001</v>
      </c>
      <c r="Q270" s="9">
        <f t="shared" si="28"/>
        <v>0.57140000000000002</v>
      </c>
      <c r="R270" s="9">
        <f t="shared" si="29"/>
        <v>0.42855000000000004</v>
      </c>
      <c r="S270" s="38">
        <v>2.8570000000000002</v>
      </c>
      <c r="T270" s="252">
        <v>105991.94</v>
      </c>
      <c r="U270" s="194">
        <v>3028.1897258000004</v>
      </c>
      <c r="V270" s="9"/>
      <c r="W270" s="9"/>
      <c r="X270" s="9" t="s">
        <v>851</v>
      </c>
      <c r="Y270" s="9">
        <v>70794</v>
      </c>
      <c r="Z270" s="19" t="s">
        <v>755</v>
      </c>
      <c r="AA270" s="15" t="s">
        <v>850</v>
      </c>
      <c r="AB270" s="16">
        <v>6</v>
      </c>
      <c r="AC270" s="141"/>
      <c r="AD270" s="163"/>
      <c r="AE270" s="163"/>
      <c r="AF270" s="164"/>
      <c r="AG270" s="141"/>
      <c r="AH270" s="163"/>
      <c r="AI270" s="163"/>
      <c r="AJ270" s="164"/>
      <c r="AK270" s="126"/>
      <c r="AL270" s="72"/>
      <c r="AM270" s="72"/>
      <c r="AN270" s="127"/>
      <c r="AO270" s="126"/>
      <c r="AP270" s="72"/>
      <c r="AQ270" s="72"/>
      <c r="AR270" s="127"/>
      <c r="AS270" s="256" t="s">
        <v>757</v>
      </c>
    </row>
    <row r="271" spans="1:45" hidden="1" x14ac:dyDescent="0.25">
      <c r="A271" s="9">
        <v>268</v>
      </c>
      <c r="B271" s="9" t="s">
        <v>28</v>
      </c>
      <c r="C271" s="9" t="s">
        <v>753</v>
      </c>
      <c r="D271" s="9" t="s">
        <v>754</v>
      </c>
      <c r="E271" s="9"/>
      <c r="F271" s="15" t="s">
        <v>850</v>
      </c>
      <c r="G271" s="9"/>
      <c r="H271" s="9" t="s">
        <v>31</v>
      </c>
      <c r="I271" s="9"/>
      <c r="J271" s="9"/>
      <c r="K271" s="9">
        <v>2.5999999999999999E-2</v>
      </c>
      <c r="L271" s="9">
        <v>2.5999999999999999E-2</v>
      </c>
      <c r="M271" s="9" t="s">
        <v>812</v>
      </c>
      <c r="N271" s="9" t="s">
        <v>33</v>
      </c>
      <c r="O271" s="9">
        <f t="shared" si="26"/>
        <v>0.78</v>
      </c>
      <c r="P271" s="9">
        <f t="shared" si="27"/>
        <v>0.90999999999999992</v>
      </c>
      <c r="Q271" s="9">
        <f t="shared" si="28"/>
        <v>0.52</v>
      </c>
      <c r="R271" s="9">
        <f t="shared" si="29"/>
        <v>0.39</v>
      </c>
      <c r="S271" s="38">
        <v>2.6</v>
      </c>
      <c r="T271" s="252">
        <v>105991.94</v>
      </c>
      <c r="U271" s="194">
        <v>2755.7904399999998</v>
      </c>
      <c r="V271" s="9"/>
      <c r="W271" s="9"/>
      <c r="X271" s="9" t="s">
        <v>852</v>
      </c>
      <c r="Y271" s="9">
        <v>70794</v>
      </c>
      <c r="Z271" s="19" t="s">
        <v>755</v>
      </c>
      <c r="AA271" s="15" t="s">
        <v>850</v>
      </c>
      <c r="AB271" s="16">
        <v>7</v>
      </c>
      <c r="AC271" s="141"/>
      <c r="AD271" s="163"/>
      <c r="AE271" s="163"/>
      <c r="AF271" s="164"/>
      <c r="AG271" s="141"/>
      <c r="AH271" s="163"/>
      <c r="AI271" s="163"/>
      <c r="AJ271" s="164"/>
      <c r="AK271" s="126"/>
      <c r="AL271" s="72"/>
      <c r="AM271" s="72"/>
      <c r="AN271" s="127"/>
      <c r="AO271" s="126"/>
      <c r="AP271" s="72"/>
      <c r="AQ271" s="72"/>
      <c r="AR271" s="127"/>
      <c r="AS271" s="256" t="s">
        <v>757</v>
      </c>
    </row>
    <row r="272" spans="1:45" hidden="1" x14ac:dyDescent="0.25">
      <c r="A272" s="9">
        <v>269</v>
      </c>
      <c r="B272" s="9" t="s">
        <v>28</v>
      </c>
      <c r="C272" s="9" t="s">
        <v>753</v>
      </c>
      <c r="D272" s="9" t="s">
        <v>754</v>
      </c>
      <c r="E272" s="9"/>
      <c r="F272" s="15" t="s">
        <v>850</v>
      </c>
      <c r="G272" s="9"/>
      <c r="H272" s="9" t="s">
        <v>31</v>
      </c>
      <c r="I272" s="9"/>
      <c r="J272" s="9"/>
      <c r="K272" s="9">
        <v>2.5999999999999999E-2</v>
      </c>
      <c r="L272" s="9">
        <v>2.5999999999999999E-2</v>
      </c>
      <c r="M272" s="9" t="s">
        <v>812</v>
      </c>
      <c r="N272" s="9" t="s">
        <v>33</v>
      </c>
      <c r="O272" s="9">
        <f t="shared" si="26"/>
        <v>0.78</v>
      </c>
      <c r="P272" s="9">
        <f t="shared" si="27"/>
        <v>0.90999999999999992</v>
      </c>
      <c r="Q272" s="9">
        <f t="shared" si="28"/>
        <v>0.52</v>
      </c>
      <c r="R272" s="9">
        <f t="shared" si="29"/>
        <v>0.39</v>
      </c>
      <c r="S272" s="38">
        <v>2.6</v>
      </c>
      <c r="T272" s="252">
        <v>105991.94</v>
      </c>
      <c r="U272" s="194">
        <v>2755.7904399999998</v>
      </c>
      <c r="V272" s="9"/>
      <c r="W272" s="9"/>
      <c r="X272" s="9" t="s">
        <v>852</v>
      </c>
      <c r="Y272" s="9">
        <v>70794</v>
      </c>
      <c r="Z272" s="19" t="s">
        <v>755</v>
      </c>
      <c r="AA272" s="15" t="s">
        <v>850</v>
      </c>
      <c r="AB272" s="16">
        <v>8</v>
      </c>
      <c r="AC272" s="141"/>
      <c r="AD272" s="163"/>
      <c r="AE272" s="163"/>
      <c r="AF272" s="164"/>
      <c r="AG272" s="141"/>
      <c r="AH272" s="163"/>
      <c r="AI272" s="163"/>
      <c r="AJ272" s="164"/>
      <c r="AK272" s="126"/>
      <c r="AL272" s="72"/>
      <c r="AM272" s="72"/>
      <c r="AN272" s="127"/>
      <c r="AO272" s="126"/>
      <c r="AP272" s="72"/>
      <c r="AQ272" s="72"/>
      <c r="AR272" s="127"/>
      <c r="AS272" s="256" t="s">
        <v>757</v>
      </c>
    </row>
    <row r="273" spans="1:45" hidden="1" x14ac:dyDescent="0.25">
      <c r="A273" s="9">
        <v>270</v>
      </c>
      <c r="B273" s="9" t="s">
        <v>28</v>
      </c>
      <c r="C273" s="9" t="s">
        <v>753</v>
      </c>
      <c r="D273" s="9" t="s">
        <v>754</v>
      </c>
      <c r="E273" s="9"/>
      <c r="F273" s="15" t="s">
        <v>850</v>
      </c>
      <c r="G273" s="9"/>
      <c r="H273" s="9" t="s">
        <v>31</v>
      </c>
      <c r="I273" s="9"/>
      <c r="J273" s="9"/>
      <c r="K273" s="9">
        <v>2.5999999999999999E-2</v>
      </c>
      <c r="L273" s="9">
        <v>2.5999999999999999E-2</v>
      </c>
      <c r="M273" s="9" t="s">
        <v>812</v>
      </c>
      <c r="N273" s="9" t="s">
        <v>33</v>
      </c>
      <c r="O273" s="9">
        <f t="shared" si="26"/>
        <v>0.78</v>
      </c>
      <c r="P273" s="9">
        <f t="shared" si="27"/>
        <v>0.90999999999999992</v>
      </c>
      <c r="Q273" s="9">
        <f t="shared" si="28"/>
        <v>0.52</v>
      </c>
      <c r="R273" s="9">
        <f t="shared" si="29"/>
        <v>0.39</v>
      </c>
      <c r="S273" s="38">
        <v>2.6</v>
      </c>
      <c r="T273" s="252">
        <v>105991.94</v>
      </c>
      <c r="U273" s="194">
        <v>2755.7904399999998</v>
      </c>
      <c r="V273" s="9"/>
      <c r="W273" s="9"/>
      <c r="X273" s="9" t="s">
        <v>852</v>
      </c>
      <c r="Y273" s="9">
        <v>70794</v>
      </c>
      <c r="Z273" s="19" t="s">
        <v>755</v>
      </c>
      <c r="AA273" s="15" t="s">
        <v>850</v>
      </c>
      <c r="AB273" s="16">
        <v>9</v>
      </c>
      <c r="AC273" s="141"/>
      <c r="AD273" s="163"/>
      <c r="AE273" s="163"/>
      <c r="AF273" s="164"/>
      <c r="AG273" s="141"/>
      <c r="AH273" s="163"/>
      <c r="AI273" s="163"/>
      <c r="AJ273" s="164"/>
      <c r="AK273" s="126"/>
      <c r="AL273" s="72"/>
      <c r="AM273" s="72"/>
      <c r="AN273" s="127"/>
      <c r="AO273" s="126"/>
      <c r="AP273" s="72"/>
      <c r="AQ273" s="72"/>
      <c r="AR273" s="127"/>
      <c r="AS273" s="256" t="s">
        <v>757</v>
      </c>
    </row>
    <row r="274" spans="1:45" hidden="1" x14ac:dyDescent="0.25">
      <c r="A274" s="9">
        <v>271</v>
      </c>
      <c r="B274" s="9" t="s">
        <v>28</v>
      </c>
      <c r="C274" s="9" t="s">
        <v>753</v>
      </c>
      <c r="D274" s="9" t="s">
        <v>754</v>
      </c>
      <c r="E274" s="9"/>
      <c r="F274" s="15" t="s">
        <v>850</v>
      </c>
      <c r="G274" s="9"/>
      <c r="H274" s="9" t="s">
        <v>31</v>
      </c>
      <c r="I274" s="9"/>
      <c r="J274" s="9"/>
      <c r="K274" s="9">
        <v>2.5999999999999999E-2</v>
      </c>
      <c r="L274" s="9">
        <v>2.5999999999999999E-2</v>
      </c>
      <c r="M274" s="9" t="s">
        <v>812</v>
      </c>
      <c r="N274" s="9" t="s">
        <v>33</v>
      </c>
      <c r="O274" s="9">
        <f t="shared" si="26"/>
        <v>0.78</v>
      </c>
      <c r="P274" s="9">
        <f t="shared" si="27"/>
        <v>0.90999999999999992</v>
      </c>
      <c r="Q274" s="9">
        <f t="shared" si="28"/>
        <v>0.52</v>
      </c>
      <c r="R274" s="9">
        <f t="shared" si="29"/>
        <v>0.39</v>
      </c>
      <c r="S274" s="38">
        <v>2.6</v>
      </c>
      <c r="T274" s="252">
        <v>105991.94</v>
      </c>
      <c r="U274" s="194">
        <v>2755.7904399999998</v>
      </c>
      <c r="V274" s="9"/>
      <c r="W274" s="9"/>
      <c r="X274" s="9" t="s">
        <v>852</v>
      </c>
      <c r="Y274" s="9">
        <v>70794</v>
      </c>
      <c r="Z274" s="19" t="s">
        <v>755</v>
      </c>
      <c r="AA274" s="15" t="s">
        <v>850</v>
      </c>
      <c r="AB274" s="16">
        <v>10</v>
      </c>
      <c r="AC274" s="141"/>
      <c r="AD274" s="163"/>
      <c r="AE274" s="163"/>
      <c r="AF274" s="164"/>
      <c r="AG274" s="141"/>
      <c r="AH274" s="163"/>
      <c r="AI274" s="163"/>
      <c r="AJ274" s="164"/>
      <c r="AK274" s="126"/>
      <c r="AL274" s="72"/>
      <c r="AM274" s="72"/>
      <c r="AN274" s="127"/>
      <c r="AO274" s="126"/>
      <c r="AP274" s="72"/>
      <c r="AQ274" s="72"/>
      <c r="AR274" s="127"/>
      <c r="AS274" s="256" t="s">
        <v>757</v>
      </c>
    </row>
    <row r="275" spans="1:45" hidden="1" x14ac:dyDescent="0.25">
      <c r="A275" s="9">
        <v>272</v>
      </c>
      <c r="B275" s="9" t="s">
        <v>28</v>
      </c>
      <c r="C275" s="9" t="s">
        <v>753</v>
      </c>
      <c r="D275" s="9" t="s">
        <v>754</v>
      </c>
      <c r="E275" s="9"/>
      <c r="F275" s="15" t="s">
        <v>850</v>
      </c>
      <c r="G275" s="9"/>
      <c r="H275" s="9" t="s">
        <v>31</v>
      </c>
      <c r="I275" s="9"/>
      <c r="J275" s="9"/>
      <c r="K275" s="9">
        <v>2.5999999999999999E-2</v>
      </c>
      <c r="L275" s="9">
        <v>2.5999999999999999E-2</v>
      </c>
      <c r="M275" s="9" t="s">
        <v>812</v>
      </c>
      <c r="N275" s="9" t="s">
        <v>33</v>
      </c>
      <c r="O275" s="9">
        <f t="shared" si="26"/>
        <v>0.78</v>
      </c>
      <c r="P275" s="9">
        <f t="shared" si="27"/>
        <v>0.90999999999999992</v>
      </c>
      <c r="Q275" s="9">
        <f t="shared" si="28"/>
        <v>0.52</v>
      </c>
      <c r="R275" s="9">
        <f t="shared" si="29"/>
        <v>0.39</v>
      </c>
      <c r="S275" s="38">
        <v>2.6</v>
      </c>
      <c r="T275" s="252">
        <v>105991.94</v>
      </c>
      <c r="U275" s="194">
        <v>2755.7904399999998</v>
      </c>
      <c r="V275" s="9"/>
      <c r="W275" s="9"/>
      <c r="X275" s="9" t="s">
        <v>852</v>
      </c>
      <c r="Y275" s="9">
        <v>70794</v>
      </c>
      <c r="Z275" s="19" t="s">
        <v>755</v>
      </c>
      <c r="AA275" s="15" t="s">
        <v>850</v>
      </c>
      <c r="AB275" s="16">
        <v>11</v>
      </c>
      <c r="AC275" s="141"/>
      <c r="AD275" s="163"/>
      <c r="AE275" s="163"/>
      <c r="AF275" s="164"/>
      <c r="AG275" s="141"/>
      <c r="AH275" s="163"/>
      <c r="AI275" s="163"/>
      <c r="AJ275" s="164"/>
      <c r="AK275" s="126"/>
      <c r="AL275" s="72"/>
      <c r="AM275" s="72"/>
      <c r="AN275" s="127"/>
      <c r="AO275" s="126"/>
      <c r="AP275" s="72"/>
      <c r="AQ275" s="72"/>
      <c r="AR275" s="127"/>
      <c r="AS275" s="256" t="s">
        <v>757</v>
      </c>
    </row>
    <row r="276" spans="1:45" hidden="1" x14ac:dyDescent="0.25">
      <c r="A276" s="9">
        <v>273</v>
      </c>
      <c r="B276" s="9" t="s">
        <v>28</v>
      </c>
      <c r="C276" s="9" t="s">
        <v>753</v>
      </c>
      <c r="D276" s="9" t="s">
        <v>754</v>
      </c>
      <c r="E276" s="9"/>
      <c r="F276" s="15" t="s">
        <v>850</v>
      </c>
      <c r="G276" s="9"/>
      <c r="H276" s="9" t="s">
        <v>31</v>
      </c>
      <c r="I276" s="9"/>
      <c r="J276" s="9"/>
      <c r="K276" s="9">
        <v>2.5999999999999999E-2</v>
      </c>
      <c r="L276" s="9">
        <v>2.5999999999999999E-2</v>
      </c>
      <c r="M276" s="9" t="s">
        <v>812</v>
      </c>
      <c r="N276" s="9" t="s">
        <v>33</v>
      </c>
      <c r="O276" s="9">
        <f t="shared" si="26"/>
        <v>0.78</v>
      </c>
      <c r="P276" s="9">
        <f t="shared" si="27"/>
        <v>0.90999999999999992</v>
      </c>
      <c r="Q276" s="9">
        <f t="shared" si="28"/>
        <v>0.52</v>
      </c>
      <c r="R276" s="9">
        <f t="shared" si="29"/>
        <v>0.39</v>
      </c>
      <c r="S276" s="38">
        <v>2.6</v>
      </c>
      <c r="T276" s="252">
        <v>105991.94</v>
      </c>
      <c r="U276" s="194">
        <v>2755.7904399999998</v>
      </c>
      <c r="V276" s="9"/>
      <c r="W276" s="9"/>
      <c r="X276" s="9" t="s">
        <v>852</v>
      </c>
      <c r="Y276" s="9">
        <v>70794</v>
      </c>
      <c r="Z276" s="19" t="s">
        <v>755</v>
      </c>
      <c r="AA276" s="15" t="s">
        <v>850</v>
      </c>
      <c r="AB276" s="16">
        <v>12</v>
      </c>
      <c r="AC276" s="141"/>
      <c r="AD276" s="163"/>
      <c r="AE276" s="163"/>
      <c r="AF276" s="164"/>
      <c r="AG276" s="141"/>
      <c r="AH276" s="163"/>
      <c r="AI276" s="163"/>
      <c r="AJ276" s="164"/>
      <c r="AK276" s="126"/>
      <c r="AL276" s="72"/>
      <c r="AM276" s="72"/>
      <c r="AN276" s="127"/>
      <c r="AO276" s="126"/>
      <c r="AP276" s="72"/>
      <c r="AQ276" s="72"/>
      <c r="AR276" s="127"/>
      <c r="AS276" s="256" t="s">
        <v>757</v>
      </c>
    </row>
    <row r="277" spans="1:45" hidden="1" x14ac:dyDescent="0.25">
      <c r="A277" s="9">
        <v>274</v>
      </c>
      <c r="B277" s="9" t="s">
        <v>28</v>
      </c>
      <c r="C277" s="9" t="s">
        <v>753</v>
      </c>
      <c r="D277" s="9" t="s">
        <v>754</v>
      </c>
      <c r="E277" s="9"/>
      <c r="F277" s="15" t="s">
        <v>850</v>
      </c>
      <c r="G277" s="9"/>
      <c r="H277" s="9" t="s">
        <v>31</v>
      </c>
      <c r="I277" s="9"/>
      <c r="J277" s="9"/>
      <c r="K277" s="9">
        <v>2.9000000000000001E-2</v>
      </c>
      <c r="L277" s="9">
        <v>2.9000000000000001E-2</v>
      </c>
      <c r="M277" s="9" t="s">
        <v>812</v>
      </c>
      <c r="N277" s="9" t="s">
        <v>33</v>
      </c>
      <c r="O277" s="9">
        <f t="shared" si="26"/>
        <v>0.87000000000000011</v>
      </c>
      <c r="P277" s="9">
        <f t="shared" si="27"/>
        <v>1.0150000000000001</v>
      </c>
      <c r="Q277" s="9">
        <f t="shared" si="28"/>
        <v>0.58000000000000007</v>
      </c>
      <c r="R277" s="9">
        <f t="shared" si="29"/>
        <v>0.43500000000000005</v>
      </c>
      <c r="S277" s="38">
        <v>2.9000000000000004</v>
      </c>
      <c r="T277" s="252">
        <v>105991.94</v>
      </c>
      <c r="U277" s="194">
        <v>3073.7662600000003</v>
      </c>
      <c r="V277" s="9"/>
      <c r="W277" s="9"/>
      <c r="X277" s="9" t="s">
        <v>853</v>
      </c>
      <c r="Y277" s="9">
        <v>70794</v>
      </c>
      <c r="Z277" s="19" t="s">
        <v>755</v>
      </c>
      <c r="AA277" s="15" t="s">
        <v>850</v>
      </c>
      <c r="AB277" s="16">
        <v>13</v>
      </c>
      <c r="AC277" s="141"/>
      <c r="AD277" s="163"/>
      <c r="AE277" s="163"/>
      <c r="AF277" s="164"/>
      <c r="AG277" s="141"/>
      <c r="AH277" s="163"/>
      <c r="AI277" s="163"/>
      <c r="AJ277" s="164"/>
      <c r="AK277" s="126"/>
      <c r="AL277" s="72"/>
      <c r="AM277" s="72"/>
      <c r="AN277" s="127"/>
      <c r="AO277" s="126"/>
      <c r="AP277" s="72"/>
      <c r="AQ277" s="72"/>
      <c r="AR277" s="127"/>
      <c r="AS277" s="256" t="s">
        <v>757</v>
      </c>
    </row>
    <row r="278" spans="1:45" hidden="1" x14ac:dyDescent="0.25">
      <c r="A278" s="9">
        <v>275</v>
      </c>
      <c r="B278" s="9" t="s">
        <v>28</v>
      </c>
      <c r="C278" s="9" t="s">
        <v>753</v>
      </c>
      <c r="D278" s="9" t="s">
        <v>754</v>
      </c>
      <c r="E278" s="9"/>
      <c r="F278" s="15" t="s">
        <v>850</v>
      </c>
      <c r="G278" s="9"/>
      <c r="H278" s="9" t="s">
        <v>31</v>
      </c>
      <c r="I278" s="9"/>
      <c r="J278" s="9"/>
      <c r="K278" s="9">
        <v>2.9000000000000001E-2</v>
      </c>
      <c r="L278" s="9">
        <v>2.9000000000000001E-2</v>
      </c>
      <c r="M278" s="9" t="s">
        <v>812</v>
      </c>
      <c r="N278" s="9" t="s">
        <v>33</v>
      </c>
      <c r="O278" s="9">
        <f t="shared" si="26"/>
        <v>0.87000000000000011</v>
      </c>
      <c r="P278" s="9">
        <f t="shared" si="27"/>
        <v>1.0150000000000001</v>
      </c>
      <c r="Q278" s="9">
        <f t="shared" si="28"/>
        <v>0.58000000000000007</v>
      </c>
      <c r="R278" s="9">
        <f t="shared" si="29"/>
        <v>0.43500000000000005</v>
      </c>
      <c r="S278" s="38">
        <v>2.9000000000000004</v>
      </c>
      <c r="T278" s="252">
        <v>105991.94</v>
      </c>
      <c r="U278" s="194">
        <v>3073.7662600000003</v>
      </c>
      <c r="V278" s="9"/>
      <c r="W278" s="9"/>
      <c r="X278" s="9" t="s">
        <v>853</v>
      </c>
      <c r="Y278" s="9">
        <v>70794</v>
      </c>
      <c r="Z278" s="19" t="s">
        <v>755</v>
      </c>
      <c r="AA278" s="15" t="s">
        <v>850</v>
      </c>
      <c r="AB278" s="16">
        <v>14</v>
      </c>
      <c r="AC278" s="141"/>
      <c r="AD278" s="163"/>
      <c r="AE278" s="163"/>
      <c r="AF278" s="164"/>
      <c r="AG278" s="141"/>
      <c r="AH278" s="163"/>
      <c r="AI278" s="163"/>
      <c r="AJ278" s="164"/>
      <c r="AK278" s="126"/>
      <c r="AL278" s="72"/>
      <c r="AM278" s="72"/>
      <c r="AN278" s="127"/>
      <c r="AO278" s="126"/>
      <c r="AP278" s="72"/>
      <c r="AQ278" s="72"/>
      <c r="AR278" s="127"/>
      <c r="AS278" s="256" t="s">
        <v>757</v>
      </c>
    </row>
    <row r="279" spans="1:45" hidden="1" x14ac:dyDescent="0.25">
      <c r="A279" s="9">
        <v>276</v>
      </c>
      <c r="B279" s="9" t="s">
        <v>28</v>
      </c>
      <c r="C279" s="9" t="s">
        <v>753</v>
      </c>
      <c r="D279" s="9" t="s">
        <v>754</v>
      </c>
      <c r="E279" s="9"/>
      <c r="F279" s="15" t="s">
        <v>850</v>
      </c>
      <c r="G279" s="9"/>
      <c r="H279" s="9" t="s">
        <v>31</v>
      </c>
      <c r="I279" s="9"/>
      <c r="J279" s="9"/>
      <c r="K279" s="9">
        <v>2.9000000000000001E-2</v>
      </c>
      <c r="L279" s="9">
        <v>2.9000000000000001E-2</v>
      </c>
      <c r="M279" s="9" t="s">
        <v>812</v>
      </c>
      <c r="N279" s="9" t="s">
        <v>33</v>
      </c>
      <c r="O279" s="9">
        <f t="shared" si="26"/>
        <v>0.87000000000000011</v>
      </c>
      <c r="P279" s="9">
        <f t="shared" si="27"/>
        <v>1.0150000000000001</v>
      </c>
      <c r="Q279" s="9">
        <f t="shared" si="28"/>
        <v>0.58000000000000007</v>
      </c>
      <c r="R279" s="9">
        <f t="shared" si="29"/>
        <v>0.43500000000000005</v>
      </c>
      <c r="S279" s="38">
        <v>2.9000000000000004</v>
      </c>
      <c r="T279" s="252">
        <v>105991.94</v>
      </c>
      <c r="U279" s="194">
        <v>3073.7662600000003</v>
      </c>
      <c r="V279" s="9"/>
      <c r="W279" s="9"/>
      <c r="X279" s="9" t="s">
        <v>853</v>
      </c>
      <c r="Y279" s="9">
        <v>70794</v>
      </c>
      <c r="Z279" s="19" t="s">
        <v>755</v>
      </c>
      <c r="AA279" s="15" t="s">
        <v>850</v>
      </c>
      <c r="AB279" s="16">
        <v>15</v>
      </c>
      <c r="AC279" s="141"/>
      <c r="AD279" s="163"/>
      <c r="AE279" s="163"/>
      <c r="AF279" s="164"/>
      <c r="AG279" s="141"/>
      <c r="AH279" s="163"/>
      <c r="AI279" s="163"/>
      <c r="AJ279" s="164"/>
      <c r="AK279" s="126"/>
      <c r="AL279" s="72"/>
      <c r="AM279" s="72"/>
      <c r="AN279" s="127"/>
      <c r="AO279" s="126"/>
      <c r="AP279" s="72"/>
      <c r="AQ279" s="72"/>
      <c r="AR279" s="127"/>
      <c r="AS279" s="256" t="s">
        <v>757</v>
      </c>
    </row>
    <row r="280" spans="1:45" hidden="1" x14ac:dyDescent="0.25">
      <c r="A280" s="9">
        <v>277</v>
      </c>
      <c r="B280" s="9" t="s">
        <v>28</v>
      </c>
      <c r="C280" s="9" t="s">
        <v>753</v>
      </c>
      <c r="D280" s="9" t="s">
        <v>754</v>
      </c>
      <c r="E280" s="9"/>
      <c r="F280" s="15" t="s">
        <v>850</v>
      </c>
      <c r="G280" s="9"/>
      <c r="H280" s="9" t="s">
        <v>31</v>
      </c>
      <c r="I280" s="9"/>
      <c r="J280" s="9"/>
      <c r="K280" s="9">
        <v>2.9000000000000001E-2</v>
      </c>
      <c r="L280" s="9">
        <v>2.9000000000000001E-2</v>
      </c>
      <c r="M280" s="9" t="s">
        <v>812</v>
      </c>
      <c r="N280" s="9" t="s">
        <v>33</v>
      </c>
      <c r="O280" s="9">
        <f t="shared" si="26"/>
        <v>0.87000000000000011</v>
      </c>
      <c r="P280" s="9">
        <f t="shared" si="27"/>
        <v>1.0150000000000001</v>
      </c>
      <c r="Q280" s="9">
        <f t="shared" si="28"/>
        <v>0.58000000000000007</v>
      </c>
      <c r="R280" s="9">
        <f t="shared" si="29"/>
        <v>0.43500000000000005</v>
      </c>
      <c r="S280" s="38">
        <v>2.9000000000000004</v>
      </c>
      <c r="T280" s="252">
        <v>105991.94</v>
      </c>
      <c r="U280" s="194">
        <v>3073.7662600000003</v>
      </c>
      <c r="V280" s="9"/>
      <c r="W280" s="9"/>
      <c r="X280" s="9" t="s">
        <v>853</v>
      </c>
      <c r="Y280" s="9">
        <v>70794</v>
      </c>
      <c r="Z280" s="19" t="s">
        <v>755</v>
      </c>
      <c r="AA280" s="15" t="s">
        <v>850</v>
      </c>
      <c r="AB280" s="16">
        <v>16</v>
      </c>
      <c r="AC280" s="141"/>
      <c r="AD280" s="163"/>
      <c r="AE280" s="163"/>
      <c r="AF280" s="164"/>
      <c r="AG280" s="141"/>
      <c r="AH280" s="163"/>
      <c r="AI280" s="163"/>
      <c r="AJ280" s="164"/>
      <c r="AK280" s="126"/>
      <c r="AL280" s="72"/>
      <c r="AM280" s="72"/>
      <c r="AN280" s="127"/>
      <c r="AO280" s="126"/>
      <c r="AP280" s="72"/>
      <c r="AQ280" s="72"/>
      <c r="AR280" s="127"/>
      <c r="AS280" s="256" t="s">
        <v>757</v>
      </c>
    </row>
    <row r="281" spans="1:45" hidden="1" x14ac:dyDescent="0.25">
      <c r="A281" s="9">
        <v>278</v>
      </c>
      <c r="B281" s="9" t="s">
        <v>28</v>
      </c>
      <c r="C281" s="9" t="s">
        <v>753</v>
      </c>
      <c r="D281" s="9" t="s">
        <v>754</v>
      </c>
      <c r="E281" s="9"/>
      <c r="F281" s="15" t="s">
        <v>850</v>
      </c>
      <c r="G281" s="9"/>
      <c r="H281" s="9" t="s">
        <v>31</v>
      </c>
      <c r="I281" s="9"/>
      <c r="J281" s="9"/>
      <c r="K281" s="9">
        <v>2.9000000000000001E-2</v>
      </c>
      <c r="L281" s="9">
        <v>2.9000000000000001E-2</v>
      </c>
      <c r="M281" s="9" t="s">
        <v>812</v>
      </c>
      <c r="N281" s="9" t="s">
        <v>33</v>
      </c>
      <c r="O281" s="9">
        <f t="shared" si="26"/>
        <v>0.87000000000000011</v>
      </c>
      <c r="P281" s="9">
        <f t="shared" si="27"/>
        <v>1.0150000000000001</v>
      </c>
      <c r="Q281" s="9">
        <f t="shared" si="28"/>
        <v>0.58000000000000007</v>
      </c>
      <c r="R281" s="9">
        <f t="shared" si="29"/>
        <v>0.43500000000000005</v>
      </c>
      <c r="S281" s="38">
        <v>2.9000000000000004</v>
      </c>
      <c r="T281" s="252">
        <v>105991.94</v>
      </c>
      <c r="U281" s="194">
        <v>3073.7662600000003</v>
      </c>
      <c r="V281" s="9"/>
      <c r="W281" s="9"/>
      <c r="X281" s="9" t="s">
        <v>853</v>
      </c>
      <c r="Y281" s="9">
        <v>70794</v>
      </c>
      <c r="Z281" s="19" t="s">
        <v>755</v>
      </c>
      <c r="AA281" s="15" t="s">
        <v>850</v>
      </c>
      <c r="AB281" s="16">
        <v>17</v>
      </c>
      <c r="AC281" s="141"/>
      <c r="AD281" s="163"/>
      <c r="AE281" s="163"/>
      <c r="AF281" s="164"/>
      <c r="AG281" s="141"/>
      <c r="AH281" s="163"/>
      <c r="AI281" s="163"/>
      <c r="AJ281" s="164"/>
      <c r="AK281" s="126"/>
      <c r="AL281" s="72"/>
      <c r="AM281" s="72"/>
      <c r="AN281" s="127"/>
      <c r="AO281" s="126"/>
      <c r="AP281" s="72"/>
      <c r="AQ281" s="72"/>
      <c r="AR281" s="127"/>
      <c r="AS281" s="256" t="s">
        <v>757</v>
      </c>
    </row>
    <row r="282" spans="1:45" hidden="1" x14ac:dyDescent="0.25">
      <c r="A282" s="9">
        <v>279</v>
      </c>
      <c r="B282" s="9" t="s">
        <v>28</v>
      </c>
      <c r="C282" s="9" t="s">
        <v>753</v>
      </c>
      <c r="D282" s="9" t="s">
        <v>754</v>
      </c>
      <c r="E282" s="9"/>
      <c r="F282" s="15" t="s">
        <v>850</v>
      </c>
      <c r="G282" s="9"/>
      <c r="H282" s="9" t="s">
        <v>31</v>
      </c>
      <c r="I282" s="9"/>
      <c r="J282" s="9"/>
      <c r="K282" s="9">
        <v>2.9000000000000001E-2</v>
      </c>
      <c r="L282" s="9">
        <v>2.9000000000000001E-2</v>
      </c>
      <c r="M282" s="9" t="s">
        <v>812</v>
      </c>
      <c r="N282" s="9" t="s">
        <v>33</v>
      </c>
      <c r="O282" s="9">
        <f t="shared" si="26"/>
        <v>0.87000000000000011</v>
      </c>
      <c r="P282" s="9">
        <f t="shared" si="27"/>
        <v>1.0150000000000001</v>
      </c>
      <c r="Q282" s="9">
        <f t="shared" si="28"/>
        <v>0.58000000000000007</v>
      </c>
      <c r="R282" s="9">
        <f t="shared" si="29"/>
        <v>0.43500000000000005</v>
      </c>
      <c r="S282" s="38">
        <v>2.9000000000000004</v>
      </c>
      <c r="T282" s="252">
        <v>105991.94</v>
      </c>
      <c r="U282" s="194">
        <v>3073.7662600000003</v>
      </c>
      <c r="V282" s="9"/>
      <c r="W282" s="9"/>
      <c r="X282" s="9" t="s">
        <v>853</v>
      </c>
      <c r="Y282" s="9">
        <v>70794</v>
      </c>
      <c r="Z282" s="19" t="s">
        <v>755</v>
      </c>
      <c r="AA282" s="15" t="s">
        <v>850</v>
      </c>
      <c r="AB282" s="16">
        <v>18</v>
      </c>
      <c r="AC282" s="141"/>
      <c r="AD282" s="163"/>
      <c r="AE282" s="163"/>
      <c r="AF282" s="164"/>
      <c r="AG282" s="141"/>
      <c r="AH282" s="163"/>
      <c r="AI282" s="163"/>
      <c r="AJ282" s="164"/>
      <c r="AK282" s="126"/>
      <c r="AL282" s="72"/>
      <c r="AM282" s="72"/>
      <c r="AN282" s="127"/>
      <c r="AO282" s="126"/>
      <c r="AP282" s="72"/>
      <c r="AQ282" s="72"/>
      <c r="AR282" s="127"/>
      <c r="AS282" s="256" t="s">
        <v>757</v>
      </c>
    </row>
    <row r="283" spans="1:45" hidden="1" x14ac:dyDescent="0.25">
      <c r="A283" s="9">
        <v>280</v>
      </c>
      <c r="B283" s="9" t="s">
        <v>28</v>
      </c>
      <c r="C283" s="9" t="s">
        <v>753</v>
      </c>
      <c r="D283" s="9" t="s">
        <v>754</v>
      </c>
      <c r="E283" s="9"/>
      <c r="F283" s="15" t="s">
        <v>850</v>
      </c>
      <c r="G283" s="9"/>
      <c r="H283" s="9" t="s">
        <v>31</v>
      </c>
      <c r="I283" s="9"/>
      <c r="J283" s="9"/>
      <c r="K283" s="9">
        <v>2.5600000000000001E-2</v>
      </c>
      <c r="L283" s="9">
        <v>2.5600000000000001E-2</v>
      </c>
      <c r="M283" s="9" t="s">
        <v>812</v>
      </c>
      <c r="N283" s="9" t="s">
        <v>33</v>
      </c>
      <c r="O283" s="9">
        <f t="shared" si="26"/>
        <v>0.76800000000000002</v>
      </c>
      <c r="P283" s="9">
        <f t="shared" si="27"/>
        <v>0.89599999999999991</v>
      </c>
      <c r="Q283" s="9">
        <f t="shared" si="28"/>
        <v>0.51200000000000001</v>
      </c>
      <c r="R283" s="9">
        <f t="shared" si="29"/>
        <v>0.38400000000000001</v>
      </c>
      <c r="S283" s="38">
        <v>2.56</v>
      </c>
      <c r="T283" s="252">
        <v>105991.94</v>
      </c>
      <c r="U283" s="194">
        <v>2713.3936640000002</v>
      </c>
      <c r="V283" s="9"/>
      <c r="W283" s="9"/>
      <c r="X283" s="9" t="s">
        <v>854</v>
      </c>
      <c r="Y283" s="9">
        <v>70794</v>
      </c>
      <c r="Z283" s="19" t="s">
        <v>755</v>
      </c>
      <c r="AA283" s="15" t="s">
        <v>850</v>
      </c>
      <c r="AB283" s="16">
        <v>19</v>
      </c>
      <c r="AC283" s="141"/>
      <c r="AD283" s="163"/>
      <c r="AE283" s="163"/>
      <c r="AF283" s="164"/>
      <c r="AG283" s="141"/>
      <c r="AH283" s="163"/>
      <c r="AI283" s="163"/>
      <c r="AJ283" s="164"/>
      <c r="AK283" s="126"/>
      <c r="AL283" s="72"/>
      <c r="AM283" s="72"/>
      <c r="AN283" s="127"/>
      <c r="AO283" s="126"/>
      <c r="AP283" s="72"/>
      <c r="AQ283" s="72"/>
      <c r="AR283" s="127"/>
      <c r="AS283" s="256" t="s">
        <v>757</v>
      </c>
    </row>
    <row r="284" spans="1:45" hidden="1" x14ac:dyDescent="0.25">
      <c r="A284" s="9">
        <v>281</v>
      </c>
      <c r="B284" s="9" t="s">
        <v>28</v>
      </c>
      <c r="C284" s="9" t="s">
        <v>753</v>
      </c>
      <c r="D284" s="9" t="s">
        <v>754</v>
      </c>
      <c r="E284" s="9"/>
      <c r="F284" s="15" t="s">
        <v>850</v>
      </c>
      <c r="G284" s="9"/>
      <c r="H284" s="9" t="s">
        <v>31</v>
      </c>
      <c r="I284" s="9"/>
      <c r="J284" s="9"/>
      <c r="K284" s="9">
        <v>2.5600000000000001E-2</v>
      </c>
      <c r="L284" s="9">
        <v>2.5600000000000001E-2</v>
      </c>
      <c r="M284" s="9" t="s">
        <v>812</v>
      </c>
      <c r="N284" s="9" t="s">
        <v>33</v>
      </c>
      <c r="O284" s="9">
        <f t="shared" si="26"/>
        <v>0.76800000000000002</v>
      </c>
      <c r="P284" s="9">
        <f t="shared" si="27"/>
        <v>0.89599999999999991</v>
      </c>
      <c r="Q284" s="9">
        <f t="shared" si="28"/>
        <v>0.51200000000000001</v>
      </c>
      <c r="R284" s="9">
        <f t="shared" si="29"/>
        <v>0.38400000000000001</v>
      </c>
      <c r="S284" s="38">
        <v>2.56</v>
      </c>
      <c r="T284" s="252">
        <v>105991.94</v>
      </c>
      <c r="U284" s="194">
        <v>2713.3936640000002</v>
      </c>
      <c r="V284" s="9"/>
      <c r="W284" s="9"/>
      <c r="X284" s="9" t="s">
        <v>854</v>
      </c>
      <c r="Y284" s="9">
        <v>70794</v>
      </c>
      <c r="Z284" s="19" t="s">
        <v>755</v>
      </c>
      <c r="AA284" s="15" t="s">
        <v>850</v>
      </c>
      <c r="AB284" s="16">
        <v>20</v>
      </c>
      <c r="AC284" s="141"/>
      <c r="AD284" s="163"/>
      <c r="AE284" s="163"/>
      <c r="AF284" s="164"/>
      <c r="AG284" s="141"/>
      <c r="AH284" s="163"/>
      <c r="AI284" s="163"/>
      <c r="AJ284" s="164"/>
      <c r="AK284" s="126"/>
      <c r="AL284" s="72"/>
      <c r="AM284" s="72"/>
      <c r="AN284" s="127"/>
      <c r="AO284" s="126"/>
      <c r="AP284" s="72"/>
      <c r="AQ284" s="72"/>
      <c r="AR284" s="127"/>
      <c r="AS284" s="256" t="s">
        <v>757</v>
      </c>
    </row>
    <row r="285" spans="1:45" hidden="1" x14ac:dyDescent="0.25">
      <c r="A285" s="9">
        <v>282</v>
      </c>
      <c r="B285" s="9" t="s">
        <v>28</v>
      </c>
      <c r="C285" s="9" t="s">
        <v>753</v>
      </c>
      <c r="D285" s="9" t="s">
        <v>754</v>
      </c>
      <c r="E285" s="9"/>
      <c r="F285" s="15" t="s">
        <v>850</v>
      </c>
      <c r="G285" s="9"/>
      <c r="H285" s="9" t="s">
        <v>31</v>
      </c>
      <c r="I285" s="9"/>
      <c r="J285" s="9"/>
      <c r="K285" s="9">
        <v>2.5600000000000001E-2</v>
      </c>
      <c r="L285" s="9">
        <v>2.5600000000000001E-2</v>
      </c>
      <c r="M285" s="9" t="s">
        <v>812</v>
      </c>
      <c r="N285" s="9" t="s">
        <v>33</v>
      </c>
      <c r="O285" s="9">
        <f t="shared" si="26"/>
        <v>0.76800000000000002</v>
      </c>
      <c r="P285" s="9">
        <f t="shared" si="27"/>
        <v>0.89599999999999991</v>
      </c>
      <c r="Q285" s="9">
        <f t="shared" si="28"/>
        <v>0.51200000000000001</v>
      </c>
      <c r="R285" s="9">
        <f t="shared" si="29"/>
        <v>0.38400000000000001</v>
      </c>
      <c r="S285" s="38">
        <v>2.56</v>
      </c>
      <c r="T285" s="252">
        <v>105991.94</v>
      </c>
      <c r="U285" s="194">
        <v>2713.3936640000002</v>
      </c>
      <c r="V285" s="9"/>
      <c r="W285" s="9"/>
      <c r="X285" s="9" t="s">
        <v>854</v>
      </c>
      <c r="Y285" s="9">
        <v>70794</v>
      </c>
      <c r="Z285" s="19" t="s">
        <v>755</v>
      </c>
      <c r="AA285" s="15" t="s">
        <v>850</v>
      </c>
      <c r="AB285" s="16">
        <v>21</v>
      </c>
      <c r="AC285" s="141"/>
      <c r="AD285" s="163"/>
      <c r="AE285" s="163"/>
      <c r="AF285" s="164"/>
      <c r="AG285" s="141"/>
      <c r="AH285" s="163"/>
      <c r="AI285" s="163"/>
      <c r="AJ285" s="164"/>
      <c r="AK285" s="126"/>
      <c r="AL285" s="72"/>
      <c r="AM285" s="72"/>
      <c r="AN285" s="127"/>
      <c r="AO285" s="126"/>
      <c r="AP285" s="72"/>
      <c r="AQ285" s="72"/>
      <c r="AR285" s="127"/>
      <c r="AS285" s="256" t="s">
        <v>757</v>
      </c>
    </row>
    <row r="286" spans="1:45" hidden="1" x14ac:dyDescent="0.25">
      <c r="A286" s="9">
        <v>283</v>
      </c>
      <c r="B286" s="9" t="s">
        <v>28</v>
      </c>
      <c r="C286" s="9" t="s">
        <v>753</v>
      </c>
      <c r="D286" s="9" t="s">
        <v>754</v>
      </c>
      <c r="E286" s="9"/>
      <c r="F286" s="15" t="s">
        <v>850</v>
      </c>
      <c r="G286" s="9"/>
      <c r="H286" s="9" t="s">
        <v>31</v>
      </c>
      <c r="I286" s="9"/>
      <c r="J286" s="9"/>
      <c r="K286" s="9">
        <v>2.5600000000000001E-2</v>
      </c>
      <c r="L286" s="9">
        <v>2.5600000000000001E-2</v>
      </c>
      <c r="M286" s="9" t="s">
        <v>812</v>
      </c>
      <c r="N286" s="9" t="s">
        <v>33</v>
      </c>
      <c r="O286" s="9">
        <f t="shared" si="26"/>
        <v>0.76800000000000002</v>
      </c>
      <c r="P286" s="9">
        <f t="shared" si="27"/>
        <v>0.89599999999999991</v>
      </c>
      <c r="Q286" s="9">
        <f t="shared" si="28"/>
        <v>0.51200000000000001</v>
      </c>
      <c r="R286" s="9">
        <f t="shared" si="29"/>
        <v>0.38400000000000001</v>
      </c>
      <c r="S286" s="38">
        <v>2.56</v>
      </c>
      <c r="T286" s="252">
        <v>105991.94</v>
      </c>
      <c r="U286" s="194">
        <v>2713.3936640000002</v>
      </c>
      <c r="V286" s="9"/>
      <c r="W286" s="9"/>
      <c r="X286" s="9" t="s">
        <v>854</v>
      </c>
      <c r="Y286" s="9">
        <v>70794</v>
      </c>
      <c r="Z286" s="19" t="s">
        <v>755</v>
      </c>
      <c r="AA286" s="15" t="s">
        <v>850</v>
      </c>
      <c r="AB286" s="16">
        <v>22</v>
      </c>
      <c r="AC286" s="141"/>
      <c r="AD286" s="163"/>
      <c r="AE286" s="163"/>
      <c r="AF286" s="164"/>
      <c r="AG286" s="141"/>
      <c r="AH286" s="163"/>
      <c r="AI286" s="163"/>
      <c r="AJ286" s="164"/>
      <c r="AK286" s="126"/>
      <c r="AL286" s="72"/>
      <c r="AM286" s="72"/>
      <c r="AN286" s="127"/>
      <c r="AO286" s="126"/>
      <c r="AP286" s="72"/>
      <c r="AQ286" s="72"/>
      <c r="AR286" s="127"/>
      <c r="AS286" s="256" t="s">
        <v>757</v>
      </c>
    </row>
    <row r="287" spans="1:45" hidden="1" x14ac:dyDescent="0.25">
      <c r="A287" s="9">
        <v>284</v>
      </c>
      <c r="B287" s="9" t="s">
        <v>28</v>
      </c>
      <c r="C287" s="9" t="s">
        <v>753</v>
      </c>
      <c r="D287" s="9" t="s">
        <v>754</v>
      </c>
      <c r="E287" s="9"/>
      <c r="F287" s="15" t="s">
        <v>850</v>
      </c>
      <c r="G287" s="9"/>
      <c r="H287" s="9" t="s">
        <v>31</v>
      </c>
      <c r="I287" s="9"/>
      <c r="J287" s="9"/>
      <c r="K287" s="9">
        <v>2.5600000000000001E-2</v>
      </c>
      <c r="L287" s="9">
        <v>2.5600000000000001E-2</v>
      </c>
      <c r="M287" s="9" t="s">
        <v>812</v>
      </c>
      <c r="N287" s="9" t="s">
        <v>33</v>
      </c>
      <c r="O287" s="9">
        <f t="shared" si="26"/>
        <v>0.76800000000000002</v>
      </c>
      <c r="P287" s="9">
        <f t="shared" si="27"/>
        <v>0.89599999999999991</v>
      </c>
      <c r="Q287" s="9">
        <f t="shared" si="28"/>
        <v>0.51200000000000001</v>
      </c>
      <c r="R287" s="9">
        <f t="shared" si="29"/>
        <v>0.38400000000000001</v>
      </c>
      <c r="S287" s="38">
        <v>2.56</v>
      </c>
      <c r="T287" s="252">
        <v>105991.94</v>
      </c>
      <c r="U287" s="194">
        <v>2713.3936640000002</v>
      </c>
      <c r="V287" s="9"/>
      <c r="W287" s="9"/>
      <c r="X287" s="9" t="s">
        <v>854</v>
      </c>
      <c r="Y287" s="9">
        <v>70794</v>
      </c>
      <c r="Z287" s="19" t="s">
        <v>755</v>
      </c>
      <c r="AA287" s="15" t="s">
        <v>850</v>
      </c>
      <c r="AB287" s="16">
        <v>23</v>
      </c>
      <c r="AC287" s="141"/>
      <c r="AD287" s="163"/>
      <c r="AE287" s="163"/>
      <c r="AF287" s="164"/>
      <c r="AG287" s="141"/>
      <c r="AH287" s="163"/>
      <c r="AI287" s="163"/>
      <c r="AJ287" s="164"/>
      <c r="AK287" s="126"/>
      <c r="AL287" s="72"/>
      <c r="AM287" s="72"/>
      <c r="AN287" s="127"/>
      <c r="AO287" s="126"/>
      <c r="AP287" s="72"/>
      <c r="AQ287" s="72"/>
      <c r="AR287" s="127"/>
      <c r="AS287" s="256" t="s">
        <v>757</v>
      </c>
    </row>
    <row r="288" spans="1:45" hidden="1" x14ac:dyDescent="0.25">
      <c r="A288" s="9">
        <v>285</v>
      </c>
      <c r="B288" s="9" t="s">
        <v>28</v>
      </c>
      <c r="C288" s="9" t="s">
        <v>753</v>
      </c>
      <c r="D288" s="9" t="s">
        <v>754</v>
      </c>
      <c r="E288" s="9"/>
      <c r="F288" s="15" t="s">
        <v>850</v>
      </c>
      <c r="G288" s="9"/>
      <c r="H288" s="9" t="s">
        <v>31</v>
      </c>
      <c r="I288" s="9"/>
      <c r="J288" s="9"/>
      <c r="K288" s="9">
        <v>2.5600000000000001E-2</v>
      </c>
      <c r="L288" s="9">
        <v>2.5600000000000001E-2</v>
      </c>
      <c r="M288" s="9" t="s">
        <v>812</v>
      </c>
      <c r="N288" s="9" t="s">
        <v>33</v>
      </c>
      <c r="O288" s="9">
        <f t="shared" si="26"/>
        <v>0.76800000000000002</v>
      </c>
      <c r="P288" s="9">
        <f t="shared" si="27"/>
        <v>0.89599999999999991</v>
      </c>
      <c r="Q288" s="9">
        <f t="shared" si="28"/>
        <v>0.51200000000000001</v>
      </c>
      <c r="R288" s="9">
        <f t="shared" si="29"/>
        <v>0.38400000000000001</v>
      </c>
      <c r="S288" s="38">
        <v>2.56</v>
      </c>
      <c r="T288" s="252">
        <v>105991.94</v>
      </c>
      <c r="U288" s="194">
        <v>2713.3936640000002</v>
      </c>
      <c r="V288" s="9"/>
      <c r="W288" s="9"/>
      <c r="X288" s="9" t="s">
        <v>854</v>
      </c>
      <c r="Y288" s="9">
        <v>70794</v>
      </c>
      <c r="Z288" s="19" t="s">
        <v>755</v>
      </c>
      <c r="AA288" s="15" t="s">
        <v>850</v>
      </c>
      <c r="AB288" s="16">
        <v>24</v>
      </c>
      <c r="AC288" s="141"/>
      <c r="AD288" s="163"/>
      <c r="AE288" s="163"/>
      <c r="AF288" s="164"/>
      <c r="AG288" s="141"/>
      <c r="AH288" s="163"/>
      <c r="AI288" s="163"/>
      <c r="AJ288" s="164"/>
      <c r="AK288" s="126"/>
      <c r="AL288" s="72"/>
      <c r="AM288" s="72"/>
      <c r="AN288" s="127"/>
      <c r="AO288" s="126"/>
      <c r="AP288" s="72"/>
      <c r="AQ288" s="72"/>
      <c r="AR288" s="127"/>
      <c r="AS288" s="256" t="s">
        <v>757</v>
      </c>
    </row>
    <row r="289" spans="1:45" hidden="1" x14ac:dyDescent="0.25">
      <c r="A289" s="9">
        <v>286</v>
      </c>
      <c r="B289" s="9" t="s">
        <v>28</v>
      </c>
      <c r="C289" s="9" t="s">
        <v>753</v>
      </c>
      <c r="D289" s="9" t="s">
        <v>754</v>
      </c>
      <c r="E289" s="9"/>
      <c r="F289" s="15" t="s">
        <v>850</v>
      </c>
      <c r="G289" s="9"/>
      <c r="H289" s="9" t="s">
        <v>31</v>
      </c>
      <c r="I289" s="9"/>
      <c r="J289" s="9"/>
      <c r="K289" s="9">
        <v>0.03</v>
      </c>
      <c r="L289" s="9">
        <v>0.03</v>
      </c>
      <c r="M289" s="9" t="s">
        <v>812</v>
      </c>
      <c r="N289" s="9" t="s">
        <v>33</v>
      </c>
      <c r="O289" s="9">
        <f t="shared" si="26"/>
        <v>0.89999999999999991</v>
      </c>
      <c r="P289" s="9">
        <f t="shared" si="27"/>
        <v>1.0499999999999998</v>
      </c>
      <c r="Q289" s="9">
        <f t="shared" si="28"/>
        <v>0.60000000000000009</v>
      </c>
      <c r="R289" s="9">
        <f t="shared" si="29"/>
        <v>0.44999999999999996</v>
      </c>
      <c r="S289" s="38">
        <v>3</v>
      </c>
      <c r="T289" s="252">
        <v>105991.94</v>
      </c>
      <c r="U289" s="194">
        <v>3179.7581999999998</v>
      </c>
      <c r="V289" s="9"/>
      <c r="W289" s="9"/>
      <c r="X289" s="9" t="s">
        <v>855</v>
      </c>
      <c r="Y289" s="9">
        <v>70794</v>
      </c>
      <c r="Z289" s="19" t="s">
        <v>755</v>
      </c>
      <c r="AA289" s="15" t="s">
        <v>850</v>
      </c>
      <c r="AB289" s="16">
        <v>25</v>
      </c>
      <c r="AC289" s="141"/>
      <c r="AD289" s="163"/>
      <c r="AE289" s="163"/>
      <c r="AF289" s="164"/>
      <c r="AG289" s="141"/>
      <c r="AH289" s="163"/>
      <c r="AI289" s="163"/>
      <c r="AJ289" s="164"/>
      <c r="AK289" s="126"/>
      <c r="AL289" s="72"/>
      <c r="AM289" s="72"/>
      <c r="AN289" s="127"/>
      <c r="AO289" s="126"/>
      <c r="AP289" s="72"/>
      <c r="AQ289" s="72"/>
      <c r="AR289" s="127"/>
      <c r="AS289" s="256" t="s">
        <v>757</v>
      </c>
    </row>
    <row r="290" spans="1:45" hidden="1" x14ac:dyDescent="0.25">
      <c r="A290" s="9">
        <v>287</v>
      </c>
      <c r="B290" s="9" t="s">
        <v>28</v>
      </c>
      <c r="C290" s="9" t="s">
        <v>753</v>
      </c>
      <c r="D290" s="9" t="s">
        <v>754</v>
      </c>
      <c r="E290" s="9"/>
      <c r="F290" s="15" t="s">
        <v>850</v>
      </c>
      <c r="G290" s="9"/>
      <c r="H290" s="9" t="s">
        <v>31</v>
      </c>
      <c r="I290" s="9"/>
      <c r="J290" s="9"/>
      <c r="K290" s="9">
        <v>0.03</v>
      </c>
      <c r="L290" s="9">
        <v>0.03</v>
      </c>
      <c r="M290" s="9" t="s">
        <v>812</v>
      </c>
      <c r="N290" s="9" t="s">
        <v>33</v>
      </c>
      <c r="O290" s="9">
        <f t="shared" si="26"/>
        <v>0.89999999999999991</v>
      </c>
      <c r="P290" s="9">
        <f t="shared" si="27"/>
        <v>1.0499999999999998</v>
      </c>
      <c r="Q290" s="9">
        <f t="shared" si="28"/>
        <v>0.60000000000000009</v>
      </c>
      <c r="R290" s="9">
        <f t="shared" si="29"/>
        <v>0.44999999999999996</v>
      </c>
      <c r="S290" s="38">
        <v>3</v>
      </c>
      <c r="T290" s="252">
        <v>105991.94</v>
      </c>
      <c r="U290" s="194">
        <v>3179.7581999999998</v>
      </c>
      <c r="V290" s="9"/>
      <c r="W290" s="9"/>
      <c r="X290" s="9" t="s">
        <v>855</v>
      </c>
      <c r="Y290" s="9">
        <v>70794</v>
      </c>
      <c r="Z290" s="19" t="s">
        <v>755</v>
      </c>
      <c r="AA290" s="15" t="s">
        <v>850</v>
      </c>
      <c r="AB290" s="16">
        <v>26</v>
      </c>
      <c r="AC290" s="141"/>
      <c r="AD290" s="163"/>
      <c r="AE290" s="163"/>
      <c r="AF290" s="164"/>
      <c r="AG290" s="141"/>
      <c r="AH290" s="163"/>
      <c r="AI290" s="163"/>
      <c r="AJ290" s="164"/>
      <c r="AK290" s="126"/>
      <c r="AL290" s="72"/>
      <c r="AM290" s="72"/>
      <c r="AN290" s="127"/>
      <c r="AO290" s="126"/>
      <c r="AP290" s="72"/>
      <c r="AQ290" s="72"/>
      <c r="AR290" s="127"/>
      <c r="AS290" s="256" t="s">
        <v>757</v>
      </c>
    </row>
    <row r="291" spans="1:45" hidden="1" x14ac:dyDescent="0.25">
      <c r="A291" s="9">
        <v>288</v>
      </c>
      <c r="B291" s="9" t="s">
        <v>28</v>
      </c>
      <c r="C291" s="9" t="s">
        <v>753</v>
      </c>
      <c r="D291" s="9" t="s">
        <v>754</v>
      </c>
      <c r="E291" s="9"/>
      <c r="F291" s="15" t="s">
        <v>850</v>
      </c>
      <c r="G291" s="9"/>
      <c r="H291" s="9" t="s">
        <v>31</v>
      </c>
      <c r="I291" s="9"/>
      <c r="J291" s="9"/>
      <c r="K291" s="9">
        <v>0.03</v>
      </c>
      <c r="L291" s="9">
        <v>0.03</v>
      </c>
      <c r="M291" s="9" t="s">
        <v>812</v>
      </c>
      <c r="N291" s="9" t="s">
        <v>33</v>
      </c>
      <c r="O291" s="9">
        <f t="shared" si="26"/>
        <v>0.89999999999999991</v>
      </c>
      <c r="P291" s="9">
        <f t="shared" si="27"/>
        <v>1.0499999999999998</v>
      </c>
      <c r="Q291" s="9">
        <f t="shared" si="28"/>
        <v>0.60000000000000009</v>
      </c>
      <c r="R291" s="9">
        <f t="shared" si="29"/>
        <v>0.44999999999999996</v>
      </c>
      <c r="S291" s="38">
        <v>3</v>
      </c>
      <c r="T291" s="252">
        <v>105991.94</v>
      </c>
      <c r="U291" s="194">
        <v>3179.7581999999998</v>
      </c>
      <c r="V291" s="9"/>
      <c r="W291" s="9"/>
      <c r="X291" s="9" t="s">
        <v>855</v>
      </c>
      <c r="Y291" s="9">
        <v>70794</v>
      </c>
      <c r="Z291" s="19" t="s">
        <v>755</v>
      </c>
      <c r="AA291" s="15" t="s">
        <v>850</v>
      </c>
      <c r="AB291" s="16">
        <v>27</v>
      </c>
      <c r="AC291" s="141"/>
      <c r="AD291" s="163"/>
      <c r="AE291" s="163"/>
      <c r="AF291" s="164"/>
      <c r="AG291" s="141"/>
      <c r="AH291" s="163"/>
      <c r="AI291" s="163"/>
      <c r="AJ291" s="164"/>
      <c r="AK291" s="126"/>
      <c r="AL291" s="72"/>
      <c r="AM291" s="72"/>
      <c r="AN291" s="127"/>
      <c r="AO291" s="126"/>
      <c r="AP291" s="72"/>
      <c r="AQ291" s="72"/>
      <c r="AR291" s="127"/>
      <c r="AS291" s="256" t="s">
        <v>757</v>
      </c>
    </row>
    <row r="292" spans="1:45" hidden="1" x14ac:dyDescent="0.25">
      <c r="A292" s="9">
        <v>289</v>
      </c>
      <c r="B292" s="9" t="s">
        <v>28</v>
      </c>
      <c r="C292" s="9" t="s">
        <v>753</v>
      </c>
      <c r="D292" s="9" t="s">
        <v>754</v>
      </c>
      <c r="E292" s="9"/>
      <c r="F292" s="15" t="s">
        <v>850</v>
      </c>
      <c r="G292" s="9"/>
      <c r="H292" s="9" t="s">
        <v>31</v>
      </c>
      <c r="I292" s="9"/>
      <c r="J292" s="9"/>
      <c r="K292" s="9">
        <v>0.03</v>
      </c>
      <c r="L292" s="9">
        <v>0.03</v>
      </c>
      <c r="M292" s="9" t="s">
        <v>812</v>
      </c>
      <c r="N292" s="9" t="s">
        <v>33</v>
      </c>
      <c r="O292" s="9">
        <f t="shared" si="26"/>
        <v>0.89999999999999991</v>
      </c>
      <c r="P292" s="9">
        <f t="shared" si="27"/>
        <v>1.0499999999999998</v>
      </c>
      <c r="Q292" s="9">
        <f t="shared" si="28"/>
        <v>0.60000000000000009</v>
      </c>
      <c r="R292" s="9">
        <f t="shared" si="29"/>
        <v>0.44999999999999996</v>
      </c>
      <c r="S292" s="38">
        <v>3</v>
      </c>
      <c r="T292" s="252">
        <v>105991.94</v>
      </c>
      <c r="U292" s="194">
        <v>3179.7581999999998</v>
      </c>
      <c r="V292" s="9"/>
      <c r="W292" s="9"/>
      <c r="X292" s="9" t="s">
        <v>855</v>
      </c>
      <c r="Y292" s="9">
        <v>70794</v>
      </c>
      <c r="Z292" s="19" t="s">
        <v>755</v>
      </c>
      <c r="AA292" s="15" t="s">
        <v>850</v>
      </c>
      <c r="AB292" s="16">
        <v>28</v>
      </c>
      <c r="AC292" s="141"/>
      <c r="AD292" s="163"/>
      <c r="AE292" s="163"/>
      <c r="AF292" s="164"/>
      <c r="AG292" s="141"/>
      <c r="AH292" s="163"/>
      <c r="AI292" s="163"/>
      <c r="AJ292" s="164"/>
      <c r="AK292" s="126"/>
      <c r="AL292" s="72"/>
      <c r="AM292" s="72"/>
      <c r="AN292" s="127"/>
      <c r="AO292" s="126"/>
      <c r="AP292" s="72"/>
      <c r="AQ292" s="72"/>
      <c r="AR292" s="127"/>
      <c r="AS292" s="256" t="s">
        <v>757</v>
      </c>
    </row>
    <row r="293" spans="1:45" hidden="1" x14ac:dyDescent="0.25">
      <c r="A293" s="9">
        <v>290</v>
      </c>
      <c r="B293" s="9" t="s">
        <v>28</v>
      </c>
      <c r="C293" s="9" t="s">
        <v>753</v>
      </c>
      <c r="D293" s="9" t="s">
        <v>754</v>
      </c>
      <c r="E293" s="9"/>
      <c r="F293" s="15" t="s">
        <v>850</v>
      </c>
      <c r="G293" s="9"/>
      <c r="H293" s="9" t="s">
        <v>31</v>
      </c>
      <c r="I293" s="9"/>
      <c r="J293" s="9"/>
      <c r="K293" s="9">
        <v>0.03</v>
      </c>
      <c r="L293" s="9">
        <v>0.03</v>
      </c>
      <c r="M293" s="9" t="s">
        <v>812</v>
      </c>
      <c r="N293" s="9" t="s">
        <v>33</v>
      </c>
      <c r="O293" s="9">
        <f t="shared" si="26"/>
        <v>0.89999999999999991</v>
      </c>
      <c r="P293" s="9">
        <f t="shared" si="27"/>
        <v>1.0499999999999998</v>
      </c>
      <c r="Q293" s="9">
        <f t="shared" si="28"/>
        <v>0.60000000000000009</v>
      </c>
      <c r="R293" s="9">
        <f t="shared" si="29"/>
        <v>0.44999999999999996</v>
      </c>
      <c r="S293" s="38">
        <v>3</v>
      </c>
      <c r="T293" s="252">
        <v>105991.94</v>
      </c>
      <c r="U293" s="194">
        <v>3179.7581999999998</v>
      </c>
      <c r="V293" s="9"/>
      <c r="W293" s="9"/>
      <c r="X293" s="9" t="s">
        <v>855</v>
      </c>
      <c r="Y293" s="9">
        <v>70794</v>
      </c>
      <c r="Z293" s="19" t="s">
        <v>755</v>
      </c>
      <c r="AA293" s="15" t="s">
        <v>850</v>
      </c>
      <c r="AB293" s="16">
        <v>29</v>
      </c>
      <c r="AC293" s="141"/>
      <c r="AD293" s="163"/>
      <c r="AE293" s="163"/>
      <c r="AF293" s="164"/>
      <c r="AG293" s="141"/>
      <c r="AH293" s="163"/>
      <c r="AI293" s="163"/>
      <c r="AJ293" s="164"/>
      <c r="AK293" s="126"/>
      <c r="AL293" s="72"/>
      <c r="AM293" s="72"/>
      <c r="AN293" s="127"/>
      <c r="AO293" s="126"/>
      <c r="AP293" s="72"/>
      <c r="AQ293" s="72"/>
      <c r="AR293" s="127"/>
      <c r="AS293" s="256" t="s">
        <v>757</v>
      </c>
    </row>
    <row r="294" spans="1:45" hidden="1" x14ac:dyDescent="0.25">
      <c r="A294" s="9">
        <v>291</v>
      </c>
      <c r="B294" s="9" t="s">
        <v>28</v>
      </c>
      <c r="C294" s="9" t="s">
        <v>753</v>
      </c>
      <c r="D294" s="9" t="s">
        <v>754</v>
      </c>
      <c r="E294" s="9"/>
      <c r="F294" s="15" t="s">
        <v>850</v>
      </c>
      <c r="G294" s="9"/>
      <c r="H294" s="9" t="s">
        <v>31</v>
      </c>
      <c r="I294" s="9"/>
      <c r="J294" s="9"/>
      <c r="K294" s="9">
        <v>0.03</v>
      </c>
      <c r="L294" s="9">
        <v>0.03</v>
      </c>
      <c r="M294" s="9" t="s">
        <v>812</v>
      </c>
      <c r="N294" s="9" t="s">
        <v>33</v>
      </c>
      <c r="O294" s="9">
        <f t="shared" si="26"/>
        <v>0.89999999999999991</v>
      </c>
      <c r="P294" s="9">
        <f t="shared" si="27"/>
        <v>1.0499999999999998</v>
      </c>
      <c r="Q294" s="9">
        <f t="shared" si="28"/>
        <v>0.60000000000000009</v>
      </c>
      <c r="R294" s="9">
        <f t="shared" si="29"/>
        <v>0.44999999999999996</v>
      </c>
      <c r="S294" s="38">
        <v>3</v>
      </c>
      <c r="T294" s="252">
        <v>105991.94</v>
      </c>
      <c r="U294" s="194">
        <v>3179.7581999999998</v>
      </c>
      <c r="V294" s="9"/>
      <c r="W294" s="9"/>
      <c r="X294" s="9" t="s">
        <v>855</v>
      </c>
      <c r="Y294" s="9">
        <v>70794</v>
      </c>
      <c r="Z294" s="19" t="s">
        <v>755</v>
      </c>
      <c r="AA294" s="15" t="s">
        <v>850</v>
      </c>
      <c r="AB294" s="16">
        <v>30</v>
      </c>
      <c r="AC294" s="141"/>
      <c r="AD294" s="163"/>
      <c r="AE294" s="163"/>
      <c r="AF294" s="164"/>
      <c r="AG294" s="141"/>
      <c r="AH294" s="163"/>
      <c r="AI294" s="163"/>
      <c r="AJ294" s="164"/>
      <c r="AK294" s="126"/>
      <c r="AL294" s="72"/>
      <c r="AM294" s="72"/>
      <c r="AN294" s="127"/>
      <c r="AO294" s="126"/>
      <c r="AP294" s="72"/>
      <c r="AQ294" s="72"/>
      <c r="AR294" s="127"/>
      <c r="AS294" s="256" t="s">
        <v>757</v>
      </c>
    </row>
    <row r="295" spans="1:45" hidden="1" x14ac:dyDescent="0.25">
      <c r="A295" s="9">
        <v>292</v>
      </c>
      <c r="B295" s="9" t="s">
        <v>28</v>
      </c>
      <c r="C295" s="9" t="s">
        <v>753</v>
      </c>
      <c r="D295" s="9" t="s">
        <v>754</v>
      </c>
      <c r="E295" s="9"/>
      <c r="F295" s="15" t="s">
        <v>850</v>
      </c>
      <c r="G295" s="9"/>
      <c r="H295" s="9" t="s">
        <v>31</v>
      </c>
      <c r="I295" s="9"/>
      <c r="J295" s="9"/>
      <c r="K295" s="9">
        <v>1.4999999999999999E-2</v>
      </c>
      <c r="L295" s="9">
        <v>1.4999999999999999E-2</v>
      </c>
      <c r="M295" s="9" t="s">
        <v>812</v>
      </c>
      <c r="N295" s="9" t="s">
        <v>33</v>
      </c>
      <c r="O295" s="9">
        <f t="shared" si="26"/>
        <v>0.44999999999999996</v>
      </c>
      <c r="P295" s="9">
        <f t="shared" si="27"/>
        <v>0.52499999999999991</v>
      </c>
      <c r="Q295" s="9">
        <f t="shared" si="28"/>
        <v>0.30000000000000004</v>
      </c>
      <c r="R295" s="9">
        <f t="shared" si="29"/>
        <v>0.22499999999999998</v>
      </c>
      <c r="S295" s="38">
        <v>1.5</v>
      </c>
      <c r="T295" s="252">
        <v>105991.94</v>
      </c>
      <c r="U295" s="194">
        <v>1589.8790999999999</v>
      </c>
      <c r="V295" s="9"/>
      <c r="W295" s="9"/>
      <c r="X295" s="9" t="s">
        <v>856</v>
      </c>
      <c r="Y295" s="9">
        <v>70794</v>
      </c>
      <c r="Z295" s="19" t="s">
        <v>755</v>
      </c>
      <c r="AA295" s="15" t="s">
        <v>850</v>
      </c>
      <c r="AB295" s="16">
        <v>31</v>
      </c>
      <c r="AC295" s="141"/>
      <c r="AD295" s="163"/>
      <c r="AE295" s="163"/>
      <c r="AF295" s="164"/>
      <c r="AG295" s="141"/>
      <c r="AH295" s="163"/>
      <c r="AI295" s="163"/>
      <c r="AJ295" s="164"/>
      <c r="AK295" s="126"/>
      <c r="AL295" s="72"/>
      <c r="AM295" s="72"/>
      <c r="AN295" s="127"/>
      <c r="AO295" s="126"/>
      <c r="AP295" s="72"/>
      <c r="AQ295" s="72"/>
      <c r="AR295" s="127"/>
      <c r="AS295" s="256" t="s">
        <v>757</v>
      </c>
    </row>
    <row r="296" spans="1:45" hidden="1" x14ac:dyDescent="0.25">
      <c r="A296" s="9">
        <v>293</v>
      </c>
      <c r="B296" s="9" t="s">
        <v>28</v>
      </c>
      <c r="C296" s="9" t="s">
        <v>753</v>
      </c>
      <c r="D296" s="9" t="s">
        <v>754</v>
      </c>
      <c r="E296" s="9"/>
      <c r="F296" s="15" t="s">
        <v>850</v>
      </c>
      <c r="G296" s="9"/>
      <c r="H296" s="9" t="s">
        <v>31</v>
      </c>
      <c r="I296" s="9"/>
      <c r="J296" s="9"/>
      <c r="K296" s="9">
        <v>1.4999999999999999E-2</v>
      </c>
      <c r="L296" s="9">
        <v>1.4999999999999999E-2</v>
      </c>
      <c r="M296" s="9" t="s">
        <v>812</v>
      </c>
      <c r="N296" s="9" t="s">
        <v>33</v>
      </c>
      <c r="O296" s="9">
        <f t="shared" si="26"/>
        <v>0.44999999999999996</v>
      </c>
      <c r="P296" s="9">
        <f t="shared" si="27"/>
        <v>0.52499999999999991</v>
      </c>
      <c r="Q296" s="9">
        <f t="shared" si="28"/>
        <v>0.30000000000000004</v>
      </c>
      <c r="R296" s="9">
        <f t="shared" si="29"/>
        <v>0.22499999999999998</v>
      </c>
      <c r="S296" s="38">
        <v>1.5</v>
      </c>
      <c r="T296" s="252">
        <v>105991.94</v>
      </c>
      <c r="U296" s="194">
        <v>1589.8790999999999</v>
      </c>
      <c r="V296" s="9"/>
      <c r="W296" s="9"/>
      <c r="X296" s="9" t="s">
        <v>856</v>
      </c>
      <c r="Y296" s="9">
        <v>70794</v>
      </c>
      <c r="Z296" s="19" t="s">
        <v>755</v>
      </c>
      <c r="AA296" s="15" t="s">
        <v>850</v>
      </c>
      <c r="AB296" s="16">
        <v>32</v>
      </c>
      <c r="AC296" s="141"/>
      <c r="AD296" s="163"/>
      <c r="AE296" s="163"/>
      <c r="AF296" s="164"/>
      <c r="AG296" s="141"/>
      <c r="AH296" s="163"/>
      <c r="AI296" s="163"/>
      <c r="AJ296" s="164"/>
      <c r="AK296" s="126"/>
      <c r="AL296" s="72"/>
      <c r="AM296" s="72"/>
      <c r="AN296" s="127"/>
      <c r="AO296" s="126"/>
      <c r="AP296" s="72"/>
      <c r="AQ296" s="72"/>
      <c r="AR296" s="127"/>
      <c r="AS296" s="256" t="s">
        <v>757</v>
      </c>
    </row>
    <row r="297" spans="1:45" hidden="1" x14ac:dyDescent="0.25">
      <c r="A297" s="9">
        <v>294</v>
      </c>
      <c r="B297" s="9" t="s">
        <v>28</v>
      </c>
      <c r="C297" s="9" t="s">
        <v>753</v>
      </c>
      <c r="D297" s="9" t="s">
        <v>754</v>
      </c>
      <c r="E297" s="9"/>
      <c r="F297" s="15" t="s">
        <v>850</v>
      </c>
      <c r="G297" s="9"/>
      <c r="H297" s="9" t="s">
        <v>31</v>
      </c>
      <c r="I297" s="9"/>
      <c r="J297" s="9"/>
      <c r="K297" s="9">
        <v>1.4999999999999999E-2</v>
      </c>
      <c r="L297" s="9">
        <v>1.4999999999999999E-2</v>
      </c>
      <c r="M297" s="9" t="s">
        <v>812</v>
      </c>
      <c r="N297" s="9" t="s">
        <v>33</v>
      </c>
      <c r="O297" s="9">
        <f t="shared" si="26"/>
        <v>0.44999999999999996</v>
      </c>
      <c r="P297" s="9">
        <f t="shared" si="27"/>
        <v>0.52499999999999991</v>
      </c>
      <c r="Q297" s="9">
        <f t="shared" si="28"/>
        <v>0.30000000000000004</v>
      </c>
      <c r="R297" s="9">
        <f t="shared" si="29"/>
        <v>0.22499999999999998</v>
      </c>
      <c r="S297" s="38">
        <v>1.5</v>
      </c>
      <c r="T297" s="252">
        <v>105991.94</v>
      </c>
      <c r="U297" s="194">
        <v>1589.8790999999999</v>
      </c>
      <c r="V297" s="9"/>
      <c r="W297" s="9"/>
      <c r="X297" s="9" t="s">
        <v>856</v>
      </c>
      <c r="Y297" s="9">
        <v>70794</v>
      </c>
      <c r="Z297" s="19" t="s">
        <v>755</v>
      </c>
      <c r="AA297" s="15" t="s">
        <v>850</v>
      </c>
      <c r="AB297" s="16">
        <v>33</v>
      </c>
      <c r="AC297" s="141"/>
      <c r="AD297" s="163"/>
      <c r="AE297" s="163"/>
      <c r="AF297" s="164"/>
      <c r="AG297" s="141"/>
      <c r="AH297" s="163"/>
      <c r="AI297" s="163"/>
      <c r="AJ297" s="164"/>
      <c r="AK297" s="126"/>
      <c r="AL297" s="72"/>
      <c r="AM297" s="72"/>
      <c r="AN297" s="127"/>
      <c r="AO297" s="126"/>
      <c r="AP297" s="72"/>
      <c r="AQ297" s="72"/>
      <c r="AR297" s="127"/>
      <c r="AS297" s="256" t="s">
        <v>757</v>
      </c>
    </row>
    <row r="298" spans="1:45" hidden="1" x14ac:dyDescent="0.25">
      <c r="A298" s="9">
        <v>295</v>
      </c>
      <c r="B298" s="9" t="s">
        <v>28</v>
      </c>
      <c r="C298" s="9" t="s">
        <v>753</v>
      </c>
      <c r="D298" s="9" t="s">
        <v>754</v>
      </c>
      <c r="E298" s="9"/>
      <c r="F298" s="15" t="s">
        <v>850</v>
      </c>
      <c r="G298" s="9"/>
      <c r="H298" s="9" t="s">
        <v>31</v>
      </c>
      <c r="I298" s="9"/>
      <c r="J298" s="9"/>
      <c r="K298" s="9">
        <v>1.4999999999999999E-2</v>
      </c>
      <c r="L298" s="9">
        <v>1.4999999999999999E-2</v>
      </c>
      <c r="M298" s="9" t="s">
        <v>812</v>
      </c>
      <c r="N298" s="9" t="s">
        <v>33</v>
      </c>
      <c r="O298" s="9">
        <f t="shared" si="26"/>
        <v>0.44999999999999996</v>
      </c>
      <c r="P298" s="9">
        <f t="shared" si="27"/>
        <v>0.52499999999999991</v>
      </c>
      <c r="Q298" s="9">
        <f t="shared" si="28"/>
        <v>0.30000000000000004</v>
      </c>
      <c r="R298" s="9">
        <f t="shared" si="29"/>
        <v>0.22499999999999998</v>
      </c>
      <c r="S298" s="38">
        <v>1.5</v>
      </c>
      <c r="T298" s="252">
        <v>105991.94</v>
      </c>
      <c r="U298" s="194">
        <v>1589.8790999999999</v>
      </c>
      <c r="V298" s="9"/>
      <c r="W298" s="9"/>
      <c r="X298" s="9" t="s">
        <v>856</v>
      </c>
      <c r="Y298" s="9">
        <v>70794</v>
      </c>
      <c r="Z298" s="19" t="s">
        <v>755</v>
      </c>
      <c r="AA298" s="15" t="s">
        <v>850</v>
      </c>
      <c r="AB298" s="16">
        <v>34</v>
      </c>
      <c r="AC298" s="141"/>
      <c r="AD298" s="163"/>
      <c r="AE298" s="163"/>
      <c r="AF298" s="164"/>
      <c r="AG298" s="141"/>
      <c r="AH298" s="163"/>
      <c r="AI298" s="163"/>
      <c r="AJ298" s="164"/>
      <c r="AK298" s="126"/>
      <c r="AL298" s="72"/>
      <c r="AM298" s="72"/>
      <c r="AN298" s="127"/>
      <c r="AO298" s="126"/>
      <c r="AP298" s="72"/>
      <c r="AQ298" s="72"/>
      <c r="AR298" s="127"/>
      <c r="AS298" s="256" t="s">
        <v>757</v>
      </c>
    </row>
    <row r="299" spans="1:45" hidden="1" x14ac:dyDescent="0.25">
      <c r="A299" s="9">
        <v>296</v>
      </c>
      <c r="B299" s="9" t="s">
        <v>28</v>
      </c>
      <c r="C299" s="9" t="s">
        <v>753</v>
      </c>
      <c r="D299" s="9" t="s">
        <v>754</v>
      </c>
      <c r="E299" s="9"/>
      <c r="F299" s="15" t="s">
        <v>850</v>
      </c>
      <c r="G299" s="9"/>
      <c r="H299" s="9" t="s">
        <v>31</v>
      </c>
      <c r="I299" s="9"/>
      <c r="J299" s="9"/>
      <c r="K299" s="9">
        <v>1.4999999999999999E-2</v>
      </c>
      <c r="L299" s="9">
        <v>1.4999999999999999E-2</v>
      </c>
      <c r="M299" s="9" t="s">
        <v>812</v>
      </c>
      <c r="N299" s="9" t="s">
        <v>33</v>
      </c>
      <c r="O299" s="9">
        <f t="shared" si="26"/>
        <v>0.44999999999999996</v>
      </c>
      <c r="P299" s="9">
        <f t="shared" si="27"/>
        <v>0.52499999999999991</v>
      </c>
      <c r="Q299" s="9">
        <f t="shared" si="28"/>
        <v>0.30000000000000004</v>
      </c>
      <c r="R299" s="9">
        <f t="shared" si="29"/>
        <v>0.22499999999999998</v>
      </c>
      <c r="S299" s="38">
        <v>1.5</v>
      </c>
      <c r="T299" s="252">
        <v>105991.94</v>
      </c>
      <c r="U299" s="194">
        <v>1589.8790999999999</v>
      </c>
      <c r="V299" s="9"/>
      <c r="W299" s="9"/>
      <c r="X299" s="9" t="s">
        <v>856</v>
      </c>
      <c r="Y299" s="9">
        <v>70794</v>
      </c>
      <c r="Z299" s="19" t="s">
        <v>755</v>
      </c>
      <c r="AA299" s="15" t="s">
        <v>850</v>
      </c>
      <c r="AB299" s="16">
        <v>35</v>
      </c>
      <c r="AC299" s="141"/>
      <c r="AD299" s="163"/>
      <c r="AE299" s="163"/>
      <c r="AF299" s="164"/>
      <c r="AG299" s="141"/>
      <c r="AH299" s="163"/>
      <c r="AI299" s="163"/>
      <c r="AJ299" s="164"/>
      <c r="AK299" s="126"/>
      <c r="AL299" s="72"/>
      <c r="AM299" s="72"/>
      <c r="AN299" s="127"/>
      <c r="AO299" s="126"/>
      <c r="AP299" s="72"/>
      <c r="AQ299" s="72"/>
      <c r="AR299" s="127"/>
      <c r="AS299" s="256" t="s">
        <v>757</v>
      </c>
    </row>
    <row r="300" spans="1:45" hidden="1" x14ac:dyDescent="0.25">
      <c r="A300" s="9">
        <v>297</v>
      </c>
      <c r="B300" s="9" t="s">
        <v>28</v>
      </c>
      <c r="C300" s="9" t="s">
        <v>753</v>
      </c>
      <c r="D300" s="9" t="s">
        <v>754</v>
      </c>
      <c r="E300" s="9"/>
      <c r="F300" s="15" t="s">
        <v>850</v>
      </c>
      <c r="G300" s="9"/>
      <c r="H300" s="9" t="s">
        <v>31</v>
      </c>
      <c r="I300" s="9"/>
      <c r="J300" s="9"/>
      <c r="K300" s="9">
        <v>1.4999999999999999E-2</v>
      </c>
      <c r="L300" s="9">
        <v>1.4999999999999999E-2</v>
      </c>
      <c r="M300" s="9" t="s">
        <v>812</v>
      </c>
      <c r="N300" s="9" t="s">
        <v>33</v>
      </c>
      <c r="O300" s="9">
        <f t="shared" si="26"/>
        <v>0.44999999999999996</v>
      </c>
      <c r="P300" s="9">
        <f t="shared" si="27"/>
        <v>0.52499999999999991</v>
      </c>
      <c r="Q300" s="9">
        <f t="shared" si="28"/>
        <v>0.30000000000000004</v>
      </c>
      <c r="R300" s="9">
        <f t="shared" si="29"/>
        <v>0.22499999999999998</v>
      </c>
      <c r="S300" s="38">
        <v>1.5</v>
      </c>
      <c r="T300" s="252">
        <v>105991.94</v>
      </c>
      <c r="U300" s="194">
        <v>1589.8790999999999</v>
      </c>
      <c r="V300" s="9"/>
      <c r="W300" s="9"/>
      <c r="X300" s="9" t="s">
        <v>856</v>
      </c>
      <c r="Y300" s="9">
        <v>70794</v>
      </c>
      <c r="Z300" s="19" t="s">
        <v>755</v>
      </c>
      <c r="AA300" s="15" t="s">
        <v>850</v>
      </c>
      <c r="AB300" s="16">
        <v>36</v>
      </c>
      <c r="AC300" s="141"/>
      <c r="AD300" s="163"/>
      <c r="AE300" s="163"/>
      <c r="AF300" s="164"/>
      <c r="AG300" s="141"/>
      <c r="AH300" s="163"/>
      <c r="AI300" s="163"/>
      <c r="AJ300" s="164"/>
      <c r="AK300" s="126"/>
      <c r="AL300" s="72"/>
      <c r="AM300" s="72"/>
      <c r="AN300" s="127"/>
      <c r="AO300" s="126"/>
      <c r="AP300" s="72"/>
      <c r="AQ300" s="72"/>
      <c r="AR300" s="127"/>
      <c r="AS300" s="256" t="s">
        <v>757</v>
      </c>
    </row>
    <row r="301" spans="1:45" hidden="1" x14ac:dyDescent="0.25">
      <c r="A301" s="9">
        <v>298</v>
      </c>
      <c r="B301" s="9" t="s">
        <v>28</v>
      </c>
      <c r="C301" s="9" t="s">
        <v>753</v>
      </c>
      <c r="D301" s="9" t="s">
        <v>754</v>
      </c>
      <c r="E301" s="9"/>
      <c r="F301" s="15" t="s">
        <v>857</v>
      </c>
      <c r="G301" s="9"/>
      <c r="H301" s="9" t="s">
        <v>31</v>
      </c>
      <c r="I301" s="9"/>
      <c r="J301" s="9"/>
      <c r="K301" s="9">
        <v>0.217</v>
      </c>
      <c r="L301" s="9">
        <v>0.434</v>
      </c>
      <c r="M301" s="9" t="s">
        <v>858</v>
      </c>
      <c r="N301" s="9" t="s">
        <v>33</v>
      </c>
      <c r="O301" s="9">
        <f t="shared" si="26"/>
        <v>11.197199999999999</v>
      </c>
      <c r="P301" s="9">
        <f t="shared" si="27"/>
        <v>13.063399999999998</v>
      </c>
      <c r="Q301" s="9">
        <f t="shared" si="28"/>
        <v>7.4648000000000003</v>
      </c>
      <c r="R301" s="9">
        <f t="shared" si="29"/>
        <v>5.5985999999999994</v>
      </c>
      <c r="S301" s="38">
        <v>37.323999999999998</v>
      </c>
      <c r="T301" s="252">
        <v>105991.94</v>
      </c>
      <c r="U301" s="194">
        <v>46000.501960000001</v>
      </c>
      <c r="V301" s="9"/>
      <c r="W301" s="9"/>
      <c r="X301" s="9" t="s">
        <v>859</v>
      </c>
      <c r="Y301" s="9">
        <v>68154</v>
      </c>
      <c r="Z301" s="19" t="s">
        <v>755</v>
      </c>
      <c r="AA301" s="15" t="s">
        <v>857</v>
      </c>
      <c r="AB301" s="16">
        <v>37</v>
      </c>
      <c r="AC301" s="141"/>
      <c r="AD301" s="163"/>
      <c r="AE301" s="163"/>
      <c r="AF301" s="164"/>
      <c r="AG301" s="141"/>
      <c r="AH301" s="163"/>
      <c r="AI301" s="163"/>
      <c r="AJ301" s="164"/>
      <c r="AK301" s="126"/>
      <c r="AL301" s="72"/>
      <c r="AM301" s="72"/>
      <c r="AN301" s="127"/>
      <c r="AO301" s="126"/>
      <c r="AP301" s="72"/>
      <c r="AQ301" s="72"/>
      <c r="AR301" s="127"/>
      <c r="AS301" s="256" t="s">
        <v>860</v>
      </c>
    </row>
    <row r="302" spans="1:45" ht="30" hidden="1" x14ac:dyDescent="0.25">
      <c r="A302" s="9">
        <v>299</v>
      </c>
      <c r="B302" s="9" t="s">
        <v>28</v>
      </c>
      <c r="C302" s="9" t="s">
        <v>753</v>
      </c>
      <c r="D302" s="9" t="s">
        <v>754</v>
      </c>
      <c r="E302" s="9"/>
      <c r="F302" s="15" t="s">
        <v>861</v>
      </c>
      <c r="G302" s="9"/>
      <c r="H302" s="9" t="s">
        <v>31</v>
      </c>
      <c r="I302" s="9"/>
      <c r="J302" s="9"/>
      <c r="K302" s="9">
        <v>1.5E-3</v>
      </c>
      <c r="L302" s="9">
        <v>4.8000000000000001E-4</v>
      </c>
      <c r="M302" s="9">
        <v>0.32</v>
      </c>
      <c r="N302" s="9" t="s">
        <v>51</v>
      </c>
      <c r="O302" s="9">
        <f t="shared" si="26"/>
        <v>1.44E-2</v>
      </c>
      <c r="P302" s="9">
        <f t="shared" si="27"/>
        <v>1.6799999999999999E-2</v>
      </c>
      <c r="Q302" s="9">
        <f t="shared" si="28"/>
        <v>9.6000000000000009E-3</v>
      </c>
      <c r="R302" s="9">
        <f t="shared" si="29"/>
        <v>7.1999999999999998E-3</v>
      </c>
      <c r="S302" s="38">
        <v>4.8000000000000001E-2</v>
      </c>
      <c r="T302" s="252">
        <v>105991.94</v>
      </c>
      <c r="U302" s="194">
        <v>50.876131200000003</v>
      </c>
      <c r="V302" s="9"/>
      <c r="W302" s="9"/>
      <c r="X302" s="9" t="s">
        <v>862</v>
      </c>
      <c r="Y302" s="9">
        <v>68154</v>
      </c>
      <c r="Z302" s="19" t="s">
        <v>755</v>
      </c>
      <c r="AA302" s="15" t="s">
        <v>861</v>
      </c>
      <c r="AB302" s="16">
        <v>1</v>
      </c>
      <c r="AC302" s="141"/>
      <c r="AD302" s="163"/>
      <c r="AE302" s="163"/>
      <c r="AF302" s="164"/>
      <c r="AG302" s="141"/>
      <c r="AH302" s="163"/>
      <c r="AI302" s="163"/>
      <c r="AJ302" s="164"/>
      <c r="AK302" s="126"/>
      <c r="AL302" s="72"/>
      <c r="AM302" s="72"/>
      <c r="AN302" s="127"/>
      <c r="AO302" s="126"/>
      <c r="AP302" s="72"/>
      <c r="AQ302" s="72"/>
      <c r="AR302" s="127"/>
      <c r="AS302" s="256" t="s">
        <v>860</v>
      </c>
    </row>
    <row r="303" spans="1:45" ht="30" hidden="1" x14ac:dyDescent="0.25">
      <c r="A303" s="9">
        <v>300</v>
      </c>
      <c r="B303" s="9" t="s">
        <v>28</v>
      </c>
      <c r="C303" s="9" t="s">
        <v>753</v>
      </c>
      <c r="D303" s="9" t="s">
        <v>754</v>
      </c>
      <c r="E303" s="9"/>
      <c r="F303" s="15" t="s">
        <v>863</v>
      </c>
      <c r="G303" s="9"/>
      <c r="H303" s="9" t="s">
        <v>31</v>
      </c>
      <c r="I303" s="9"/>
      <c r="J303" s="9"/>
      <c r="K303" s="9">
        <v>5.9999999999999995E-4</v>
      </c>
      <c r="L303" s="9">
        <v>4.7999999999999996E-3</v>
      </c>
      <c r="M303" s="9" t="s">
        <v>786</v>
      </c>
      <c r="N303" s="9" t="s">
        <v>33</v>
      </c>
      <c r="O303" s="9">
        <f t="shared" si="26"/>
        <v>0.14399999999999999</v>
      </c>
      <c r="P303" s="9">
        <f t="shared" si="27"/>
        <v>0.16799999999999998</v>
      </c>
      <c r="Q303" s="9">
        <f t="shared" si="28"/>
        <v>9.6000000000000002E-2</v>
      </c>
      <c r="R303" s="9">
        <f t="shared" si="29"/>
        <v>7.1999999999999995E-2</v>
      </c>
      <c r="S303" s="38">
        <v>0.48</v>
      </c>
      <c r="T303" s="252">
        <v>105991.94</v>
      </c>
      <c r="U303" s="194">
        <v>508.76131199999998</v>
      </c>
      <c r="V303" s="9"/>
      <c r="W303" s="9"/>
      <c r="X303" s="9" t="s">
        <v>190</v>
      </c>
      <c r="Y303" s="9">
        <v>68154</v>
      </c>
      <c r="Z303" s="19" t="s">
        <v>755</v>
      </c>
      <c r="AA303" s="15" t="s">
        <v>863</v>
      </c>
      <c r="AB303" s="16">
        <v>2</v>
      </c>
      <c r="AC303" s="141"/>
      <c r="AD303" s="163"/>
      <c r="AE303" s="163"/>
      <c r="AF303" s="164"/>
      <c r="AG303" s="141"/>
      <c r="AH303" s="163"/>
      <c r="AI303" s="163"/>
      <c r="AJ303" s="164"/>
      <c r="AK303" s="126"/>
      <c r="AL303" s="72"/>
      <c r="AM303" s="72"/>
      <c r="AN303" s="127"/>
      <c r="AO303" s="126"/>
      <c r="AP303" s="72"/>
      <c r="AQ303" s="72"/>
      <c r="AR303" s="127"/>
      <c r="AS303" s="256" t="s">
        <v>860</v>
      </c>
    </row>
    <row r="304" spans="1:45" hidden="1" x14ac:dyDescent="0.25">
      <c r="A304" s="9">
        <v>301</v>
      </c>
      <c r="B304" s="9" t="s">
        <v>28</v>
      </c>
      <c r="C304" s="9" t="s">
        <v>753</v>
      </c>
      <c r="D304" s="9" t="s">
        <v>754</v>
      </c>
      <c r="E304" s="9"/>
      <c r="F304" s="15" t="s">
        <v>864</v>
      </c>
      <c r="G304" s="9"/>
      <c r="H304" s="9" t="s">
        <v>31</v>
      </c>
      <c r="I304" s="9"/>
      <c r="J304" s="9"/>
      <c r="K304" s="9">
        <v>2.2000000000000001E-3</v>
      </c>
      <c r="L304" s="9">
        <v>8.8000000000000005E-3</v>
      </c>
      <c r="M304" s="9" t="s">
        <v>792</v>
      </c>
      <c r="N304" s="9" t="s">
        <v>33</v>
      </c>
      <c r="O304" s="9">
        <f t="shared" si="26"/>
        <v>0.26400000000000001</v>
      </c>
      <c r="P304" s="9">
        <f t="shared" si="27"/>
        <v>0.308</v>
      </c>
      <c r="Q304" s="9">
        <f t="shared" si="28"/>
        <v>0.17600000000000002</v>
      </c>
      <c r="R304" s="9">
        <f t="shared" si="29"/>
        <v>0.13200000000000001</v>
      </c>
      <c r="S304" s="38">
        <v>0.88</v>
      </c>
      <c r="T304" s="252">
        <v>105991.94</v>
      </c>
      <c r="U304" s="194">
        <v>932.72907200000009</v>
      </c>
      <c r="V304" s="9"/>
      <c r="W304" s="9"/>
      <c r="X304" s="9" t="s">
        <v>155</v>
      </c>
      <c r="Y304" s="9">
        <v>68154</v>
      </c>
      <c r="Z304" s="19" t="s">
        <v>755</v>
      </c>
      <c r="AA304" s="15" t="s">
        <v>864</v>
      </c>
      <c r="AB304" s="16">
        <v>3</v>
      </c>
      <c r="AC304" s="141"/>
      <c r="AD304" s="163"/>
      <c r="AE304" s="163"/>
      <c r="AF304" s="164"/>
      <c r="AG304" s="141"/>
      <c r="AH304" s="163"/>
      <c r="AI304" s="163"/>
      <c r="AJ304" s="164"/>
      <c r="AK304" s="126"/>
      <c r="AL304" s="72"/>
      <c r="AM304" s="72"/>
      <c r="AN304" s="127"/>
      <c r="AO304" s="126"/>
      <c r="AP304" s="72"/>
      <c r="AQ304" s="72"/>
      <c r="AR304" s="127"/>
      <c r="AS304" s="256" t="s">
        <v>860</v>
      </c>
    </row>
    <row r="305" spans="1:45" hidden="1" x14ac:dyDescent="0.25">
      <c r="A305" s="9">
        <v>302</v>
      </c>
      <c r="B305" s="9" t="s">
        <v>28</v>
      </c>
      <c r="C305" s="9" t="s">
        <v>753</v>
      </c>
      <c r="D305" s="9" t="s">
        <v>754</v>
      </c>
      <c r="E305" s="9"/>
      <c r="F305" s="15" t="s">
        <v>865</v>
      </c>
      <c r="G305" s="9"/>
      <c r="H305" s="9" t="s">
        <v>31</v>
      </c>
      <c r="I305" s="9"/>
      <c r="J305" s="9"/>
      <c r="K305" s="9">
        <v>0.02</v>
      </c>
      <c r="L305" s="9">
        <v>0.02</v>
      </c>
      <c r="M305" s="9" t="s">
        <v>812</v>
      </c>
      <c r="N305" s="9" t="s">
        <v>33</v>
      </c>
      <c r="O305" s="9">
        <f t="shared" si="26"/>
        <v>0.6</v>
      </c>
      <c r="P305" s="9">
        <f t="shared" si="27"/>
        <v>0.7</v>
      </c>
      <c r="Q305" s="9">
        <f t="shared" si="28"/>
        <v>0.4</v>
      </c>
      <c r="R305" s="9">
        <f t="shared" si="29"/>
        <v>0.3</v>
      </c>
      <c r="S305" s="38">
        <v>2</v>
      </c>
      <c r="T305" s="252">
        <v>105991.94</v>
      </c>
      <c r="U305" s="194">
        <v>2119.8388</v>
      </c>
      <c r="V305" s="9"/>
      <c r="W305" s="9"/>
      <c r="X305" s="9" t="s">
        <v>824</v>
      </c>
      <c r="Y305" s="9">
        <v>68154</v>
      </c>
      <c r="Z305" s="19" t="s">
        <v>755</v>
      </c>
      <c r="AA305" s="15" t="s">
        <v>865</v>
      </c>
      <c r="AB305" s="16">
        <v>4</v>
      </c>
      <c r="AC305" s="141"/>
      <c r="AD305" s="163"/>
      <c r="AE305" s="163"/>
      <c r="AF305" s="164"/>
      <c r="AG305" s="141"/>
      <c r="AH305" s="163"/>
      <c r="AI305" s="163"/>
      <c r="AJ305" s="164"/>
      <c r="AK305" s="126"/>
      <c r="AL305" s="72"/>
      <c r="AM305" s="72"/>
      <c r="AN305" s="127"/>
      <c r="AO305" s="126"/>
      <c r="AP305" s="72"/>
      <c r="AQ305" s="72"/>
      <c r="AR305" s="127"/>
      <c r="AS305" s="256" t="s">
        <v>860</v>
      </c>
    </row>
    <row r="306" spans="1:45" ht="30" hidden="1" x14ac:dyDescent="0.25">
      <c r="A306" s="9">
        <v>303</v>
      </c>
      <c r="B306" s="9" t="s">
        <v>28</v>
      </c>
      <c r="C306" s="9" t="s">
        <v>753</v>
      </c>
      <c r="D306" s="9" t="s">
        <v>754</v>
      </c>
      <c r="E306" s="9"/>
      <c r="F306" s="15" t="s">
        <v>866</v>
      </c>
      <c r="G306" s="9"/>
      <c r="H306" s="9" t="s">
        <v>31</v>
      </c>
      <c r="I306" s="9"/>
      <c r="J306" s="9"/>
      <c r="K306" s="9">
        <v>2.1000000000000001E-2</v>
      </c>
      <c r="L306" s="9">
        <v>2.1000000000000001E-2</v>
      </c>
      <c r="M306" s="9" t="s">
        <v>812</v>
      </c>
      <c r="N306" s="9" t="s">
        <v>33</v>
      </c>
      <c r="O306" s="9">
        <f t="shared" si="26"/>
        <v>0.63</v>
      </c>
      <c r="P306" s="9">
        <f t="shared" si="27"/>
        <v>0.73499999999999999</v>
      </c>
      <c r="Q306" s="9">
        <f t="shared" si="28"/>
        <v>0.42000000000000004</v>
      </c>
      <c r="R306" s="9">
        <f t="shared" si="29"/>
        <v>0.315</v>
      </c>
      <c r="S306" s="38">
        <v>2.1</v>
      </c>
      <c r="T306" s="252">
        <v>105991.94</v>
      </c>
      <c r="U306" s="194">
        <v>2225.8307400000003</v>
      </c>
      <c r="V306" s="9"/>
      <c r="W306" s="9"/>
      <c r="X306" s="9" t="s">
        <v>867</v>
      </c>
      <c r="Y306" s="9">
        <v>68154</v>
      </c>
      <c r="Z306" s="19" t="s">
        <v>755</v>
      </c>
      <c r="AA306" s="15" t="s">
        <v>866</v>
      </c>
      <c r="AB306" s="16">
        <v>5</v>
      </c>
      <c r="AC306" s="141"/>
      <c r="AD306" s="163"/>
      <c r="AE306" s="163"/>
      <c r="AF306" s="164"/>
      <c r="AG306" s="141"/>
      <c r="AH306" s="163"/>
      <c r="AI306" s="163"/>
      <c r="AJ306" s="164"/>
      <c r="AK306" s="126"/>
      <c r="AL306" s="72"/>
      <c r="AM306" s="72"/>
      <c r="AN306" s="127"/>
      <c r="AO306" s="126"/>
      <c r="AP306" s="72"/>
      <c r="AQ306" s="72"/>
      <c r="AR306" s="127"/>
      <c r="AS306" s="256" t="s">
        <v>860</v>
      </c>
    </row>
    <row r="307" spans="1:45" hidden="1" x14ac:dyDescent="0.25">
      <c r="A307" s="9">
        <v>304</v>
      </c>
      <c r="B307" s="9" t="s">
        <v>28</v>
      </c>
      <c r="C307" s="9" t="s">
        <v>753</v>
      </c>
      <c r="D307" s="9" t="s">
        <v>754</v>
      </c>
      <c r="E307" s="9"/>
      <c r="F307" s="15" t="s">
        <v>865</v>
      </c>
      <c r="G307" s="9"/>
      <c r="H307" s="9" t="s">
        <v>31</v>
      </c>
      <c r="I307" s="9"/>
      <c r="J307" s="9"/>
      <c r="K307" s="9">
        <v>2.1000000000000001E-2</v>
      </c>
      <c r="L307" s="9">
        <v>2.1000000000000001E-2</v>
      </c>
      <c r="M307" s="9" t="s">
        <v>812</v>
      </c>
      <c r="N307" s="9" t="s">
        <v>33</v>
      </c>
      <c r="O307" s="9">
        <f t="shared" si="26"/>
        <v>0.63</v>
      </c>
      <c r="P307" s="9">
        <f t="shared" si="27"/>
        <v>0.73499999999999999</v>
      </c>
      <c r="Q307" s="9">
        <f t="shared" si="28"/>
        <v>0.42000000000000004</v>
      </c>
      <c r="R307" s="9">
        <f t="shared" si="29"/>
        <v>0.315</v>
      </c>
      <c r="S307" s="38">
        <v>2.1</v>
      </c>
      <c r="T307" s="252">
        <v>105991.94</v>
      </c>
      <c r="U307" s="194">
        <v>2225.8307400000003</v>
      </c>
      <c r="V307" s="9"/>
      <c r="W307" s="9"/>
      <c r="X307" s="9" t="s">
        <v>824</v>
      </c>
      <c r="Y307" s="9">
        <v>68154</v>
      </c>
      <c r="Z307" s="19" t="s">
        <v>755</v>
      </c>
      <c r="AA307" s="15" t="s">
        <v>865</v>
      </c>
      <c r="AB307" s="16">
        <v>6</v>
      </c>
      <c r="AC307" s="141"/>
      <c r="AD307" s="163"/>
      <c r="AE307" s="163"/>
      <c r="AF307" s="164"/>
      <c r="AG307" s="141"/>
      <c r="AH307" s="163"/>
      <c r="AI307" s="163"/>
      <c r="AJ307" s="164"/>
      <c r="AK307" s="126"/>
      <c r="AL307" s="72"/>
      <c r="AM307" s="72"/>
      <c r="AN307" s="127"/>
      <c r="AO307" s="126"/>
      <c r="AP307" s="72"/>
      <c r="AQ307" s="72"/>
      <c r="AR307" s="127"/>
      <c r="AS307" s="256" t="s">
        <v>860</v>
      </c>
    </row>
    <row r="308" spans="1:45" x14ac:dyDescent="0.25">
      <c r="A308" s="25">
        <v>305</v>
      </c>
      <c r="B308" s="25" t="s">
        <v>28</v>
      </c>
      <c r="C308" s="25" t="s">
        <v>753</v>
      </c>
      <c r="D308" s="25" t="s">
        <v>754</v>
      </c>
      <c r="E308" s="25"/>
      <c r="F308" s="325" t="s">
        <v>417</v>
      </c>
      <c r="G308" s="13"/>
      <c r="H308" s="13" t="s">
        <v>31</v>
      </c>
      <c r="I308" s="13"/>
      <c r="J308" s="13"/>
      <c r="K308" s="13">
        <v>4.0000000000000001E-3</v>
      </c>
      <c r="L308" s="13">
        <v>4.0000000000000001E-3</v>
      </c>
      <c r="M308" s="13" t="s">
        <v>812</v>
      </c>
      <c r="N308" s="13" t="s">
        <v>33</v>
      </c>
      <c r="O308" s="13">
        <f t="shared" si="26"/>
        <v>0.12</v>
      </c>
      <c r="P308" s="13">
        <f t="shared" si="27"/>
        <v>0.13999999999999999</v>
      </c>
      <c r="Q308" s="13">
        <f t="shared" si="28"/>
        <v>8.0000000000000016E-2</v>
      </c>
      <c r="R308" s="13">
        <f t="shared" si="29"/>
        <v>0.06</v>
      </c>
      <c r="S308" s="38">
        <v>0.4</v>
      </c>
      <c r="T308" s="326">
        <v>105991.94</v>
      </c>
      <c r="U308" s="327">
        <v>423.96776</v>
      </c>
      <c r="V308" s="13"/>
      <c r="W308" s="13"/>
      <c r="X308" s="13" t="s">
        <v>840</v>
      </c>
      <c r="Y308" s="25">
        <v>70786</v>
      </c>
      <c r="Z308" s="19" t="s">
        <v>755</v>
      </c>
      <c r="AA308" s="15" t="s">
        <v>417</v>
      </c>
      <c r="AB308" s="16">
        <v>1</v>
      </c>
      <c r="AC308" s="141"/>
      <c r="AD308" s="163"/>
      <c r="AE308" s="163"/>
      <c r="AF308" s="164"/>
      <c r="AG308" s="169">
        <f>L308*0.3</f>
        <v>1.1999999999999999E-3</v>
      </c>
      <c r="AH308" s="163"/>
      <c r="AI308" s="163"/>
      <c r="AJ308" s="164"/>
      <c r="AK308" s="141"/>
      <c r="AL308" s="72"/>
      <c r="AM308" s="72"/>
      <c r="AN308" s="127"/>
      <c r="AO308" s="126"/>
      <c r="AP308" s="72"/>
      <c r="AQ308" s="72"/>
      <c r="AR308" s="127"/>
      <c r="AS308" s="256" t="s">
        <v>757</v>
      </c>
    </row>
    <row r="309" spans="1:45" x14ac:dyDescent="0.25">
      <c r="A309" s="25">
        <v>306</v>
      </c>
      <c r="B309" s="25" t="s">
        <v>28</v>
      </c>
      <c r="C309" s="25" t="s">
        <v>753</v>
      </c>
      <c r="D309" s="25" t="s">
        <v>754</v>
      </c>
      <c r="E309" s="25"/>
      <c r="F309" s="325" t="s">
        <v>417</v>
      </c>
      <c r="G309" s="13"/>
      <c r="H309" s="13" t="s">
        <v>31</v>
      </c>
      <c r="I309" s="13"/>
      <c r="J309" s="13"/>
      <c r="K309" s="13">
        <v>4.0000000000000001E-3</v>
      </c>
      <c r="L309" s="13">
        <v>4.0000000000000001E-3</v>
      </c>
      <c r="M309" s="13" t="s">
        <v>812</v>
      </c>
      <c r="N309" s="13" t="s">
        <v>33</v>
      </c>
      <c r="O309" s="13">
        <f t="shared" si="26"/>
        <v>0.12</v>
      </c>
      <c r="P309" s="13">
        <f t="shared" si="27"/>
        <v>0.13999999999999999</v>
      </c>
      <c r="Q309" s="13">
        <f t="shared" si="28"/>
        <v>8.0000000000000016E-2</v>
      </c>
      <c r="R309" s="13">
        <f t="shared" si="29"/>
        <v>0.06</v>
      </c>
      <c r="S309" s="38">
        <v>0.4</v>
      </c>
      <c r="T309" s="326">
        <v>105991.94</v>
      </c>
      <c r="U309" s="327">
        <v>423.96776</v>
      </c>
      <c r="V309" s="13"/>
      <c r="W309" s="13"/>
      <c r="X309" s="13" t="s">
        <v>840</v>
      </c>
      <c r="Y309" s="25">
        <v>70786</v>
      </c>
      <c r="Z309" s="19" t="s">
        <v>755</v>
      </c>
      <c r="AA309" s="15" t="s">
        <v>417</v>
      </c>
      <c r="AB309" s="16">
        <v>2</v>
      </c>
      <c r="AC309" s="141"/>
      <c r="AD309" s="163"/>
      <c r="AE309" s="163"/>
      <c r="AF309" s="164"/>
      <c r="AG309" s="169">
        <f t="shared" ref="AG309:AG310" si="30">L309*0.3</f>
        <v>1.1999999999999999E-3</v>
      </c>
      <c r="AH309" s="163"/>
      <c r="AI309" s="163"/>
      <c r="AJ309" s="164"/>
      <c r="AK309" s="141"/>
      <c r="AL309" s="72"/>
      <c r="AM309" s="72"/>
      <c r="AN309" s="127"/>
      <c r="AO309" s="126"/>
      <c r="AP309" s="72"/>
      <c r="AQ309" s="72"/>
      <c r="AR309" s="127"/>
      <c r="AS309" s="256" t="s">
        <v>757</v>
      </c>
    </row>
    <row r="310" spans="1:45" x14ac:dyDescent="0.25">
      <c r="A310" s="25">
        <v>307</v>
      </c>
      <c r="B310" s="25" t="s">
        <v>28</v>
      </c>
      <c r="C310" s="25" t="s">
        <v>753</v>
      </c>
      <c r="D310" s="25" t="s">
        <v>754</v>
      </c>
      <c r="E310" s="25"/>
      <c r="F310" s="325" t="s">
        <v>841</v>
      </c>
      <c r="G310" s="13"/>
      <c r="H310" s="13" t="s">
        <v>31</v>
      </c>
      <c r="I310" s="13"/>
      <c r="J310" s="13"/>
      <c r="K310" s="13">
        <v>3.7999999999999999E-2</v>
      </c>
      <c r="L310" s="13">
        <v>3.7999999999999999E-2</v>
      </c>
      <c r="M310" s="13" t="s">
        <v>812</v>
      </c>
      <c r="N310" s="13" t="s">
        <v>33</v>
      </c>
      <c r="O310" s="13">
        <f t="shared" si="26"/>
        <v>1.1399999999999999</v>
      </c>
      <c r="P310" s="13">
        <f t="shared" si="27"/>
        <v>1.3299999999999998</v>
      </c>
      <c r="Q310" s="13">
        <f t="shared" si="28"/>
        <v>0.76</v>
      </c>
      <c r="R310" s="13">
        <f t="shared" si="29"/>
        <v>0.56999999999999995</v>
      </c>
      <c r="S310" s="38">
        <v>3.8</v>
      </c>
      <c r="T310" s="252">
        <v>105991.94</v>
      </c>
      <c r="U310" s="194">
        <v>4027.6937200000002</v>
      </c>
      <c r="V310" s="9"/>
      <c r="W310" s="9"/>
      <c r="X310" s="13" t="s">
        <v>842</v>
      </c>
      <c r="Y310" s="25">
        <v>70786</v>
      </c>
      <c r="Z310" s="19" t="s">
        <v>755</v>
      </c>
      <c r="AA310" s="15" t="s">
        <v>841</v>
      </c>
      <c r="AB310" s="16">
        <v>3</v>
      </c>
      <c r="AC310" s="141"/>
      <c r="AD310" s="163"/>
      <c r="AE310" s="163"/>
      <c r="AF310" s="164"/>
      <c r="AG310" s="169">
        <f t="shared" si="30"/>
        <v>1.1399999999999999E-2</v>
      </c>
      <c r="AH310" s="163"/>
      <c r="AI310" s="163"/>
      <c r="AJ310" s="164"/>
      <c r="AK310" s="141"/>
      <c r="AL310" s="72"/>
      <c r="AM310" s="72"/>
      <c r="AN310" s="127"/>
      <c r="AO310" s="126"/>
      <c r="AP310" s="72"/>
      <c r="AQ310" s="72"/>
      <c r="AR310" s="127"/>
      <c r="AS310" s="256" t="s">
        <v>757</v>
      </c>
    </row>
    <row r="311" spans="1:45" x14ac:dyDescent="0.25">
      <c r="A311" s="25">
        <v>308</v>
      </c>
      <c r="B311" s="25" t="s">
        <v>28</v>
      </c>
      <c r="C311" s="25" t="s">
        <v>753</v>
      </c>
      <c r="D311" s="25" t="s">
        <v>754</v>
      </c>
      <c r="E311" s="25"/>
      <c r="F311" s="28" t="s">
        <v>843</v>
      </c>
      <c r="G311" s="25"/>
      <c r="H311" s="25" t="s">
        <v>31</v>
      </c>
      <c r="I311" s="25"/>
      <c r="J311" s="25"/>
      <c r="K311" s="25">
        <v>0.1</v>
      </c>
      <c r="L311" s="25">
        <v>0.1</v>
      </c>
      <c r="M311" s="25" t="s">
        <v>812</v>
      </c>
      <c r="N311" s="25" t="s">
        <v>33</v>
      </c>
      <c r="O311" s="25">
        <f t="shared" si="26"/>
        <v>2.8800000000000003</v>
      </c>
      <c r="P311" s="25">
        <f t="shared" si="27"/>
        <v>3.3600000000000003</v>
      </c>
      <c r="Q311" s="25">
        <f t="shared" si="28"/>
        <v>1.9200000000000004</v>
      </c>
      <c r="R311" s="25">
        <f t="shared" si="29"/>
        <v>1.4400000000000002</v>
      </c>
      <c r="S311" s="38">
        <v>9.6000000000000014</v>
      </c>
      <c r="T311" s="252">
        <v>105991.94</v>
      </c>
      <c r="U311" s="194">
        <v>10599.194000000001</v>
      </c>
      <c r="V311" s="9"/>
      <c r="W311" s="9"/>
      <c r="X311" s="25" t="s">
        <v>844</v>
      </c>
      <c r="Y311" s="25">
        <v>70786</v>
      </c>
      <c r="Z311" s="19" t="s">
        <v>755</v>
      </c>
      <c r="AA311" s="15" t="s">
        <v>843</v>
      </c>
      <c r="AB311" s="16">
        <v>4</v>
      </c>
      <c r="AC311" s="169">
        <f t="shared" ref="AC311:AC313" si="31">L311*0.3</f>
        <v>0.03</v>
      </c>
      <c r="AD311" s="184">
        <f>L311*0.35</f>
        <v>3.4999999999999996E-2</v>
      </c>
      <c r="AE311" s="163"/>
      <c r="AF311" s="164"/>
      <c r="AG311" s="141"/>
      <c r="AH311" s="163"/>
      <c r="AI311" s="163"/>
      <c r="AJ311" s="164"/>
      <c r="AK311" s="141"/>
      <c r="AL311" s="163"/>
      <c r="AM311" s="72"/>
      <c r="AN311" s="127"/>
      <c r="AO311" s="126"/>
      <c r="AP311" s="72"/>
      <c r="AQ311" s="72"/>
      <c r="AR311" s="127"/>
      <c r="AS311" s="256" t="s">
        <v>757</v>
      </c>
    </row>
    <row r="312" spans="1:45" x14ac:dyDescent="0.25">
      <c r="A312" s="25">
        <v>309</v>
      </c>
      <c r="B312" s="25" t="s">
        <v>28</v>
      </c>
      <c r="C312" s="25" t="s">
        <v>753</v>
      </c>
      <c r="D312" s="25" t="s">
        <v>754</v>
      </c>
      <c r="E312" s="25"/>
      <c r="F312" s="28" t="s">
        <v>843</v>
      </c>
      <c r="G312" s="25"/>
      <c r="H312" s="25" t="s">
        <v>31</v>
      </c>
      <c r="I312" s="25"/>
      <c r="J312" s="25"/>
      <c r="K312" s="25">
        <v>0.1</v>
      </c>
      <c r="L312" s="25">
        <v>0.1</v>
      </c>
      <c r="M312" s="25" t="s">
        <v>812</v>
      </c>
      <c r="N312" s="25" t="s">
        <v>33</v>
      </c>
      <c r="O312" s="25">
        <f t="shared" si="26"/>
        <v>2.8800000000000003</v>
      </c>
      <c r="P312" s="25">
        <f t="shared" si="27"/>
        <v>3.3600000000000003</v>
      </c>
      <c r="Q312" s="25">
        <f t="shared" si="28"/>
        <v>1.9200000000000004</v>
      </c>
      <c r="R312" s="25">
        <f t="shared" si="29"/>
        <v>1.4400000000000002</v>
      </c>
      <c r="S312" s="38">
        <v>9.6000000000000014</v>
      </c>
      <c r="T312" s="252">
        <v>105991.94</v>
      </c>
      <c r="U312" s="194">
        <v>10599.194000000001</v>
      </c>
      <c r="V312" s="9"/>
      <c r="W312" s="9"/>
      <c r="X312" s="25" t="s">
        <v>844</v>
      </c>
      <c r="Y312" s="25">
        <v>70786</v>
      </c>
      <c r="Z312" s="19" t="s">
        <v>755</v>
      </c>
      <c r="AA312" s="15" t="s">
        <v>843</v>
      </c>
      <c r="AB312" s="16">
        <v>5</v>
      </c>
      <c r="AC312" s="169">
        <f t="shared" si="31"/>
        <v>0.03</v>
      </c>
      <c r="AD312" s="184">
        <f t="shared" ref="AD312:AD314" si="32">L312*0.35</f>
        <v>3.4999999999999996E-2</v>
      </c>
      <c r="AE312" s="163"/>
      <c r="AF312" s="164"/>
      <c r="AG312" s="141"/>
      <c r="AH312" s="163"/>
      <c r="AI312" s="163"/>
      <c r="AJ312" s="164"/>
      <c r="AK312" s="141"/>
      <c r="AL312" s="163"/>
      <c r="AM312" s="72"/>
      <c r="AN312" s="127"/>
      <c r="AO312" s="126"/>
      <c r="AP312" s="72"/>
      <c r="AQ312" s="72"/>
      <c r="AR312" s="127"/>
      <c r="AS312" s="256" t="s">
        <v>757</v>
      </c>
    </row>
    <row r="313" spans="1:45" x14ac:dyDescent="0.25">
      <c r="A313" s="25">
        <v>310</v>
      </c>
      <c r="B313" s="25" t="s">
        <v>28</v>
      </c>
      <c r="C313" s="25" t="s">
        <v>753</v>
      </c>
      <c r="D313" s="25" t="s">
        <v>754</v>
      </c>
      <c r="E313" s="25"/>
      <c r="F313" s="28" t="s">
        <v>843</v>
      </c>
      <c r="G313" s="25"/>
      <c r="H313" s="25" t="s">
        <v>31</v>
      </c>
      <c r="I313" s="25"/>
      <c r="J313" s="25"/>
      <c r="K313" s="25">
        <v>0.1</v>
      </c>
      <c r="L313" s="25">
        <v>0.1</v>
      </c>
      <c r="M313" s="25" t="s">
        <v>812</v>
      </c>
      <c r="N313" s="25" t="s">
        <v>33</v>
      </c>
      <c r="O313" s="25">
        <f t="shared" si="26"/>
        <v>2.8800000000000003</v>
      </c>
      <c r="P313" s="25">
        <f t="shared" si="27"/>
        <v>3.3600000000000003</v>
      </c>
      <c r="Q313" s="25">
        <f t="shared" si="28"/>
        <v>1.9200000000000004</v>
      </c>
      <c r="R313" s="25">
        <f t="shared" si="29"/>
        <v>1.4400000000000002</v>
      </c>
      <c r="S313" s="38">
        <v>9.6000000000000014</v>
      </c>
      <c r="T313" s="252">
        <v>105991.94</v>
      </c>
      <c r="U313" s="194">
        <v>10599.194000000001</v>
      </c>
      <c r="V313" s="9"/>
      <c r="W313" s="9"/>
      <c r="X313" s="25" t="s">
        <v>844</v>
      </c>
      <c r="Y313" s="25">
        <v>70786</v>
      </c>
      <c r="Z313" s="19" t="s">
        <v>755</v>
      </c>
      <c r="AA313" s="15" t="s">
        <v>843</v>
      </c>
      <c r="AB313" s="16">
        <v>6</v>
      </c>
      <c r="AC313" s="169">
        <f t="shared" si="31"/>
        <v>0.03</v>
      </c>
      <c r="AD313" s="184">
        <f t="shared" si="32"/>
        <v>3.4999999999999996E-2</v>
      </c>
      <c r="AE313" s="163"/>
      <c r="AF313" s="164"/>
      <c r="AG313" s="141"/>
      <c r="AH313" s="163"/>
      <c r="AI313" s="163"/>
      <c r="AJ313" s="164"/>
      <c r="AK313" s="141"/>
      <c r="AL313" s="163"/>
      <c r="AM313" s="72"/>
      <c r="AN313" s="127"/>
      <c r="AO313" s="126"/>
      <c r="AP313" s="72"/>
      <c r="AQ313" s="72"/>
      <c r="AR313" s="127"/>
      <c r="AS313" s="256" t="s">
        <v>757</v>
      </c>
    </row>
    <row r="314" spans="1:45" x14ac:dyDescent="0.25">
      <c r="A314" s="25">
        <v>311</v>
      </c>
      <c r="B314" s="25" t="s">
        <v>28</v>
      </c>
      <c r="C314" s="25" t="s">
        <v>753</v>
      </c>
      <c r="D314" s="25" t="s">
        <v>754</v>
      </c>
      <c r="E314" s="25"/>
      <c r="F314" s="28" t="s">
        <v>845</v>
      </c>
      <c r="G314" s="25"/>
      <c r="H314" s="25" t="s">
        <v>31</v>
      </c>
      <c r="I314" s="25"/>
      <c r="J314" s="25"/>
      <c r="K314" s="25">
        <v>8.5</v>
      </c>
      <c r="L314" s="25">
        <v>8.5</v>
      </c>
      <c r="M314" s="25" t="s">
        <v>812</v>
      </c>
      <c r="N314" s="25" t="s">
        <v>33</v>
      </c>
      <c r="O314" s="25">
        <f t="shared" si="26"/>
        <v>91.8</v>
      </c>
      <c r="P314" s="25">
        <f t="shared" si="27"/>
        <v>107.1</v>
      </c>
      <c r="Q314" s="25">
        <f t="shared" si="28"/>
        <v>61.2</v>
      </c>
      <c r="R314" s="25">
        <f t="shared" si="29"/>
        <v>45.9</v>
      </c>
      <c r="S314" s="38">
        <v>306</v>
      </c>
      <c r="T314" s="252">
        <v>105991.94</v>
      </c>
      <c r="U314" s="194">
        <v>900931.49</v>
      </c>
      <c r="V314" s="9"/>
      <c r="W314" s="9"/>
      <c r="X314" s="25" t="s">
        <v>846</v>
      </c>
      <c r="Y314" s="25">
        <v>70786</v>
      </c>
      <c r="Z314" s="19" t="s">
        <v>755</v>
      </c>
      <c r="AA314" s="15" t="s">
        <v>845</v>
      </c>
      <c r="AB314" s="16">
        <v>7</v>
      </c>
      <c r="AC314" s="169">
        <f>L314*0.3</f>
        <v>2.5499999999999998</v>
      </c>
      <c r="AD314" s="184">
        <f t="shared" si="32"/>
        <v>2.9749999999999996</v>
      </c>
      <c r="AE314" s="163"/>
      <c r="AF314" s="164"/>
      <c r="AG314" s="141"/>
      <c r="AH314" s="163"/>
      <c r="AI314" s="163"/>
      <c r="AJ314" s="164"/>
      <c r="AK314" s="141"/>
      <c r="AL314" s="163"/>
      <c r="AM314" s="72"/>
      <c r="AN314" s="127"/>
      <c r="AO314" s="126"/>
      <c r="AP314" s="72"/>
      <c r="AQ314" s="72"/>
      <c r="AR314" s="127"/>
      <c r="AS314" s="256" t="s">
        <v>757</v>
      </c>
    </row>
    <row r="315" spans="1:45" x14ac:dyDescent="0.25">
      <c r="A315" s="25">
        <v>312</v>
      </c>
      <c r="B315" s="25" t="s">
        <v>28</v>
      </c>
      <c r="C315" s="25" t="s">
        <v>753</v>
      </c>
      <c r="D315" s="25" t="s">
        <v>754</v>
      </c>
      <c r="E315" s="25"/>
      <c r="F315" s="28" t="s">
        <v>847</v>
      </c>
      <c r="G315" s="25"/>
      <c r="H315" s="25" t="s">
        <v>31</v>
      </c>
      <c r="I315" s="25"/>
      <c r="J315" s="25"/>
      <c r="K315" s="25">
        <v>0.2</v>
      </c>
      <c r="L315" s="25">
        <v>0.2</v>
      </c>
      <c r="M315" s="25" t="s">
        <v>812</v>
      </c>
      <c r="N315" s="25" t="s">
        <v>33</v>
      </c>
      <c r="O315" s="25">
        <f t="shared" si="26"/>
        <v>5.1599999999999993</v>
      </c>
      <c r="P315" s="25">
        <f t="shared" si="27"/>
        <v>6.02</v>
      </c>
      <c r="Q315" s="25">
        <f t="shared" si="28"/>
        <v>3.44</v>
      </c>
      <c r="R315" s="25">
        <f t="shared" si="29"/>
        <v>2.5799999999999996</v>
      </c>
      <c r="S315" s="38">
        <v>17.2</v>
      </c>
      <c r="T315" s="323">
        <v>105991.94</v>
      </c>
      <c r="U315" s="324">
        <v>21198.388000000003</v>
      </c>
      <c r="V315" s="322"/>
      <c r="W315" s="322"/>
      <c r="X315" s="25" t="s">
        <v>848</v>
      </c>
      <c r="Y315" s="25">
        <v>70786</v>
      </c>
      <c r="Z315" s="19" t="s">
        <v>755</v>
      </c>
      <c r="AA315" s="15" t="s">
        <v>847</v>
      </c>
      <c r="AB315" s="16">
        <v>8</v>
      </c>
      <c r="AC315" s="169">
        <f t="shared" ref="AC315" si="33">L315*0.3</f>
        <v>0.06</v>
      </c>
      <c r="AD315" s="163"/>
      <c r="AE315" s="163"/>
      <c r="AF315" s="164"/>
      <c r="AG315" s="141"/>
      <c r="AH315" s="184">
        <f>L315*0.35</f>
        <v>6.9999999999999993E-2</v>
      </c>
      <c r="AI315" s="163"/>
      <c r="AJ315" s="164"/>
      <c r="AK315" s="141"/>
      <c r="AL315" s="163"/>
      <c r="AM315" s="72"/>
      <c r="AN315" s="127"/>
      <c r="AO315" s="126"/>
      <c r="AP315" s="72"/>
      <c r="AQ315" s="72"/>
      <c r="AR315" s="127"/>
      <c r="AS315" s="256" t="s">
        <v>849</v>
      </c>
    </row>
    <row r="316" spans="1:45" x14ac:dyDescent="0.25">
      <c r="A316" s="25">
        <v>313</v>
      </c>
      <c r="B316" s="25" t="s">
        <v>28</v>
      </c>
      <c r="C316" s="25" t="s">
        <v>753</v>
      </c>
      <c r="D316" s="25" t="s">
        <v>754</v>
      </c>
      <c r="E316" s="25"/>
      <c r="F316" s="325" t="s">
        <v>417</v>
      </c>
      <c r="G316" s="13"/>
      <c r="H316" s="13" t="s">
        <v>31</v>
      </c>
      <c r="I316" s="13"/>
      <c r="J316" s="13"/>
      <c r="K316" s="13">
        <v>4.0000000000000001E-3</v>
      </c>
      <c r="L316" s="13">
        <v>4.0000000000000001E-3</v>
      </c>
      <c r="M316" s="13" t="s">
        <v>812</v>
      </c>
      <c r="N316" s="13" t="s">
        <v>33</v>
      </c>
      <c r="O316" s="13">
        <f t="shared" si="26"/>
        <v>0.12</v>
      </c>
      <c r="P316" s="13">
        <f t="shared" si="27"/>
        <v>0.13999999999999999</v>
      </c>
      <c r="Q316" s="13">
        <f t="shared" si="28"/>
        <v>8.0000000000000016E-2</v>
      </c>
      <c r="R316" s="13">
        <f t="shared" si="29"/>
        <v>0.06</v>
      </c>
      <c r="S316" s="38">
        <v>0.4</v>
      </c>
      <c r="T316" s="252">
        <v>105991.94</v>
      </c>
      <c r="U316" s="194">
        <v>423.96776</v>
      </c>
      <c r="V316" s="9"/>
      <c r="W316" s="9"/>
      <c r="X316" s="13" t="s">
        <v>840</v>
      </c>
      <c r="Y316" s="25">
        <v>70788</v>
      </c>
      <c r="Z316" s="19" t="s">
        <v>755</v>
      </c>
      <c r="AA316" s="15" t="s">
        <v>417</v>
      </c>
      <c r="AB316" s="16">
        <v>1</v>
      </c>
      <c r="AC316" s="141"/>
      <c r="AD316" s="163"/>
      <c r="AE316" s="163"/>
      <c r="AF316" s="164"/>
      <c r="AG316" s="169">
        <f t="shared" ref="AG316:AG323" si="34">L316*0.3</f>
        <v>1.1999999999999999E-3</v>
      </c>
      <c r="AH316" s="163"/>
      <c r="AI316" s="163"/>
      <c r="AJ316" s="164"/>
      <c r="AK316" s="141"/>
      <c r="AL316" s="72"/>
      <c r="AM316" s="72"/>
      <c r="AN316" s="127"/>
      <c r="AO316" s="126"/>
      <c r="AP316" s="72"/>
      <c r="AQ316" s="72"/>
      <c r="AR316" s="127"/>
      <c r="AS316" s="256" t="s">
        <v>757</v>
      </c>
    </row>
    <row r="317" spans="1:45" x14ac:dyDescent="0.25">
      <c r="A317" s="25">
        <v>314</v>
      </c>
      <c r="B317" s="25" t="s">
        <v>28</v>
      </c>
      <c r="C317" s="25" t="s">
        <v>753</v>
      </c>
      <c r="D317" s="25" t="s">
        <v>754</v>
      </c>
      <c r="E317" s="25"/>
      <c r="F317" s="325" t="s">
        <v>417</v>
      </c>
      <c r="G317" s="13"/>
      <c r="H317" s="13" t="s">
        <v>31</v>
      </c>
      <c r="I317" s="13"/>
      <c r="J317" s="13"/>
      <c r="K317" s="13">
        <v>4.0000000000000001E-3</v>
      </c>
      <c r="L317" s="13">
        <v>4.0000000000000001E-3</v>
      </c>
      <c r="M317" s="13" t="s">
        <v>812</v>
      </c>
      <c r="N317" s="13" t="s">
        <v>33</v>
      </c>
      <c r="O317" s="13">
        <f t="shared" si="26"/>
        <v>0.12</v>
      </c>
      <c r="P317" s="13">
        <f t="shared" si="27"/>
        <v>0.13999999999999999</v>
      </c>
      <c r="Q317" s="13">
        <f t="shared" si="28"/>
        <v>8.0000000000000016E-2</v>
      </c>
      <c r="R317" s="13">
        <f t="shared" si="29"/>
        <v>0.06</v>
      </c>
      <c r="S317" s="38">
        <v>0.4</v>
      </c>
      <c r="T317" s="252">
        <v>105991.94</v>
      </c>
      <c r="U317" s="194">
        <v>423.96776</v>
      </c>
      <c r="V317" s="9"/>
      <c r="W317" s="9"/>
      <c r="X317" s="13" t="s">
        <v>840</v>
      </c>
      <c r="Y317" s="25">
        <v>70788</v>
      </c>
      <c r="Z317" s="19" t="s">
        <v>755</v>
      </c>
      <c r="AA317" s="15" t="s">
        <v>417</v>
      </c>
      <c r="AB317" s="16">
        <v>2</v>
      </c>
      <c r="AC317" s="141"/>
      <c r="AD317" s="163"/>
      <c r="AE317" s="163"/>
      <c r="AF317" s="164"/>
      <c r="AG317" s="169">
        <f t="shared" si="34"/>
        <v>1.1999999999999999E-3</v>
      </c>
      <c r="AH317" s="163"/>
      <c r="AI317" s="163"/>
      <c r="AJ317" s="164"/>
      <c r="AK317" s="141"/>
      <c r="AL317" s="72"/>
      <c r="AM317" s="72"/>
      <c r="AN317" s="127"/>
      <c r="AO317" s="126"/>
      <c r="AP317" s="72"/>
      <c r="AQ317" s="72"/>
      <c r="AR317" s="127"/>
      <c r="AS317" s="256" t="s">
        <v>757</v>
      </c>
    </row>
    <row r="318" spans="1:45" x14ac:dyDescent="0.25">
      <c r="A318" s="25">
        <v>315</v>
      </c>
      <c r="B318" s="25" t="s">
        <v>28</v>
      </c>
      <c r="C318" s="25" t="s">
        <v>753</v>
      </c>
      <c r="D318" s="25" t="s">
        <v>754</v>
      </c>
      <c r="E318" s="25"/>
      <c r="F318" s="325" t="s">
        <v>841</v>
      </c>
      <c r="G318" s="13"/>
      <c r="H318" s="13" t="s">
        <v>31</v>
      </c>
      <c r="I318" s="13"/>
      <c r="J318" s="13"/>
      <c r="K318" s="13">
        <v>3.7999999999999999E-2</v>
      </c>
      <c r="L318" s="13">
        <v>3.7999999999999999E-2</v>
      </c>
      <c r="M318" s="13" t="s">
        <v>812</v>
      </c>
      <c r="N318" s="13" t="s">
        <v>33</v>
      </c>
      <c r="O318" s="13">
        <f t="shared" si="26"/>
        <v>1.1399999999999999</v>
      </c>
      <c r="P318" s="13">
        <f t="shared" si="27"/>
        <v>1.3299999999999998</v>
      </c>
      <c r="Q318" s="13">
        <f t="shared" si="28"/>
        <v>0.76</v>
      </c>
      <c r="R318" s="13">
        <f t="shared" si="29"/>
        <v>0.56999999999999995</v>
      </c>
      <c r="S318" s="38">
        <v>3.8</v>
      </c>
      <c r="T318" s="252">
        <v>105991.94</v>
      </c>
      <c r="U318" s="194">
        <v>4027.6937200000002</v>
      </c>
      <c r="V318" s="9"/>
      <c r="W318" s="9"/>
      <c r="X318" s="13" t="s">
        <v>842</v>
      </c>
      <c r="Y318" s="25">
        <v>70788</v>
      </c>
      <c r="Z318" s="19" t="s">
        <v>755</v>
      </c>
      <c r="AA318" s="15" t="s">
        <v>841</v>
      </c>
      <c r="AB318" s="16">
        <v>3</v>
      </c>
      <c r="AC318" s="141"/>
      <c r="AD318" s="163"/>
      <c r="AE318" s="163"/>
      <c r="AF318" s="164"/>
      <c r="AG318" s="169">
        <f t="shared" si="34"/>
        <v>1.1399999999999999E-2</v>
      </c>
      <c r="AH318" s="163"/>
      <c r="AI318" s="163"/>
      <c r="AJ318" s="164"/>
      <c r="AK318" s="141"/>
      <c r="AL318" s="72"/>
      <c r="AM318" s="72"/>
      <c r="AN318" s="127"/>
      <c r="AO318" s="126"/>
      <c r="AP318" s="72"/>
      <c r="AQ318" s="72"/>
      <c r="AR318" s="127"/>
      <c r="AS318" s="256" t="s">
        <v>757</v>
      </c>
    </row>
    <row r="319" spans="1:45" x14ac:dyDescent="0.25">
      <c r="A319" s="25">
        <v>316</v>
      </c>
      <c r="B319" s="25" t="s">
        <v>28</v>
      </c>
      <c r="C319" s="25" t="s">
        <v>753</v>
      </c>
      <c r="D319" s="25" t="s">
        <v>754</v>
      </c>
      <c r="E319" s="25"/>
      <c r="F319" s="28" t="s">
        <v>843</v>
      </c>
      <c r="G319" s="25"/>
      <c r="H319" s="25" t="s">
        <v>31</v>
      </c>
      <c r="I319" s="25"/>
      <c r="J319" s="25"/>
      <c r="K319" s="25">
        <v>0.1</v>
      </c>
      <c r="L319" s="25">
        <v>0.1</v>
      </c>
      <c r="M319" s="25" t="s">
        <v>812</v>
      </c>
      <c r="N319" s="25" t="s">
        <v>33</v>
      </c>
      <c r="O319" s="25">
        <f t="shared" si="26"/>
        <v>2.8800000000000003</v>
      </c>
      <c r="P319" s="25">
        <f t="shared" si="27"/>
        <v>3.3600000000000003</v>
      </c>
      <c r="Q319" s="25">
        <f t="shared" si="28"/>
        <v>1.9200000000000004</v>
      </c>
      <c r="R319" s="25">
        <f t="shared" si="29"/>
        <v>1.4400000000000002</v>
      </c>
      <c r="S319" s="38">
        <v>9.6000000000000014</v>
      </c>
      <c r="T319" s="252">
        <v>105991.94</v>
      </c>
      <c r="U319" s="194">
        <v>10599.194000000001</v>
      </c>
      <c r="V319" s="9"/>
      <c r="W319" s="9"/>
      <c r="X319" s="25" t="s">
        <v>844</v>
      </c>
      <c r="Y319" s="25">
        <v>70788</v>
      </c>
      <c r="Z319" s="19" t="s">
        <v>755</v>
      </c>
      <c r="AA319" s="15" t="s">
        <v>843</v>
      </c>
      <c r="AB319" s="16">
        <v>4</v>
      </c>
      <c r="AC319" s="141"/>
      <c r="AD319" s="163"/>
      <c r="AE319" s="163"/>
      <c r="AF319" s="164"/>
      <c r="AG319" s="169">
        <f t="shared" si="34"/>
        <v>0.03</v>
      </c>
      <c r="AH319" s="184">
        <f t="shared" ref="AH319:AH323" si="35">L319*0.35</f>
        <v>3.4999999999999996E-2</v>
      </c>
      <c r="AI319" s="163"/>
      <c r="AJ319" s="164"/>
      <c r="AK319" s="141"/>
      <c r="AL319" s="163"/>
      <c r="AM319" s="72"/>
      <c r="AN319" s="127"/>
      <c r="AO319" s="126"/>
      <c r="AP319" s="72"/>
      <c r="AQ319" s="72"/>
      <c r="AR319" s="127"/>
      <c r="AS319" s="256" t="s">
        <v>757</v>
      </c>
    </row>
    <row r="320" spans="1:45" x14ac:dyDescent="0.25">
      <c r="A320" s="25">
        <v>317</v>
      </c>
      <c r="B320" s="25" t="s">
        <v>28</v>
      </c>
      <c r="C320" s="25" t="s">
        <v>753</v>
      </c>
      <c r="D320" s="25" t="s">
        <v>754</v>
      </c>
      <c r="E320" s="25"/>
      <c r="F320" s="28" t="s">
        <v>843</v>
      </c>
      <c r="G320" s="25"/>
      <c r="H320" s="25" t="s">
        <v>31</v>
      </c>
      <c r="I320" s="25"/>
      <c r="J320" s="25"/>
      <c r="K320" s="25">
        <v>0.1</v>
      </c>
      <c r="L320" s="25">
        <v>0.1</v>
      </c>
      <c r="M320" s="25" t="s">
        <v>812</v>
      </c>
      <c r="N320" s="25" t="s">
        <v>33</v>
      </c>
      <c r="O320" s="25">
        <f t="shared" si="26"/>
        <v>2.8800000000000003</v>
      </c>
      <c r="P320" s="25">
        <f t="shared" si="27"/>
        <v>3.3600000000000003</v>
      </c>
      <c r="Q320" s="25">
        <f t="shared" si="28"/>
        <v>1.9200000000000004</v>
      </c>
      <c r="R320" s="25">
        <f t="shared" si="29"/>
        <v>1.4400000000000002</v>
      </c>
      <c r="S320" s="38">
        <v>9.6000000000000014</v>
      </c>
      <c r="T320" s="252">
        <v>105991.94</v>
      </c>
      <c r="U320" s="194">
        <v>10599.194000000001</v>
      </c>
      <c r="V320" s="9"/>
      <c r="W320" s="9"/>
      <c r="X320" s="25" t="s">
        <v>844</v>
      </c>
      <c r="Y320" s="25">
        <v>70788</v>
      </c>
      <c r="Z320" s="19" t="s">
        <v>755</v>
      </c>
      <c r="AA320" s="15" t="s">
        <v>843</v>
      </c>
      <c r="AB320" s="16">
        <v>5</v>
      </c>
      <c r="AC320" s="141"/>
      <c r="AD320" s="163"/>
      <c r="AE320" s="163"/>
      <c r="AF320" s="164"/>
      <c r="AG320" s="169">
        <f t="shared" si="34"/>
        <v>0.03</v>
      </c>
      <c r="AH320" s="184">
        <f t="shared" si="35"/>
        <v>3.4999999999999996E-2</v>
      </c>
      <c r="AI320" s="163"/>
      <c r="AJ320" s="164"/>
      <c r="AK320" s="141"/>
      <c r="AL320" s="163"/>
      <c r="AM320" s="72"/>
      <c r="AN320" s="127"/>
      <c r="AO320" s="126"/>
      <c r="AP320" s="72"/>
      <c r="AQ320" s="72"/>
      <c r="AR320" s="127"/>
      <c r="AS320" s="256" t="s">
        <v>757</v>
      </c>
    </row>
    <row r="321" spans="1:45" x14ac:dyDescent="0.25">
      <c r="A321" s="25">
        <v>318</v>
      </c>
      <c r="B321" s="25" t="s">
        <v>28</v>
      </c>
      <c r="C321" s="25" t="s">
        <v>753</v>
      </c>
      <c r="D321" s="25" t="s">
        <v>754</v>
      </c>
      <c r="E321" s="25"/>
      <c r="F321" s="28" t="s">
        <v>843</v>
      </c>
      <c r="G321" s="25"/>
      <c r="H321" s="25" t="s">
        <v>31</v>
      </c>
      <c r="I321" s="25"/>
      <c r="J321" s="25"/>
      <c r="K321" s="25">
        <v>0.1</v>
      </c>
      <c r="L321" s="25">
        <v>0.1</v>
      </c>
      <c r="M321" s="25" t="s">
        <v>812</v>
      </c>
      <c r="N321" s="25" t="s">
        <v>33</v>
      </c>
      <c r="O321" s="25">
        <f t="shared" si="26"/>
        <v>2.8800000000000003</v>
      </c>
      <c r="P321" s="25">
        <f t="shared" si="27"/>
        <v>3.3600000000000003</v>
      </c>
      <c r="Q321" s="25">
        <f t="shared" si="28"/>
        <v>1.9200000000000004</v>
      </c>
      <c r="R321" s="25">
        <f t="shared" si="29"/>
        <v>1.4400000000000002</v>
      </c>
      <c r="S321" s="38">
        <v>9.6000000000000014</v>
      </c>
      <c r="T321" s="252">
        <v>105991.94</v>
      </c>
      <c r="U321" s="194">
        <v>10599.194000000001</v>
      </c>
      <c r="V321" s="9"/>
      <c r="W321" s="9"/>
      <c r="X321" s="25" t="s">
        <v>844</v>
      </c>
      <c r="Y321" s="25">
        <v>70788</v>
      </c>
      <c r="Z321" s="19" t="s">
        <v>755</v>
      </c>
      <c r="AA321" s="15" t="s">
        <v>843</v>
      </c>
      <c r="AB321" s="16">
        <v>6</v>
      </c>
      <c r="AC321" s="141"/>
      <c r="AD321" s="163"/>
      <c r="AE321" s="163"/>
      <c r="AF321" s="164"/>
      <c r="AG321" s="169">
        <f t="shared" si="34"/>
        <v>0.03</v>
      </c>
      <c r="AH321" s="184">
        <f t="shared" si="35"/>
        <v>3.4999999999999996E-2</v>
      </c>
      <c r="AI321" s="163"/>
      <c r="AJ321" s="164"/>
      <c r="AK321" s="141"/>
      <c r="AL321" s="163"/>
      <c r="AM321" s="72"/>
      <c r="AN321" s="127"/>
      <c r="AO321" s="126"/>
      <c r="AP321" s="72"/>
      <c r="AQ321" s="72"/>
      <c r="AR321" s="127"/>
      <c r="AS321" s="256" t="s">
        <v>757</v>
      </c>
    </row>
    <row r="322" spans="1:45" x14ac:dyDescent="0.25">
      <c r="A322" s="25">
        <v>319</v>
      </c>
      <c r="B322" s="25" t="s">
        <v>28</v>
      </c>
      <c r="C322" s="25" t="s">
        <v>753</v>
      </c>
      <c r="D322" s="25" t="s">
        <v>754</v>
      </c>
      <c r="E322" s="25"/>
      <c r="F322" s="28" t="s">
        <v>845</v>
      </c>
      <c r="G322" s="25"/>
      <c r="H322" s="25" t="s">
        <v>31</v>
      </c>
      <c r="I322" s="25"/>
      <c r="J322" s="25"/>
      <c r="K322" s="25">
        <v>8.5</v>
      </c>
      <c r="L322" s="25">
        <v>8.5</v>
      </c>
      <c r="M322" s="25" t="s">
        <v>812</v>
      </c>
      <c r="N322" s="25" t="s">
        <v>33</v>
      </c>
      <c r="O322" s="25">
        <f t="shared" si="26"/>
        <v>91.8</v>
      </c>
      <c r="P322" s="25">
        <f t="shared" si="27"/>
        <v>107.1</v>
      </c>
      <c r="Q322" s="25">
        <f t="shared" si="28"/>
        <v>61.2</v>
      </c>
      <c r="R322" s="25">
        <f t="shared" si="29"/>
        <v>45.9</v>
      </c>
      <c r="S322" s="38">
        <v>306</v>
      </c>
      <c r="T322" s="252">
        <v>105991.94</v>
      </c>
      <c r="U322" s="194">
        <v>900931.49</v>
      </c>
      <c r="V322" s="9"/>
      <c r="W322" s="9"/>
      <c r="X322" s="25" t="s">
        <v>846</v>
      </c>
      <c r="Y322" s="25">
        <v>70788</v>
      </c>
      <c r="Z322" s="19" t="s">
        <v>755</v>
      </c>
      <c r="AA322" s="15" t="s">
        <v>845</v>
      </c>
      <c r="AB322" s="16">
        <v>7</v>
      </c>
      <c r="AC322" s="141"/>
      <c r="AD322" s="163"/>
      <c r="AE322" s="163"/>
      <c r="AF322" s="164"/>
      <c r="AG322" s="169">
        <f t="shared" si="34"/>
        <v>2.5499999999999998</v>
      </c>
      <c r="AH322" s="184">
        <f t="shared" si="35"/>
        <v>2.9749999999999996</v>
      </c>
      <c r="AI322" s="163"/>
      <c r="AJ322" s="164"/>
      <c r="AK322" s="141"/>
      <c r="AL322" s="163"/>
      <c r="AM322" s="72"/>
      <c r="AN322" s="127"/>
      <c r="AO322" s="126"/>
      <c r="AP322" s="72"/>
      <c r="AQ322" s="72"/>
      <c r="AR322" s="127"/>
      <c r="AS322" s="256" t="s">
        <v>757</v>
      </c>
    </row>
    <row r="323" spans="1:45" x14ac:dyDescent="0.25">
      <c r="A323" s="25">
        <v>320</v>
      </c>
      <c r="B323" s="25" t="s">
        <v>28</v>
      </c>
      <c r="C323" s="25" t="s">
        <v>753</v>
      </c>
      <c r="D323" s="25" t="s">
        <v>754</v>
      </c>
      <c r="E323" s="25"/>
      <c r="F323" s="28" t="s">
        <v>847</v>
      </c>
      <c r="G323" s="25"/>
      <c r="H323" s="25" t="s">
        <v>31</v>
      </c>
      <c r="I323" s="25"/>
      <c r="J323" s="25"/>
      <c r="K323" s="25">
        <v>0.2</v>
      </c>
      <c r="L323" s="25">
        <v>0.2</v>
      </c>
      <c r="M323" s="25" t="s">
        <v>812</v>
      </c>
      <c r="N323" s="25" t="s">
        <v>33</v>
      </c>
      <c r="O323" s="25">
        <f t="shared" si="26"/>
        <v>5.1599999999999993</v>
      </c>
      <c r="P323" s="25">
        <f t="shared" si="27"/>
        <v>6.02</v>
      </c>
      <c r="Q323" s="25">
        <f t="shared" si="28"/>
        <v>3.44</v>
      </c>
      <c r="R323" s="25">
        <f t="shared" si="29"/>
        <v>2.5799999999999996</v>
      </c>
      <c r="S323" s="38">
        <v>17.2</v>
      </c>
      <c r="T323" s="252">
        <v>105991.94</v>
      </c>
      <c r="U323" s="194">
        <v>21198.388000000003</v>
      </c>
      <c r="V323" s="9"/>
      <c r="W323" s="9"/>
      <c r="X323" s="25" t="s">
        <v>848</v>
      </c>
      <c r="Y323" s="25">
        <v>70788</v>
      </c>
      <c r="Z323" s="19" t="s">
        <v>755</v>
      </c>
      <c r="AA323" s="15" t="s">
        <v>847</v>
      </c>
      <c r="AB323" s="16">
        <v>8</v>
      </c>
      <c r="AC323" s="141"/>
      <c r="AD323" s="163"/>
      <c r="AE323" s="163"/>
      <c r="AF323" s="164"/>
      <c r="AG323" s="169">
        <f t="shared" si="34"/>
        <v>0.06</v>
      </c>
      <c r="AH323" s="184">
        <f t="shared" si="35"/>
        <v>6.9999999999999993E-2</v>
      </c>
      <c r="AI323" s="163"/>
      <c r="AJ323" s="164"/>
      <c r="AK323" s="141"/>
      <c r="AL323" s="163"/>
      <c r="AM323" s="72"/>
      <c r="AN323" s="127"/>
      <c r="AO323" s="126"/>
      <c r="AP323" s="72"/>
      <c r="AQ323" s="72"/>
      <c r="AR323" s="127"/>
      <c r="AS323" s="256" t="s">
        <v>849</v>
      </c>
    </row>
    <row r="324" spans="1:45" x14ac:dyDescent="0.25">
      <c r="A324" s="25">
        <v>321</v>
      </c>
      <c r="B324" s="25" t="s">
        <v>28</v>
      </c>
      <c r="C324" s="25" t="s">
        <v>753</v>
      </c>
      <c r="D324" s="25" t="s">
        <v>754</v>
      </c>
      <c r="E324" s="25"/>
      <c r="F324" s="325" t="s">
        <v>417</v>
      </c>
      <c r="G324" s="13"/>
      <c r="H324" s="13" t="s">
        <v>31</v>
      </c>
      <c r="I324" s="13"/>
      <c r="J324" s="13"/>
      <c r="K324" s="13">
        <v>4.0000000000000001E-3</v>
      </c>
      <c r="L324" s="13">
        <v>4.0000000000000001E-3</v>
      </c>
      <c r="M324" s="13" t="s">
        <v>812</v>
      </c>
      <c r="N324" s="13" t="s">
        <v>33</v>
      </c>
      <c r="O324" s="13">
        <f t="shared" si="26"/>
        <v>0.12</v>
      </c>
      <c r="P324" s="13">
        <f t="shared" si="27"/>
        <v>0.13999999999999999</v>
      </c>
      <c r="Q324" s="13">
        <f t="shared" si="28"/>
        <v>8.0000000000000016E-2</v>
      </c>
      <c r="R324" s="13">
        <f t="shared" si="29"/>
        <v>0.06</v>
      </c>
      <c r="S324" s="38">
        <v>0.4</v>
      </c>
      <c r="T324" s="252">
        <v>105991.94</v>
      </c>
      <c r="U324" s="194">
        <v>423.96776</v>
      </c>
      <c r="V324" s="9"/>
      <c r="W324" s="9"/>
      <c r="X324" s="13" t="s">
        <v>840</v>
      </c>
      <c r="Y324" s="25">
        <v>70789</v>
      </c>
      <c r="Z324" s="19" t="s">
        <v>755</v>
      </c>
      <c r="AA324" s="15" t="s">
        <v>417</v>
      </c>
      <c r="AB324" s="16">
        <v>1</v>
      </c>
      <c r="AC324" s="141"/>
      <c r="AD324" s="163"/>
      <c r="AE324" s="163"/>
      <c r="AF324" s="164"/>
      <c r="AG324" s="141"/>
      <c r="AH324" s="163"/>
      <c r="AI324" s="163"/>
      <c r="AJ324" s="164"/>
      <c r="AK324" s="260"/>
      <c r="AL324" s="72"/>
      <c r="AM324" s="72"/>
      <c r="AN324" s="127"/>
      <c r="AO324" s="126"/>
      <c r="AP324" s="72"/>
      <c r="AQ324" s="72"/>
      <c r="AR324" s="127"/>
      <c r="AS324" s="256" t="s">
        <v>757</v>
      </c>
    </row>
    <row r="325" spans="1:45" x14ac:dyDescent="0.25">
      <c r="A325" s="25">
        <v>322</v>
      </c>
      <c r="B325" s="25" t="s">
        <v>28</v>
      </c>
      <c r="C325" s="25" t="s">
        <v>753</v>
      </c>
      <c r="D325" s="25" t="s">
        <v>754</v>
      </c>
      <c r="E325" s="25"/>
      <c r="F325" s="325" t="s">
        <v>417</v>
      </c>
      <c r="G325" s="13"/>
      <c r="H325" s="13" t="s">
        <v>31</v>
      </c>
      <c r="I325" s="13"/>
      <c r="J325" s="13"/>
      <c r="K325" s="13">
        <v>4.0000000000000001E-3</v>
      </c>
      <c r="L325" s="13">
        <v>4.0000000000000001E-3</v>
      </c>
      <c r="M325" s="13" t="s">
        <v>812</v>
      </c>
      <c r="N325" s="13" t="s">
        <v>33</v>
      </c>
      <c r="O325" s="13">
        <f t="shared" si="26"/>
        <v>0.12</v>
      </c>
      <c r="P325" s="13">
        <f t="shared" si="27"/>
        <v>0.13999999999999999</v>
      </c>
      <c r="Q325" s="13">
        <f t="shared" si="28"/>
        <v>8.0000000000000016E-2</v>
      </c>
      <c r="R325" s="13">
        <f t="shared" si="29"/>
        <v>0.06</v>
      </c>
      <c r="S325" s="38">
        <v>0.4</v>
      </c>
      <c r="T325" s="252">
        <v>105991.94</v>
      </c>
      <c r="U325" s="194">
        <v>423.96776</v>
      </c>
      <c r="V325" s="9"/>
      <c r="W325" s="9"/>
      <c r="X325" s="13" t="s">
        <v>840</v>
      </c>
      <c r="Y325" s="25">
        <v>70789</v>
      </c>
      <c r="Z325" s="19" t="s">
        <v>755</v>
      </c>
      <c r="AA325" s="15" t="s">
        <v>417</v>
      </c>
      <c r="AB325" s="16">
        <v>2</v>
      </c>
      <c r="AC325" s="141"/>
      <c r="AD325" s="163"/>
      <c r="AE325" s="163"/>
      <c r="AF325" s="164"/>
      <c r="AG325" s="141"/>
      <c r="AH325" s="163"/>
      <c r="AI325" s="163"/>
      <c r="AJ325" s="164"/>
      <c r="AK325" s="260"/>
      <c r="AL325" s="72"/>
      <c r="AM325" s="72"/>
      <c r="AN325" s="127"/>
      <c r="AO325" s="126"/>
      <c r="AP325" s="72"/>
      <c r="AQ325" s="72"/>
      <c r="AR325" s="127"/>
      <c r="AS325" s="256" t="s">
        <v>757</v>
      </c>
    </row>
    <row r="326" spans="1:45" x14ac:dyDescent="0.25">
      <c r="A326" s="25">
        <v>323</v>
      </c>
      <c r="B326" s="25" t="s">
        <v>28</v>
      </c>
      <c r="C326" s="25" t="s">
        <v>753</v>
      </c>
      <c r="D326" s="25" t="s">
        <v>754</v>
      </c>
      <c r="E326" s="25"/>
      <c r="F326" s="325" t="s">
        <v>841</v>
      </c>
      <c r="G326" s="13"/>
      <c r="H326" s="13" t="s">
        <v>31</v>
      </c>
      <c r="I326" s="13"/>
      <c r="J326" s="13"/>
      <c r="K326" s="13">
        <v>3.7999999999999999E-2</v>
      </c>
      <c r="L326" s="13">
        <v>3.7999999999999999E-2</v>
      </c>
      <c r="M326" s="13" t="s">
        <v>812</v>
      </c>
      <c r="N326" s="13" t="s">
        <v>33</v>
      </c>
      <c r="O326" s="13">
        <f t="shared" ref="O326:O355" si="36">S326*0.3</f>
        <v>1.1399999999999999</v>
      </c>
      <c r="P326" s="13">
        <f t="shared" ref="P326:P355" si="37">S326*0.35</f>
        <v>1.3299999999999998</v>
      </c>
      <c r="Q326" s="13">
        <f t="shared" ref="Q326:Q355" si="38">S326*0.2</f>
        <v>0.76</v>
      </c>
      <c r="R326" s="13">
        <f t="shared" ref="R326:R355" si="39">S326*0.15</f>
        <v>0.56999999999999995</v>
      </c>
      <c r="S326" s="38">
        <v>3.8</v>
      </c>
      <c r="T326" s="252">
        <v>105991.94</v>
      </c>
      <c r="U326" s="194">
        <v>4027.6937200000002</v>
      </c>
      <c r="V326" s="9"/>
      <c r="W326" s="9"/>
      <c r="X326" s="13" t="s">
        <v>842</v>
      </c>
      <c r="Y326" s="25">
        <v>70789</v>
      </c>
      <c r="Z326" s="19" t="s">
        <v>755</v>
      </c>
      <c r="AA326" s="15" t="s">
        <v>841</v>
      </c>
      <c r="AB326" s="16">
        <v>3</v>
      </c>
      <c r="AC326" s="141"/>
      <c r="AD326" s="163"/>
      <c r="AE326" s="163"/>
      <c r="AF326" s="164"/>
      <c r="AG326" s="141"/>
      <c r="AH326" s="163"/>
      <c r="AI326" s="163"/>
      <c r="AJ326" s="164"/>
      <c r="AK326" s="260"/>
      <c r="AL326" s="72"/>
      <c r="AM326" s="72"/>
      <c r="AN326" s="127"/>
      <c r="AO326" s="126"/>
      <c r="AP326" s="72"/>
      <c r="AQ326" s="72"/>
      <c r="AR326" s="127"/>
      <c r="AS326" s="256" t="s">
        <v>757</v>
      </c>
    </row>
    <row r="327" spans="1:45" x14ac:dyDescent="0.25">
      <c r="A327" s="25">
        <v>324</v>
      </c>
      <c r="B327" s="25" t="s">
        <v>28</v>
      </c>
      <c r="C327" s="25" t="s">
        <v>753</v>
      </c>
      <c r="D327" s="25" t="s">
        <v>754</v>
      </c>
      <c r="E327" s="25"/>
      <c r="F327" s="28" t="s">
        <v>843</v>
      </c>
      <c r="G327" s="25"/>
      <c r="H327" s="25" t="s">
        <v>31</v>
      </c>
      <c r="I327" s="25"/>
      <c r="J327" s="25"/>
      <c r="K327" s="25">
        <v>0.1</v>
      </c>
      <c r="L327" s="25">
        <v>0.1</v>
      </c>
      <c r="M327" s="25" t="s">
        <v>812</v>
      </c>
      <c r="N327" s="25" t="s">
        <v>33</v>
      </c>
      <c r="O327" s="25">
        <f t="shared" si="36"/>
        <v>2.8800000000000003</v>
      </c>
      <c r="P327" s="25">
        <f t="shared" si="37"/>
        <v>3.3600000000000003</v>
      </c>
      <c r="Q327" s="25">
        <f t="shared" si="38"/>
        <v>1.9200000000000004</v>
      </c>
      <c r="R327" s="25">
        <f t="shared" si="39"/>
        <v>1.4400000000000002</v>
      </c>
      <c r="S327" s="38">
        <v>9.6000000000000014</v>
      </c>
      <c r="T327" s="252">
        <v>105991.94</v>
      </c>
      <c r="U327" s="194">
        <v>10599.194000000001</v>
      </c>
      <c r="V327" s="9"/>
      <c r="W327" s="9"/>
      <c r="X327" s="25" t="s">
        <v>844</v>
      </c>
      <c r="Y327" s="25">
        <v>70789</v>
      </c>
      <c r="Z327" s="19" t="s">
        <v>755</v>
      </c>
      <c r="AA327" s="15" t="s">
        <v>843</v>
      </c>
      <c r="AB327" s="16">
        <v>4</v>
      </c>
      <c r="AC327" s="141"/>
      <c r="AD327" s="163"/>
      <c r="AE327" s="163"/>
      <c r="AF327" s="164"/>
      <c r="AG327" s="141"/>
      <c r="AH327" s="163"/>
      <c r="AI327" s="163"/>
      <c r="AJ327" s="164"/>
      <c r="AK327" s="260"/>
      <c r="AL327" s="265"/>
      <c r="AM327" s="265"/>
      <c r="AN327" s="127"/>
      <c r="AO327" s="126"/>
      <c r="AP327" s="72"/>
      <c r="AQ327" s="72"/>
      <c r="AR327" s="127"/>
      <c r="AS327" s="256" t="s">
        <v>757</v>
      </c>
    </row>
    <row r="328" spans="1:45" x14ac:dyDescent="0.25">
      <c r="A328" s="25">
        <v>325</v>
      </c>
      <c r="B328" s="25" t="s">
        <v>28</v>
      </c>
      <c r="C328" s="25" t="s">
        <v>753</v>
      </c>
      <c r="D328" s="25" t="s">
        <v>754</v>
      </c>
      <c r="E328" s="25"/>
      <c r="F328" s="28" t="s">
        <v>843</v>
      </c>
      <c r="G328" s="25"/>
      <c r="H328" s="25" t="s">
        <v>31</v>
      </c>
      <c r="I328" s="25"/>
      <c r="J328" s="25"/>
      <c r="K328" s="25">
        <v>0.1</v>
      </c>
      <c r="L328" s="25">
        <v>0.1</v>
      </c>
      <c r="M328" s="25" t="s">
        <v>812</v>
      </c>
      <c r="N328" s="25" t="s">
        <v>33</v>
      </c>
      <c r="O328" s="25">
        <f t="shared" si="36"/>
        <v>2.8800000000000003</v>
      </c>
      <c r="P328" s="25">
        <f t="shared" si="37"/>
        <v>3.3600000000000003</v>
      </c>
      <c r="Q328" s="25">
        <f t="shared" si="38"/>
        <v>1.9200000000000004</v>
      </c>
      <c r="R328" s="25">
        <f t="shared" si="39"/>
        <v>1.4400000000000002</v>
      </c>
      <c r="S328" s="38">
        <v>9.6000000000000014</v>
      </c>
      <c r="T328" s="252">
        <v>105991.94</v>
      </c>
      <c r="U328" s="194">
        <v>10599.194000000001</v>
      </c>
      <c r="V328" s="9"/>
      <c r="W328" s="9"/>
      <c r="X328" s="25" t="s">
        <v>844</v>
      </c>
      <c r="Y328" s="25">
        <v>70789</v>
      </c>
      <c r="Z328" s="19" t="s">
        <v>755</v>
      </c>
      <c r="AA328" s="15" t="s">
        <v>843</v>
      </c>
      <c r="AB328" s="16">
        <v>5</v>
      </c>
      <c r="AC328" s="141"/>
      <c r="AD328" s="163"/>
      <c r="AE328" s="163"/>
      <c r="AF328" s="164"/>
      <c r="AG328" s="141"/>
      <c r="AH328" s="163"/>
      <c r="AI328" s="163"/>
      <c r="AJ328" s="164"/>
      <c r="AK328" s="260"/>
      <c r="AL328" s="265"/>
      <c r="AM328" s="265"/>
      <c r="AN328" s="127"/>
      <c r="AO328" s="126"/>
      <c r="AP328" s="72"/>
      <c r="AQ328" s="72"/>
      <c r="AR328" s="127"/>
      <c r="AS328" s="256" t="s">
        <v>757</v>
      </c>
    </row>
    <row r="329" spans="1:45" x14ac:dyDescent="0.25">
      <c r="A329" s="25">
        <v>326</v>
      </c>
      <c r="B329" s="25" t="s">
        <v>28</v>
      </c>
      <c r="C329" s="25" t="s">
        <v>753</v>
      </c>
      <c r="D329" s="25" t="s">
        <v>754</v>
      </c>
      <c r="E329" s="25"/>
      <c r="F329" s="28" t="s">
        <v>843</v>
      </c>
      <c r="G329" s="25"/>
      <c r="H329" s="25" t="s">
        <v>31</v>
      </c>
      <c r="I329" s="25"/>
      <c r="J329" s="25"/>
      <c r="K329" s="25">
        <v>0.1</v>
      </c>
      <c r="L329" s="25">
        <v>0.1</v>
      </c>
      <c r="M329" s="25" t="s">
        <v>812</v>
      </c>
      <c r="N329" s="25" t="s">
        <v>33</v>
      </c>
      <c r="O329" s="25">
        <f t="shared" si="36"/>
        <v>2.8800000000000003</v>
      </c>
      <c r="P329" s="25">
        <f t="shared" si="37"/>
        <v>3.3600000000000003</v>
      </c>
      <c r="Q329" s="25">
        <f t="shared" si="38"/>
        <v>1.9200000000000004</v>
      </c>
      <c r="R329" s="25">
        <f t="shared" si="39"/>
        <v>1.4400000000000002</v>
      </c>
      <c r="S329" s="38">
        <v>9.6000000000000014</v>
      </c>
      <c r="T329" s="252">
        <v>105991.94</v>
      </c>
      <c r="U329" s="194">
        <v>10599.194000000001</v>
      </c>
      <c r="V329" s="9"/>
      <c r="W329" s="9"/>
      <c r="X329" s="25" t="s">
        <v>844</v>
      </c>
      <c r="Y329" s="25">
        <v>70789</v>
      </c>
      <c r="Z329" s="19" t="s">
        <v>755</v>
      </c>
      <c r="AA329" s="15" t="s">
        <v>843</v>
      </c>
      <c r="AB329" s="16">
        <v>6</v>
      </c>
      <c r="AC329" s="141"/>
      <c r="AD329" s="163"/>
      <c r="AE329" s="163"/>
      <c r="AF329" s="164"/>
      <c r="AG329" s="141"/>
      <c r="AH329" s="163"/>
      <c r="AI329" s="163"/>
      <c r="AJ329" s="164"/>
      <c r="AK329" s="260"/>
      <c r="AL329" s="265"/>
      <c r="AM329" s="265"/>
      <c r="AN329" s="127"/>
      <c r="AO329" s="126"/>
      <c r="AP329" s="72"/>
      <c r="AQ329" s="72"/>
      <c r="AR329" s="127"/>
      <c r="AS329" s="256" t="s">
        <v>757</v>
      </c>
    </row>
    <row r="330" spans="1:45" x14ac:dyDescent="0.25">
      <c r="A330" s="25">
        <v>327</v>
      </c>
      <c r="B330" s="25" t="s">
        <v>28</v>
      </c>
      <c r="C330" s="25" t="s">
        <v>753</v>
      </c>
      <c r="D330" s="25" t="s">
        <v>754</v>
      </c>
      <c r="E330" s="25"/>
      <c r="F330" s="28" t="s">
        <v>845</v>
      </c>
      <c r="G330" s="25"/>
      <c r="H330" s="25" t="s">
        <v>31</v>
      </c>
      <c r="I330" s="25"/>
      <c r="J330" s="25"/>
      <c r="K330" s="25">
        <v>8.5</v>
      </c>
      <c r="L330" s="25">
        <v>8.5</v>
      </c>
      <c r="M330" s="25" t="s">
        <v>812</v>
      </c>
      <c r="N330" s="25" t="s">
        <v>33</v>
      </c>
      <c r="O330" s="25">
        <f t="shared" si="36"/>
        <v>91.8</v>
      </c>
      <c r="P330" s="25">
        <f t="shared" si="37"/>
        <v>107.1</v>
      </c>
      <c r="Q330" s="25">
        <f t="shared" si="38"/>
        <v>61.2</v>
      </c>
      <c r="R330" s="25">
        <f t="shared" si="39"/>
        <v>45.9</v>
      </c>
      <c r="S330" s="38">
        <v>306</v>
      </c>
      <c r="T330" s="252">
        <v>105991.94</v>
      </c>
      <c r="U330" s="194">
        <v>900931.49</v>
      </c>
      <c r="V330" s="9"/>
      <c r="W330" s="9"/>
      <c r="X330" s="25" t="s">
        <v>846</v>
      </c>
      <c r="Y330" s="25">
        <v>70789</v>
      </c>
      <c r="Z330" s="19" t="s">
        <v>755</v>
      </c>
      <c r="AA330" s="15" t="s">
        <v>845</v>
      </c>
      <c r="AB330" s="16">
        <v>7</v>
      </c>
      <c r="AC330" s="141"/>
      <c r="AD330" s="163"/>
      <c r="AE330" s="163"/>
      <c r="AF330" s="164"/>
      <c r="AG330" s="141"/>
      <c r="AH330" s="163"/>
      <c r="AI330" s="163"/>
      <c r="AJ330" s="164"/>
      <c r="AK330" s="260"/>
      <c r="AL330" s="265"/>
      <c r="AM330" s="265"/>
      <c r="AN330" s="127"/>
      <c r="AO330" s="126"/>
      <c r="AP330" s="72"/>
      <c r="AQ330" s="72"/>
      <c r="AR330" s="127"/>
      <c r="AS330" s="256" t="s">
        <v>757</v>
      </c>
    </row>
    <row r="331" spans="1:45" x14ac:dyDescent="0.25">
      <c r="A331" s="25">
        <v>328</v>
      </c>
      <c r="B331" s="25" t="s">
        <v>28</v>
      </c>
      <c r="C331" s="25" t="s">
        <v>753</v>
      </c>
      <c r="D331" s="25" t="s">
        <v>754</v>
      </c>
      <c r="E331" s="25"/>
      <c r="F331" s="28" t="s">
        <v>847</v>
      </c>
      <c r="G331" s="25"/>
      <c r="H331" s="25" t="s">
        <v>31</v>
      </c>
      <c r="I331" s="25"/>
      <c r="J331" s="25"/>
      <c r="K331" s="25">
        <v>0.2</v>
      </c>
      <c r="L331" s="25">
        <v>0.2</v>
      </c>
      <c r="M331" s="25" t="s">
        <v>812</v>
      </c>
      <c r="N331" s="25" t="s">
        <v>33</v>
      </c>
      <c r="O331" s="25">
        <f t="shared" si="36"/>
        <v>5.1599999999999993</v>
      </c>
      <c r="P331" s="25">
        <f t="shared" si="37"/>
        <v>6.02</v>
      </c>
      <c r="Q331" s="25">
        <f t="shared" si="38"/>
        <v>3.44</v>
      </c>
      <c r="R331" s="25">
        <f t="shared" si="39"/>
        <v>2.5799999999999996</v>
      </c>
      <c r="S331" s="38">
        <v>17.2</v>
      </c>
      <c r="T331" s="252">
        <v>105991.94</v>
      </c>
      <c r="U331" s="194">
        <v>21198.388000000003</v>
      </c>
      <c r="V331" s="9"/>
      <c r="W331" s="9"/>
      <c r="X331" s="25" t="s">
        <v>848</v>
      </c>
      <c r="Y331" s="25">
        <v>70789</v>
      </c>
      <c r="Z331" s="19" t="s">
        <v>755</v>
      </c>
      <c r="AA331" s="15" t="s">
        <v>847</v>
      </c>
      <c r="AB331" s="16">
        <v>8</v>
      </c>
      <c r="AC331" s="141"/>
      <c r="AD331" s="163"/>
      <c r="AE331" s="163"/>
      <c r="AF331" s="164"/>
      <c r="AG331" s="141"/>
      <c r="AH331" s="163"/>
      <c r="AI331" s="163"/>
      <c r="AJ331" s="164"/>
      <c r="AK331" s="260"/>
      <c r="AL331" s="265"/>
      <c r="AM331" s="265"/>
      <c r="AN331" s="127"/>
      <c r="AO331" s="126"/>
      <c r="AP331" s="72"/>
      <c r="AQ331" s="72"/>
      <c r="AR331" s="127"/>
      <c r="AS331" s="256" t="s">
        <v>849</v>
      </c>
    </row>
    <row r="332" spans="1:45" x14ac:dyDescent="0.25">
      <c r="A332" s="25">
        <v>329</v>
      </c>
      <c r="B332" s="25" t="s">
        <v>28</v>
      </c>
      <c r="C332" s="25" t="s">
        <v>753</v>
      </c>
      <c r="D332" s="25" t="s">
        <v>754</v>
      </c>
      <c r="E332" s="25"/>
      <c r="F332" s="325" t="s">
        <v>417</v>
      </c>
      <c r="G332" s="13"/>
      <c r="H332" s="13" t="s">
        <v>31</v>
      </c>
      <c r="I332" s="13"/>
      <c r="J332" s="13"/>
      <c r="K332" s="13">
        <v>4.0000000000000001E-3</v>
      </c>
      <c r="L332" s="13">
        <v>4.0000000000000001E-3</v>
      </c>
      <c r="M332" s="13" t="s">
        <v>812</v>
      </c>
      <c r="N332" s="13" t="s">
        <v>33</v>
      </c>
      <c r="O332" s="13">
        <f t="shared" si="36"/>
        <v>0.12</v>
      </c>
      <c r="P332" s="13">
        <f t="shared" si="37"/>
        <v>0.13999999999999999</v>
      </c>
      <c r="Q332" s="13">
        <f t="shared" si="38"/>
        <v>8.0000000000000016E-2</v>
      </c>
      <c r="R332" s="13">
        <f t="shared" si="39"/>
        <v>0.06</v>
      </c>
      <c r="S332" s="38">
        <v>0.4</v>
      </c>
      <c r="T332" s="252">
        <v>105991.94</v>
      </c>
      <c r="U332" s="194">
        <v>423.96776</v>
      </c>
      <c r="V332" s="9"/>
      <c r="W332" s="9"/>
      <c r="X332" s="13" t="s">
        <v>840</v>
      </c>
      <c r="Y332" s="25">
        <v>70790</v>
      </c>
      <c r="Z332" s="19" t="s">
        <v>755</v>
      </c>
      <c r="AA332" s="15" t="s">
        <v>417</v>
      </c>
      <c r="AB332" s="16">
        <v>1</v>
      </c>
      <c r="AC332" s="141"/>
      <c r="AD332" s="163"/>
      <c r="AE332" s="163"/>
      <c r="AF332" s="164"/>
      <c r="AG332" s="141"/>
      <c r="AH332" s="163"/>
      <c r="AI332" s="163"/>
      <c r="AJ332" s="164"/>
      <c r="AK332" s="260"/>
      <c r="AL332" s="72"/>
      <c r="AM332" s="72"/>
      <c r="AN332" s="127"/>
      <c r="AO332" s="126"/>
      <c r="AP332" s="72"/>
      <c r="AQ332" s="72"/>
      <c r="AR332" s="127"/>
      <c r="AS332" s="256" t="s">
        <v>757</v>
      </c>
    </row>
    <row r="333" spans="1:45" x14ac:dyDescent="0.25">
      <c r="A333" s="25">
        <v>330</v>
      </c>
      <c r="B333" s="25" t="s">
        <v>28</v>
      </c>
      <c r="C333" s="25" t="s">
        <v>753</v>
      </c>
      <c r="D333" s="25" t="s">
        <v>754</v>
      </c>
      <c r="E333" s="25"/>
      <c r="F333" s="325" t="s">
        <v>417</v>
      </c>
      <c r="G333" s="13"/>
      <c r="H333" s="13" t="s">
        <v>31</v>
      </c>
      <c r="I333" s="13"/>
      <c r="J333" s="13"/>
      <c r="K333" s="13">
        <v>4.0000000000000001E-3</v>
      </c>
      <c r="L333" s="13">
        <v>4.0000000000000001E-3</v>
      </c>
      <c r="M333" s="13" t="s">
        <v>812</v>
      </c>
      <c r="N333" s="13" t="s">
        <v>33</v>
      </c>
      <c r="O333" s="13">
        <f t="shared" si="36"/>
        <v>0.12</v>
      </c>
      <c r="P333" s="13">
        <f t="shared" si="37"/>
        <v>0.13999999999999999</v>
      </c>
      <c r="Q333" s="13">
        <f t="shared" si="38"/>
        <v>8.0000000000000016E-2</v>
      </c>
      <c r="R333" s="13">
        <f t="shared" si="39"/>
        <v>0.06</v>
      </c>
      <c r="S333" s="38">
        <v>0.4</v>
      </c>
      <c r="T333" s="252">
        <v>105991.94</v>
      </c>
      <c r="U333" s="194">
        <v>423.96776</v>
      </c>
      <c r="V333" s="9"/>
      <c r="W333" s="9"/>
      <c r="X333" s="13" t="s">
        <v>840</v>
      </c>
      <c r="Y333" s="25">
        <v>70790</v>
      </c>
      <c r="Z333" s="19" t="s">
        <v>755</v>
      </c>
      <c r="AA333" s="15" t="s">
        <v>417</v>
      </c>
      <c r="AB333" s="16">
        <v>2</v>
      </c>
      <c r="AC333" s="141"/>
      <c r="AD333" s="163"/>
      <c r="AE333" s="163"/>
      <c r="AF333" s="164"/>
      <c r="AG333" s="141"/>
      <c r="AH333" s="163"/>
      <c r="AI333" s="163"/>
      <c r="AJ333" s="164"/>
      <c r="AK333" s="260"/>
      <c r="AL333" s="72"/>
      <c r="AM333" s="72"/>
      <c r="AN333" s="127"/>
      <c r="AO333" s="126"/>
      <c r="AP333" s="72"/>
      <c r="AQ333" s="72"/>
      <c r="AR333" s="127"/>
      <c r="AS333" s="256" t="s">
        <v>757</v>
      </c>
    </row>
    <row r="334" spans="1:45" x14ac:dyDescent="0.25">
      <c r="A334" s="25">
        <v>331</v>
      </c>
      <c r="B334" s="25" t="s">
        <v>28</v>
      </c>
      <c r="C334" s="25" t="s">
        <v>753</v>
      </c>
      <c r="D334" s="25" t="s">
        <v>754</v>
      </c>
      <c r="E334" s="25"/>
      <c r="F334" s="325" t="s">
        <v>841</v>
      </c>
      <c r="G334" s="13"/>
      <c r="H334" s="13" t="s">
        <v>31</v>
      </c>
      <c r="I334" s="13"/>
      <c r="J334" s="13"/>
      <c r="K334" s="13">
        <v>3.7999999999999999E-2</v>
      </c>
      <c r="L334" s="13">
        <v>3.7999999999999999E-2</v>
      </c>
      <c r="M334" s="13" t="s">
        <v>812</v>
      </c>
      <c r="N334" s="13" t="s">
        <v>33</v>
      </c>
      <c r="O334" s="13">
        <f t="shared" si="36"/>
        <v>1.1399999999999999</v>
      </c>
      <c r="P334" s="13">
        <f t="shared" si="37"/>
        <v>1.3299999999999998</v>
      </c>
      <c r="Q334" s="13">
        <f t="shared" si="38"/>
        <v>0.76</v>
      </c>
      <c r="R334" s="13">
        <f t="shared" si="39"/>
        <v>0.56999999999999995</v>
      </c>
      <c r="S334" s="38">
        <v>3.8</v>
      </c>
      <c r="T334" s="252">
        <v>105991.94</v>
      </c>
      <c r="U334" s="194">
        <v>4027.6937200000002</v>
      </c>
      <c r="V334" s="9"/>
      <c r="W334" s="9"/>
      <c r="X334" s="13" t="s">
        <v>842</v>
      </c>
      <c r="Y334" s="25">
        <v>70790</v>
      </c>
      <c r="Z334" s="19" t="s">
        <v>755</v>
      </c>
      <c r="AA334" s="15" t="s">
        <v>841</v>
      </c>
      <c r="AB334" s="16">
        <v>3</v>
      </c>
      <c r="AC334" s="141"/>
      <c r="AD334" s="163"/>
      <c r="AE334" s="163"/>
      <c r="AF334" s="164"/>
      <c r="AG334" s="141"/>
      <c r="AH334" s="163"/>
      <c r="AI334" s="163"/>
      <c r="AJ334" s="164"/>
      <c r="AK334" s="260"/>
      <c r="AL334" s="72"/>
      <c r="AM334" s="72"/>
      <c r="AN334" s="127"/>
      <c r="AO334" s="126"/>
      <c r="AP334" s="72"/>
      <c r="AQ334" s="72"/>
      <c r="AR334" s="127"/>
      <c r="AS334" s="256" t="s">
        <v>757</v>
      </c>
    </row>
    <row r="335" spans="1:45" x14ac:dyDescent="0.25">
      <c r="A335" s="25">
        <v>332</v>
      </c>
      <c r="B335" s="25" t="s">
        <v>28</v>
      </c>
      <c r="C335" s="25" t="s">
        <v>753</v>
      </c>
      <c r="D335" s="25" t="s">
        <v>754</v>
      </c>
      <c r="E335" s="25"/>
      <c r="F335" s="28" t="s">
        <v>843</v>
      </c>
      <c r="G335" s="25"/>
      <c r="H335" s="25" t="s">
        <v>31</v>
      </c>
      <c r="I335" s="25"/>
      <c r="J335" s="25"/>
      <c r="K335" s="25">
        <v>0.1</v>
      </c>
      <c r="L335" s="25">
        <v>0.1</v>
      </c>
      <c r="M335" s="25" t="s">
        <v>812</v>
      </c>
      <c r="N335" s="25" t="s">
        <v>33</v>
      </c>
      <c r="O335" s="25">
        <f t="shared" si="36"/>
        <v>2.8800000000000003</v>
      </c>
      <c r="P335" s="25">
        <f t="shared" si="37"/>
        <v>3.3600000000000003</v>
      </c>
      <c r="Q335" s="25">
        <f t="shared" si="38"/>
        <v>1.9200000000000004</v>
      </c>
      <c r="R335" s="25">
        <f t="shared" si="39"/>
        <v>1.4400000000000002</v>
      </c>
      <c r="S335" s="38">
        <v>9.6000000000000014</v>
      </c>
      <c r="T335" s="252">
        <v>105991.94</v>
      </c>
      <c r="U335" s="194">
        <v>10599.194000000001</v>
      </c>
      <c r="V335" s="9"/>
      <c r="W335" s="9"/>
      <c r="X335" s="25" t="s">
        <v>844</v>
      </c>
      <c r="Y335" s="25">
        <v>70790</v>
      </c>
      <c r="Z335" s="19" t="s">
        <v>755</v>
      </c>
      <c r="AA335" s="15" t="s">
        <v>843</v>
      </c>
      <c r="AB335" s="16">
        <v>4</v>
      </c>
      <c r="AC335" s="141"/>
      <c r="AD335" s="163"/>
      <c r="AE335" s="163"/>
      <c r="AF335" s="164"/>
      <c r="AG335" s="141"/>
      <c r="AH335" s="163"/>
      <c r="AI335" s="163"/>
      <c r="AJ335" s="164"/>
      <c r="AK335" s="260"/>
      <c r="AL335" s="265"/>
      <c r="AM335" s="265"/>
      <c r="AN335" s="127"/>
      <c r="AO335" s="126"/>
      <c r="AP335" s="72"/>
      <c r="AQ335" s="72"/>
      <c r="AR335" s="127"/>
      <c r="AS335" s="256" t="s">
        <v>757</v>
      </c>
    </row>
    <row r="336" spans="1:45" x14ac:dyDescent="0.25">
      <c r="A336" s="25">
        <v>333</v>
      </c>
      <c r="B336" s="25" t="s">
        <v>28</v>
      </c>
      <c r="C336" s="25" t="s">
        <v>753</v>
      </c>
      <c r="D336" s="25" t="s">
        <v>754</v>
      </c>
      <c r="E336" s="25"/>
      <c r="F336" s="28" t="s">
        <v>843</v>
      </c>
      <c r="G336" s="25"/>
      <c r="H336" s="25" t="s">
        <v>31</v>
      </c>
      <c r="I336" s="25"/>
      <c r="J336" s="25"/>
      <c r="K336" s="25">
        <v>0.1</v>
      </c>
      <c r="L336" s="25">
        <v>0.1</v>
      </c>
      <c r="M336" s="25" t="s">
        <v>812</v>
      </c>
      <c r="N336" s="25" t="s">
        <v>33</v>
      </c>
      <c r="O336" s="25">
        <f t="shared" si="36"/>
        <v>2.8800000000000003</v>
      </c>
      <c r="P336" s="25">
        <f t="shared" si="37"/>
        <v>3.3600000000000003</v>
      </c>
      <c r="Q336" s="25">
        <f t="shared" si="38"/>
        <v>1.9200000000000004</v>
      </c>
      <c r="R336" s="25">
        <f t="shared" si="39"/>
        <v>1.4400000000000002</v>
      </c>
      <c r="S336" s="38">
        <v>9.6000000000000014</v>
      </c>
      <c r="T336" s="252">
        <v>105991.94</v>
      </c>
      <c r="U336" s="194">
        <v>10599.194000000001</v>
      </c>
      <c r="V336" s="9"/>
      <c r="W336" s="9"/>
      <c r="X336" s="25" t="s">
        <v>844</v>
      </c>
      <c r="Y336" s="25">
        <v>70790</v>
      </c>
      <c r="Z336" s="19" t="s">
        <v>755</v>
      </c>
      <c r="AA336" s="15" t="s">
        <v>843</v>
      </c>
      <c r="AB336" s="16">
        <v>5</v>
      </c>
      <c r="AC336" s="141"/>
      <c r="AD336" s="163"/>
      <c r="AE336" s="163"/>
      <c r="AF336" s="164"/>
      <c r="AG336" s="141"/>
      <c r="AH336" s="163"/>
      <c r="AI336" s="163"/>
      <c r="AJ336" s="164"/>
      <c r="AK336" s="260"/>
      <c r="AL336" s="265"/>
      <c r="AM336" s="265"/>
      <c r="AN336" s="127"/>
      <c r="AO336" s="126"/>
      <c r="AP336" s="72"/>
      <c r="AQ336" s="72"/>
      <c r="AR336" s="127"/>
      <c r="AS336" s="256" t="s">
        <v>757</v>
      </c>
    </row>
    <row r="337" spans="1:45" x14ac:dyDescent="0.25">
      <c r="A337" s="25">
        <v>334</v>
      </c>
      <c r="B337" s="25" t="s">
        <v>28</v>
      </c>
      <c r="C337" s="25" t="s">
        <v>753</v>
      </c>
      <c r="D337" s="25" t="s">
        <v>754</v>
      </c>
      <c r="E337" s="25"/>
      <c r="F337" s="28" t="s">
        <v>843</v>
      </c>
      <c r="G337" s="25"/>
      <c r="H337" s="25" t="s">
        <v>31</v>
      </c>
      <c r="I337" s="25"/>
      <c r="J337" s="25"/>
      <c r="K337" s="25">
        <v>0.1</v>
      </c>
      <c r="L337" s="25">
        <v>0.1</v>
      </c>
      <c r="M337" s="25" t="s">
        <v>812</v>
      </c>
      <c r="N337" s="25" t="s">
        <v>33</v>
      </c>
      <c r="O337" s="25">
        <f t="shared" si="36"/>
        <v>2.8800000000000003</v>
      </c>
      <c r="P337" s="25">
        <f t="shared" si="37"/>
        <v>3.3600000000000003</v>
      </c>
      <c r="Q337" s="25">
        <f t="shared" si="38"/>
        <v>1.9200000000000004</v>
      </c>
      <c r="R337" s="25">
        <f t="shared" si="39"/>
        <v>1.4400000000000002</v>
      </c>
      <c r="S337" s="38">
        <v>9.6000000000000014</v>
      </c>
      <c r="T337" s="252">
        <v>105991.94</v>
      </c>
      <c r="U337" s="194">
        <v>10599.194000000001</v>
      </c>
      <c r="V337" s="9"/>
      <c r="W337" s="9"/>
      <c r="X337" s="25" t="s">
        <v>844</v>
      </c>
      <c r="Y337" s="25">
        <v>70790</v>
      </c>
      <c r="Z337" s="19" t="s">
        <v>755</v>
      </c>
      <c r="AA337" s="15" t="s">
        <v>843</v>
      </c>
      <c r="AB337" s="16">
        <v>6</v>
      </c>
      <c r="AC337" s="141"/>
      <c r="AD337" s="163"/>
      <c r="AE337" s="163"/>
      <c r="AF337" s="164"/>
      <c r="AG337" s="141"/>
      <c r="AH337" s="163"/>
      <c r="AI337" s="163"/>
      <c r="AJ337" s="164"/>
      <c r="AK337" s="260"/>
      <c r="AL337" s="265"/>
      <c r="AM337" s="265"/>
      <c r="AN337" s="127"/>
      <c r="AO337" s="126"/>
      <c r="AP337" s="72"/>
      <c r="AQ337" s="72"/>
      <c r="AR337" s="127"/>
      <c r="AS337" s="256" t="s">
        <v>757</v>
      </c>
    </row>
    <row r="338" spans="1:45" x14ac:dyDescent="0.25">
      <c r="A338" s="25">
        <v>335</v>
      </c>
      <c r="B338" s="25" t="s">
        <v>28</v>
      </c>
      <c r="C338" s="25" t="s">
        <v>753</v>
      </c>
      <c r="D338" s="25" t="s">
        <v>754</v>
      </c>
      <c r="E338" s="25"/>
      <c r="F338" s="28" t="s">
        <v>868</v>
      </c>
      <c r="G338" s="25"/>
      <c r="H338" s="25" t="s">
        <v>31</v>
      </c>
      <c r="I338" s="25"/>
      <c r="J338" s="25"/>
      <c r="K338" s="25">
        <v>8.5</v>
      </c>
      <c r="L338" s="25">
        <v>8.5</v>
      </c>
      <c r="M338" s="25" t="s">
        <v>812</v>
      </c>
      <c r="N338" s="25" t="s">
        <v>33</v>
      </c>
      <c r="O338" s="25">
        <f t="shared" si="36"/>
        <v>91.8</v>
      </c>
      <c r="P338" s="25">
        <f t="shared" si="37"/>
        <v>107.1</v>
      </c>
      <c r="Q338" s="25">
        <f t="shared" si="38"/>
        <v>61.2</v>
      </c>
      <c r="R338" s="25">
        <f t="shared" si="39"/>
        <v>45.9</v>
      </c>
      <c r="S338" s="38">
        <v>306</v>
      </c>
      <c r="T338" s="252">
        <v>105991.94</v>
      </c>
      <c r="U338" s="194">
        <v>900931.49</v>
      </c>
      <c r="V338" s="9"/>
      <c r="W338" s="9"/>
      <c r="X338" s="25" t="s">
        <v>869</v>
      </c>
      <c r="Y338" s="25">
        <v>70790</v>
      </c>
      <c r="Z338" s="19" t="s">
        <v>755</v>
      </c>
      <c r="AA338" s="15" t="s">
        <v>868</v>
      </c>
      <c r="AB338" s="16">
        <v>7</v>
      </c>
      <c r="AC338" s="141"/>
      <c r="AD338" s="163"/>
      <c r="AE338" s="163"/>
      <c r="AF338" s="164"/>
      <c r="AG338" s="141"/>
      <c r="AH338" s="163"/>
      <c r="AI338" s="163"/>
      <c r="AJ338" s="164"/>
      <c r="AK338" s="260"/>
      <c r="AL338" s="265"/>
      <c r="AM338" s="265"/>
      <c r="AN338" s="127"/>
      <c r="AO338" s="126"/>
      <c r="AP338" s="72"/>
      <c r="AQ338" s="72"/>
      <c r="AR338" s="127"/>
      <c r="AS338" s="256" t="s">
        <v>757</v>
      </c>
    </row>
    <row r="339" spans="1:45" x14ac:dyDescent="0.25">
      <c r="A339" s="25">
        <v>336</v>
      </c>
      <c r="B339" s="25" t="s">
        <v>28</v>
      </c>
      <c r="C339" s="25" t="s">
        <v>753</v>
      </c>
      <c r="D339" s="25" t="s">
        <v>754</v>
      </c>
      <c r="E339" s="25"/>
      <c r="F339" s="28" t="s">
        <v>847</v>
      </c>
      <c r="G339" s="25"/>
      <c r="H339" s="25" t="s">
        <v>31</v>
      </c>
      <c r="I339" s="25"/>
      <c r="J339" s="25"/>
      <c r="K339" s="25">
        <v>0.2</v>
      </c>
      <c r="L339" s="25">
        <v>0.2</v>
      </c>
      <c r="M339" s="25" t="s">
        <v>812</v>
      </c>
      <c r="N339" s="25" t="s">
        <v>33</v>
      </c>
      <c r="O339" s="25">
        <f t="shared" si="36"/>
        <v>5.1599999999999993</v>
      </c>
      <c r="P339" s="25">
        <f t="shared" si="37"/>
        <v>6.02</v>
      </c>
      <c r="Q339" s="25">
        <f t="shared" si="38"/>
        <v>3.44</v>
      </c>
      <c r="R339" s="25">
        <f t="shared" si="39"/>
        <v>2.5799999999999996</v>
      </c>
      <c r="S339" s="38">
        <v>17.2</v>
      </c>
      <c r="T339" s="252">
        <v>105991.94</v>
      </c>
      <c r="U339" s="194">
        <v>21198.388000000003</v>
      </c>
      <c r="V339" s="9"/>
      <c r="W339" s="9"/>
      <c r="X339" s="25" t="s">
        <v>848</v>
      </c>
      <c r="Y339" s="25">
        <v>70790</v>
      </c>
      <c r="Z339" s="19" t="s">
        <v>755</v>
      </c>
      <c r="AA339" s="15" t="s">
        <v>847</v>
      </c>
      <c r="AB339" s="16">
        <v>8</v>
      </c>
      <c r="AC339" s="141"/>
      <c r="AD339" s="163"/>
      <c r="AE339" s="163"/>
      <c r="AF339" s="164"/>
      <c r="AG339" s="141"/>
      <c r="AH339" s="163"/>
      <c r="AI339" s="163"/>
      <c r="AJ339" s="164"/>
      <c r="AK339" s="260"/>
      <c r="AL339" s="265"/>
      <c r="AM339" s="265"/>
      <c r="AN339" s="127"/>
      <c r="AO339" s="126"/>
      <c r="AP339" s="72"/>
      <c r="AQ339" s="72"/>
      <c r="AR339" s="127"/>
      <c r="AS339" s="256" t="s">
        <v>849</v>
      </c>
    </row>
    <row r="340" spans="1:45" x14ac:dyDescent="0.25">
      <c r="A340" s="25">
        <v>337</v>
      </c>
      <c r="B340" s="25" t="s">
        <v>28</v>
      </c>
      <c r="C340" s="25" t="s">
        <v>753</v>
      </c>
      <c r="D340" s="25" t="s">
        <v>754</v>
      </c>
      <c r="E340" s="25"/>
      <c r="F340" s="325" t="s">
        <v>417</v>
      </c>
      <c r="G340" s="13"/>
      <c r="H340" s="13" t="s">
        <v>31</v>
      </c>
      <c r="I340" s="13"/>
      <c r="J340" s="13"/>
      <c r="K340" s="13">
        <v>4.0000000000000001E-3</v>
      </c>
      <c r="L340" s="13">
        <v>4.0000000000000001E-3</v>
      </c>
      <c r="M340" s="13" t="s">
        <v>812</v>
      </c>
      <c r="N340" s="13" t="s">
        <v>33</v>
      </c>
      <c r="O340" s="13">
        <f t="shared" si="36"/>
        <v>0.12</v>
      </c>
      <c r="P340" s="13">
        <f t="shared" si="37"/>
        <v>0.13999999999999999</v>
      </c>
      <c r="Q340" s="13">
        <f t="shared" si="38"/>
        <v>8.0000000000000016E-2</v>
      </c>
      <c r="R340" s="13">
        <f t="shared" si="39"/>
        <v>0.06</v>
      </c>
      <c r="S340" s="38">
        <v>0.4</v>
      </c>
      <c r="T340" s="252">
        <v>105991.94</v>
      </c>
      <c r="U340" s="194">
        <v>423.96776</v>
      </c>
      <c r="V340" s="9"/>
      <c r="W340" s="9"/>
      <c r="X340" s="13" t="s">
        <v>840</v>
      </c>
      <c r="Y340" s="25">
        <v>70791</v>
      </c>
      <c r="Z340" s="19" t="s">
        <v>755</v>
      </c>
      <c r="AA340" s="15" t="s">
        <v>417</v>
      </c>
      <c r="AB340" s="16">
        <v>1</v>
      </c>
      <c r="AC340" s="169">
        <f t="shared" ref="AC340:AC346" si="40">L340*0.3</f>
        <v>1.1999999999999999E-3</v>
      </c>
      <c r="AD340" s="163"/>
      <c r="AE340" s="163"/>
      <c r="AF340" s="164"/>
      <c r="AG340" s="141"/>
      <c r="AH340" s="163"/>
      <c r="AI340" s="163"/>
      <c r="AJ340" s="164"/>
      <c r="AK340" s="141"/>
      <c r="AL340" s="72"/>
      <c r="AM340" s="72"/>
      <c r="AN340" s="127"/>
      <c r="AO340" s="126"/>
      <c r="AP340" s="72"/>
      <c r="AQ340" s="72"/>
      <c r="AR340" s="127"/>
      <c r="AS340" s="256" t="s">
        <v>757</v>
      </c>
    </row>
    <row r="341" spans="1:45" x14ac:dyDescent="0.25">
      <c r="A341" s="25">
        <v>338</v>
      </c>
      <c r="B341" s="25" t="s">
        <v>28</v>
      </c>
      <c r="C341" s="25" t="s">
        <v>753</v>
      </c>
      <c r="D341" s="25" t="s">
        <v>754</v>
      </c>
      <c r="E341" s="25"/>
      <c r="F341" s="325" t="s">
        <v>417</v>
      </c>
      <c r="G341" s="13"/>
      <c r="H341" s="13" t="s">
        <v>31</v>
      </c>
      <c r="I341" s="13"/>
      <c r="J341" s="13"/>
      <c r="K341" s="13">
        <v>4.0000000000000001E-3</v>
      </c>
      <c r="L341" s="13">
        <v>4.0000000000000001E-3</v>
      </c>
      <c r="M341" s="13" t="s">
        <v>812</v>
      </c>
      <c r="N341" s="13" t="s">
        <v>33</v>
      </c>
      <c r="O341" s="13">
        <f t="shared" si="36"/>
        <v>0.12</v>
      </c>
      <c r="P341" s="13">
        <f t="shared" si="37"/>
        <v>0.13999999999999999</v>
      </c>
      <c r="Q341" s="13">
        <f t="shared" si="38"/>
        <v>8.0000000000000016E-2</v>
      </c>
      <c r="R341" s="13">
        <f t="shared" si="39"/>
        <v>0.06</v>
      </c>
      <c r="S341" s="38">
        <v>0.4</v>
      </c>
      <c r="T341" s="252">
        <v>105991.94</v>
      </c>
      <c r="U341" s="194">
        <v>423.96776</v>
      </c>
      <c r="V341" s="9"/>
      <c r="W341" s="9"/>
      <c r="X341" s="13" t="s">
        <v>840</v>
      </c>
      <c r="Y341" s="25">
        <v>70791</v>
      </c>
      <c r="Z341" s="19" t="s">
        <v>755</v>
      </c>
      <c r="AA341" s="15" t="s">
        <v>417</v>
      </c>
      <c r="AB341" s="16">
        <v>2</v>
      </c>
      <c r="AC341" s="169">
        <f t="shared" si="40"/>
        <v>1.1999999999999999E-3</v>
      </c>
      <c r="AD341" s="163"/>
      <c r="AE341" s="163"/>
      <c r="AF341" s="164"/>
      <c r="AG341" s="141"/>
      <c r="AH341" s="163"/>
      <c r="AI341" s="163"/>
      <c r="AJ341" s="164"/>
      <c r="AK341" s="141"/>
      <c r="AL341" s="72"/>
      <c r="AM341" s="72"/>
      <c r="AN341" s="127"/>
      <c r="AO341" s="126"/>
      <c r="AP341" s="72"/>
      <c r="AQ341" s="72"/>
      <c r="AR341" s="127"/>
      <c r="AS341" s="256" t="s">
        <v>757</v>
      </c>
    </row>
    <row r="342" spans="1:45" x14ac:dyDescent="0.25">
      <c r="A342" s="25">
        <v>339</v>
      </c>
      <c r="B342" s="25" t="s">
        <v>28</v>
      </c>
      <c r="C342" s="25" t="s">
        <v>753</v>
      </c>
      <c r="D342" s="25" t="s">
        <v>754</v>
      </c>
      <c r="E342" s="25"/>
      <c r="F342" s="325" t="s">
        <v>841</v>
      </c>
      <c r="G342" s="13"/>
      <c r="H342" s="13" t="s">
        <v>31</v>
      </c>
      <c r="I342" s="13"/>
      <c r="J342" s="13"/>
      <c r="K342" s="13">
        <v>3.7999999999999999E-2</v>
      </c>
      <c r="L342" s="13">
        <v>3.7999999999999999E-2</v>
      </c>
      <c r="M342" s="13" t="s">
        <v>812</v>
      </c>
      <c r="N342" s="13" t="s">
        <v>33</v>
      </c>
      <c r="O342" s="13">
        <f t="shared" si="36"/>
        <v>1.1399999999999999</v>
      </c>
      <c r="P342" s="13">
        <f t="shared" si="37"/>
        <v>1.3299999999999998</v>
      </c>
      <c r="Q342" s="13">
        <f t="shared" si="38"/>
        <v>0.76</v>
      </c>
      <c r="R342" s="13">
        <f t="shared" si="39"/>
        <v>0.56999999999999995</v>
      </c>
      <c r="S342" s="38">
        <v>3.8</v>
      </c>
      <c r="T342" s="252">
        <v>105991.94</v>
      </c>
      <c r="U342" s="194">
        <v>4027.6937200000002</v>
      </c>
      <c r="V342" s="9"/>
      <c r="W342" s="9"/>
      <c r="X342" s="13" t="s">
        <v>842</v>
      </c>
      <c r="Y342" s="25">
        <v>70791</v>
      </c>
      <c r="Z342" s="19" t="s">
        <v>755</v>
      </c>
      <c r="AA342" s="15" t="s">
        <v>841</v>
      </c>
      <c r="AB342" s="16">
        <v>3</v>
      </c>
      <c r="AC342" s="169">
        <f t="shared" si="40"/>
        <v>1.1399999999999999E-2</v>
      </c>
      <c r="AD342" s="163"/>
      <c r="AE342" s="163"/>
      <c r="AF342" s="164"/>
      <c r="AG342" s="141"/>
      <c r="AH342" s="163"/>
      <c r="AI342" s="163"/>
      <c r="AJ342" s="164"/>
      <c r="AK342" s="141"/>
      <c r="AL342" s="72"/>
      <c r="AM342" s="72"/>
      <c r="AN342" s="127"/>
      <c r="AO342" s="126"/>
      <c r="AP342" s="72"/>
      <c r="AQ342" s="72"/>
      <c r="AR342" s="127"/>
      <c r="AS342" s="256" t="s">
        <v>757</v>
      </c>
    </row>
    <row r="343" spans="1:45" x14ac:dyDescent="0.25">
      <c r="A343" s="25">
        <v>340</v>
      </c>
      <c r="B343" s="25" t="s">
        <v>28</v>
      </c>
      <c r="C343" s="25" t="s">
        <v>753</v>
      </c>
      <c r="D343" s="25" t="s">
        <v>754</v>
      </c>
      <c r="E343" s="25"/>
      <c r="F343" s="28" t="s">
        <v>843</v>
      </c>
      <c r="G343" s="25"/>
      <c r="H343" s="25" t="s">
        <v>31</v>
      </c>
      <c r="I343" s="25"/>
      <c r="J343" s="25"/>
      <c r="K343" s="25">
        <v>0.1</v>
      </c>
      <c r="L343" s="25">
        <v>0.1</v>
      </c>
      <c r="M343" s="25" t="s">
        <v>812</v>
      </c>
      <c r="N343" s="25" t="s">
        <v>33</v>
      </c>
      <c r="O343" s="25">
        <f t="shared" si="36"/>
        <v>2.8800000000000003</v>
      </c>
      <c r="P343" s="25">
        <f t="shared" si="37"/>
        <v>3.3600000000000003</v>
      </c>
      <c r="Q343" s="25">
        <f t="shared" si="38"/>
        <v>1.9200000000000004</v>
      </c>
      <c r="R343" s="25">
        <f t="shared" si="39"/>
        <v>1.4400000000000002</v>
      </c>
      <c r="S343" s="38">
        <v>9.6000000000000014</v>
      </c>
      <c r="T343" s="252">
        <v>105991.94</v>
      </c>
      <c r="U343" s="194">
        <v>10599.194000000001</v>
      </c>
      <c r="V343" s="9"/>
      <c r="W343" s="9"/>
      <c r="X343" s="25" t="s">
        <v>844</v>
      </c>
      <c r="Y343" s="25">
        <v>70791</v>
      </c>
      <c r="Z343" s="19" t="s">
        <v>755</v>
      </c>
      <c r="AA343" s="15" t="s">
        <v>843</v>
      </c>
      <c r="AB343" s="16">
        <v>4</v>
      </c>
      <c r="AC343" s="169">
        <f t="shared" si="40"/>
        <v>0.03</v>
      </c>
      <c r="AD343" s="163"/>
      <c r="AE343" s="163"/>
      <c r="AF343" s="164"/>
      <c r="AG343" s="141"/>
      <c r="AH343" s="184">
        <f t="shared" ref="AH343:AH347" si="41">L343*0.35</f>
        <v>3.4999999999999996E-2</v>
      </c>
      <c r="AI343" s="163"/>
      <c r="AJ343" s="164"/>
      <c r="AK343" s="141"/>
      <c r="AL343" s="163"/>
      <c r="AM343" s="72"/>
      <c r="AN343" s="127"/>
      <c r="AO343" s="126"/>
      <c r="AP343" s="72"/>
      <c r="AQ343" s="72"/>
      <c r="AR343" s="127"/>
      <c r="AS343" s="256" t="s">
        <v>757</v>
      </c>
    </row>
    <row r="344" spans="1:45" x14ac:dyDescent="0.25">
      <c r="A344" s="25">
        <v>341</v>
      </c>
      <c r="B344" s="25" t="s">
        <v>28</v>
      </c>
      <c r="C344" s="25" t="s">
        <v>753</v>
      </c>
      <c r="D344" s="25" t="s">
        <v>754</v>
      </c>
      <c r="E344" s="25"/>
      <c r="F344" s="28" t="s">
        <v>843</v>
      </c>
      <c r="G344" s="25"/>
      <c r="H344" s="25" t="s">
        <v>31</v>
      </c>
      <c r="I344" s="25"/>
      <c r="J344" s="25"/>
      <c r="K344" s="25">
        <v>0.1</v>
      </c>
      <c r="L344" s="25">
        <v>0.1</v>
      </c>
      <c r="M344" s="25" t="s">
        <v>812</v>
      </c>
      <c r="N344" s="25" t="s">
        <v>33</v>
      </c>
      <c r="O344" s="25">
        <f t="shared" si="36"/>
        <v>2.8800000000000003</v>
      </c>
      <c r="P344" s="25">
        <f t="shared" si="37"/>
        <v>3.3600000000000003</v>
      </c>
      <c r="Q344" s="25">
        <f t="shared" si="38"/>
        <v>1.9200000000000004</v>
      </c>
      <c r="R344" s="25">
        <f t="shared" si="39"/>
        <v>1.4400000000000002</v>
      </c>
      <c r="S344" s="38">
        <v>9.6000000000000014</v>
      </c>
      <c r="T344" s="252">
        <v>105991.94</v>
      </c>
      <c r="U344" s="194">
        <v>10599.194000000001</v>
      </c>
      <c r="V344" s="9"/>
      <c r="W344" s="9"/>
      <c r="X344" s="25" t="s">
        <v>844</v>
      </c>
      <c r="Y344" s="25">
        <v>70791</v>
      </c>
      <c r="Z344" s="19" t="s">
        <v>755</v>
      </c>
      <c r="AA344" s="15" t="s">
        <v>843</v>
      </c>
      <c r="AB344" s="16">
        <v>5</v>
      </c>
      <c r="AC344" s="169">
        <f t="shared" si="40"/>
        <v>0.03</v>
      </c>
      <c r="AD344" s="163"/>
      <c r="AE344" s="163"/>
      <c r="AF344" s="164"/>
      <c r="AG344" s="141"/>
      <c r="AH344" s="184">
        <f t="shared" si="41"/>
        <v>3.4999999999999996E-2</v>
      </c>
      <c r="AI344" s="163"/>
      <c r="AJ344" s="164"/>
      <c r="AK344" s="141"/>
      <c r="AL344" s="163"/>
      <c r="AM344" s="72"/>
      <c r="AN344" s="127"/>
      <c r="AO344" s="126"/>
      <c r="AP344" s="72"/>
      <c r="AQ344" s="72"/>
      <c r="AR344" s="127"/>
      <c r="AS344" s="256" t="s">
        <v>757</v>
      </c>
    </row>
    <row r="345" spans="1:45" x14ac:dyDescent="0.25">
      <c r="A345" s="25">
        <v>342</v>
      </c>
      <c r="B345" s="25" t="s">
        <v>28</v>
      </c>
      <c r="C345" s="25" t="s">
        <v>753</v>
      </c>
      <c r="D345" s="25" t="s">
        <v>754</v>
      </c>
      <c r="E345" s="25"/>
      <c r="F345" s="28" t="s">
        <v>843</v>
      </c>
      <c r="G345" s="25"/>
      <c r="H345" s="25" t="s">
        <v>31</v>
      </c>
      <c r="I345" s="25"/>
      <c r="J345" s="25"/>
      <c r="K345" s="25">
        <v>0.1</v>
      </c>
      <c r="L345" s="25">
        <v>0.1</v>
      </c>
      <c r="M345" s="25" t="s">
        <v>812</v>
      </c>
      <c r="N345" s="25" t="s">
        <v>33</v>
      </c>
      <c r="O345" s="25">
        <f t="shared" si="36"/>
        <v>2.8800000000000003</v>
      </c>
      <c r="P345" s="25">
        <f t="shared" si="37"/>
        <v>3.3600000000000003</v>
      </c>
      <c r="Q345" s="25">
        <f t="shared" si="38"/>
        <v>1.9200000000000004</v>
      </c>
      <c r="R345" s="25">
        <f t="shared" si="39"/>
        <v>1.4400000000000002</v>
      </c>
      <c r="S345" s="38">
        <v>9.6000000000000014</v>
      </c>
      <c r="T345" s="252">
        <v>105991.94</v>
      </c>
      <c r="U345" s="194">
        <v>10599.194000000001</v>
      </c>
      <c r="V345" s="9"/>
      <c r="W345" s="9"/>
      <c r="X345" s="25" t="s">
        <v>844</v>
      </c>
      <c r="Y345" s="25">
        <v>70791</v>
      </c>
      <c r="Z345" s="19" t="s">
        <v>755</v>
      </c>
      <c r="AA345" s="15" t="s">
        <v>843</v>
      </c>
      <c r="AB345" s="16">
        <v>6</v>
      </c>
      <c r="AC345" s="169">
        <f t="shared" si="40"/>
        <v>0.03</v>
      </c>
      <c r="AD345" s="163"/>
      <c r="AE345" s="163"/>
      <c r="AF345" s="164"/>
      <c r="AG345" s="141"/>
      <c r="AH345" s="184">
        <f t="shared" si="41"/>
        <v>3.4999999999999996E-2</v>
      </c>
      <c r="AI345" s="163"/>
      <c r="AJ345" s="164"/>
      <c r="AK345" s="141"/>
      <c r="AL345" s="163"/>
      <c r="AM345" s="72"/>
      <c r="AN345" s="127"/>
      <c r="AO345" s="126"/>
      <c r="AP345" s="72"/>
      <c r="AQ345" s="72"/>
      <c r="AR345" s="127"/>
      <c r="AS345" s="256" t="s">
        <v>757</v>
      </c>
    </row>
    <row r="346" spans="1:45" x14ac:dyDescent="0.25">
      <c r="A346" s="25">
        <v>343</v>
      </c>
      <c r="B346" s="25" t="s">
        <v>28</v>
      </c>
      <c r="C346" s="25" t="s">
        <v>753</v>
      </c>
      <c r="D346" s="25" t="s">
        <v>754</v>
      </c>
      <c r="E346" s="25"/>
      <c r="F346" s="28" t="s">
        <v>868</v>
      </c>
      <c r="G346" s="25"/>
      <c r="H346" s="25" t="s">
        <v>31</v>
      </c>
      <c r="I346" s="25"/>
      <c r="J346" s="25"/>
      <c r="K346" s="25">
        <v>8.5</v>
      </c>
      <c r="L346" s="25">
        <v>8.5</v>
      </c>
      <c r="M346" s="25" t="s">
        <v>812</v>
      </c>
      <c r="N346" s="25" t="s">
        <v>33</v>
      </c>
      <c r="O346" s="25">
        <f t="shared" si="36"/>
        <v>91.8</v>
      </c>
      <c r="P346" s="25">
        <f t="shared" si="37"/>
        <v>107.1</v>
      </c>
      <c r="Q346" s="25">
        <f t="shared" si="38"/>
        <v>61.2</v>
      </c>
      <c r="R346" s="25">
        <f t="shared" si="39"/>
        <v>45.9</v>
      </c>
      <c r="S346" s="38">
        <v>306</v>
      </c>
      <c r="T346" s="252">
        <v>105991.94</v>
      </c>
      <c r="U346" s="194">
        <v>900931.49</v>
      </c>
      <c r="V346" s="9"/>
      <c r="W346" s="9"/>
      <c r="X346" s="25" t="s">
        <v>869</v>
      </c>
      <c r="Y346" s="25">
        <v>70791</v>
      </c>
      <c r="Z346" s="19" t="s">
        <v>755</v>
      </c>
      <c r="AA346" s="15" t="s">
        <v>868</v>
      </c>
      <c r="AB346" s="16">
        <v>7</v>
      </c>
      <c r="AC346" s="169">
        <f t="shared" si="40"/>
        <v>2.5499999999999998</v>
      </c>
      <c r="AD346" s="163"/>
      <c r="AE346" s="163"/>
      <c r="AF346" s="164"/>
      <c r="AG346" s="141"/>
      <c r="AH346" s="184">
        <f t="shared" si="41"/>
        <v>2.9749999999999996</v>
      </c>
      <c r="AI346" s="163"/>
      <c r="AJ346" s="164"/>
      <c r="AK346" s="141"/>
      <c r="AL346" s="163"/>
      <c r="AM346" s="72"/>
      <c r="AN346" s="127"/>
      <c r="AO346" s="126"/>
      <c r="AP346" s="72"/>
      <c r="AQ346" s="72"/>
      <c r="AR346" s="127"/>
      <c r="AS346" s="256" t="s">
        <v>757</v>
      </c>
    </row>
    <row r="347" spans="1:45" x14ac:dyDescent="0.25">
      <c r="A347" s="25">
        <v>344</v>
      </c>
      <c r="B347" s="25" t="s">
        <v>28</v>
      </c>
      <c r="C347" s="25" t="s">
        <v>753</v>
      </c>
      <c r="D347" s="25" t="s">
        <v>754</v>
      </c>
      <c r="E347" s="25"/>
      <c r="F347" s="28" t="s">
        <v>847</v>
      </c>
      <c r="G347" s="25"/>
      <c r="H347" s="25" t="s">
        <v>31</v>
      </c>
      <c r="I347" s="25"/>
      <c r="J347" s="25"/>
      <c r="K347" s="25">
        <v>0.2</v>
      </c>
      <c r="L347" s="25">
        <v>0.2</v>
      </c>
      <c r="M347" s="25" t="s">
        <v>812</v>
      </c>
      <c r="N347" s="25" t="s">
        <v>33</v>
      </c>
      <c r="O347" s="25">
        <f t="shared" si="36"/>
        <v>5.1599999999999993</v>
      </c>
      <c r="P347" s="25">
        <f t="shared" si="37"/>
        <v>6.02</v>
      </c>
      <c r="Q347" s="25">
        <f t="shared" si="38"/>
        <v>3.44</v>
      </c>
      <c r="R347" s="25">
        <f t="shared" si="39"/>
        <v>2.5799999999999996</v>
      </c>
      <c r="S347" s="38">
        <v>17.2</v>
      </c>
      <c r="T347" s="252">
        <v>105991.94</v>
      </c>
      <c r="U347" s="194">
        <v>21198.388000000003</v>
      </c>
      <c r="V347" s="9"/>
      <c r="W347" s="9"/>
      <c r="X347" s="25" t="s">
        <v>848</v>
      </c>
      <c r="Y347" s="25">
        <v>70791</v>
      </c>
      <c r="Z347" s="19" t="s">
        <v>755</v>
      </c>
      <c r="AA347" s="15" t="s">
        <v>847</v>
      </c>
      <c r="AB347" s="16">
        <v>8</v>
      </c>
      <c r="AC347" s="141"/>
      <c r="AD347" s="163"/>
      <c r="AE347" s="163"/>
      <c r="AF347" s="164"/>
      <c r="AG347" s="169">
        <f t="shared" ref="AG347:AG355" si="42">L347*0.3</f>
        <v>0.06</v>
      </c>
      <c r="AH347" s="184">
        <f t="shared" si="41"/>
        <v>6.9999999999999993E-2</v>
      </c>
      <c r="AI347" s="163"/>
      <c r="AJ347" s="164"/>
      <c r="AK347" s="141"/>
      <c r="AL347" s="163"/>
      <c r="AM347" s="72"/>
      <c r="AN347" s="127"/>
      <c r="AO347" s="126"/>
      <c r="AP347" s="72"/>
      <c r="AQ347" s="72"/>
      <c r="AR347" s="127"/>
      <c r="AS347" s="256" t="s">
        <v>849</v>
      </c>
    </row>
    <row r="348" spans="1:45" x14ac:dyDescent="0.25">
      <c r="A348" s="25">
        <v>345</v>
      </c>
      <c r="B348" s="25" t="s">
        <v>28</v>
      </c>
      <c r="C348" s="25" t="s">
        <v>753</v>
      </c>
      <c r="D348" s="25" t="s">
        <v>754</v>
      </c>
      <c r="E348" s="25"/>
      <c r="F348" s="325" t="s">
        <v>417</v>
      </c>
      <c r="G348" s="13"/>
      <c r="H348" s="13" t="s">
        <v>31</v>
      </c>
      <c r="I348" s="13"/>
      <c r="J348" s="13"/>
      <c r="K348" s="13">
        <v>4.0000000000000001E-3</v>
      </c>
      <c r="L348" s="13">
        <v>4.0000000000000001E-3</v>
      </c>
      <c r="M348" s="13" t="s">
        <v>812</v>
      </c>
      <c r="N348" s="13" t="s">
        <v>33</v>
      </c>
      <c r="O348" s="13">
        <f t="shared" si="36"/>
        <v>0.12</v>
      </c>
      <c r="P348" s="13">
        <f t="shared" si="37"/>
        <v>0.13999999999999999</v>
      </c>
      <c r="Q348" s="13">
        <f t="shared" si="38"/>
        <v>8.0000000000000016E-2</v>
      </c>
      <c r="R348" s="13">
        <f t="shared" si="39"/>
        <v>0.06</v>
      </c>
      <c r="S348" s="38">
        <v>0.4</v>
      </c>
      <c r="T348" s="252">
        <v>105991.94</v>
      </c>
      <c r="U348" s="194">
        <v>423.96776</v>
      </c>
      <c r="V348" s="9"/>
      <c r="W348" s="9"/>
      <c r="X348" s="13" t="s">
        <v>840</v>
      </c>
      <c r="Y348" s="25">
        <v>70792</v>
      </c>
      <c r="Z348" s="19" t="s">
        <v>755</v>
      </c>
      <c r="AA348" s="15" t="s">
        <v>417</v>
      </c>
      <c r="AB348" s="16">
        <v>1</v>
      </c>
      <c r="AC348" s="141"/>
      <c r="AD348" s="163"/>
      <c r="AE348" s="163"/>
      <c r="AF348" s="164"/>
      <c r="AG348" s="169">
        <f t="shared" si="42"/>
        <v>1.1999999999999999E-3</v>
      </c>
      <c r="AH348" s="163"/>
      <c r="AI348" s="163"/>
      <c r="AJ348" s="164"/>
      <c r="AK348" s="141"/>
      <c r="AL348" s="72"/>
      <c r="AM348" s="72"/>
      <c r="AN348" s="127"/>
      <c r="AO348" s="126"/>
      <c r="AP348" s="72"/>
      <c r="AQ348" s="72"/>
      <c r="AR348" s="127"/>
      <c r="AS348" s="256" t="s">
        <v>757</v>
      </c>
    </row>
    <row r="349" spans="1:45" x14ac:dyDescent="0.25">
      <c r="A349" s="25">
        <v>346</v>
      </c>
      <c r="B349" s="25" t="s">
        <v>28</v>
      </c>
      <c r="C349" s="25" t="s">
        <v>753</v>
      </c>
      <c r="D349" s="25" t="s">
        <v>754</v>
      </c>
      <c r="E349" s="25"/>
      <c r="F349" s="325" t="s">
        <v>417</v>
      </c>
      <c r="G349" s="13"/>
      <c r="H349" s="13" t="s">
        <v>31</v>
      </c>
      <c r="I349" s="13"/>
      <c r="J349" s="13"/>
      <c r="K349" s="13">
        <v>4.0000000000000001E-3</v>
      </c>
      <c r="L349" s="13">
        <v>4.0000000000000001E-3</v>
      </c>
      <c r="M349" s="13" t="s">
        <v>812</v>
      </c>
      <c r="N349" s="13" t="s">
        <v>33</v>
      </c>
      <c r="O349" s="13">
        <f t="shared" si="36"/>
        <v>0.12</v>
      </c>
      <c r="P349" s="13">
        <f t="shared" si="37"/>
        <v>0.13999999999999999</v>
      </c>
      <c r="Q349" s="13">
        <f t="shared" si="38"/>
        <v>8.0000000000000016E-2</v>
      </c>
      <c r="R349" s="13">
        <f t="shared" si="39"/>
        <v>0.06</v>
      </c>
      <c r="S349" s="38">
        <v>0.4</v>
      </c>
      <c r="T349" s="252">
        <v>105991.94</v>
      </c>
      <c r="U349" s="194">
        <v>423.96776</v>
      </c>
      <c r="V349" s="9"/>
      <c r="W349" s="9"/>
      <c r="X349" s="13" t="s">
        <v>840</v>
      </c>
      <c r="Y349" s="25">
        <v>70792</v>
      </c>
      <c r="Z349" s="19" t="s">
        <v>755</v>
      </c>
      <c r="AA349" s="15" t="s">
        <v>417</v>
      </c>
      <c r="AB349" s="16">
        <v>2</v>
      </c>
      <c r="AC349" s="141"/>
      <c r="AD349" s="163"/>
      <c r="AE349" s="163"/>
      <c r="AF349" s="164"/>
      <c r="AG349" s="169">
        <f t="shared" si="42"/>
        <v>1.1999999999999999E-3</v>
      </c>
      <c r="AH349" s="163"/>
      <c r="AI349" s="163"/>
      <c r="AJ349" s="164"/>
      <c r="AK349" s="141"/>
      <c r="AL349" s="72"/>
      <c r="AM349" s="72"/>
      <c r="AN349" s="127"/>
      <c r="AO349" s="126"/>
      <c r="AP349" s="72"/>
      <c r="AQ349" s="72"/>
      <c r="AR349" s="127"/>
      <c r="AS349" s="256" t="s">
        <v>757</v>
      </c>
    </row>
    <row r="350" spans="1:45" x14ac:dyDescent="0.25">
      <c r="A350" s="25">
        <v>347</v>
      </c>
      <c r="B350" s="25" t="s">
        <v>28</v>
      </c>
      <c r="C350" s="25" t="s">
        <v>753</v>
      </c>
      <c r="D350" s="25" t="s">
        <v>754</v>
      </c>
      <c r="E350" s="25"/>
      <c r="F350" s="325" t="s">
        <v>841</v>
      </c>
      <c r="G350" s="13"/>
      <c r="H350" s="13" t="s">
        <v>31</v>
      </c>
      <c r="I350" s="13"/>
      <c r="J350" s="13"/>
      <c r="K350" s="13">
        <v>3.7999999999999999E-2</v>
      </c>
      <c r="L350" s="13">
        <v>3.7999999999999999E-2</v>
      </c>
      <c r="M350" s="13" t="s">
        <v>812</v>
      </c>
      <c r="N350" s="13" t="s">
        <v>33</v>
      </c>
      <c r="O350" s="13">
        <f t="shared" si="36"/>
        <v>1.1399999999999999</v>
      </c>
      <c r="P350" s="13">
        <f t="shared" si="37"/>
        <v>1.3299999999999998</v>
      </c>
      <c r="Q350" s="13">
        <f t="shared" si="38"/>
        <v>0.76</v>
      </c>
      <c r="R350" s="13">
        <f t="shared" si="39"/>
        <v>0.56999999999999995</v>
      </c>
      <c r="S350" s="38">
        <v>3.8</v>
      </c>
      <c r="T350" s="252">
        <v>105991.94</v>
      </c>
      <c r="U350" s="194">
        <v>4027.6937200000002</v>
      </c>
      <c r="V350" s="9"/>
      <c r="W350" s="9"/>
      <c r="X350" s="13" t="s">
        <v>842</v>
      </c>
      <c r="Y350" s="25">
        <v>70792</v>
      </c>
      <c r="Z350" s="19" t="s">
        <v>755</v>
      </c>
      <c r="AA350" s="15" t="s">
        <v>841</v>
      </c>
      <c r="AB350" s="16">
        <v>3</v>
      </c>
      <c r="AC350" s="141"/>
      <c r="AD350" s="163"/>
      <c r="AE350" s="163"/>
      <c r="AF350" s="164"/>
      <c r="AG350" s="169">
        <f t="shared" si="42"/>
        <v>1.1399999999999999E-2</v>
      </c>
      <c r="AH350" s="163"/>
      <c r="AI350" s="163"/>
      <c r="AJ350" s="164"/>
      <c r="AK350" s="141"/>
      <c r="AL350" s="72"/>
      <c r="AM350" s="72"/>
      <c r="AN350" s="127"/>
      <c r="AO350" s="126"/>
      <c r="AP350" s="72"/>
      <c r="AQ350" s="72"/>
      <c r="AR350" s="127"/>
      <c r="AS350" s="256" t="s">
        <v>757</v>
      </c>
    </row>
    <row r="351" spans="1:45" x14ac:dyDescent="0.25">
      <c r="A351" s="25">
        <v>348</v>
      </c>
      <c r="B351" s="25" t="s">
        <v>28</v>
      </c>
      <c r="C351" s="25" t="s">
        <v>753</v>
      </c>
      <c r="D351" s="25" t="s">
        <v>754</v>
      </c>
      <c r="E351" s="25"/>
      <c r="F351" s="28" t="s">
        <v>843</v>
      </c>
      <c r="G351" s="25"/>
      <c r="H351" s="25" t="s">
        <v>31</v>
      </c>
      <c r="I351" s="25"/>
      <c r="J351" s="25"/>
      <c r="K351" s="25">
        <v>0.1</v>
      </c>
      <c r="L351" s="25">
        <v>0.1</v>
      </c>
      <c r="M351" s="25" t="s">
        <v>812</v>
      </c>
      <c r="N351" s="25" t="s">
        <v>33</v>
      </c>
      <c r="O351" s="25">
        <f t="shared" si="36"/>
        <v>2.8800000000000003</v>
      </c>
      <c r="P351" s="25">
        <f t="shared" si="37"/>
        <v>3.3600000000000003</v>
      </c>
      <c r="Q351" s="25">
        <f t="shared" si="38"/>
        <v>1.9200000000000004</v>
      </c>
      <c r="R351" s="25">
        <f t="shared" si="39"/>
        <v>1.4400000000000002</v>
      </c>
      <c r="S351" s="38">
        <v>9.6000000000000014</v>
      </c>
      <c r="T351" s="252">
        <v>105991.94</v>
      </c>
      <c r="U351" s="194">
        <v>10599.194000000001</v>
      </c>
      <c r="V351" s="9"/>
      <c r="W351" s="9"/>
      <c r="X351" s="25" t="s">
        <v>844</v>
      </c>
      <c r="Y351" s="25">
        <v>70792</v>
      </c>
      <c r="Z351" s="19" t="s">
        <v>755</v>
      </c>
      <c r="AA351" s="15" t="s">
        <v>843</v>
      </c>
      <c r="AB351" s="16">
        <v>4</v>
      </c>
      <c r="AC351" s="141"/>
      <c r="AD351" s="163"/>
      <c r="AE351" s="163"/>
      <c r="AF351" s="164"/>
      <c r="AG351" s="169">
        <f t="shared" si="42"/>
        <v>0.03</v>
      </c>
      <c r="AH351" s="184">
        <f t="shared" ref="AH351:AH355" si="43">L351*0.35</f>
        <v>3.4999999999999996E-2</v>
      </c>
      <c r="AI351" s="163"/>
      <c r="AJ351" s="164"/>
      <c r="AK351" s="141"/>
      <c r="AL351" s="163"/>
      <c r="AM351" s="72"/>
      <c r="AN351" s="127"/>
      <c r="AO351" s="126"/>
      <c r="AP351" s="72"/>
      <c r="AQ351" s="72"/>
      <c r="AR351" s="127"/>
      <c r="AS351" s="256" t="s">
        <v>757</v>
      </c>
    </row>
    <row r="352" spans="1:45" x14ac:dyDescent="0.25">
      <c r="A352" s="25">
        <v>349</v>
      </c>
      <c r="B352" s="25" t="s">
        <v>28</v>
      </c>
      <c r="C352" s="25" t="s">
        <v>753</v>
      </c>
      <c r="D352" s="25" t="s">
        <v>754</v>
      </c>
      <c r="E352" s="25"/>
      <c r="F352" s="28" t="s">
        <v>843</v>
      </c>
      <c r="G352" s="25"/>
      <c r="H352" s="25" t="s">
        <v>31</v>
      </c>
      <c r="I352" s="25"/>
      <c r="J352" s="25"/>
      <c r="K352" s="25">
        <v>0.1</v>
      </c>
      <c r="L352" s="25">
        <v>0.1</v>
      </c>
      <c r="M352" s="25" t="s">
        <v>812</v>
      </c>
      <c r="N352" s="25" t="s">
        <v>33</v>
      </c>
      <c r="O352" s="25">
        <f t="shared" si="36"/>
        <v>2.8800000000000003</v>
      </c>
      <c r="P352" s="25">
        <f t="shared" si="37"/>
        <v>3.3600000000000003</v>
      </c>
      <c r="Q352" s="25">
        <f t="shared" si="38"/>
        <v>1.9200000000000004</v>
      </c>
      <c r="R352" s="25">
        <f t="shared" si="39"/>
        <v>1.4400000000000002</v>
      </c>
      <c r="S352" s="38">
        <v>9.6000000000000014</v>
      </c>
      <c r="T352" s="252">
        <v>105991.94</v>
      </c>
      <c r="U352" s="194">
        <v>10599.194000000001</v>
      </c>
      <c r="V352" s="9"/>
      <c r="W352" s="9"/>
      <c r="X352" s="25" t="s">
        <v>844</v>
      </c>
      <c r="Y352" s="25">
        <v>70792</v>
      </c>
      <c r="Z352" s="19" t="s">
        <v>755</v>
      </c>
      <c r="AA352" s="15" t="s">
        <v>843</v>
      </c>
      <c r="AB352" s="16">
        <v>5</v>
      </c>
      <c r="AC352" s="141"/>
      <c r="AD352" s="163"/>
      <c r="AE352" s="163"/>
      <c r="AF352" s="164"/>
      <c r="AG352" s="169">
        <f t="shared" si="42"/>
        <v>0.03</v>
      </c>
      <c r="AH352" s="184">
        <f t="shared" si="43"/>
        <v>3.4999999999999996E-2</v>
      </c>
      <c r="AI352" s="163"/>
      <c r="AJ352" s="164"/>
      <c r="AK352" s="141"/>
      <c r="AL352" s="163"/>
      <c r="AM352" s="72"/>
      <c r="AN352" s="127"/>
      <c r="AO352" s="126"/>
      <c r="AP352" s="72"/>
      <c r="AQ352" s="72"/>
      <c r="AR352" s="127"/>
      <c r="AS352" s="256" t="s">
        <v>757</v>
      </c>
    </row>
    <row r="353" spans="1:45" x14ac:dyDescent="0.25">
      <c r="A353" s="25">
        <v>350</v>
      </c>
      <c r="B353" s="25" t="s">
        <v>28</v>
      </c>
      <c r="C353" s="25" t="s">
        <v>753</v>
      </c>
      <c r="D353" s="25" t="s">
        <v>754</v>
      </c>
      <c r="E353" s="25"/>
      <c r="F353" s="28" t="s">
        <v>843</v>
      </c>
      <c r="G353" s="25"/>
      <c r="H353" s="25" t="s">
        <v>31</v>
      </c>
      <c r="I353" s="25"/>
      <c r="J353" s="25"/>
      <c r="K353" s="25">
        <v>0.1</v>
      </c>
      <c r="L353" s="25">
        <v>0.1</v>
      </c>
      <c r="M353" s="25" t="s">
        <v>812</v>
      </c>
      <c r="N353" s="25" t="s">
        <v>33</v>
      </c>
      <c r="O353" s="25">
        <f t="shared" si="36"/>
        <v>2.8800000000000003</v>
      </c>
      <c r="P353" s="25">
        <f t="shared" si="37"/>
        <v>3.3600000000000003</v>
      </c>
      <c r="Q353" s="25">
        <f t="shared" si="38"/>
        <v>1.9200000000000004</v>
      </c>
      <c r="R353" s="25">
        <f t="shared" si="39"/>
        <v>1.4400000000000002</v>
      </c>
      <c r="S353" s="38">
        <v>9.6000000000000014</v>
      </c>
      <c r="T353" s="252">
        <v>105991.94</v>
      </c>
      <c r="U353" s="194">
        <v>10599.194000000001</v>
      </c>
      <c r="V353" s="9"/>
      <c r="W353" s="9"/>
      <c r="X353" s="25" t="s">
        <v>844</v>
      </c>
      <c r="Y353" s="25">
        <v>70792</v>
      </c>
      <c r="Z353" s="19" t="s">
        <v>755</v>
      </c>
      <c r="AA353" s="15" t="s">
        <v>843</v>
      </c>
      <c r="AB353" s="16">
        <v>6</v>
      </c>
      <c r="AC353" s="141"/>
      <c r="AD353" s="163"/>
      <c r="AE353" s="163"/>
      <c r="AF353" s="164"/>
      <c r="AG353" s="169">
        <f t="shared" si="42"/>
        <v>0.03</v>
      </c>
      <c r="AH353" s="184">
        <f t="shared" si="43"/>
        <v>3.4999999999999996E-2</v>
      </c>
      <c r="AI353" s="163"/>
      <c r="AJ353" s="164"/>
      <c r="AK353" s="141"/>
      <c r="AL353" s="163"/>
      <c r="AM353" s="72"/>
      <c r="AN353" s="127"/>
      <c r="AO353" s="126"/>
      <c r="AP353" s="72"/>
      <c r="AQ353" s="72"/>
      <c r="AR353" s="127"/>
      <c r="AS353" s="256" t="s">
        <v>757</v>
      </c>
    </row>
    <row r="354" spans="1:45" x14ac:dyDescent="0.25">
      <c r="A354" s="25">
        <v>351</v>
      </c>
      <c r="B354" s="25" t="s">
        <v>28</v>
      </c>
      <c r="C354" s="25" t="s">
        <v>753</v>
      </c>
      <c r="D354" s="25" t="s">
        <v>754</v>
      </c>
      <c r="E354" s="25"/>
      <c r="F354" s="28" t="s">
        <v>868</v>
      </c>
      <c r="G354" s="25"/>
      <c r="H354" s="25" t="s">
        <v>31</v>
      </c>
      <c r="I354" s="25"/>
      <c r="J354" s="25"/>
      <c r="K354" s="25">
        <v>8.5</v>
      </c>
      <c r="L354" s="25">
        <v>8.5</v>
      </c>
      <c r="M354" s="25" t="s">
        <v>812</v>
      </c>
      <c r="N354" s="25" t="s">
        <v>33</v>
      </c>
      <c r="O354" s="25">
        <f t="shared" si="36"/>
        <v>91.8</v>
      </c>
      <c r="P354" s="25">
        <f t="shared" si="37"/>
        <v>107.1</v>
      </c>
      <c r="Q354" s="25">
        <f t="shared" si="38"/>
        <v>61.2</v>
      </c>
      <c r="R354" s="25">
        <f t="shared" si="39"/>
        <v>45.9</v>
      </c>
      <c r="S354" s="38">
        <v>306</v>
      </c>
      <c r="T354" s="252">
        <v>105991.94</v>
      </c>
      <c r="U354" s="194">
        <v>900931.49</v>
      </c>
      <c r="V354" s="9"/>
      <c r="W354" s="9"/>
      <c r="X354" s="25" t="s">
        <v>869</v>
      </c>
      <c r="Y354" s="25">
        <v>70792</v>
      </c>
      <c r="Z354" s="19" t="s">
        <v>755</v>
      </c>
      <c r="AA354" s="15" t="s">
        <v>868</v>
      </c>
      <c r="AB354" s="16">
        <v>7</v>
      </c>
      <c r="AC354" s="141"/>
      <c r="AD354" s="163"/>
      <c r="AE354" s="163"/>
      <c r="AF354" s="164"/>
      <c r="AG354" s="169">
        <f t="shared" si="42"/>
        <v>2.5499999999999998</v>
      </c>
      <c r="AH354" s="184">
        <f t="shared" si="43"/>
        <v>2.9749999999999996</v>
      </c>
      <c r="AI354" s="163"/>
      <c r="AJ354" s="164"/>
      <c r="AK354" s="141"/>
      <c r="AL354" s="163"/>
      <c r="AM354" s="72"/>
      <c r="AN354" s="127"/>
      <c r="AO354" s="126"/>
      <c r="AP354" s="72"/>
      <c r="AQ354" s="72"/>
      <c r="AR354" s="127"/>
      <c r="AS354" s="256" t="s">
        <v>757</v>
      </c>
    </row>
    <row r="355" spans="1:45" ht="15.75" thickBot="1" x14ac:dyDescent="0.3">
      <c r="A355" s="25">
        <v>352</v>
      </c>
      <c r="B355" s="25" t="s">
        <v>28</v>
      </c>
      <c r="C355" s="25" t="s">
        <v>753</v>
      </c>
      <c r="D355" s="25" t="s">
        <v>754</v>
      </c>
      <c r="E355" s="25"/>
      <c r="F355" s="28" t="s">
        <v>847</v>
      </c>
      <c r="G355" s="25"/>
      <c r="H355" s="25" t="s">
        <v>31</v>
      </c>
      <c r="I355" s="25"/>
      <c r="J355" s="25"/>
      <c r="K355" s="25">
        <v>0.2</v>
      </c>
      <c r="L355" s="25">
        <v>0.2</v>
      </c>
      <c r="M355" s="25" t="s">
        <v>812</v>
      </c>
      <c r="N355" s="25" t="s">
        <v>33</v>
      </c>
      <c r="O355" s="25">
        <f t="shared" si="36"/>
        <v>5.1599999999999993</v>
      </c>
      <c r="P355" s="25">
        <f t="shared" si="37"/>
        <v>6.02</v>
      </c>
      <c r="Q355" s="25">
        <f t="shared" si="38"/>
        <v>3.44</v>
      </c>
      <c r="R355" s="25">
        <f t="shared" si="39"/>
        <v>2.5799999999999996</v>
      </c>
      <c r="S355" s="38">
        <v>17.2</v>
      </c>
      <c r="T355" s="252">
        <v>105991.94</v>
      </c>
      <c r="U355" s="194">
        <v>21198.388000000003</v>
      </c>
      <c r="V355" s="9"/>
      <c r="W355" s="9"/>
      <c r="X355" s="25" t="s">
        <v>848</v>
      </c>
      <c r="Y355" s="25">
        <v>70792</v>
      </c>
      <c r="Z355" s="19" t="s">
        <v>755</v>
      </c>
      <c r="AA355" s="15" t="s">
        <v>847</v>
      </c>
      <c r="AB355" s="16">
        <v>8</v>
      </c>
      <c r="AC355" s="158"/>
      <c r="AD355" s="167"/>
      <c r="AE355" s="167"/>
      <c r="AF355" s="168"/>
      <c r="AG355" s="169">
        <f t="shared" si="42"/>
        <v>0.06</v>
      </c>
      <c r="AH355" s="184">
        <f t="shared" si="43"/>
        <v>6.9999999999999993E-2</v>
      </c>
      <c r="AI355" s="167"/>
      <c r="AJ355" s="168"/>
      <c r="AK355" s="158"/>
      <c r="AL355" s="167"/>
      <c r="AM355" s="128"/>
      <c r="AN355" s="129"/>
      <c r="AO355" s="258"/>
      <c r="AP355" s="128"/>
      <c r="AQ355" s="128"/>
      <c r="AR355" s="129"/>
      <c r="AS355" s="256" t="s">
        <v>849</v>
      </c>
    </row>
  </sheetData>
  <autoFilter ref="A3:Y355" xr:uid="{00000000-0009-0000-0000-000007000000}">
    <filterColumn colId="24">
      <colorFilter dxfId="7"/>
    </filterColumn>
  </autoFilter>
  <mergeCells count="5">
    <mergeCell ref="AW8:AX8"/>
    <mergeCell ref="AC1:AF1"/>
    <mergeCell ref="AG1:AJ1"/>
    <mergeCell ref="AK1:AN1"/>
    <mergeCell ref="AO1:AR1"/>
  </mergeCells>
  <conditionalFormatting sqref="E1:E3">
    <cfRule type="duplicateValues" dxfId="38" priority="2"/>
  </conditionalFormatting>
  <conditionalFormatting sqref="F1:F3">
    <cfRule type="duplicateValues" dxfId="37" priority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/>
  <dimension ref="A1:AQ361"/>
  <sheetViews>
    <sheetView zoomScale="70" zoomScaleNormal="70" workbookViewId="0">
      <pane ySplit="3" topLeftCell="A192" activePane="bottomLeft" state="frozen"/>
      <selection pane="bottomLeft" activeCell="Y14" sqref="Y14:Y340"/>
    </sheetView>
  </sheetViews>
  <sheetFormatPr defaultRowHeight="15" x14ac:dyDescent="0.25"/>
  <cols>
    <col min="1" max="1" width="5" customWidth="1"/>
    <col min="2" max="2" width="8.28515625" customWidth="1"/>
    <col min="3" max="3" width="26.7109375" hidden="1" customWidth="1"/>
    <col min="4" max="4" width="28" hidden="1" customWidth="1"/>
    <col min="5" max="5" width="14.42578125" hidden="1" customWidth="1"/>
    <col min="6" max="6" width="40.28515625" customWidth="1"/>
    <col min="7" max="7" width="15.28515625" hidden="1" customWidth="1"/>
    <col min="8" max="8" width="0.28515625" customWidth="1"/>
    <col min="9" max="9" width="28.28515625" customWidth="1"/>
    <col min="10" max="10" width="7.5703125" hidden="1" customWidth="1"/>
    <col min="11" max="12" width="11.7109375" customWidth="1"/>
    <col min="13" max="13" width="7.140625" bestFit="1" customWidth="1"/>
    <col min="14" max="14" width="7.28515625" bestFit="1" customWidth="1"/>
    <col min="15" max="15" width="6.28515625" customWidth="1"/>
    <col min="16" max="16" width="5.42578125" customWidth="1"/>
    <col min="17" max="17" width="5.28515625" customWidth="1"/>
    <col min="18" max="18" width="5" customWidth="1"/>
    <col min="19" max="19" width="10.28515625" customWidth="1"/>
    <col min="20" max="20" width="18.5703125" hidden="1" customWidth="1"/>
    <col min="21" max="21" width="22.7109375" hidden="1" customWidth="1"/>
    <col min="22" max="22" width="11.85546875" hidden="1" customWidth="1"/>
    <col min="23" max="23" width="14.7109375" hidden="1" customWidth="1"/>
    <col min="24" max="24" width="12.28515625" bestFit="1" customWidth="1"/>
    <col min="25" max="25" width="12" customWidth="1"/>
    <col min="26" max="26" width="10.140625" hidden="1" customWidth="1"/>
    <col min="27" max="27" width="61.28515625" hidden="1" customWidth="1"/>
    <col min="28" max="28" width="10.42578125" hidden="1" customWidth="1"/>
    <col min="29" max="29" width="7.28515625" bestFit="1" customWidth="1"/>
    <col min="30" max="30" width="4.85546875" hidden="1" customWidth="1"/>
    <col min="31" max="31" width="23.28515625" hidden="1" customWidth="1"/>
    <col min="32" max="35" width="7.5703125" style="32" hidden="1" customWidth="1"/>
    <col min="36" max="43" width="7.5703125" style="32" customWidth="1"/>
  </cols>
  <sheetData>
    <row r="1" spans="1:43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06"/>
      <c r="J1" s="1" t="s">
        <v>750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259</v>
      </c>
      <c r="P1" s="1" t="s">
        <v>259</v>
      </c>
      <c r="Q1" s="1" t="s">
        <v>259</v>
      </c>
      <c r="R1" s="1" t="s">
        <v>259</v>
      </c>
      <c r="S1" s="247" t="s">
        <v>13</v>
      </c>
      <c r="T1" s="1" t="s">
        <v>14</v>
      </c>
      <c r="U1" s="1" t="s">
        <v>15</v>
      </c>
      <c r="V1" s="2" t="s">
        <v>16</v>
      </c>
      <c r="W1" s="2" t="s">
        <v>17</v>
      </c>
      <c r="X1" s="3" t="s">
        <v>18</v>
      </c>
      <c r="Y1" s="1" t="s">
        <v>19</v>
      </c>
      <c r="Z1" s="1" t="s">
        <v>20</v>
      </c>
      <c r="AA1" s="4" t="s">
        <v>21</v>
      </c>
      <c r="AB1" s="5" t="s">
        <v>22</v>
      </c>
      <c r="AC1" s="257" t="s">
        <v>23</v>
      </c>
      <c r="AD1" s="134" t="s">
        <v>24</v>
      </c>
      <c r="AE1" s="306"/>
      <c r="AF1" s="452" t="s">
        <v>646</v>
      </c>
      <c r="AG1" s="453"/>
      <c r="AH1" s="453"/>
      <c r="AI1" s="454"/>
      <c r="AJ1" s="452" t="s">
        <v>979</v>
      </c>
      <c r="AK1" s="453"/>
      <c r="AL1" s="453"/>
      <c r="AM1" s="454"/>
      <c r="AN1" s="452" t="s">
        <v>1145</v>
      </c>
      <c r="AO1" s="453"/>
      <c r="AP1" s="453"/>
      <c r="AQ1" s="454"/>
    </row>
    <row r="2" spans="1:43" x14ac:dyDescent="0.25">
      <c r="A2" s="287"/>
      <c r="B2" s="287"/>
      <c r="C2" s="287"/>
      <c r="D2" s="287"/>
      <c r="E2" s="307"/>
      <c r="F2" s="287"/>
      <c r="G2" s="287"/>
      <c r="H2" s="287"/>
      <c r="I2" s="219"/>
      <c r="J2" s="287"/>
      <c r="K2" s="287"/>
      <c r="L2" s="308">
        <f>SUM(L4:L361)</f>
        <v>48.365999999999758</v>
      </c>
      <c r="M2" s="287"/>
      <c r="N2" s="287"/>
      <c r="O2" s="133">
        <v>0.3</v>
      </c>
      <c r="P2" s="133">
        <v>0.35</v>
      </c>
      <c r="Q2" s="133">
        <v>0.2</v>
      </c>
      <c r="R2" s="133">
        <v>0.15</v>
      </c>
      <c r="S2" s="308">
        <f>SUM(S4:S361)</f>
        <v>2769.9909999999786</v>
      </c>
      <c r="T2" s="309"/>
      <c r="U2" s="310">
        <f>SUM(U4:U361)</f>
        <v>5126406.1700399751</v>
      </c>
      <c r="V2" s="307"/>
      <c r="W2" s="307"/>
      <c r="X2" s="311"/>
      <c r="Y2" s="287"/>
      <c r="Z2" s="287"/>
      <c r="AA2" s="312"/>
      <c r="AB2" s="313"/>
      <c r="AC2" s="314"/>
      <c r="AD2" s="315"/>
      <c r="AE2" s="219"/>
      <c r="AF2" s="36">
        <v>0.3</v>
      </c>
      <c r="AG2" s="36">
        <v>0.35</v>
      </c>
      <c r="AH2" s="36">
        <v>0.2</v>
      </c>
      <c r="AI2" s="36">
        <v>0.15</v>
      </c>
      <c r="AJ2" s="36">
        <v>0.3</v>
      </c>
      <c r="AK2" s="36">
        <v>0.35</v>
      </c>
      <c r="AL2" s="36">
        <v>0.2</v>
      </c>
      <c r="AM2" s="36">
        <v>0.15</v>
      </c>
      <c r="AN2" s="36">
        <v>0.3</v>
      </c>
      <c r="AO2" s="36">
        <v>0.35</v>
      </c>
      <c r="AP2" s="36">
        <v>0.2</v>
      </c>
      <c r="AQ2" s="36">
        <v>0.15</v>
      </c>
    </row>
    <row r="3" spans="1:43" x14ac:dyDescent="0.25">
      <c r="A3" s="287"/>
      <c r="B3" s="287"/>
      <c r="C3" s="287"/>
      <c r="D3" s="287"/>
      <c r="E3" s="307"/>
      <c r="F3" s="287"/>
      <c r="G3" s="287"/>
      <c r="H3" s="287"/>
      <c r="I3" s="219"/>
      <c r="J3" s="287"/>
      <c r="K3" s="287"/>
      <c r="L3" s="308"/>
      <c r="M3" s="287"/>
      <c r="N3" s="287"/>
      <c r="O3" s="287"/>
      <c r="P3" s="287"/>
      <c r="Q3" s="287"/>
      <c r="R3" s="287"/>
      <c r="S3" s="308"/>
      <c r="T3" s="309"/>
      <c r="U3" s="310"/>
      <c r="V3" s="307"/>
      <c r="W3" s="307"/>
      <c r="X3" s="311"/>
      <c r="Y3" s="287"/>
      <c r="Z3" s="287"/>
      <c r="AA3" s="312"/>
      <c r="AB3" s="313"/>
      <c r="AC3" s="314"/>
      <c r="AD3" s="315"/>
      <c r="AE3" s="219"/>
      <c r="AF3" s="91">
        <f>SUM(AF4:AF361)</f>
        <v>6.4806000000000035</v>
      </c>
      <c r="AG3" s="91">
        <f t="shared" ref="AG3:AL3" si="0">SUM(AG4:AG361)</f>
        <v>0</v>
      </c>
      <c r="AH3" s="91">
        <f t="shared" si="0"/>
        <v>0</v>
      </c>
      <c r="AI3" s="91">
        <f t="shared" si="0"/>
        <v>0</v>
      </c>
      <c r="AJ3" s="91">
        <f t="shared" si="0"/>
        <v>0.75600000000000023</v>
      </c>
      <c r="AK3" s="91">
        <f t="shared" si="0"/>
        <v>1.9320000000000002</v>
      </c>
      <c r="AL3" s="91">
        <f t="shared" si="0"/>
        <v>0</v>
      </c>
      <c r="AM3" s="91">
        <f>SUM(AM4:AM361)</f>
        <v>0</v>
      </c>
      <c r="AN3" s="91">
        <f t="shared" ref="AN3:AP3" si="1">SUM(AN4:AN361)</f>
        <v>0</v>
      </c>
      <c r="AO3" s="91">
        <f t="shared" si="1"/>
        <v>0</v>
      </c>
      <c r="AP3" s="91">
        <f t="shared" si="1"/>
        <v>0</v>
      </c>
      <c r="AQ3" s="91">
        <f>SUM(AQ4:AQ361)</f>
        <v>0</v>
      </c>
    </row>
    <row r="4" spans="1:43" hidden="1" x14ac:dyDescent="0.25">
      <c r="A4" s="8">
        <v>1</v>
      </c>
      <c r="B4" s="8" t="s">
        <v>28</v>
      </c>
      <c r="C4" s="8" t="s">
        <v>980</v>
      </c>
      <c r="D4" s="8" t="s">
        <v>981</v>
      </c>
      <c r="E4" s="8"/>
      <c r="F4" s="8" t="s">
        <v>982</v>
      </c>
      <c r="G4" s="8"/>
      <c r="H4" s="8" t="s">
        <v>31</v>
      </c>
      <c r="I4" s="8" t="s">
        <v>984</v>
      </c>
      <c r="J4" s="8"/>
      <c r="K4" s="8">
        <v>0.126</v>
      </c>
      <c r="L4" s="8">
        <v>0.126</v>
      </c>
      <c r="M4" s="8">
        <v>1</v>
      </c>
      <c r="N4" s="8" t="s">
        <v>33</v>
      </c>
      <c r="O4" s="8">
        <f>S4*0.3</f>
        <v>2.1545999999999998</v>
      </c>
      <c r="P4" s="8">
        <f>S4*0.35</f>
        <v>2.5137</v>
      </c>
      <c r="Q4" s="8">
        <f>S4*0.2</f>
        <v>1.4364000000000001</v>
      </c>
      <c r="R4" s="8">
        <f>S4*0.15</f>
        <v>1.0772999999999999</v>
      </c>
      <c r="S4" s="37">
        <v>7.1820000000000004</v>
      </c>
      <c r="T4" s="8">
        <v>105991.94</v>
      </c>
      <c r="U4" s="8">
        <v>13354.98444</v>
      </c>
      <c r="V4" s="8"/>
      <c r="W4" s="8"/>
      <c r="X4" s="8" t="s">
        <v>983</v>
      </c>
      <c r="Y4" s="8">
        <v>73007</v>
      </c>
      <c r="Z4" s="8">
        <v>6.18</v>
      </c>
      <c r="AA4" s="8" t="s">
        <v>982</v>
      </c>
      <c r="AB4" s="8">
        <v>1</v>
      </c>
      <c r="AC4" s="8">
        <v>5839</v>
      </c>
      <c r="AD4" s="8"/>
      <c r="AE4" s="319" t="s">
        <v>984</v>
      </c>
      <c r="AF4" s="92"/>
      <c r="AG4" s="100"/>
      <c r="AH4" s="100"/>
      <c r="AI4" s="111"/>
      <c r="AJ4" s="122"/>
      <c r="AK4" s="123"/>
      <c r="AL4" s="123"/>
      <c r="AM4" s="93"/>
      <c r="AN4" s="122"/>
      <c r="AO4" s="123"/>
      <c r="AP4" s="123"/>
      <c r="AQ4" s="93"/>
    </row>
    <row r="5" spans="1:43" hidden="1" x14ac:dyDescent="0.25">
      <c r="A5" s="8">
        <v>2</v>
      </c>
      <c r="B5" s="8" t="s">
        <v>28</v>
      </c>
      <c r="C5" s="8" t="s">
        <v>980</v>
      </c>
      <c r="D5" s="8" t="s">
        <v>981</v>
      </c>
      <c r="E5" s="8"/>
      <c r="F5" s="8" t="s">
        <v>982</v>
      </c>
      <c r="G5" s="8"/>
      <c r="H5" s="8" t="s">
        <v>31</v>
      </c>
      <c r="I5" s="8" t="s">
        <v>984</v>
      </c>
      <c r="J5" s="8"/>
      <c r="K5" s="8">
        <v>0.126</v>
      </c>
      <c r="L5" s="8">
        <v>0.126</v>
      </c>
      <c r="M5" s="8">
        <v>1</v>
      </c>
      <c r="N5" s="8" t="s">
        <v>33</v>
      </c>
      <c r="O5" s="8">
        <f>S5*0.3</f>
        <v>2.1545999999999998</v>
      </c>
      <c r="P5" s="8">
        <f>S5*0.35</f>
        <v>2.5137</v>
      </c>
      <c r="Q5" s="8">
        <f>S5*0.2</f>
        <v>1.4364000000000001</v>
      </c>
      <c r="R5" s="8">
        <f>S5*0.15</f>
        <v>1.0772999999999999</v>
      </c>
      <c r="S5" s="37">
        <v>7.1820000000000004</v>
      </c>
      <c r="T5" s="8">
        <v>105991.94</v>
      </c>
      <c r="U5" s="8">
        <v>13354.98444</v>
      </c>
      <c r="V5" s="8"/>
      <c r="W5" s="8"/>
      <c r="X5" s="8" t="s">
        <v>983</v>
      </c>
      <c r="Y5" s="8">
        <v>73007</v>
      </c>
      <c r="Z5" s="8">
        <v>6.18</v>
      </c>
      <c r="AA5" s="8" t="s">
        <v>982</v>
      </c>
      <c r="AB5" s="8">
        <v>2</v>
      </c>
      <c r="AC5" s="8">
        <v>5839</v>
      </c>
      <c r="AD5" s="8"/>
      <c r="AE5" s="319" t="s">
        <v>984</v>
      </c>
      <c r="AF5" s="94"/>
      <c r="AG5" s="90"/>
      <c r="AH5" s="90"/>
      <c r="AI5" s="112"/>
      <c r="AJ5" s="124"/>
      <c r="AK5" s="34"/>
      <c r="AL5" s="34"/>
      <c r="AM5" s="95"/>
      <c r="AN5" s="124"/>
      <c r="AO5" s="34"/>
      <c r="AP5" s="34"/>
      <c r="AQ5" s="95"/>
    </row>
    <row r="6" spans="1:43" hidden="1" x14ac:dyDescent="0.25">
      <c r="A6" s="8">
        <v>3</v>
      </c>
      <c r="B6" s="8" t="s">
        <v>28</v>
      </c>
      <c r="C6" s="8" t="s">
        <v>980</v>
      </c>
      <c r="D6" s="8" t="s">
        <v>981</v>
      </c>
      <c r="E6" s="8"/>
      <c r="F6" s="8" t="s">
        <v>982</v>
      </c>
      <c r="G6" s="8"/>
      <c r="H6" s="8" t="s">
        <v>31</v>
      </c>
      <c r="I6" s="8" t="s">
        <v>984</v>
      </c>
      <c r="J6" s="8"/>
      <c r="K6" s="8">
        <v>0.126</v>
      </c>
      <c r="L6" s="8">
        <v>0.126</v>
      </c>
      <c r="M6" s="8">
        <v>1</v>
      </c>
      <c r="N6" s="8" t="s">
        <v>33</v>
      </c>
      <c r="O6" s="8">
        <f t="shared" ref="O6:O69" si="2">S6*0.3</f>
        <v>2.1545999999999998</v>
      </c>
      <c r="P6" s="8">
        <f t="shared" ref="P6:P69" si="3">S6*0.35</f>
        <v>2.5137</v>
      </c>
      <c r="Q6" s="8">
        <f t="shared" ref="Q6:Q69" si="4">S6*0.2</f>
        <v>1.4364000000000001</v>
      </c>
      <c r="R6" s="8">
        <f t="shared" ref="R6:R69" si="5">S6*0.15</f>
        <v>1.0772999999999999</v>
      </c>
      <c r="S6" s="37">
        <v>7.1820000000000004</v>
      </c>
      <c r="T6" s="8">
        <v>105991.94</v>
      </c>
      <c r="U6" s="8">
        <v>13354.98444</v>
      </c>
      <c r="V6" s="8"/>
      <c r="W6" s="8"/>
      <c r="X6" s="8" t="s">
        <v>983</v>
      </c>
      <c r="Y6" s="8">
        <v>73007</v>
      </c>
      <c r="Z6" s="8">
        <v>6.18</v>
      </c>
      <c r="AA6" s="8" t="s">
        <v>982</v>
      </c>
      <c r="AB6" s="8">
        <v>3</v>
      </c>
      <c r="AC6" s="8">
        <v>5839</v>
      </c>
      <c r="AD6" s="8"/>
      <c r="AE6" s="319" t="s">
        <v>984</v>
      </c>
      <c r="AF6" s="51"/>
      <c r="AG6" s="48"/>
      <c r="AH6" s="48"/>
      <c r="AI6" s="49"/>
      <c r="AJ6" s="58"/>
      <c r="AK6" s="42"/>
      <c r="AL6" s="42"/>
      <c r="AM6" s="59"/>
      <c r="AN6" s="58"/>
      <c r="AO6" s="42"/>
      <c r="AP6" s="42"/>
      <c r="AQ6" s="59"/>
    </row>
    <row r="7" spans="1:43" hidden="1" x14ac:dyDescent="0.25">
      <c r="A7" s="8">
        <v>4</v>
      </c>
      <c r="B7" s="8" t="s">
        <v>28</v>
      </c>
      <c r="C7" s="8" t="s">
        <v>980</v>
      </c>
      <c r="D7" s="8" t="s">
        <v>981</v>
      </c>
      <c r="E7" s="8"/>
      <c r="F7" s="8" t="s">
        <v>982</v>
      </c>
      <c r="G7" s="8"/>
      <c r="H7" s="8" t="s">
        <v>31</v>
      </c>
      <c r="I7" s="8" t="s">
        <v>984</v>
      </c>
      <c r="J7" s="8"/>
      <c r="K7" s="8">
        <v>0.126</v>
      </c>
      <c r="L7" s="8">
        <v>0.126</v>
      </c>
      <c r="M7" s="8">
        <v>1</v>
      </c>
      <c r="N7" s="8" t="s">
        <v>33</v>
      </c>
      <c r="O7" s="8">
        <f t="shared" si="2"/>
        <v>2.1545999999999998</v>
      </c>
      <c r="P7" s="8">
        <f t="shared" si="3"/>
        <v>2.5137</v>
      </c>
      <c r="Q7" s="8">
        <f t="shared" si="4"/>
        <v>1.4364000000000001</v>
      </c>
      <c r="R7" s="8">
        <f t="shared" si="5"/>
        <v>1.0772999999999999</v>
      </c>
      <c r="S7" s="37">
        <v>7.1820000000000004</v>
      </c>
      <c r="T7" s="8">
        <v>105991.94</v>
      </c>
      <c r="U7" s="8">
        <v>13354.98444</v>
      </c>
      <c r="V7" s="8"/>
      <c r="W7" s="8"/>
      <c r="X7" s="8" t="s">
        <v>983</v>
      </c>
      <c r="Y7" s="8">
        <v>73007</v>
      </c>
      <c r="Z7" s="8">
        <v>6.18</v>
      </c>
      <c r="AA7" s="8" t="s">
        <v>982</v>
      </c>
      <c r="AB7" s="8">
        <v>4</v>
      </c>
      <c r="AC7" s="8">
        <v>5839</v>
      </c>
      <c r="AD7" s="8"/>
      <c r="AE7" s="319" t="s">
        <v>984</v>
      </c>
      <c r="AF7" s="51"/>
      <c r="AG7" s="48"/>
      <c r="AH7" s="48"/>
      <c r="AI7" s="49"/>
      <c r="AJ7" s="58"/>
      <c r="AK7" s="42"/>
      <c r="AL7" s="42"/>
      <c r="AM7" s="59"/>
      <c r="AN7" s="58"/>
      <c r="AO7" s="42"/>
      <c r="AP7" s="42"/>
      <c r="AQ7" s="59"/>
    </row>
    <row r="8" spans="1:43" hidden="1" x14ac:dyDescent="0.25">
      <c r="A8" s="8">
        <v>5</v>
      </c>
      <c r="B8" s="8" t="s">
        <v>28</v>
      </c>
      <c r="C8" s="8" t="s">
        <v>980</v>
      </c>
      <c r="D8" s="8" t="s">
        <v>981</v>
      </c>
      <c r="E8" s="8"/>
      <c r="F8" s="8" t="s">
        <v>982</v>
      </c>
      <c r="G8" s="8"/>
      <c r="H8" s="8" t="s">
        <v>31</v>
      </c>
      <c r="I8" s="8" t="s">
        <v>984</v>
      </c>
      <c r="J8" s="8"/>
      <c r="K8" s="8">
        <v>0.126</v>
      </c>
      <c r="L8" s="8">
        <v>0.126</v>
      </c>
      <c r="M8" s="8">
        <v>1</v>
      </c>
      <c r="N8" s="8" t="s">
        <v>33</v>
      </c>
      <c r="O8" s="8">
        <f t="shared" si="2"/>
        <v>2.1545999999999998</v>
      </c>
      <c r="P8" s="8">
        <f t="shared" si="3"/>
        <v>2.5137</v>
      </c>
      <c r="Q8" s="8">
        <f t="shared" si="4"/>
        <v>1.4364000000000001</v>
      </c>
      <c r="R8" s="8">
        <f t="shared" si="5"/>
        <v>1.0772999999999999</v>
      </c>
      <c r="S8" s="37">
        <v>7.1820000000000004</v>
      </c>
      <c r="T8" s="8">
        <v>105991.94</v>
      </c>
      <c r="U8" s="8">
        <v>13354.98444</v>
      </c>
      <c r="V8" s="8"/>
      <c r="W8" s="8"/>
      <c r="X8" s="8" t="s">
        <v>983</v>
      </c>
      <c r="Y8" s="8">
        <v>73007</v>
      </c>
      <c r="Z8" s="8">
        <v>6.18</v>
      </c>
      <c r="AA8" s="8" t="s">
        <v>982</v>
      </c>
      <c r="AB8" s="8">
        <v>5</v>
      </c>
      <c r="AC8" s="8">
        <v>5839</v>
      </c>
      <c r="AD8" s="8"/>
      <c r="AE8" s="319" t="s">
        <v>984</v>
      </c>
      <c r="AF8" s="51"/>
      <c r="AG8" s="48"/>
      <c r="AH8" s="48"/>
      <c r="AI8" s="49"/>
      <c r="AJ8" s="58"/>
      <c r="AK8" s="42"/>
      <c r="AL8" s="42"/>
      <c r="AM8" s="59"/>
      <c r="AN8" s="58"/>
      <c r="AO8" s="42"/>
      <c r="AP8" s="42"/>
      <c r="AQ8" s="59"/>
    </row>
    <row r="9" spans="1:43" hidden="1" x14ac:dyDescent="0.25">
      <c r="A9" s="8">
        <v>6</v>
      </c>
      <c r="B9" s="8" t="s">
        <v>28</v>
      </c>
      <c r="C9" s="8" t="s">
        <v>980</v>
      </c>
      <c r="D9" s="8" t="s">
        <v>981</v>
      </c>
      <c r="E9" s="8"/>
      <c r="F9" s="8" t="s">
        <v>982</v>
      </c>
      <c r="G9" s="8"/>
      <c r="H9" s="8" t="s">
        <v>31</v>
      </c>
      <c r="I9" s="8" t="s">
        <v>984</v>
      </c>
      <c r="J9" s="8"/>
      <c r="K9" s="8">
        <v>0.126</v>
      </c>
      <c r="L9" s="8">
        <v>0.126</v>
      </c>
      <c r="M9" s="8">
        <v>1</v>
      </c>
      <c r="N9" s="8" t="s">
        <v>33</v>
      </c>
      <c r="O9" s="8">
        <f t="shared" si="2"/>
        <v>2.1545999999999998</v>
      </c>
      <c r="P9" s="8">
        <f t="shared" si="3"/>
        <v>2.5137</v>
      </c>
      <c r="Q9" s="8">
        <f t="shared" si="4"/>
        <v>1.4364000000000001</v>
      </c>
      <c r="R9" s="8">
        <f t="shared" si="5"/>
        <v>1.0772999999999999</v>
      </c>
      <c r="S9" s="37">
        <v>7.1820000000000004</v>
      </c>
      <c r="T9" s="8">
        <v>105991.94</v>
      </c>
      <c r="U9" s="8">
        <v>13354.98444</v>
      </c>
      <c r="V9" s="8"/>
      <c r="W9" s="8"/>
      <c r="X9" s="8" t="s">
        <v>983</v>
      </c>
      <c r="Y9" s="8">
        <v>73007</v>
      </c>
      <c r="Z9" s="8">
        <v>6.18</v>
      </c>
      <c r="AA9" s="8" t="s">
        <v>982</v>
      </c>
      <c r="AB9" s="8">
        <v>6</v>
      </c>
      <c r="AC9" s="8">
        <v>5839</v>
      </c>
      <c r="AD9" s="8"/>
      <c r="AE9" s="319" t="s">
        <v>984</v>
      </c>
      <c r="AF9" s="51"/>
      <c r="AG9" s="48"/>
      <c r="AH9" s="48"/>
      <c r="AI9" s="49"/>
      <c r="AJ9" s="58"/>
      <c r="AK9" s="42"/>
      <c r="AL9" s="42"/>
      <c r="AM9" s="59"/>
      <c r="AN9" s="58"/>
      <c r="AO9" s="42"/>
      <c r="AP9" s="42"/>
      <c r="AQ9" s="59"/>
    </row>
    <row r="10" spans="1:43" hidden="1" x14ac:dyDescent="0.25">
      <c r="A10" s="8">
        <v>7</v>
      </c>
      <c r="B10" s="8" t="s">
        <v>28</v>
      </c>
      <c r="C10" s="8" t="s">
        <v>980</v>
      </c>
      <c r="D10" s="8" t="s">
        <v>981</v>
      </c>
      <c r="E10" s="8"/>
      <c r="F10" s="8" t="s">
        <v>982</v>
      </c>
      <c r="G10" s="8"/>
      <c r="H10" s="8" t="s">
        <v>31</v>
      </c>
      <c r="I10" s="8" t="s">
        <v>984</v>
      </c>
      <c r="J10" s="8"/>
      <c r="K10" s="8">
        <v>0.126</v>
      </c>
      <c r="L10" s="8">
        <v>0.126</v>
      </c>
      <c r="M10" s="8">
        <v>1</v>
      </c>
      <c r="N10" s="8" t="s">
        <v>33</v>
      </c>
      <c r="O10" s="8">
        <f t="shared" si="2"/>
        <v>2.1545999999999998</v>
      </c>
      <c r="P10" s="8">
        <f t="shared" si="3"/>
        <v>2.5137</v>
      </c>
      <c r="Q10" s="8">
        <f t="shared" si="4"/>
        <v>1.4364000000000001</v>
      </c>
      <c r="R10" s="8">
        <f t="shared" si="5"/>
        <v>1.0772999999999999</v>
      </c>
      <c r="S10" s="37">
        <v>7.1820000000000004</v>
      </c>
      <c r="T10" s="8">
        <v>105991.94</v>
      </c>
      <c r="U10" s="8">
        <v>13354.98444</v>
      </c>
      <c r="V10" s="8"/>
      <c r="W10" s="8"/>
      <c r="X10" s="8" t="s">
        <v>983</v>
      </c>
      <c r="Y10" s="8">
        <v>73007</v>
      </c>
      <c r="Z10" s="8">
        <v>6.18</v>
      </c>
      <c r="AA10" s="8" t="s">
        <v>982</v>
      </c>
      <c r="AB10" s="8">
        <v>7</v>
      </c>
      <c r="AC10" s="8">
        <v>5839</v>
      </c>
      <c r="AD10" s="8"/>
      <c r="AE10" s="319" t="s">
        <v>984</v>
      </c>
      <c r="AF10" s="51"/>
      <c r="AG10" s="48"/>
      <c r="AH10" s="48"/>
      <c r="AI10" s="49"/>
      <c r="AJ10" s="58"/>
      <c r="AK10" s="42"/>
      <c r="AL10" s="42"/>
      <c r="AM10" s="59"/>
      <c r="AN10" s="58"/>
      <c r="AO10" s="42"/>
      <c r="AP10" s="42"/>
      <c r="AQ10" s="59"/>
    </row>
    <row r="11" spans="1:43" hidden="1" x14ac:dyDescent="0.25">
      <c r="A11" s="8">
        <v>8</v>
      </c>
      <c r="B11" s="8" t="s">
        <v>28</v>
      </c>
      <c r="C11" s="8" t="s">
        <v>980</v>
      </c>
      <c r="D11" s="8" t="s">
        <v>981</v>
      </c>
      <c r="E11" s="8"/>
      <c r="F11" s="8" t="s">
        <v>982</v>
      </c>
      <c r="G11" s="8"/>
      <c r="H11" s="8" t="s">
        <v>31</v>
      </c>
      <c r="I11" s="8" t="s">
        <v>984</v>
      </c>
      <c r="J11" s="8"/>
      <c r="K11" s="8">
        <v>0.126</v>
      </c>
      <c r="L11" s="8">
        <v>0.126</v>
      </c>
      <c r="M11" s="8">
        <v>1</v>
      </c>
      <c r="N11" s="8" t="s">
        <v>33</v>
      </c>
      <c r="O11" s="8">
        <f t="shared" si="2"/>
        <v>2.1545999999999998</v>
      </c>
      <c r="P11" s="8">
        <f t="shared" si="3"/>
        <v>2.5137</v>
      </c>
      <c r="Q11" s="8">
        <f t="shared" si="4"/>
        <v>1.4364000000000001</v>
      </c>
      <c r="R11" s="8">
        <f t="shared" si="5"/>
        <v>1.0772999999999999</v>
      </c>
      <c r="S11" s="37">
        <v>7.1820000000000004</v>
      </c>
      <c r="T11" s="8">
        <v>105991.94</v>
      </c>
      <c r="U11" s="8">
        <v>13354.98444</v>
      </c>
      <c r="V11" s="8"/>
      <c r="W11" s="8"/>
      <c r="X11" s="8" t="s">
        <v>983</v>
      </c>
      <c r="Y11" s="8">
        <v>73007</v>
      </c>
      <c r="Z11" s="8">
        <v>6.18</v>
      </c>
      <c r="AA11" s="8" t="s">
        <v>982</v>
      </c>
      <c r="AB11" s="8">
        <v>8</v>
      </c>
      <c r="AC11" s="8">
        <v>5839</v>
      </c>
      <c r="AD11" s="8"/>
      <c r="AE11" s="319" t="s">
        <v>984</v>
      </c>
      <c r="AF11" s="51"/>
      <c r="AG11" s="48"/>
      <c r="AH11" s="48"/>
      <c r="AI11" s="49"/>
      <c r="AJ11" s="58"/>
      <c r="AK11" s="42"/>
      <c r="AL11" s="42"/>
      <c r="AM11" s="59"/>
      <c r="AN11" s="58"/>
      <c r="AO11" s="42"/>
      <c r="AP11" s="42"/>
      <c r="AQ11" s="59"/>
    </row>
    <row r="12" spans="1:43" hidden="1" x14ac:dyDescent="0.25">
      <c r="A12" s="8">
        <v>9</v>
      </c>
      <c r="B12" s="8" t="s">
        <v>28</v>
      </c>
      <c r="C12" s="8" t="s">
        <v>980</v>
      </c>
      <c r="D12" s="8" t="s">
        <v>981</v>
      </c>
      <c r="E12" s="8"/>
      <c r="F12" s="8" t="s">
        <v>982</v>
      </c>
      <c r="G12" s="8"/>
      <c r="H12" s="8" t="s">
        <v>31</v>
      </c>
      <c r="I12" s="8" t="s">
        <v>984</v>
      </c>
      <c r="J12" s="8"/>
      <c r="K12" s="8">
        <v>0.126</v>
      </c>
      <c r="L12" s="8">
        <v>0.126</v>
      </c>
      <c r="M12" s="8">
        <v>1</v>
      </c>
      <c r="N12" s="8" t="s">
        <v>33</v>
      </c>
      <c r="O12" s="8">
        <f t="shared" si="2"/>
        <v>2.1545999999999998</v>
      </c>
      <c r="P12" s="8">
        <f t="shared" si="3"/>
        <v>2.5137</v>
      </c>
      <c r="Q12" s="8">
        <f t="shared" si="4"/>
        <v>1.4364000000000001</v>
      </c>
      <c r="R12" s="8">
        <f t="shared" si="5"/>
        <v>1.0772999999999999</v>
      </c>
      <c r="S12" s="37">
        <v>7.1820000000000004</v>
      </c>
      <c r="T12" s="8">
        <v>105991.94</v>
      </c>
      <c r="U12" s="8">
        <v>13354.98444</v>
      </c>
      <c r="V12" s="8"/>
      <c r="W12" s="8"/>
      <c r="X12" s="8" t="s">
        <v>983</v>
      </c>
      <c r="Y12" s="8">
        <v>73007</v>
      </c>
      <c r="Z12" s="8">
        <v>6.18</v>
      </c>
      <c r="AA12" s="8" t="s">
        <v>982</v>
      </c>
      <c r="AB12" s="8">
        <v>9</v>
      </c>
      <c r="AC12" s="8">
        <v>5839</v>
      </c>
      <c r="AD12" s="8"/>
      <c r="AE12" s="319" t="s">
        <v>984</v>
      </c>
      <c r="AF12" s="51"/>
      <c r="AG12" s="48"/>
      <c r="AH12" s="48"/>
      <c r="AI12" s="49"/>
      <c r="AJ12" s="58"/>
      <c r="AK12" s="42"/>
      <c r="AL12" s="42"/>
      <c r="AM12" s="59"/>
      <c r="AN12" s="58"/>
      <c r="AO12" s="42"/>
      <c r="AP12" s="42"/>
      <c r="AQ12" s="59"/>
    </row>
    <row r="13" spans="1:43" hidden="1" x14ac:dyDescent="0.25">
      <c r="A13" s="8">
        <v>10</v>
      </c>
      <c r="B13" s="8" t="s">
        <v>28</v>
      </c>
      <c r="C13" s="8" t="s">
        <v>980</v>
      </c>
      <c r="D13" s="8" t="s">
        <v>981</v>
      </c>
      <c r="E13" s="8"/>
      <c r="F13" s="8" t="s">
        <v>982</v>
      </c>
      <c r="G13" s="8"/>
      <c r="H13" s="8" t="s">
        <v>31</v>
      </c>
      <c r="I13" s="8" t="s">
        <v>984</v>
      </c>
      <c r="J13" s="8"/>
      <c r="K13" s="8">
        <v>0.126</v>
      </c>
      <c r="L13" s="8">
        <v>0.126</v>
      </c>
      <c r="M13" s="8">
        <v>1</v>
      </c>
      <c r="N13" s="8" t="s">
        <v>33</v>
      </c>
      <c r="O13" s="8">
        <f t="shared" si="2"/>
        <v>2.1545999999999998</v>
      </c>
      <c r="P13" s="8">
        <f t="shared" si="3"/>
        <v>2.5137</v>
      </c>
      <c r="Q13" s="8">
        <f t="shared" si="4"/>
        <v>1.4364000000000001</v>
      </c>
      <c r="R13" s="8">
        <f t="shared" si="5"/>
        <v>1.0772999999999999</v>
      </c>
      <c r="S13" s="37">
        <v>7.1820000000000004</v>
      </c>
      <c r="T13" s="8">
        <v>105991.94</v>
      </c>
      <c r="U13" s="8">
        <v>13354.98444</v>
      </c>
      <c r="V13" s="8"/>
      <c r="W13" s="8"/>
      <c r="X13" s="8" t="s">
        <v>983</v>
      </c>
      <c r="Y13" s="8">
        <v>73007</v>
      </c>
      <c r="Z13" s="8">
        <v>6.18</v>
      </c>
      <c r="AA13" s="8" t="s">
        <v>982</v>
      </c>
      <c r="AB13" s="8">
        <v>10</v>
      </c>
      <c r="AC13" s="8">
        <v>5839</v>
      </c>
      <c r="AD13" s="8"/>
      <c r="AE13" s="319" t="s">
        <v>984</v>
      </c>
      <c r="AF13" s="51"/>
      <c r="AG13" s="48"/>
      <c r="AH13" s="48"/>
      <c r="AI13" s="49"/>
      <c r="AJ13" s="58"/>
      <c r="AK13" s="42"/>
      <c r="AL13" s="42"/>
      <c r="AM13" s="59"/>
      <c r="AN13" s="58"/>
      <c r="AO13" s="42"/>
      <c r="AP13" s="42"/>
      <c r="AQ13" s="59"/>
    </row>
    <row r="14" spans="1:43" x14ac:dyDescent="0.25">
      <c r="A14" s="24">
        <v>11</v>
      </c>
      <c r="B14" s="24" t="s">
        <v>28</v>
      </c>
      <c r="C14" s="24" t="s">
        <v>980</v>
      </c>
      <c r="D14" s="24" t="s">
        <v>981</v>
      </c>
      <c r="E14" s="24"/>
      <c r="F14" s="24" t="s">
        <v>982</v>
      </c>
      <c r="G14" s="24"/>
      <c r="H14" s="24" t="s">
        <v>31</v>
      </c>
      <c r="I14" s="24" t="s">
        <v>984</v>
      </c>
      <c r="J14" s="24"/>
      <c r="K14" s="24">
        <v>0.126</v>
      </c>
      <c r="L14" s="24">
        <v>0.126</v>
      </c>
      <c r="M14" s="24">
        <v>1</v>
      </c>
      <c r="N14" s="24" t="s">
        <v>33</v>
      </c>
      <c r="O14" s="24">
        <f t="shared" si="2"/>
        <v>2.1545999999999998</v>
      </c>
      <c r="P14" s="24">
        <f t="shared" si="3"/>
        <v>2.5137</v>
      </c>
      <c r="Q14" s="24">
        <f t="shared" si="4"/>
        <v>1.4364000000000001</v>
      </c>
      <c r="R14" s="24">
        <f t="shared" si="5"/>
        <v>1.0772999999999999</v>
      </c>
      <c r="S14" s="37">
        <v>7.1820000000000004</v>
      </c>
      <c r="T14" s="8">
        <v>105991.94</v>
      </c>
      <c r="U14" s="8">
        <v>13354.98444</v>
      </c>
      <c r="V14" s="8"/>
      <c r="W14" s="8"/>
      <c r="X14" s="24" t="s">
        <v>983</v>
      </c>
      <c r="Y14" s="24">
        <v>73008</v>
      </c>
      <c r="Z14" s="8">
        <v>6.18</v>
      </c>
      <c r="AA14" s="8" t="s">
        <v>982</v>
      </c>
      <c r="AB14" s="8">
        <v>1</v>
      </c>
      <c r="AC14" s="24">
        <v>5839</v>
      </c>
      <c r="AD14" s="8"/>
      <c r="AE14" s="319" t="s">
        <v>984</v>
      </c>
      <c r="AF14" s="46">
        <f>L14*0.3</f>
        <v>3.78E-2</v>
      </c>
      <c r="AG14" s="48"/>
      <c r="AH14" s="48"/>
      <c r="AI14" s="49"/>
      <c r="AJ14" s="51"/>
      <c r="AK14" s="263"/>
      <c r="AL14" s="263"/>
      <c r="AM14" s="262"/>
      <c r="AN14" s="58"/>
      <c r="AO14" s="42"/>
      <c r="AP14" s="42"/>
      <c r="AQ14" s="59"/>
    </row>
    <row r="15" spans="1:43" x14ac:dyDescent="0.25">
      <c r="A15" s="24">
        <v>12</v>
      </c>
      <c r="B15" s="24" t="s">
        <v>28</v>
      </c>
      <c r="C15" s="24" t="s">
        <v>980</v>
      </c>
      <c r="D15" s="24" t="s">
        <v>981</v>
      </c>
      <c r="E15" s="24"/>
      <c r="F15" s="24" t="s">
        <v>982</v>
      </c>
      <c r="G15" s="24"/>
      <c r="H15" s="24" t="s">
        <v>31</v>
      </c>
      <c r="I15" s="24" t="s">
        <v>984</v>
      </c>
      <c r="J15" s="24"/>
      <c r="K15" s="24">
        <v>0.126</v>
      </c>
      <c r="L15" s="24">
        <v>0.126</v>
      </c>
      <c r="M15" s="24">
        <v>1</v>
      </c>
      <c r="N15" s="24" t="s">
        <v>33</v>
      </c>
      <c r="O15" s="24">
        <f t="shared" si="2"/>
        <v>2.1545999999999998</v>
      </c>
      <c r="P15" s="24">
        <f t="shared" si="3"/>
        <v>2.5137</v>
      </c>
      <c r="Q15" s="24">
        <f t="shared" si="4"/>
        <v>1.4364000000000001</v>
      </c>
      <c r="R15" s="24">
        <f t="shared" si="5"/>
        <v>1.0772999999999999</v>
      </c>
      <c r="S15" s="37">
        <v>7.1820000000000004</v>
      </c>
      <c r="T15" s="8">
        <v>105991.94</v>
      </c>
      <c r="U15" s="8">
        <v>13354.98444</v>
      </c>
      <c r="V15" s="8"/>
      <c r="W15" s="8"/>
      <c r="X15" s="24" t="s">
        <v>983</v>
      </c>
      <c r="Y15" s="24">
        <v>73008</v>
      </c>
      <c r="Z15" s="8">
        <v>6.18</v>
      </c>
      <c r="AA15" s="8" t="s">
        <v>982</v>
      </c>
      <c r="AB15" s="8">
        <v>2</v>
      </c>
      <c r="AC15" s="24">
        <v>5839</v>
      </c>
      <c r="AD15" s="8"/>
      <c r="AE15" s="319" t="s">
        <v>984</v>
      </c>
      <c r="AF15" s="46">
        <f t="shared" ref="AF15:AF33" si="6">L15*0.3</f>
        <v>3.78E-2</v>
      </c>
      <c r="AG15" s="48"/>
      <c r="AH15" s="48"/>
      <c r="AI15" s="49"/>
      <c r="AJ15" s="51"/>
      <c r="AK15" s="263"/>
      <c r="AL15" s="263"/>
      <c r="AM15" s="262"/>
      <c r="AN15" s="58"/>
      <c r="AO15" s="42"/>
      <c r="AP15" s="42"/>
      <c r="AQ15" s="59"/>
    </row>
    <row r="16" spans="1:43" x14ac:dyDescent="0.25">
      <c r="A16" s="24">
        <v>13</v>
      </c>
      <c r="B16" s="24" t="s">
        <v>28</v>
      </c>
      <c r="C16" s="24" t="s">
        <v>980</v>
      </c>
      <c r="D16" s="24" t="s">
        <v>981</v>
      </c>
      <c r="E16" s="24"/>
      <c r="F16" s="24" t="s">
        <v>982</v>
      </c>
      <c r="G16" s="24"/>
      <c r="H16" s="24" t="s">
        <v>31</v>
      </c>
      <c r="I16" s="24" t="s">
        <v>984</v>
      </c>
      <c r="J16" s="24"/>
      <c r="K16" s="24">
        <v>0.126</v>
      </c>
      <c r="L16" s="24">
        <v>0.126</v>
      </c>
      <c r="M16" s="24">
        <v>1</v>
      </c>
      <c r="N16" s="24" t="s">
        <v>33</v>
      </c>
      <c r="O16" s="24">
        <f t="shared" si="2"/>
        <v>2.1545999999999998</v>
      </c>
      <c r="P16" s="24">
        <f t="shared" si="3"/>
        <v>2.5137</v>
      </c>
      <c r="Q16" s="24">
        <f t="shared" si="4"/>
        <v>1.4364000000000001</v>
      </c>
      <c r="R16" s="24">
        <f t="shared" si="5"/>
        <v>1.0772999999999999</v>
      </c>
      <c r="S16" s="37">
        <v>7.1820000000000004</v>
      </c>
      <c r="T16" s="8">
        <v>105991.94</v>
      </c>
      <c r="U16" s="8">
        <v>13354.98444</v>
      </c>
      <c r="V16" s="8"/>
      <c r="W16" s="8"/>
      <c r="X16" s="24" t="s">
        <v>983</v>
      </c>
      <c r="Y16" s="24">
        <v>73008</v>
      </c>
      <c r="Z16" s="8">
        <v>6.18</v>
      </c>
      <c r="AA16" s="8" t="s">
        <v>982</v>
      </c>
      <c r="AB16" s="8">
        <v>3</v>
      </c>
      <c r="AC16" s="24">
        <v>5839</v>
      </c>
      <c r="AD16" s="8"/>
      <c r="AE16" s="319" t="s">
        <v>984</v>
      </c>
      <c r="AF16" s="46">
        <f t="shared" si="6"/>
        <v>3.78E-2</v>
      </c>
      <c r="AG16" s="48"/>
      <c r="AH16" s="48"/>
      <c r="AI16" s="49"/>
      <c r="AJ16" s="51"/>
      <c r="AK16" s="263"/>
      <c r="AL16" s="263"/>
      <c r="AM16" s="262"/>
      <c r="AN16" s="58"/>
      <c r="AO16" s="42"/>
      <c r="AP16" s="42"/>
      <c r="AQ16" s="59"/>
    </row>
    <row r="17" spans="1:43" x14ac:dyDescent="0.25">
      <c r="A17" s="24">
        <v>14</v>
      </c>
      <c r="B17" s="24" t="s">
        <v>28</v>
      </c>
      <c r="C17" s="24" t="s">
        <v>980</v>
      </c>
      <c r="D17" s="24" t="s">
        <v>981</v>
      </c>
      <c r="E17" s="24"/>
      <c r="F17" s="24" t="s">
        <v>982</v>
      </c>
      <c r="G17" s="24"/>
      <c r="H17" s="24" t="s">
        <v>31</v>
      </c>
      <c r="I17" s="24" t="s">
        <v>984</v>
      </c>
      <c r="J17" s="24"/>
      <c r="K17" s="24">
        <v>0.126</v>
      </c>
      <c r="L17" s="24">
        <v>0.126</v>
      </c>
      <c r="M17" s="24">
        <v>1</v>
      </c>
      <c r="N17" s="24" t="s">
        <v>33</v>
      </c>
      <c r="O17" s="24">
        <f t="shared" si="2"/>
        <v>2.1545999999999998</v>
      </c>
      <c r="P17" s="24">
        <f t="shared" si="3"/>
        <v>2.5137</v>
      </c>
      <c r="Q17" s="24">
        <f t="shared" si="4"/>
        <v>1.4364000000000001</v>
      </c>
      <c r="R17" s="24">
        <f t="shared" si="5"/>
        <v>1.0772999999999999</v>
      </c>
      <c r="S17" s="37">
        <v>7.1820000000000004</v>
      </c>
      <c r="T17" s="8">
        <v>105991.94</v>
      </c>
      <c r="U17" s="8">
        <v>13354.98444</v>
      </c>
      <c r="V17" s="8"/>
      <c r="W17" s="8"/>
      <c r="X17" s="24" t="s">
        <v>983</v>
      </c>
      <c r="Y17" s="24">
        <v>73008</v>
      </c>
      <c r="Z17" s="8">
        <v>6.18</v>
      </c>
      <c r="AA17" s="8" t="s">
        <v>982</v>
      </c>
      <c r="AB17" s="8">
        <v>4</v>
      </c>
      <c r="AC17" s="24">
        <v>5839</v>
      </c>
      <c r="AD17" s="8"/>
      <c r="AE17" s="319" t="s">
        <v>984</v>
      </c>
      <c r="AF17" s="46">
        <f t="shared" si="6"/>
        <v>3.78E-2</v>
      </c>
      <c r="AG17" s="48"/>
      <c r="AH17" s="48"/>
      <c r="AI17" s="49"/>
      <c r="AJ17" s="51"/>
      <c r="AK17" s="263"/>
      <c r="AL17" s="263"/>
      <c r="AM17" s="262"/>
      <c r="AN17" s="58"/>
      <c r="AO17" s="42"/>
      <c r="AP17" s="42"/>
      <c r="AQ17" s="59"/>
    </row>
    <row r="18" spans="1:43" x14ac:dyDescent="0.25">
      <c r="A18" s="24">
        <v>15</v>
      </c>
      <c r="B18" s="24" t="s">
        <v>28</v>
      </c>
      <c r="C18" s="24" t="s">
        <v>980</v>
      </c>
      <c r="D18" s="24" t="s">
        <v>981</v>
      </c>
      <c r="E18" s="24"/>
      <c r="F18" s="24" t="s">
        <v>982</v>
      </c>
      <c r="G18" s="24"/>
      <c r="H18" s="24" t="s">
        <v>31</v>
      </c>
      <c r="I18" s="24" t="s">
        <v>984</v>
      </c>
      <c r="J18" s="24"/>
      <c r="K18" s="24">
        <v>0.126</v>
      </c>
      <c r="L18" s="24">
        <v>0.126</v>
      </c>
      <c r="M18" s="24">
        <v>1</v>
      </c>
      <c r="N18" s="24" t="s">
        <v>33</v>
      </c>
      <c r="O18" s="24">
        <f t="shared" si="2"/>
        <v>2.1545999999999998</v>
      </c>
      <c r="P18" s="24">
        <f t="shared" si="3"/>
        <v>2.5137</v>
      </c>
      <c r="Q18" s="24">
        <f t="shared" si="4"/>
        <v>1.4364000000000001</v>
      </c>
      <c r="R18" s="24">
        <f t="shared" si="5"/>
        <v>1.0772999999999999</v>
      </c>
      <c r="S18" s="37">
        <v>7.1820000000000004</v>
      </c>
      <c r="T18" s="8">
        <v>105991.94</v>
      </c>
      <c r="U18" s="8">
        <v>13354.98444</v>
      </c>
      <c r="V18" s="8"/>
      <c r="W18" s="8"/>
      <c r="X18" s="24" t="s">
        <v>983</v>
      </c>
      <c r="Y18" s="24">
        <v>73008</v>
      </c>
      <c r="Z18" s="8">
        <v>6.18</v>
      </c>
      <c r="AA18" s="8" t="s">
        <v>982</v>
      </c>
      <c r="AB18" s="8">
        <v>5</v>
      </c>
      <c r="AC18" s="24">
        <v>5839</v>
      </c>
      <c r="AD18" s="8"/>
      <c r="AE18" s="319" t="s">
        <v>984</v>
      </c>
      <c r="AF18" s="46">
        <f t="shared" si="6"/>
        <v>3.78E-2</v>
      </c>
      <c r="AG18" s="48"/>
      <c r="AH18" s="48"/>
      <c r="AI18" s="49"/>
      <c r="AJ18" s="51"/>
      <c r="AK18" s="263"/>
      <c r="AL18" s="263"/>
      <c r="AM18" s="262"/>
      <c r="AN18" s="58"/>
      <c r="AO18" s="42"/>
      <c r="AP18" s="42"/>
      <c r="AQ18" s="59"/>
    </row>
    <row r="19" spans="1:43" x14ac:dyDescent="0.25">
      <c r="A19" s="24">
        <v>16</v>
      </c>
      <c r="B19" s="24" t="s">
        <v>28</v>
      </c>
      <c r="C19" s="24" t="s">
        <v>980</v>
      </c>
      <c r="D19" s="24" t="s">
        <v>981</v>
      </c>
      <c r="E19" s="24"/>
      <c r="F19" s="24" t="s">
        <v>982</v>
      </c>
      <c r="G19" s="24"/>
      <c r="H19" s="24" t="s">
        <v>31</v>
      </c>
      <c r="I19" s="24" t="s">
        <v>984</v>
      </c>
      <c r="J19" s="24"/>
      <c r="K19" s="24">
        <v>0.126</v>
      </c>
      <c r="L19" s="24">
        <v>0.126</v>
      </c>
      <c r="M19" s="24">
        <v>1</v>
      </c>
      <c r="N19" s="24" t="s">
        <v>33</v>
      </c>
      <c r="O19" s="24">
        <f t="shared" si="2"/>
        <v>2.1545999999999998</v>
      </c>
      <c r="P19" s="24">
        <f t="shared" si="3"/>
        <v>2.5137</v>
      </c>
      <c r="Q19" s="24">
        <f t="shared" si="4"/>
        <v>1.4364000000000001</v>
      </c>
      <c r="R19" s="24">
        <f t="shared" si="5"/>
        <v>1.0772999999999999</v>
      </c>
      <c r="S19" s="37">
        <v>7.1820000000000004</v>
      </c>
      <c r="T19" s="8">
        <v>105991.94</v>
      </c>
      <c r="U19" s="8">
        <v>13354.98444</v>
      </c>
      <c r="V19" s="8"/>
      <c r="W19" s="8"/>
      <c r="X19" s="24" t="s">
        <v>983</v>
      </c>
      <c r="Y19" s="24">
        <v>73008</v>
      </c>
      <c r="Z19" s="8">
        <v>6.18</v>
      </c>
      <c r="AA19" s="8" t="s">
        <v>982</v>
      </c>
      <c r="AB19" s="8">
        <v>6</v>
      </c>
      <c r="AC19" s="24">
        <v>5839</v>
      </c>
      <c r="AD19" s="8"/>
      <c r="AE19" s="319" t="s">
        <v>984</v>
      </c>
      <c r="AF19" s="46">
        <f t="shared" si="6"/>
        <v>3.78E-2</v>
      </c>
      <c r="AG19" s="48"/>
      <c r="AH19" s="48"/>
      <c r="AI19" s="49"/>
      <c r="AJ19" s="51"/>
      <c r="AK19" s="263"/>
      <c r="AL19" s="263"/>
      <c r="AM19" s="262"/>
      <c r="AN19" s="58"/>
      <c r="AO19" s="42"/>
      <c r="AP19" s="42"/>
      <c r="AQ19" s="59"/>
    </row>
    <row r="20" spans="1:43" x14ac:dyDescent="0.25">
      <c r="A20" s="24">
        <v>17</v>
      </c>
      <c r="B20" s="24" t="s">
        <v>28</v>
      </c>
      <c r="C20" s="24" t="s">
        <v>980</v>
      </c>
      <c r="D20" s="24" t="s">
        <v>981</v>
      </c>
      <c r="E20" s="24"/>
      <c r="F20" s="24" t="s">
        <v>982</v>
      </c>
      <c r="G20" s="24"/>
      <c r="H20" s="24" t="s">
        <v>31</v>
      </c>
      <c r="I20" s="24" t="s">
        <v>984</v>
      </c>
      <c r="J20" s="24"/>
      <c r="K20" s="24">
        <v>0.126</v>
      </c>
      <c r="L20" s="24">
        <v>0.126</v>
      </c>
      <c r="M20" s="24">
        <v>1</v>
      </c>
      <c r="N20" s="24" t="s">
        <v>33</v>
      </c>
      <c r="O20" s="24">
        <f t="shared" si="2"/>
        <v>2.1545999999999998</v>
      </c>
      <c r="P20" s="24">
        <f t="shared" si="3"/>
        <v>2.5137</v>
      </c>
      <c r="Q20" s="24">
        <f t="shared" si="4"/>
        <v>1.4364000000000001</v>
      </c>
      <c r="R20" s="24">
        <f t="shared" si="5"/>
        <v>1.0772999999999999</v>
      </c>
      <c r="S20" s="37">
        <v>7.1820000000000004</v>
      </c>
      <c r="T20" s="8">
        <v>105991.94</v>
      </c>
      <c r="U20" s="8">
        <v>13354.98444</v>
      </c>
      <c r="V20" s="8"/>
      <c r="W20" s="8"/>
      <c r="X20" s="24" t="s">
        <v>983</v>
      </c>
      <c r="Y20" s="24">
        <v>73008</v>
      </c>
      <c r="Z20" s="8">
        <v>6.18</v>
      </c>
      <c r="AA20" s="8" t="s">
        <v>982</v>
      </c>
      <c r="AB20" s="8">
        <v>7</v>
      </c>
      <c r="AC20" s="24">
        <v>5839</v>
      </c>
      <c r="AD20" s="8"/>
      <c r="AE20" s="319" t="s">
        <v>984</v>
      </c>
      <c r="AF20" s="46">
        <f t="shared" si="6"/>
        <v>3.78E-2</v>
      </c>
      <c r="AG20" s="48"/>
      <c r="AH20" s="48"/>
      <c r="AI20" s="49"/>
      <c r="AJ20" s="51"/>
      <c r="AK20" s="263"/>
      <c r="AL20" s="263"/>
      <c r="AM20" s="262"/>
      <c r="AN20" s="58"/>
      <c r="AO20" s="42"/>
      <c r="AP20" s="42"/>
      <c r="AQ20" s="59"/>
    </row>
    <row r="21" spans="1:43" x14ac:dyDescent="0.25">
      <c r="A21" s="24">
        <v>18</v>
      </c>
      <c r="B21" s="24" t="s">
        <v>28</v>
      </c>
      <c r="C21" s="24" t="s">
        <v>980</v>
      </c>
      <c r="D21" s="24" t="s">
        <v>981</v>
      </c>
      <c r="E21" s="24"/>
      <c r="F21" s="24" t="s">
        <v>982</v>
      </c>
      <c r="G21" s="24"/>
      <c r="H21" s="24" t="s">
        <v>31</v>
      </c>
      <c r="I21" s="24" t="s">
        <v>984</v>
      </c>
      <c r="J21" s="24"/>
      <c r="K21" s="24">
        <v>0.126</v>
      </c>
      <c r="L21" s="24">
        <v>0.126</v>
      </c>
      <c r="M21" s="24">
        <v>1</v>
      </c>
      <c r="N21" s="24" t="s">
        <v>33</v>
      </c>
      <c r="O21" s="24">
        <f t="shared" si="2"/>
        <v>2.1545999999999998</v>
      </c>
      <c r="P21" s="24">
        <f t="shared" si="3"/>
        <v>2.5137</v>
      </c>
      <c r="Q21" s="24">
        <f t="shared" si="4"/>
        <v>1.4364000000000001</v>
      </c>
      <c r="R21" s="24">
        <f t="shared" si="5"/>
        <v>1.0772999999999999</v>
      </c>
      <c r="S21" s="37">
        <v>7.1820000000000004</v>
      </c>
      <c r="T21" s="8">
        <v>105991.94</v>
      </c>
      <c r="U21" s="8">
        <v>13354.98444</v>
      </c>
      <c r="V21" s="8"/>
      <c r="W21" s="8"/>
      <c r="X21" s="24" t="s">
        <v>983</v>
      </c>
      <c r="Y21" s="24">
        <v>73008</v>
      </c>
      <c r="Z21" s="8">
        <v>6.18</v>
      </c>
      <c r="AA21" s="8" t="s">
        <v>982</v>
      </c>
      <c r="AB21" s="8">
        <v>8</v>
      </c>
      <c r="AC21" s="24">
        <v>5839</v>
      </c>
      <c r="AD21" s="8"/>
      <c r="AE21" s="319" t="s">
        <v>984</v>
      </c>
      <c r="AF21" s="46">
        <f t="shared" si="6"/>
        <v>3.78E-2</v>
      </c>
      <c r="AG21" s="48"/>
      <c r="AH21" s="48"/>
      <c r="AI21" s="49"/>
      <c r="AJ21" s="51"/>
      <c r="AK21" s="263"/>
      <c r="AL21" s="263"/>
      <c r="AM21" s="262"/>
      <c r="AN21" s="58"/>
      <c r="AO21" s="42"/>
      <c r="AP21" s="42"/>
      <c r="AQ21" s="59"/>
    </row>
    <row r="22" spans="1:43" x14ac:dyDescent="0.25">
      <c r="A22" s="24">
        <v>19</v>
      </c>
      <c r="B22" s="24" t="s">
        <v>28</v>
      </c>
      <c r="C22" s="24" t="s">
        <v>980</v>
      </c>
      <c r="D22" s="24" t="s">
        <v>981</v>
      </c>
      <c r="E22" s="24"/>
      <c r="F22" s="24" t="s">
        <v>982</v>
      </c>
      <c r="G22" s="24"/>
      <c r="H22" s="24" t="s">
        <v>31</v>
      </c>
      <c r="I22" s="24" t="s">
        <v>984</v>
      </c>
      <c r="J22" s="24"/>
      <c r="K22" s="24">
        <v>0.126</v>
      </c>
      <c r="L22" s="24">
        <v>0.126</v>
      </c>
      <c r="M22" s="24">
        <v>1</v>
      </c>
      <c r="N22" s="24" t="s">
        <v>33</v>
      </c>
      <c r="O22" s="24">
        <f t="shared" si="2"/>
        <v>2.1545999999999998</v>
      </c>
      <c r="P22" s="24">
        <f t="shared" si="3"/>
        <v>2.5137</v>
      </c>
      <c r="Q22" s="24">
        <f t="shared" si="4"/>
        <v>1.4364000000000001</v>
      </c>
      <c r="R22" s="24">
        <f t="shared" si="5"/>
        <v>1.0772999999999999</v>
      </c>
      <c r="S22" s="37">
        <v>7.1820000000000004</v>
      </c>
      <c r="T22" s="8">
        <v>105991.94</v>
      </c>
      <c r="U22" s="8">
        <v>13354.98444</v>
      </c>
      <c r="V22" s="8"/>
      <c r="W22" s="8"/>
      <c r="X22" s="24" t="s">
        <v>983</v>
      </c>
      <c r="Y22" s="24">
        <v>73008</v>
      </c>
      <c r="Z22" s="8">
        <v>6.18</v>
      </c>
      <c r="AA22" s="8" t="s">
        <v>982</v>
      </c>
      <c r="AB22" s="8">
        <v>9</v>
      </c>
      <c r="AC22" s="24">
        <v>5839</v>
      </c>
      <c r="AD22" s="8"/>
      <c r="AE22" s="319" t="s">
        <v>984</v>
      </c>
      <c r="AF22" s="46">
        <f t="shared" si="6"/>
        <v>3.78E-2</v>
      </c>
      <c r="AG22" s="48"/>
      <c r="AH22" s="48"/>
      <c r="AI22" s="49"/>
      <c r="AJ22" s="51"/>
      <c r="AK22" s="263"/>
      <c r="AL22" s="263"/>
      <c r="AM22" s="262"/>
      <c r="AN22" s="58"/>
      <c r="AO22" s="42"/>
      <c r="AP22" s="42"/>
      <c r="AQ22" s="59"/>
    </row>
    <row r="23" spans="1:43" x14ac:dyDescent="0.25">
      <c r="A23" s="24">
        <v>20</v>
      </c>
      <c r="B23" s="24" t="s">
        <v>28</v>
      </c>
      <c r="C23" s="24" t="s">
        <v>980</v>
      </c>
      <c r="D23" s="24" t="s">
        <v>981</v>
      </c>
      <c r="E23" s="24"/>
      <c r="F23" s="24" t="s">
        <v>982</v>
      </c>
      <c r="G23" s="24"/>
      <c r="H23" s="24" t="s">
        <v>31</v>
      </c>
      <c r="I23" s="24" t="s">
        <v>984</v>
      </c>
      <c r="J23" s="24"/>
      <c r="K23" s="24">
        <v>0.126</v>
      </c>
      <c r="L23" s="24">
        <v>0.126</v>
      </c>
      <c r="M23" s="24">
        <v>1</v>
      </c>
      <c r="N23" s="24" t="s">
        <v>33</v>
      </c>
      <c r="O23" s="24">
        <f t="shared" si="2"/>
        <v>2.1545999999999998</v>
      </c>
      <c r="P23" s="24">
        <f t="shared" si="3"/>
        <v>2.5137</v>
      </c>
      <c r="Q23" s="24">
        <f t="shared" si="4"/>
        <v>1.4364000000000001</v>
      </c>
      <c r="R23" s="24">
        <f t="shared" si="5"/>
        <v>1.0772999999999999</v>
      </c>
      <c r="S23" s="37">
        <v>7.1820000000000004</v>
      </c>
      <c r="T23" s="8">
        <v>105991.94</v>
      </c>
      <c r="U23" s="8">
        <v>13354.98444</v>
      </c>
      <c r="V23" s="8"/>
      <c r="W23" s="8"/>
      <c r="X23" s="24" t="s">
        <v>983</v>
      </c>
      <c r="Y23" s="24">
        <v>73008</v>
      </c>
      <c r="Z23" s="8">
        <v>6.18</v>
      </c>
      <c r="AA23" s="8" t="s">
        <v>982</v>
      </c>
      <c r="AB23" s="8">
        <v>10</v>
      </c>
      <c r="AC23" s="24">
        <v>5839</v>
      </c>
      <c r="AD23" s="8"/>
      <c r="AE23" s="319" t="s">
        <v>984</v>
      </c>
      <c r="AF23" s="46">
        <f t="shared" si="6"/>
        <v>3.78E-2</v>
      </c>
      <c r="AG23" s="48"/>
      <c r="AH23" s="48"/>
      <c r="AI23" s="49"/>
      <c r="AJ23" s="51"/>
      <c r="AK23" s="263"/>
      <c r="AL23" s="263"/>
      <c r="AM23" s="262"/>
      <c r="AN23" s="58"/>
      <c r="AO23" s="42"/>
      <c r="AP23" s="42"/>
      <c r="AQ23" s="59"/>
    </row>
    <row r="24" spans="1:43" x14ac:dyDescent="0.25">
      <c r="A24" s="24">
        <v>21</v>
      </c>
      <c r="B24" s="24" t="s">
        <v>28</v>
      </c>
      <c r="C24" s="24" t="s">
        <v>980</v>
      </c>
      <c r="D24" s="24" t="s">
        <v>981</v>
      </c>
      <c r="E24" s="24"/>
      <c r="F24" s="24" t="s">
        <v>982</v>
      </c>
      <c r="G24" s="24"/>
      <c r="H24" s="24" t="s">
        <v>31</v>
      </c>
      <c r="I24" s="24" t="s">
        <v>984</v>
      </c>
      <c r="J24" s="24"/>
      <c r="K24" s="24">
        <v>0.126</v>
      </c>
      <c r="L24" s="24">
        <v>0.126</v>
      </c>
      <c r="M24" s="24">
        <v>1</v>
      </c>
      <c r="N24" s="24" t="s">
        <v>33</v>
      </c>
      <c r="O24" s="24">
        <f t="shared" si="2"/>
        <v>2.1545999999999998</v>
      </c>
      <c r="P24" s="24">
        <f t="shared" si="3"/>
        <v>2.5137</v>
      </c>
      <c r="Q24" s="24">
        <f t="shared" si="4"/>
        <v>1.4364000000000001</v>
      </c>
      <c r="R24" s="24">
        <f t="shared" si="5"/>
        <v>1.0772999999999999</v>
      </c>
      <c r="S24" s="37">
        <v>7.1820000000000004</v>
      </c>
      <c r="T24" s="8">
        <v>105991.94</v>
      </c>
      <c r="U24" s="8">
        <v>13354.98444</v>
      </c>
      <c r="V24" s="8"/>
      <c r="W24" s="8"/>
      <c r="X24" s="24" t="s">
        <v>983</v>
      </c>
      <c r="Y24" s="24">
        <v>73009</v>
      </c>
      <c r="Z24" s="8">
        <v>6.18</v>
      </c>
      <c r="AA24" s="8" t="s">
        <v>982</v>
      </c>
      <c r="AB24" s="8">
        <v>1</v>
      </c>
      <c r="AC24" s="24">
        <v>5839</v>
      </c>
      <c r="AD24" s="8"/>
      <c r="AE24" s="319" t="s">
        <v>984</v>
      </c>
      <c r="AF24" s="46">
        <f t="shared" si="6"/>
        <v>3.78E-2</v>
      </c>
      <c r="AG24" s="48"/>
      <c r="AH24" s="48"/>
      <c r="AI24" s="49"/>
      <c r="AJ24" s="51"/>
      <c r="AK24" s="263"/>
      <c r="AL24" s="263"/>
      <c r="AM24" s="262"/>
      <c r="AN24" s="58"/>
      <c r="AO24" s="42"/>
      <c r="AP24" s="42"/>
      <c r="AQ24" s="59"/>
    </row>
    <row r="25" spans="1:43" x14ac:dyDescent="0.25">
      <c r="A25" s="24">
        <v>22</v>
      </c>
      <c r="B25" s="24" t="s">
        <v>28</v>
      </c>
      <c r="C25" s="24" t="s">
        <v>980</v>
      </c>
      <c r="D25" s="24" t="s">
        <v>981</v>
      </c>
      <c r="E25" s="24"/>
      <c r="F25" s="24" t="s">
        <v>982</v>
      </c>
      <c r="G25" s="24"/>
      <c r="H25" s="24" t="s">
        <v>31</v>
      </c>
      <c r="I25" s="24" t="s">
        <v>984</v>
      </c>
      <c r="J25" s="24"/>
      <c r="K25" s="24">
        <v>0.126</v>
      </c>
      <c r="L25" s="24">
        <v>0.126</v>
      </c>
      <c r="M25" s="24">
        <v>1</v>
      </c>
      <c r="N25" s="24" t="s">
        <v>33</v>
      </c>
      <c r="O25" s="24">
        <f t="shared" si="2"/>
        <v>2.1545999999999998</v>
      </c>
      <c r="P25" s="24">
        <f t="shared" si="3"/>
        <v>2.5137</v>
      </c>
      <c r="Q25" s="24">
        <f t="shared" si="4"/>
        <v>1.4364000000000001</v>
      </c>
      <c r="R25" s="24">
        <f t="shared" si="5"/>
        <v>1.0772999999999999</v>
      </c>
      <c r="S25" s="37">
        <v>7.1820000000000004</v>
      </c>
      <c r="T25" s="8">
        <v>105991.94</v>
      </c>
      <c r="U25" s="8">
        <v>13354.98444</v>
      </c>
      <c r="V25" s="8"/>
      <c r="W25" s="8"/>
      <c r="X25" s="24" t="s">
        <v>983</v>
      </c>
      <c r="Y25" s="24">
        <v>73009</v>
      </c>
      <c r="Z25" s="8">
        <v>6.18</v>
      </c>
      <c r="AA25" s="8" t="s">
        <v>982</v>
      </c>
      <c r="AB25" s="8">
        <v>2</v>
      </c>
      <c r="AC25" s="24">
        <v>5839</v>
      </c>
      <c r="AD25" s="8"/>
      <c r="AE25" s="319" t="s">
        <v>984</v>
      </c>
      <c r="AF25" s="46">
        <f t="shared" si="6"/>
        <v>3.78E-2</v>
      </c>
      <c r="AG25" s="48"/>
      <c r="AH25" s="48"/>
      <c r="AI25" s="49"/>
      <c r="AJ25" s="51"/>
      <c r="AK25" s="263"/>
      <c r="AL25" s="263"/>
      <c r="AM25" s="262"/>
      <c r="AN25" s="58"/>
      <c r="AO25" s="42"/>
      <c r="AP25" s="42"/>
      <c r="AQ25" s="59"/>
    </row>
    <row r="26" spans="1:43" x14ac:dyDescent="0.25">
      <c r="A26" s="24">
        <v>23</v>
      </c>
      <c r="B26" s="24" t="s">
        <v>28</v>
      </c>
      <c r="C26" s="24" t="s">
        <v>980</v>
      </c>
      <c r="D26" s="24" t="s">
        <v>981</v>
      </c>
      <c r="E26" s="24"/>
      <c r="F26" s="24" t="s">
        <v>982</v>
      </c>
      <c r="G26" s="24"/>
      <c r="H26" s="24" t="s">
        <v>31</v>
      </c>
      <c r="I26" s="24" t="s">
        <v>984</v>
      </c>
      <c r="J26" s="24"/>
      <c r="K26" s="24">
        <v>0.126</v>
      </c>
      <c r="L26" s="24">
        <v>0.126</v>
      </c>
      <c r="M26" s="24">
        <v>1</v>
      </c>
      <c r="N26" s="24" t="s">
        <v>33</v>
      </c>
      <c r="O26" s="24">
        <f t="shared" si="2"/>
        <v>2.1545999999999998</v>
      </c>
      <c r="P26" s="24">
        <f t="shared" si="3"/>
        <v>2.5137</v>
      </c>
      <c r="Q26" s="24">
        <f t="shared" si="4"/>
        <v>1.4364000000000001</v>
      </c>
      <c r="R26" s="24">
        <f t="shared" si="5"/>
        <v>1.0772999999999999</v>
      </c>
      <c r="S26" s="37">
        <v>7.1820000000000004</v>
      </c>
      <c r="T26" s="8">
        <v>105991.94</v>
      </c>
      <c r="U26" s="8">
        <v>13354.98444</v>
      </c>
      <c r="V26" s="8"/>
      <c r="W26" s="8"/>
      <c r="X26" s="24" t="s">
        <v>983</v>
      </c>
      <c r="Y26" s="24">
        <v>73009</v>
      </c>
      <c r="Z26" s="8">
        <v>6.18</v>
      </c>
      <c r="AA26" s="8" t="s">
        <v>982</v>
      </c>
      <c r="AB26" s="8">
        <v>3</v>
      </c>
      <c r="AC26" s="24">
        <v>5839</v>
      </c>
      <c r="AD26" s="8"/>
      <c r="AE26" s="319" t="s">
        <v>984</v>
      </c>
      <c r="AF26" s="46">
        <f t="shared" si="6"/>
        <v>3.78E-2</v>
      </c>
      <c r="AG26" s="48"/>
      <c r="AH26" s="48"/>
      <c r="AI26" s="49"/>
      <c r="AJ26" s="51"/>
      <c r="AK26" s="263"/>
      <c r="AL26" s="263"/>
      <c r="AM26" s="262"/>
      <c r="AN26" s="58"/>
      <c r="AO26" s="42"/>
      <c r="AP26" s="42"/>
      <c r="AQ26" s="59"/>
    </row>
    <row r="27" spans="1:43" x14ac:dyDescent="0.25">
      <c r="A27" s="24">
        <v>24</v>
      </c>
      <c r="B27" s="24" t="s">
        <v>28</v>
      </c>
      <c r="C27" s="24" t="s">
        <v>980</v>
      </c>
      <c r="D27" s="24" t="s">
        <v>981</v>
      </c>
      <c r="E27" s="24"/>
      <c r="F27" s="24" t="s">
        <v>982</v>
      </c>
      <c r="G27" s="24"/>
      <c r="H27" s="24" t="s">
        <v>31</v>
      </c>
      <c r="I27" s="24" t="s">
        <v>984</v>
      </c>
      <c r="J27" s="24"/>
      <c r="K27" s="24">
        <v>0.126</v>
      </c>
      <c r="L27" s="24">
        <v>0.126</v>
      </c>
      <c r="M27" s="24">
        <v>1</v>
      </c>
      <c r="N27" s="24" t="s">
        <v>33</v>
      </c>
      <c r="O27" s="24">
        <f t="shared" si="2"/>
        <v>2.1545999999999998</v>
      </c>
      <c r="P27" s="24">
        <f t="shared" si="3"/>
        <v>2.5137</v>
      </c>
      <c r="Q27" s="24">
        <f t="shared" si="4"/>
        <v>1.4364000000000001</v>
      </c>
      <c r="R27" s="24">
        <f t="shared" si="5"/>
        <v>1.0772999999999999</v>
      </c>
      <c r="S27" s="37">
        <v>7.1820000000000004</v>
      </c>
      <c r="T27" s="8">
        <v>105991.94</v>
      </c>
      <c r="U27" s="8">
        <v>13354.98444</v>
      </c>
      <c r="V27" s="8"/>
      <c r="W27" s="8"/>
      <c r="X27" s="24" t="s">
        <v>983</v>
      </c>
      <c r="Y27" s="24">
        <v>73009</v>
      </c>
      <c r="Z27" s="8">
        <v>6.18</v>
      </c>
      <c r="AA27" s="8" t="s">
        <v>982</v>
      </c>
      <c r="AB27" s="8">
        <v>4</v>
      </c>
      <c r="AC27" s="24">
        <v>5839</v>
      </c>
      <c r="AD27" s="8"/>
      <c r="AE27" s="319" t="s">
        <v>984</v>
      </c>
      <c r="AF27" s="46">
        <f t="shared" si="6"/>
        <v>3.78E-2</v>
      </c>
      <c r="AG27" s="48"/>
      <c r="AH27" s="48"/>
      <c r="AI27" s="49"/>
      <c r="AJ27" s="51"/>
      <c r="AK27" s="263"/>
      <c r="AL27" s="263"/>
      <c r="AM27" s="262"/>
      <c r="AN27" s="58"/>
      <c r="AO27" s="42"/>
      <c r="AP27" s="42"/>
      <c r="AQ27" s="59"/>
    </row>
    <row r="28" spans="1:43" x14ac:dyDescent="0.25">
      <c r="A28" s="24">
        <v>25</v>
      </c>
      <c r="B28" s="24" t="s">
        <v>28</v>
      </c>
      <c r="C28" s="24" t="s">
        <v>980</v>
      </c>
      <c r="D28" s="24" t="s">
        <v>981</v>
      </c>
      <c r="E28" s="24"/>
      <c r="F28" s="24" t="s">
        <v>982</v>
      </c>
      <c r="G28" s="24"/>
      <c r="H28" s="24" t="s">
        <v>31</v>
      </c>
      <c r="I28" s="24" t="s">
        <v>984</v>
      </c>
      <c r="J28" s="24"/>
      <c r="K28" s="24">
        <v>0.126</v>
      </c>
      <c r="L28" s="24">
        <v>0.126</v>
      </c>
      <c r="M28" s="24">
        <v>1</v>
      </c>
      <c r="N28" s="24" t="s">
        <v>33</v>
      </c>
      <c r="O28" s="24">
        <f t="shared" si="2"/>
        <v>2.1545999999999998</v>
      </c>
      <c r="P28" s="24">
        <f t="shared" si="3"/>
        <v>2.5137</v>
      </c>
      <c r="Q28" s="24">
        <f t="shared" si="4"/>
        <v>1.4364000000000001</v>
      </c>
      <c r="R28" s="24">
        <f t="shared" si="5"/>
        <v>1.0772999999999999</v>
      </c>
      <c r="S28" s="37">
        <v>7.1820000000000004</v>
      </c>
      <c r="T28" s="8">
        <v>105991.94</v>
      </c>
      <c r="U28" s="8">
        <v>13354.98444</v>
      </c>
      <c r="V28" s="8"/>
      <c r="W28" s="8"/>
      <c r="X28" s="24" t="s">
        <v>983</v>
      </c>
      <c r="Y28" s="24">
        <v>73009</v>
      </c>
      <c r="Z28" s="8">
        <v>6.18</v>
      </c>
      <c r="AA28" s="8" t="s">
        <v>982</v>
      </c>
      <c r="AB28" s="8">
        <v>5</v>
      </c>
      <c r="AC28" s="24">
        <v>5839</v>
      </c>
      <c r="AD28" s="8"/>
      <c r="AE28" s="319" t="s">
        <v>984</v>
      </c>
      <c r="AF28" s="46">
        <f t="shared" si="6"/>
        <v>3.78E-2</v>
      </c>
      <c r="AG28" s="48"/>
      <c r="AH28" s="48"/>
      <c r="AI28" s="49"/>
      <c r="AJ28" s="51"/>
      <c r="AK28" s="263"/>
      <c r="AL28" s="263"/>
      <c r="AM28" s="262"/>
      <c r="AN28" s="58"/>
      <c r="AO28" s="42"/>
      <c r="AP28" s="42"/>
      <c r="AQ28" s="59"/>
    </row>
    <row r="29" spans="1:43" x14ac:dyDescent="0.25">
      <c r="A29" s="24">
        <v>26</v>
      </c>
      <c r="B29" s="24" t="s">
        <v>28</v>
      </c>
      <c r="C29" s="24" t="s">
        <v>980</v>
      </c>
      <c r="D29" s="24" t="s">
        <v>981</v>
      </c>
      <c r="E29" s="24"/>
      <c r="F29" s="24" t="s">
        <v>982</v>
      </c>
      <c r="G29" s="24"/>
      <c r="H29" s="24" t="s">
        <v>31</v>
      </c>
      <c r="I29" s="24" t="s">
        <v>984</v>
      </c>
      <c r="J29" s="24"/>
      <c r="K29" s="24">
        <v>0.126</v>
      </c>
      <c r="L29" s="24">
        <v>0.126</v>
      </c>
      <c r="M29" s="24">
        <v>1</v>
      </c>
      <c r="N29" s="24" t="s">
        <v>33</v>
      </c>
      <c r="O29" s="24">
        <f t="shared" si="2"/>
        <v>2.1545999999999998</v>
      </c>
      <c r="P29" s="24">
        <f t="shared" si="3"/>
        <v>2.5137</v>
      </c>
      <c r="Q29" s="24">
        <f t="shared" si="4"/>
        <v>1.4364000000000001</v>
      </c>
      <c r="R29" s="24">
        <f t="shared" si="5"/>
        <v>1.0772999999999999</v>
      </c>
      <c r="S29" s="37">
        <v>7.1820000000000004</v>
      </c>
      <c r="T29" s="8">
        <v>105991.94</v>
      </c>
      <c r="U29" s="8">
        <v>13354.98444</v>
      </c>
      <c r="V29" s="8"/>
      <c r="W29" s="8"/>
      <c r="X29" s="24" t="s">
        <v>983</v>
      </c>
      <c r="Y29" s="24">
        <v>73009</v>
      </c>
      <c r="Z29" s="8">
        <v>6.18</v>
      </c>
      <c r="AA29" s="8" t="s">
        <v>982</v>
      </c>
      <c r="AB29" s="8">
        <v>6</v>
      </c>
      <c r="AC29" s="24">
        <v>5839</v>
      </c>
      <c r="AD29" s="8"/>
      <c r="AE29" s="319" t="s">
        <v>984</v>
      </c>
      <c r="AF29" s="46">
        <f t="shared" si="6"/>
        <v>3.78E-2</v>
      </c>
      <c r="AG29" s="48"/>
      <c r="AH29" s="48"/>
      <c r="AI29" s="49"/>
      <c r="AJ29" s="51"/>
      <c r="AK29" s="263"/>
      <c r="AL29" s="263"/>
      <c r="AM29" s="262"/>
      <c r="AN29" s="58"/>
      <c r="AO29" s="42"/>
      <c r="AP29" s="42"/>
      <c r="AQ29" s="59"/>
    </row>
    <row r="30" spans="1:43" x14ac:dyDescent="0.25">
      <c r="A30" s="24">
        <v>27</v>
      </c>
      <c r="B30" s="24" t="s">
        <v>28</v>
      </c>
      <c r="C30" s="24" t="s">
        <v>980</v>
      </c>
      <c r="D30" s="24" t="s">
        <v>981</v>
      </c>
      <c r="E30" s="24"/>
      <c r="F30" s="24" t="s">
        <v>982</v>
      </c>
      <c r="G30" s="24"/>
      <c r="H30" s="24" t="s">
        <v>31</v>
      </c>
      <c r="I30" s="24" t="s">
        <v>984</v>
      </c>
      <c r="J30" s="24"/>
      <c r="K30" s="24">
        <v>0.126</v>
      </c>
      <c r="L30" s="24">
        <v>0.126</v>
      </c>
      <c r="M30" s="24">
        <v>1</v>
      </c>
      <c r="N30" s="24" t="s">
        <v>33</v>
      </c>
      <c r="O30" s="24">
        <f t="shared" si="2"/>
        <v>2.1545999999999998</v>
      </c>
      <c r="P30" s="24">
        <f t="shared" si="3"/>
        <v>2.5137</v>
      </c>
      <c r="Q30" s="24">
        <f t="shared" si="4"/>
        <v>1.4364000000000001</v>
      </c>
      <c r="R30" s="24">
        <f t="shared" si="5"/>
        <v>1.0772999999999999</v>
      </c>
      <c r="S30" s="37">
        <v>7.1820000000000004</v>
      </c>
      <c r="T30" s="8">
        <v>105991.94</v>
      </c>
      <c r="U30" s="8">
        <v>13354.98444</v>
      </c>
      <c r="V30" s="8"/>
      <c r="W30" s="8"/>
      <c r="X30" s="24" t="s">
        <v>983</v>
      </c>
      <c r="Y30" s="24">
        <v>73009</v>
      </c>
      <c r="Z30" s="8">
        <v>6.18</v>
      </c>
      <c r="AA30" s="8" t="s">
        <v>982</v>
      </c>
      <c r="AB30" s="8">
        <v>7</v>
      </c>
      <c r="AC30" s="24">
        <v>5839</v>
      </c>
      <c r="AD30" s="8"/>
      <c r="AE30" s="319" t="s">
        <v>984</v>
      </c>
      <c r="AF30" s="46">
        <f t="shared" si="6"/>
        <v>3.78E-2</v>
      </c>
      <c r="AG30" s="48"/>
      <c r="AH30" s="48"/>
      <c r="AI30" s="49"/>
      <c r="AJ30" s="51"/>
      <c r="AK30" s="263"/>
      <c r="AL30" s="263"/>
      <c r="AM30" s="262"/>
      <c r="AN30" s="58"/>
      <c r="AO30" s="42"/>
      <c r="AP30" s="42"/>
      <c r="AQ30" s="59"/>
    </row>
    <row r="31" spans="1:43" x14ac:dyDescent="0.25">
      <c r="A31" s="24">
        <v>28</v>
      </c>
      <c r="B31" s="24" t="s">
        <v>28</v>
      </c>
      <c r="C31" s="24" t="s">
        <v>980</v>
      </c>
      <c r="D31" s="24" t="s">
        <v>981</v>
      </c>
      <c r="E31" s="24"/>
      <c r="F31" s="24" t="s">
        <v>982</v>
      </c>
      <c r="G31" s="24"/>
      <c r="H31" s="24" t="s">
        <v>31</v>
      </c>
      <c r="I31" s="24" t="s">
        <v>984</v>
      </c>
      <c r="J31" s="24"/>
      <c r="K31" s="24">
        <v>0.126</v>
      </c>
      <c r="L31" s="24">
        <v>0.126</v>
      </c>
      <c r="M31" s="24">
        <v>1</v>
      </c>
      <c r="N31" s="24" t="s">
        <v>33</v>
      </c>
      <c r="O31" s="24">
        <f t="shared" si="2"/>
        <v>2.1545999999999998</v>
      </c>
      <c r="P31" s="24">
        <f t="shared" si="3"/>
        <v>2.5137</v>
      </c>
      <c r="Q31" s="24">
        <f t="shared" si="4"/>
        <v>1.4364000000000001</v>
      </c>
      <c r="R31" s="24">
        <f t="shared" si="5"/>
        <v>1.0772999999999999</v>
      </c>
      <c r="S31" s="37">
        <v>7.1820000000000004</v>
      </c>
      <c r="T31" s="8">
        <v>105991.94</v>
      </c>
      <c r="U31" s="8">
        <v>13354.98444</v>
      </c>
      <c r="V31" s="8"/>
      <c r="W31" s="8"/>
      <c r="X31" s="24" t="s">
        <v>983</v>
      </c>
      <c r="Y31" s="24">
        <v>73009</v>
      </c>
      <c r="Z31" s="8">
        <v>6.18</v>
      </c>
      <c r="AA31" s="8" t="s">
        <v>982</v>
      </c>
      <c r="AB31" s="8">
        <v>8</v>
      </c>
      <c r="AC31" s="24">
        <v>5839</v>
      </c>
      <c r="AD31" s="8"/>
      <c r="AE31" s="319" t="s">
        <v>984</v>
      </c>
      <c r="AF31" s="46">
        <f t="shared" si="6"/>
        <v>3.78E-2</v>
      </c>
      <c r="AG31" s="48"/>
      <c r="AH31" s="48"/>
      <c r="AI31" s="49"/>
      <c r="AJ31" s="51"/>
      <c r="AK31" s="263"/>
      <c r="AL31" s="263"/>
      <c r="AM31" s="262"/>
      <c r="AN31" s="58"/>
      <c r="AO31" s="42"/>
      <c r="AP31" s="42"/>
      <c r="AQ31" s="59"/>
    </row>
    <row r="32" spans="1:43" x14ac:dyDescent="0.25">
      <c r="A32" s="24">
        <v>29</v>
      </c>
      <c r="B32" s="24" t="s">
        <v>28</v>
      </c>
      <c r="C32" s="24" t="s">
        <v>980</v>
      </c>
      <c r="D32" s="24" t="s">
        <v>981</v>
      </c>
      <c r="E32" s="24"/>
      <c r="F32" s="24" t="s">
        <v>982</v>
      </c>
      <c r="G32" s="24"/>
      <c r="H32" s="24" t="s">
        <v>31</v>
      </c>
      <c r="I32" s="24" t="s">
        <v>984</v>
      </c>
      <c r="J32" s="24"/>
      <c r="K32" s="24">
        <v>0.126</v>
      </c>
      <c r="L32" s="24">
        <v>0.126</v>
      </c>
      <c r="M32" s="24">
        <v>1</v>
      </c>
      <c r="N32" s="24" t="s">
        <v>33</v>
      </c>
      <c r="O32" s="24">
        <f t="shared" si="2"/>
        <v>2.1545999999999998</v>
      </c>
      <c r="P32" s="24">
        <f t="shared" si="3"/>
        <v>2.5137</v>
      </c>
      <c r="Q32" s="24">
        <f t="shared" si="4"/>
        <v>1.4364000000000001</v>
      </c>
      <c r="R32" s="24">
        <f t="shared" si="5"/>
        <v>1.0772999999999999</v>
      </c>
      <c r="S32" s="37">
        <v>7.1820000000000004</v>
      </c>
      <c r="T32" s="8">
        <v>105991.94</v>
      </c>
      <c r="U32" s="8">
        <v>13354.98444</v>
      </c>
      <c r="V32" s="8"/>
      <c r="W32" s="8"/>
      <c r="X32" s="24" t="s">
        <v>983</v>
      </c>
      <c r="Y32" s="24">
        <v>73009</v>
      </c>
      <c r="Z32" s="8">
        <v>6.18</v>
      </c>
      <c r="AA32" s="8" t="s">
        <v>982</v>
      </c>
      <c r="AB32" s="8">
        <v>9</v>
      </c>
      <c r="AC32" s="24">
        <v>5839</v>
      </c>
      <c r="AD32" s="8"/>
      <c r="AE32" s="319" t="s">
        <v>984</v>
      </c>
      <c r="AF32" s="46">
        <f t="shared" si="6"/>
        <v>3.78E-2</v>
      </c>
      <c r="AG32" s="48"/>
      <c r="AH32" s="48"/>
      <c r="AI32" s="49"/>
      <c r="AJ32" s="51"/>
      <c r="AK32" s="263"/>
      <c r="AL32" s="263"/>
      <c r="AM32" s="262"/>
      <c r="AN32" s="58"/>
      <c r="AO32" s="42"/>
      <c r="AP32" s="42"/>
      <c r="AQ32" s="59"/>
    </row>
    <row r="33" spans="1:43" x14ac:dyDescent="0.25">
      <c r="A33" s="24">
        <v>30</v>
      </c>
      <c r="B33" s="24" t="s">
        <v>28</v>
      </c>
      <c r="C33" s="24" t="s">
        <v>980</v>
      </c>
      <c r="D33" s="24" t="s">
        <v>981</v>
      </c>
      <c r="E33" s="24"/>
      <c r="F33" s="24" t="s">
        <v>982</v>
      </c>
      <c r="G33" s="24"/>
      <c r="H33" s="24" t="s">
        <v>31</v>
      </c>
      <c r="I33" s="24" t="s">
        <v>984</v>
      </c>
      <c r="J33" s="24"/>
      <c r="K33" s="24">
        <v>0.126</v>
      </c>
      <c r="L33" s="24">
        <v>0.126</v>
      </c>
      <c r="M33" s="24">
        <v>1</v>
      </c>
      <c r="N33" s="24" t="s">
        <v>33</v>
      </c>
      <c r="O33" s="24">
        <f t="shared" si="2"/>
        <v>2.1545999999999998</v>
      </c>
      <c r="P33" s="24">
        <f t="shared" si="3"/>
        <v>2.5137</v>
      </c>
      <c r="Q33" s="24">
        <f t="shared" si="4"/>
        <v>1.4364000000000001</v>
      </c>
      <c r="R33" s="24">
        <f t="shared" si="5"/>
        <v>1.0772999999999999</v>
      </c>
      <c r="S33" s="37">
        <v>7.1820000000000004</v>
      </c>
      <c r="T33" s="8">
        <v>105991.94</v>
      </c>
      <c r="U33" s="8">
        <v>13354.98444</v>
      </c>
      <c r="V33" s="8"/>
      <c r="W33" s="8"/>
      <c r="X33" s="24" t="s">
        <v>983</v>
      </c>
      <c r="Y33" s="24">
        <v>73009</v>
      </c>
      <c r="Z33" s="24">
        <v>6.18</v>
      </c>
      <c r="AA33" s="24" t="s">
        <v>982</v>
      </c>
      <c r="AB33" s="24">
        <v>10</v>
      </c>
      <c r="AC33" s="24">
        <v>5839</v>
      </c>
      <c r="AD33" s="8"/>
      <c r="AE33" s="319" t="s">
        <v>984</v>
      </c>
      <c r="AF33" s="46">
        <f t="shared" si="6"/>
        <v>3.78E-2</v>
      </c>
      <c r="AG33" s="48"/>
      <c r="AH33" s="48"/>
      <c r="AI33" s="49"/>
      <c r="AJ33" s="51"/>
      <c r="AK33" s="263"/>
      <c r="AL33" s="263"/>
      <c r="AM33" s="262"/>
      <c r="AN33" s="58"/>
      <c r="AO33" s="42"/>
      <c r="AP33" s="42"/>
      <c r="AQ33" s="59"/>
    </row>
    <row r="34" spans="1:43" x14ac:dyDescent="0.25">
      <c r="A34" s="24">
        <v>31</v>
      </c>
      <c r="B34" s="24" t="s">
        <v>28</v>
      </c>
      <c r="C34" s="24" t="s">
        <v>980</v>
      </c>
      <c r="D34" s="24" t="s">
        <v>981</v>
      </c>
      <c r="E34" s="24"/>
      <c r="F34" s="24" t="s">
        <v>982</v>
      </c>
      <c r="G34" s="24"/>
      <c r="H34" s="24" t="s">
        <v>31</v>
      </c>
      <c r="I34" s="24" t="s">
        <v>984</v>
      </c>
      <c r="J34" s="24"/>
      <c r="K34" s="24">
        <v>0.126</v>
      </c>
      <c r="L34" s="24">
        <v>0.126</v>
      </c>
      <c r="M34" s="24">
        <v>1</v>
      </c>
      <c r="N34" s="24" t="s">
        <v>33</v>
      </c>
      <c r="O34" s="24">
        <f t="shared" si="2"/>
        <v>2.1545999999999998</v>
      </c>
      <c r="P34" s="24">
        <f t="shared" si="3"/>
        <v>2.5137</v>
      </c>
      <c r="Q34" s="24">
        <f t="shared" si="4"/>
        <v>1.4364000000000001</v>
      </c>
      <c r="R34" s="24">
        <f t="shared" si="5"/>
        <v>1.0772999999999999</v>
      </c>
      <c r="S34" s="37">
        <v>7.1820000000000004</v>
      </c>
      <c r="T34" s="8">
        <v>105991.94</v>
      </c>
      <c r="U34" s="8">
        <v>13354.98444</v>
      </c>
      <c r="V34" s="8"/>
      <c r="W34" s="8"/>
      <c r="X34" s="24" t="s">
        <v>983</v>
      </c>
      <c r="Y34" s="24">
        <v>73010</v>
      </c>
      <c r="Z34" s="24">
        <v>6.18</v>
      </c>
      <c r="AA34" s="24" t="s">
        <v>982</v>
      </c>
      <c r="AB34" s="24">
        <v>1</v>
      </c>
      <c r="AC34" s="24">
        <v>5839</v>
      </c>
      <c r="AD34" s="8"/>
      <c r="AE34" s="319" t="s">
        <v>984</v>
      </c>
      <c r="AF34" s="51"/>
      <c r="AG34" s="48"/>
      <c r="AH34" s="48"/>
      <c r="AI34" s="49"/>
      <c r="AJ34" s="46">
        <f>L34*0.3</f>
        <v>3.78E-2</v>
      </c>
      <c r="AK34" s="41">
        <f>L34*0.35</f>
        <v>4.41E-2</v>
      </c>
      <c r="AL34" s="263"/>
      <c r="AM34" s="262"/>
      <c r="AN34" s="58"/>
      <c r="AO34" s="42"/>
      <c r="AP34" s="42"/>
      <c r="AQ34" s="59"/>
    </row>
    <row r="35" spans="1:43" x14ac:dyDescent="0.25">
      <c r="A35" s="24">
        <v>32</v>
      </c>
      <c r="B35" s="24" t="s">
        <v>28</v>
      </c>
      <c r="C35" s="24" t="s">
        <v>980</v>
      </c>
      <c r="D35" s="24" t="s">
        <v>981</v>
      </c>
      <c r="E35" s="24"/>
      <c r="F35" s="24" t="s">
        <v>982</v>
      </c>
      <c r="G35" s="24"/>
      <c r="H35" s="24" t="s">
        <v>31</v>
      </c>
      <c r="I35" s="24" t="s">
        <v>984</v>
      </c>
      <c r="J35" s="24"/>
      <c r="K35" s="24">
        <v>0.126</v>
      </c>
      <c r="L35" s="24">
        <v>0.126</v>
      </c>
      <c r="M35" s="24">
        <v>1</v>
      </c>
      <c r="N35" s="24" t="s">
        <v>33</v>
      </c>
      <c r="O35" s="24">
        <f t="shared" si="2"/>
        <v>2.1545999999999998</v>
      </c>
      <c r="P35" s="24">
        <f t="shared" si="3"/>
        <v>2.5137</v>
      </c>
      <c r="Q35" s="24">
        <f t="shared" si="4"/>
        <v>1.4364000000000001</v>
      </c>
      <c r="R35" s="24">
        <f t="shared" si="5"/>
        <v>1.0772999999999999</v>
      </c>
      <c r="S35" s="37">
        <v>7.1820000000000004</v>
      </c>
      <c r="T35" s="8">
        <v>105991.94</v>
      </c>
      <c r="U35" s="8">
        <v>13354.98444</v>
      </c>
      <c r="V35" s="8"/>
      <c r="W35" s="8"/>
      <c r="X35" s="24" t="s">
        <v>983</v>
      </c>
      <c r="Y35" s="24">
        <v>73010</v>
      </c>
      <c r="Z35" s="24">
        <v>6.18</v>
      </c>
      <c r="AA35" s="24" t="s">
        <v>982</v>
      </c>
      <c r="AB35" s="24">
        <v>2</v>
      </c>
      <c r="AC35" s="24">
        <v>5839</v>
      </c>
      <c r="AD35" s="8"/>
      <c r="AE35" s="319" t="s">
        <v>984</v>
      </c>
      <c r="AF35" s="51"/>
      <c r="AG35" s="48"/>
      <c r="AH35" s="48"/>
      <c r="AI35" s="49"/>
      <c r="AJ35" s="46">
        <f t="shared" ref="AJ35:AJ53" si="7">L35*0.3</f>
        <v>3.78E-2</v>
      </c>
      <c r="AK35" s="41">
        <f t="shared" ref="AK35:AK53" si="8">L35*0.35</f>
        <v>4.41E-2</v>
      </c>
      <c r="AL35" s="263"/>
      <c r="AM35" s="262"/>
      <c r="AN35" s="58"/>
      <c r="AO35" s="42"/>
      <c r="AP35" s="42"/>
      <c r="AQ35" s="59"/>
    </row>
    <row r="36" spans="1:43" x14ac:dyDescent="0.25">
      <c r="A36" s="24">
        <v>33</v>
      </c>
      <c r="B36" s="24" t="s">
        <v>28</v>
      </c>
      <c r="C36" s="24" t="s">
        <v>980</v>
      </c>
      <c r="D36" s="24" t="s">
        <v>981</v>
      </c>
      <c r="E36" s="24"/>
      <c r="F36" s="24" t="s">
        <v>982</v>
      </c>
      <c r="G36" s="24"/>
      <c r="H36" s="24" t="s">
        <v>31</v>
      </c>
      <c r="I36" s="24" t="s">
        <v>984</v>
      </c>
      <c r="J36" s="24"/>
      <c r="K36" s="24">
        <v>0.126</v>
      </c>
      <c r="L36" s="24">
        <v>0.126</v>
      </c>
      <c r="M36" s="24">
        <v>1</v>
      </c>
      <c r="N36" s="24" t="s">
        <v>33</v>
      </c>
      <c r="O36" s="24">
        <f t="shared" si="2"/>
        <v>2.1545999999999998</v>
      </c>
      <c r="P36" s="24">
        <f t="shared" si="3"/>
        <v>2.5137</v>
      </c>
      <c r="Q36" s="24">
        <f t="shared" si="4"/>
        <v>1.4364000000000001</v>
      </c>
      <c r="R36" s="24">
        <f t="shared" si="5"/>
        <v>1.0772999999999999</v>
      </c>
      <c r="S36" s="37">
        <v>7.1820000000000004</v>
      </c>
      <c r="T36" s="8">
        <v>105991.94</v>
      </c>
      <c r="U36" s="8">
        <v>13354.98444</v>
      </c>
      <c r="V36" s="8"/>
      <c r="W36" s="8"/>
      <c r="X36" s="24" t="s">
        <v>983</v>
      </c>
      <c r="Y36" s="24">
        <v>73010</v>
      </c>
      <c r="Z36" s="24">
        <v>6.18</v>
      </c>
      <c r="AA36" s="24" t="s">
        <v>982</v>
      </c>
      <c r="AB36" s="24">
        <v>3</v>
      </c>
      <c r="AC36" s="24">
        <v>5839</v>
      </c>
      <c r="AD36" s="8"/>
      <c r="AE36" s="319" t="s">
        <v>984</v>
      </c>
      <c r="AF36" s="51"/>
      <c r="AG36" s="48"/>
      <c r="AH36" s="48"/>
      <c r="AI36" s="49"/>
      <c r="AJ36" s="46">
        <f t="shared" si="7"/>
        <v>3.78E-2</v>
      </c>
      <c r="AK36" s="41">
        <f t="shared" si="8"/>
        <v>4.41E-2</v>
      </c>
      <c r="AL36" s="263"/>
      <c r="AM36" s="262"/>
      <c r="AN36" s="58"/>
      <c r="AO36" s="42"/>
      <c r="AP36" s="42"/>
      <c r="AQ36" s="59"/>
    </row>
    <row r="37" spans="1:43" x14ac:dyDescent="0.25">
      <c r="A37" s="24">
        <v>34</v>
      </c>
      <c r="B37" s="24" t="s">
        <v>28</v>
      </c>
      <c r="C37" s="24" t="s">
        <v>980</v>
      </c>
      <c r="D37" s="24" t="s">
        <v>981</v>
      </c>
      <c r="E37" s="24"/>
      <c r="F37" s="24" t="s">
        <v>982</v>
      </c>
      <c r="G37" s="24"/>
      <c r="H37" s="24" t="s">
        <v>31</v>
      </c>
      <c r="I37" s="24" t="s">
        <v>984</v>
      </c>
      <c r="J37" s="24"/>
      <c r="K37" s="24">
        <v>0.126</v>
      </c>
      <c r="L37" s="24">
        <v>0.126</v>
      </c>
      <c r="M37" s="24">
        <v>1</v>
      </c>
      <c r="N37" s="24" t="s">
        <v>33</v>
      </c>
      <c r="O37" s="24">
        <f t="shared" si="2"/>
        <v>2.1545999999999998</v>
      </c>
      <c r="P37" s="24">
        <f t="shared" si="3"/>
        <v>2.5137</v>
      </c>
      <c r="Q37" s="24">
        <f t="shared" si="4"/>
        <v>1.4364000000000001</v>
      </c>
      <c r="R37" s="24">
        <f t="shared" si="5"/>
        <v>1.0772999999999999</v>
      </c>
      <c r="S37" s="37">
        <v>7.1820000000000004</v>
      </c>
      <c r="T37" s="8">
        <v>105991.94</v>
      </c>
      <c r="U37" s="8">
        <v>13354.98444</v>
      </c>
      <c r="V37" s="8"/>
      <c r="W37" s="8"/>
      <c r="X37" s="24" t="s">
        <v>983</v>
      </c>
      <c r="Y37" s="24">
        <v>73010</v>
      </c>
      <c r="Z37" s="24">
        <v>6.18</v>
      </c>
      <c r="AA37" s="24" t="s">
        <v>982</v>
      </c>
      <c r="AB37" s="24">
        <v>4</v>
      </c>
      <c r="AC37" s="24">
        <v>5839</v>
      </c>
      <c r="AD37" s="8"/>
      <c r="AE37" s="319" t="s">
        <v>984</v>
      </c>
      <c r="AF37" s="51"/>
      <c r="AG37" s="48"/>
      <c r="AH37" s="48"/>
      <c r="AI37" s="49"/>
      <c r="AJ37" s="46">
        <f t="shared" si="7"/>
        <v>3.78E-2</v>
      </c>
      <c r="AK37" s="41">
        <f t="shared" si="8"/>
        <v>4.41E-2</v>
      </c>
      <c r="AL37" s="263"/>
      <c r="AM37" s="262"/>
      <c r="AN37" s="58"/>
      <c r="AO37" s="42"/>
      <c r="AP37" s="42"/>
      <c r="AQ37" s="59"/>
    </row>
    <row r="38" spans="1:43" x14ac:dyDescent="0.25">
      <c r="A38" s="24">
        <v>35</v>
      </c>
      <c r="B38" s="24" t="s">
        <v>28</v>
      </c>
      <c r="C38" s="24" t="s">
        <v>980</v>
      </c>
      <c r="D38" s="24" t="s">
        <v>981</v>
      </c>
      <c r="E38" s="24"/>
      <c r="F38" s="24" t="s">
        <v>982</v>
      </c>
      <c r="G38" s="24"/>
      <c r="H38" s="24" t="s">
        <v>31</v>
      </c>
      <c r="I38" s="24" t="s">
        <v>984</v>
      </c>
      <c r="J38" s="24"/>
      <c r="K38" s="24">
        <v>0.126</v>
      </c>
      <c r="L38" s="24">
        <v>0.126</v>
      </c>
      <c r="M38" s="24">
        <v>1</v>
      </c>
      <c r="N38" s="24" t="s">
        <v>33</v>
      </c>
      <c r="O38" s="24">
        <f t="shared" si="2"/>
        <v>2.1545999999999998</v>
      </c>
      <c r="P38" s="24">
        <f t="shared" si="3"/>
        <v>2.5137</v>
      </c>
      <c r="Q38" s="24">
        <f t="shared" si="4"/>
        <v>1.4364000000000001</v>
      </c>
      <c r="R38" s="24">
        <f t="shared" si="5"/>
        <v>1.0772999999999999</v>
      </c>
      <c r="S38" s="37">
        <v>7.1820000000000004</v>
      </c>
      <c r="T38" s="8">
        <v>105991.94</v>
      </c>
      <c r="U38" s="8">
        <v>13354.98444</v>
      </c>
      <c r="V38" s="8"/>
      <c r="W38" s="8"/>
      <c r="X38" s="24" t="s">
        <v>983</v>
      </c>
      <c r="Y38" s="24">
        <v>73010</v>
      </c>
      <c r="Z38" s="24">
        <v>6.18</v>
      </c>
      <c r="AA38" s="24" t="s">
        <v>982</v>
      </c>
      <c r="AB38" s="24">
        <v>5</v>
      </c>
      <c r="AC38" s="24">
        <v>5839</v>
      </c>
      <c r="AD38" s="8"/>
      <c r="AE38" s="319" t="s">
        <v>984</v>
      </c>
      <c r="AF38" s="141"/>
      <c r="AG38" s="163"/>
      <c r="AH38" s="163"/>
      <c r="AI38" s="164"/>
      <c r="AJ38" s="46">
        <f t="shared" si="7"/>
        <v>3.78E-2</v>
      </c>
      <c r="AK38" s="41">
        <f t="shared" si="8"/>
        <v>4.41E-2</v>
      </c>
      <c r="AL38" s="265"/>
      <c r="AM38" s="267"/>
      <c r="AN38" s="126"/>
      <c r="AO38" s="72"/>
      <c r="AP38" s="72"/>
      <c r="AQ38" s="127"/>
    </row>
    <row r="39" spans="1:43" x14ac:dyDescent="0.25">
      <c r="A39" s="24">
        <v>36</v>
      </c>
      <c r="B39" s="24" t="s">
        <v>28</v>
      </c>
      <c r="C39" s="24" t="s">
        <v>980</v>
      </c>
      <c r="D39" s="24" t="s">
        <v>981</v>
      </c>
      <c r="E39" s="24"/>
      <c r="F39" s="24" t="s">
        <v>982</v>
      </c>
      <c r="G39" s="24"/>
      <c r="H39" s="24" t="s">
        <v>31</v>
      </c>
      <c r="I39" s="24" t="s">
        <v>984</v>
      </c>
      <c r="J39" s="24"/>
      <c r="K39" s="24">
        <v>0.126</v>
      </c>
      <c r="L39" s="24">
        <v>0.126</v>
      </c>
      <c r="M39" s="24">
        <v>1</v>
      </c>
      <c r="N39" s="24" t="s">
        <v>33</v>
      </c>
      <c r="O39" s="24">
        <f t="shared" si="2"/>
        <v>2.1545999999999998</v>
      </c>
      <c r="P39" s="24">
        <f t="shared" si="3"/>
        <v>2.5137</v>
      </c>
      <c r="Q39" s="24">
        <f t="shared" si="4"/>
        <v>1.4364000000000001</v>
      </c>
      <c r="R39" s="24">
        <f t="shared" si="5"/>
        <v>1.0772999999999999</v>
      </c>
      <c r="S39" s="37">
        <v>7.1820000000000004</v>
      </c>
      <c r="T39" s="8">
        <v>105991.94</v>
      </c>
      <c r="U39" s="8">
        <v>13354.98444</v>
      </c>
      <c r="V39" s="8"/>
      <c r="W39" s="8"/>
      <c r="X39" s="24" t="s">
        <v>983</v>
      </c>
      <c r="Y39" s="24">
        <v>73010</v>
      </c>
      <c r="Z39" s="24">
        <v>6.18</v>
      </c>
      <c r="AA39" s="24" t="s">
        <v>982</v>
      </c>
      <c r="AB39" s="24">
        <v>6</v>
      </c>
      <c r="AC39" s="24">
        <v>5839</v>
      </c>
      <c r="AD39" s="8"/>
      <c r="AE39" s="319" t="s">
        <v>984</v>
      </c>
      <c r="AF39" s="141"/>
      <c r="AG39" s="163"/>
      <c r="AH39" s="163"/>
      <c r="AI39" s="164"/>
      <c r="AJ39" s="46">
        <f t="shared" si="7"/>
        <v>3.78E-2</v>
      </c>
      <c r="AK39" s="41">
        <f t="shared" si="8"/>
        <v>4.41E-2</v>
      </c>
      <c r="AL39" s="265"/>
      <c r="AM39" s="267"/>
      <c r="AN39" s="126"/>
      <c r="AO39" s="72"/>
      <c r="AP39" s="72"/>
      <c r="AQ39" s="127"/>
    </row>
    <row r="40" spans="1:43" x14ac:dyDescent="0.25">
      <c r="A40" s="24">
        <v>37</v>
      </c>
      <c r="B40" s="24" t="s">
        <v>28</v>
      </c>
      <c r="C40" s="24" t="s">
        <v>980</v>
      </c>
      <c r="D40" s="24" t="s">
        <v>981</v>
      </c>
      <c r="E40" s="24"/>
      <c r="F40" s="24" t="s">
        <v>982</v>
      </c>
      <c r="G40" s="24"/>
      <c r="H40" s="24" t="s">
        <v>31</v>
      </c>
      <c r="I40" s="24" t="s">
        <v>984</v>
      </c>
      <c r="J40" s="24"/>
      <c r="K40" s="24">
        <v>0.126</v>
      </c>
      <c r="L40" s="24">
        <v>0.126</v>
      </c>
      <c r="M40" s="24">
        <v>1</v>
      </c>
      <c r="N40" s="24" t="s">
        <v>33</v>
      </c>
      <c r="O40" s="24">
        <f t="shared" si="2"/>
        <v>2.1545999999999998</v>
      </c>
      <c r="P40" s="24">
        <f t="shared" si="3"/>
        <v>2.5137</v>
      </c>
      <c r="Q40" s="24">
        <f t="shared" si="4"/>
        <v>1.4364000000000001</v>
      </c>
      <c r="R40" s="24">
        <f t="shared" si="5"/>
        <v>1.0772999999999999</v>
      </c>
      <c r="S40" s="37">
        <v>7.1820000000000004</v>
      </c>
      <c r="T40" s="8">
        <v>105991.94</v>
      </c>
      <c r="U40" s="8">
        <v>13354.98444</v>
      </c>
      <c r="V40" s="8"/>
      <c r="W40" s="8"/>
      <c r="X40" s="24" t="s">
        <v>983</v>
      </c>
      <c r="Y40" s="24">
        <v>73010</v>
      </c>
      <c r="Z40" s="24">
        <v>6.18</v>
      </c>
      <c r="AA40" s="24" t="s">
        <v>982</v>
      </c>
      <c r="AB40" s="24">
        <v>7</v>
      </c>
      <c r="AC40" s="24">
        <v>5839</v>
      </c>
      <c r="AD40" s="8"/>
      <c r="AE40" s="319" t="s">
        <v>984</v>
      </c>
      <c r="AF40" s="141"/>
      <c r="AG40" s="163"/>
      <c r="AH40" s="163"/>
      <c r="AI40" s="164"/>
      <c r="AJ40" s="46">
        <f t="shared" si="7"/>
        <v>3.78E-2</v>
      </c>
      <c r="AK40" s="41">
        <f t="shared" si="8"/>
        <v>4.41E-2</v>
      </c>
      <c r="AL40" s="265"/>
      <c r="AM40" s="267"/>
      <c r="AN40" s="126"/>
      <c r="AO40" s="72"/>
      <c r="AP40" s="72"/>
      <c r="AQ40" s="127"/>
    </row>
    <row r="41" spans="1:43" x14ac:dyDescent="0.25">
      <c r="A41" s="24">
        <v>38</v>
      </c>
      <c r="B41" s="24" t="s">
        <v>28</v>
      </c>
      <c r="C41" s="24" t="s">
        <v>980</v>
      </c>
      <c r="D41" s="24" t="s">
        <v>981</v>
      </c>
      <c r="E41" s="24"/>
      <c r="F41" s="24" t="s">
        <v>982</v>
      </c>
      <c r="G41" s="24"/>
      <c r="H41" s="24" t="s">
        <v>31</v>
      </c>
      <c r="I41" s="24" t="s">
        <v>984</v>
      </c>
      <c r="J41" s="24"/>
      <c r="K41" s="24">
        <v>0.126</v>
      </c>
      <c r="L41" s="24">
        <v>0.126</v>
      </c>
      <c r="M41" s="24">
        <v>1</v>
      </c>
      <c r="N41" s="24" t="s">
        <v>33</v>
      </c>
      <c r="O41" s="24">
        <f t="shared" si="2"/>
        <v>2.1545999999999998</v>
      </c>
      <c r="P41" s="24">
        <f t="shared" si="3"/>
        <v>2.5137</v>
      </c>
      <c r="Q41" s="24">
        <f t="shared" si="4"/>
        <v>1.4364000000000001</v>
      </c>
      <c r="R41" s="24">
        <f t="shared" si="5"/>
        <v>1.0772999999999999</v>
      </c>
      <c r="S41" s="37">
        <v>7.1820000000000004</v>
      </c>
      <c r="T41" s="8">
        <v>105991.94</v>
      </c>
      <c r="U41" s="8">
        <v>13354.98444</v>
      </c>
      <c r="V41" s="8"/>
      <c r="W41" s="8"/>
      <c r="X41" s="24" t="s">
        <v>983</v>
      </c>
      <c r="Y41" s="24">
        <v>73010</v>
      </c>
      <c r="Z41" s="24">
        <v>6.18</v>
      </c>
      <c r="AA41" s="24" t="s">
        <v>982</v>
      </c>
      <c r="AB41" s="24">
        <v>8</v>
      </c>
      <c r="AC41" s="24">
        <v>5839</v>
      </c>
      <c r="AD41" s="8"/>
      <c r="AE41" s="319" t="s">
        <v>984</v>
      </c>
      <c r="AF41" s="141"/>
      <c r="AG41" s="163"/>
      <c r="AH41" s="163"/>
      <c r="AI41" s="164"/>
      <c r="AJ41" s="46">
        <f t="shared" si="7"/>
        <v>3.78E-2</v>
      </c>
      <c r="AK41" s="41">
        <f t="shared" si="8"/>
        <v>4.41E-2</v>
      </c>
      <c r="AL41" s="265"/>
      <c r="AM41" s="267"/>
      <c r="AN41" s="126"/>
      <c r="AO41" s="72"/>
      <c r="AP41" s="72"/>
      <c r="AQ41" s="127"/>
    </row>
    <row r="42" spans="1:43" x14ac:dyDescent="0.25">
      <c r="A42" s="24">
        <v>39</v>
      </c>
      <c r="B42" s="24" t="s">
        <v>28</v>
      </c>
      <c r="C42" s="24" t="s">
        <v>980</v>
      </c>
      <c r="D42" s="24" t="s">
        <v>981</v>
      </c>
      <c r="E42" s="24"/>
      <c r="F42" s="24" t="s">
        <v>982</v>
      </c>
      <c r="G42" s="24"/>
      <c r="H42" s="24" t="s">
        <v>31</v>
      </c>
      <c r="I42" s="24" t="s">
        <v>984</v>
      </c>
      <c r="J42" s="24"/>
      <c r="K42" s="24">
        <v>0.126</v>
      </c>
      <c r="L42" s="24">
        <v>0.126</v>
      </c>
      <c r="M42" s="24">
        <v>1</v>
      </c>
      <c r="N42" s="24" t="s">
        <v>33</v>
      </c>
      <c r="O42" s="24">
        <f t="shared" si="2"/>
        <v>2.1545999999999998</v>
      </c>
      <c r="P42" s="24">
        <f t="shared" si="3"/>
        <v>2.5137</v>
      </c>
      <c r="Q42" s="24">
        <f t="shared" si="4"/>
        <v>1.4364000000000001</v>
      </c>
      <c r="R42" s="24">
        <f t="shared" si="5"/>
        <v>1.0772999999999999</v>
      </c>
      <c r="S42" s="37">
        <v>7.1820000000000004</v>
      </c>
      <c r="T42" s="8">
        <v>105991.94</v>
      </c>
      <c r="U42" s="8">
        <v>13354.98444</v>
      </c>
      <c r="V42" s="8"/>
      <c r="W42" s="8"/>
      <c r="X42" s="24" t="s">
        <v>983</v>
      </c>
      <c r="Y42" s="24">
        <v>73010</v>
      </c>
      <c r="Z42" s="24">
        <v>6.18</v>
      </c>
      <c r="AA42" s="24" t="s">
        <v>982</v>
      </c>
      <c r="AB42" s="24">
        <v>9</v>
      </c>
      <c r="AC42" s="24">
        <v>5839</v>
      </c>
      <c r="AD42" s="8"/>
      <c r="AE42" s="319" t="s">
        <v>984</v>
      </c>
      <c r="AF42" s="141"/>
      <c r="AG42" s="163"/>
      <c r="AH42" s="163"/>
      <c r="AI42" s="164"/>
      <c r="AJ42" s="46">
        <f t="shared" si="7"/>
        <v>3.78E-2</v>
      </c>
      <c r="AK42" s="41">
        <f t="shared" si="8"/>
        <v>4.41E-2</v>
      </c>
      <c r="AL42" s="265"/>
      <c r="AM42" s="267"/>
      <c r="AN42" s="126"/>
      <c r="AO42" s="72"/>
      <c r="AP42" s="72"/>
      <c r="AQ42" s="127"/>
    </row>
    <row r="43" spans="1:43" x14ac:dyDescent="0.25">
      <c r="A43" s="24">
        <v>40</v>
      </c>
      <c r="B43" s="24" t="s">
        <v>28</v>
      </c>
      <c r="C43" s="24" t="s">
        <v>980</v>
      </c>
      <c r="D43" s="24" t="s">
        <v>981</v>
      </c>
      <c r="E43" s="24"/>
      <c r="F43" s="24" t="s">
        <v>982</v>
      </c>
      <c r="G43" s="24"/>
      <c r="H43" s="24" t="s">
        <v>31</v>
      </c>
      <c r="I43" s="24" t="s">
        <v>984</v>
      </c>
      <c r="J43" s="24"/>
      <c r="K43" s="24">
        <v>0.126</v>
      </c>
      <c r="L43" s="24">
        <v>0.126</v>
      </c>
      <c r="M43" s="24">
        <v>1</v>
      </c>
      <c r="N43" s="24" t="s">
        <v>33</v>
      </c>
      <c r="O43" s="24">
        <f t="shared" si="2"/>
        <v>2.1545999999999998</v>
      </c>
      <c r="P43" s="24">
        <f t="shared" si="3"/>
        <v>2.5137</v>
      </c>
      <c r="Q43" s="24">
        <f t="shared" si="4"/>
        <v>1.4364000000000001</v>
      </c>
      <c r="R43" s="24">
        <f t="shared" si="5"/>
        <v>1.0772999999999999</v>
      </c>
      <c r="S43" s="37">
        <v>7.1820000000000004</v>
      </c>
      <c r="T43" s="8">
        <v>105991.94</v>
      </c>
      <c r="U43" s="8">
        <v>13354.98444</v>
      </c>
      <c r="V43" s="8"/>
      <c r="W43" s="8"/>
      <c r="X43" s="24" t="s">
        <v>983</v>
      </c>
      <c r="Y43" s="24">
        <v>73010</v>
      </c>
      <c r="Z43" s="24">
        <v>6.18</v>
      </c>
      <c r="AA43" s="24" t="s">
        <v>982</v>
      </c>
      <c r="AB43" s="24">
        <v>10</v>
      </c>
      <c r="AC43" s="24">
        <v>5839</v>
      </c>
      <c r="AD43" s="8"/>
      <c r="AE43" s="319" t="s">
        <v>984</v>
      </c>
      <c r="AF43" s="141"/>
      <c r="AG43" s="163"/>
      <c r="AH43" s="163"/>
      <c r="AI43" s="164"/>
      <c r="AJ43" s="46">
        <f t="shared" si="7"/>
        <v>3.78E-2</v>
      </c>
      <c r="AK43" s="41">
        <f t="shared" si="8"/>
        <v>4.41E-2</v>
      </c>
      <c r="AL43" s="265"/>
      <c r="AM43" s="267"/>
      <c r="AN43" s="126"/>
      <c r="AO43" s="72"/>
      <c r="AP43" s="72"/>
      <c r="AQ43" s="127"/>
    </row>
    <row r="44" spans="1:43" x14ac:dyDescent="0.25">
      <c r="A44" s="24">
        <v>41</v>
      </c>
      <c r="B44" s="24" t="s">
        <v>28</v>
      </c>
      <c r="C44" s="24" t="s">
        <v>980</v>
      </c>
      <c r="D44" s="24" t="s">
        <v>981</v>
      </c>
      <c r="E44" s="24"/>
      <c r="F44" s="24" t="s">
        <v>982</v>
      </c>
      <c r="G44" s="24"/>
      <c r="H44" s="24" t="s">
        <v>31</v>
      </c>
      <c r="I44" s="24" t="s">
        <v>984</v>
      </c>
      <c r="J44" s="24"/>
      <c r="K44" s="24">
        <v>0.126</v>
      </c>
      <c r="L44" s="24">
        <v>0.126</v>
      </c>
      <c r="M44" s="24">
        <v>1</v>
      </c>
      <c r="N44" s="24" t="s">
        <v>33</v>
      </c>
      <c r="O44" s="24">
        <f t="shared" si="2"/>
        <v>2.1545999999999998</v>
      </c>
      <c r="P44" s="24">
        <f t="shared" si="3"/>
        <v>2.5137</v>
      </c>
      <c r="Q44" s="24">
        <f t="shared" si="4"/>
        <v>1.4364000000000001</v>
      </c>
      <c r="R44" s="24">
        <f t="shared" si="5"/>
        <v>1.0772999999999999</v>
      </c>
      <c r="S44" s="37">
        <v>7.1820000000000004</v>
      </c>
      <c r="T44" s="8">
        <v>105991.94</v>
      </c>
      <c r="U44" s="8">
        <v>13354.98444</v>
      </c>
      <c r="V44" s="8"/>
      <c r="W44" s="8"/>
      <c r="X44" s="24" t="s">
        <v>983</v>
      </c>
      <c r="Y44" s="24">
        <v>73011</v>
      </c>
      <c r="Z44" s="24">
        <v>6.18</v>
      </c>
      <c r="AA44" s="24" t="s">
        <v>982</v>
      </c>
      <c r="AB44" s="24">
        <v>1</v>
      </c>
      <c r="AC44" s="24">
        <v>5839</v>
      </c>
      <c r="AD44" s="8"/>
      <c r="AE44" s="319" t="s">
        <v>984</v>
      </c>
      <c r="AF44" s="141"/>
      <c r="AG44" s="163"/>
      <c r="AH44" s="163"/>
      <c r="AI44" s="164"/>
      <c r="AJ44" s="46">
        <f t="shared" si="7"/>
        <v>3.78E-2</v>
      </c>
      <c r="AK44" s="41">
        <f t="shared" si="8"/>
        <v>4.41E-2</v>
      </c>
      <c r="AL44" s="265"/>
      <c r="AM44" s="267"/>
      <c r="AN44" s="126"/>
      <c r="AO44" s="72"/>
      <c r="AP44" s="72"/>
      <c r="AQ44" s="127"/>
    </row>
    <row r="45" spans="1:43" x14ac:dyDescent="0.25">
      <c r="A45" s="24">
        <v>42</v>
      </c>
      <c r="B45" s="24" t="s">
        <v>28</v>
      </c>
      <c r="C45" s="24" t="s">
        <v>980</v>
      </c>
      <c r="D45" s="24" t="s">
        <v>981</v>
      </c>
      <c r="E45" s="24"/>
      <c r="F45" s="24" t="s">
        <v>982</v>
      </c>
      <c r="G45" s="24"/>
      <c r="H45" s="24" t="s">
        <v>31</v>
      </c>
      <c r="I45" s="24" t="s">
        <v>984</v>
      </c>
      <c r="J45" s="24"/>
      <c r="K45" s="24">
        <v>0.126</v>
      </c>
      <c r="L45" s="24">
        <v>0.126</v>
      </c>
      <c r="M45" s="24">
        <v>1</v>
      </c>
      <c r="N45" s="24" t="s">
        <v>33</v>
      </c>
      <c r="O45" s="24">
        <f t="shared" si="2"/>
        <v>2.1545999999999998</v>
      </c>
      <c r="P45" s="24">
        <f t="shared" si="3"/>
        <v>2.5137</v>
      </c>
      <c r="Q45" s="24">
        <f t="shared" si="4"/>
        <v>1.4364000000000001</v>
      </c>
      <c r="R45" s="24">
        <f t="shared" si="5"/>
        <v>1.0772999999999999</v>
      </c>
      <c r="S45" s="37">
        <v>7.1820000000000004</v>
      </c>
      <c r="T45" s="8">
        <v>105991.94</v>
      </c>
      <c r="U45" s="8">
        <v>13354.98444</v>
      </c>
      <c r="V45" s="8"/>
      <c r="W45" s="8"/>
      <c r="X45" s="24" t="s">
        <v>983</v>
      </c>
      <c r="Y45" s="24">
        <v>73011</v>
      </c>
      <c r="Z45" s="24">
        <v>6.18</v>
      </c>
      <c r="AA45" s="24" t="s">
        <v>982</v>
      </c>
      <c r="AB45" s="24">
        <v>2</v>
      </c>
      <c r="AC45" s="24">
        <v>5839</v>
      </c>
      <c r="AD45" s="8"/>
      <c r="AE45" s="319" t="s">
        <v>984</v>
      </c>
      <c r="AF45" s="141"/>
      <c r="AG45" s="163"/>
      <c r="AH45" s="163"/>
      <c r="AI45" s="164"/>
      <c r="AJ45" s="46">
        <f t="shared" si="7"/>
        <v>3.78E-2</v>
      </c>
      <c r="AK45" s="41">
        <f t="shared" si="8"/>
        <v>4.41E-2</v>
      </c>
      <c r="AL45" s="265"/>
      <c r="AM45" s="267"/>
      <c r="AN45" s="126"/>
      <c r="AO45" s="72"/>
      <c r="AP45" s="72"/>
      <c r="AQ45" s="127"/>
    </row>
    <row r="46" spans="1:43" x14ac:dyDescent="0.25">
      <c r="A46" s="24">
        <v>43</v>
      </c>
      <c r="B46" s="24" t="s">
        <v>28</v>
      </c>
      <c r="C46" s="24" t="s">
        <v>980</v>
      </c>
      <c r="D46" s="24" t="s">
        <v>981</v>
      </c>
      <c r="E46" s="24"/>
      <c r="F46" s="24" t="s">
        <v>982</v>
      </c>
      <c r="G46" s="24"/>
      <c r="H46" s="24" t="s">
        <v>31</v>
      </c>
      <c r="I46" s="24" t="s">
        <v>985</v>
      </c>
      <c r="J46" s="24"/>
      <c r="K46" s="24">
        <v>0.126</v>
      </c>
      <c r="L46" s="24">
        <v>0.126</v>
      </c>
      <c r="M46" s="24">
        <v>1</v>
      </c>
      <c r="N46" s="24" t="s">
        <v>33</v>
      </c>
      <c r="O46" s="24">
        <f t="shared" si="2"/>
        <v>2.1545999999999998</v>
      </c>
      <c r="P46" s="24">
        <f t="shared" si="3"/>
        <v>2.5137</v>
      </c>
      <c r="Q46" s="24">
        <f t="shared" si="4"/>
        <v>1.4364000000000001</v>
      </c>
      <c r="R46" s="24">
        <f t="shared" si="5"/>
        <v>1.0772999999999999</v>
      </c>
      <c r="S46" s="37">
        <v>7.1820000000000004</v>
      </c>
      <c r="T46" s="8">
        <v>105991.94</v>
      </c>
      <c r="U46" s="8">
        <v>13354.98444</v>
      </c>
      <c r="V46" s="8"/>
      <c r="W46" s="8"/>
      <c r="X46" s="24" t="s">
        <v>983</v>
      </c>
      <c r="Y46" s="24">
        <v>73011</v>
      </c>
      <c r="Z46" s="24">
        <v>6.18</v>
      </c>
      <c r="AA46" s="24" t="s">
        <v>982</v>
      </c>
      <c r="AB46" s="24">
        <v>3</v>
      </c>
      <c r="AC46" s="24">
        <v>5841</v>
      </c>
      <c r="AD46" s="8"/>
      <c r="AE46" s="319" t="s">
        <v>985</v>
      </c>
      <c r="AF46" s="141"/>
      <c r="AG46" s="163"/>
      <c r="AH46" s="163"/>
      <c r="AI46" s="164"/>
      <c r="AJ46" s="46">
        <f t="shared" si="7"/>
        <v>3.78E-2</v>
      </c>
      <c r="AK46" s="41">
        <f t="shared" si="8"/>
        <v>4.41E-2</v>
      </c>
      <c r="AL46" s="265"/>
      <c r="AM46" s="267"/>
      <c r="AN46" s="126"/>
      <c r="AO46" s="72"/>
      <c r="AP46" s="72"/>
      <c r="AQ46" s="127"/>
    </row>
    <row r="47" spans="1:43" x14ac:dyDescent="0.25">
      <c r="A47" s="24">
        <v>44</v>
      </c>
      <c r="B47" s="24" t="s">
        <v>28</v>
      </c>
      <c r="C47" s="24" t="s">
        <v>980</v>
      </c>
      <c r="D47" s="24" t="s">
        <v>981</v>
      </c>
      <c r="E47" s="24"/>
      <c r="F47" s="24" t="s">
        <v>982</v>
      </c>
      <c r="G47" s="24"/>
      <c r="H47" s="24" t="s">
        <v>31</v>
      </c>
      <c r="I47" s="24" t="s">
        <v>985</v>
      </c>
      <c r="J47" s="24"/>
      <c r="K47" s="24">
        <v>0.126</v>
      </c>
      <c r="L47" s="24">
        <v>0.126</v>
      </c>
      <c r="M47" s="24">
        <v>1</v>
      </c>
      <c r="N47" s="24" t="s">
        <v>33</v>
      </c>
      <c r="O47" s="24">
        <f t="shared" si="2"/>
        <v>2.1545999999999998</v>
      </c>
      <c r="P47" s="24">
        <f t="shared" si="3"/>
        <v>2.5137</v>
      </c>
      <c r="Q47" s="24">
        <f t="shared" si="4"/>
        <v>1.4364000000000001</v>
      </c>
      <c r="R47" s="24">
        <f t="shared" si="5"/>
        <v>1.0772999999999999</v>
      </c>
      <c r="S47" s="37">
        <v>7.1820000000000004</v>
      </c>
      <c r="T47" s="8">
        <v>105991.94</v>
      </c>
      <c r="U47" s="8">
        <v>13354.98444</v>
      </c>
      <c r="V47" s="8"/>
      <c r="W47" s="8"/>
      <c r="X47" s="24" t="s">
        <v>983</v>
      </c>
      <c r="Y47" s="24">
        <v>73011</v>
      </c>
      <c r="Z47" s="24">
        <v>6.18</v>
      </c>
      <c r="AA47" s="24" t="s">
        <v>982</v>
      </c>
      <c r="AB47" s="24">
        <v>4</v>
      </c>
      <c r="AC47" s="24">
        <v>5841</v>
      </c>
      <c r="AD47" s="8"/>
      <c r="AE47" s="319" t="s">
        <v>985</v>
      </c>
      <c r="AF47" s="141"/>
      <c r="AG47" s="163"/>
      <c r="AH47" s="163"/>
      <c r="AI47" s="164"/>
      <c r="AJ47" s="46">
        <f t="shared" si="7"/>
        <v>3.78E-2</v>
      </c>
      <c r="AK47" s="41">
        <f t="shared" si="8"/>
        <v>4.41E-2</v>
      </c>
      <c r="AL47" s="265"/>
      <c r="AM47" s="267"/>
      <c r="AN47" s="126"/>
      <c r="AO47" s="72"/>
      <c r="AP47" s="72"/>
      <c r="AQ47" s="127"/>
    </row>
    <row r="48" spans="1:43" x14ac:dyDescent="0.25">
      <c r="A48" s="24">
        <v>45</v>
      </c>
      <c r="B48" s="24" t="s">
        <v>28</v>
      </c>
      <c r="C48" s="24" t="s">
        <v>980</v>
      </c>
      <c r="D48" s="24" t="s">
        <v>981</v>
      </c>
      <c r="E48" s="24"/>
      <c r="F48" s="24" t="s">
        <v>982</v>
      </c>
      <c r="G48" s="24"/>
      <c r="H48" s="24" t="s">
        <v>31</v>
      </c>
      <c r="I48" s="24" t="s">
        <v>985</v>
      </c>
      <c r="J48" s="24"/>
      <c r="K48" s="24">
        <v>0.126</v>
      </c>
      <c r="L48" s="24">
        <v>0.126</v>
      </c>
      <c r="M48" s="24">
        <v>1</v>
      </c>
      <c r="N48" s="24" t="s">
        <v>33</v>
      </c>
      <c r="O48" s="24">
        <f t="shared" si="2"/>
        <v>2.1545999999999998</v>
      </c>
      <c r="P48" s="24">
        <f t="shared" si="3"/>
        <v>2.5137</v>
      </c>
      <c r="Q48" s="24">
        <f t="shared" si="4"/>
        <v>1.4364000000000001</v>
      </c>
      <c r="R48" s="24">
        <f t="shared" si="5"/>
        <v>1.0772999999999999</v>
      </c>
      <c r="S48" s="37">
        <v>7.1820000000000004</v>
      </c>
      <c r="T48" s="8">
        <v>105991.94</v>
      </c>
      <c r="U48" s="8">
        <v>13354.98444</v>
      </c>
      <c r="V48" s="8"/>
      <c r="W48" s="8"/>
      <c r="X48" s="24" t="s">
        <v>983</v>
      </c>
      <c r="Y48" s="24">
        <v>73011</v>
      </c>
      <c r="Z48" s="24">
        <v>6.18</v>
      </c>
      <c r="AA48" s="24" t="s">
        <v>982</v>
      </c>
      <c r="AB48" s="24">
        <v>5</v>
      </c>
      <c r="AC48" s="24">
        <v>5841</v>
      </c>
      <c r="AD48" s="8"/>
      <c r="AE48" s="319" t="s">
        <v>985</v>
      </c>
      <c r="AF48" s="141"/>
      <c r="AG48" s="163"/>
      <c r="AH48" s="163"/>
      <c r="AI48" s="164"/>
      <c r="AJ48" s="46">
        <f t="shared" si="7"/>
        <v>3.78E-2</v>
      </c>
      <c r="AK48" s="41">
        <f t="shared" si="8"/>
        <v>4.41E-2</v>
      </c>
      <c r="AL48" s="265"/>
      <c r="AM48" s="267"/>
      <c r="AN48" s="126"/>
      <c r="AO48" s="72"/>
      <c r="AP48" s="72"/>
      <c r="AQ48" s="127"/>
    </row>
    <row r="49" spans="1:43" x14ac:dyDescent="0.25">
      <c r="A49" s="24">
        <v>46</v>
      </c>
      <c r="B49" s="24" t="s">
        <v>28</v>
      </c>
      <c r="C49" s="24" t="s">
        <v>980</v>
      </c>
      <c r="D49" s="24" t="s">
        <v>981</v>
      </c>
      <c r="E49" s="24"/>
      <c r="F49" s="24" t="s">
        <v>982</v>
      </c>
      <c r="G49" s="24"/>
      <c r="H49" s="24" t="s">
        <v>31</v>
      </c>
      <c r="I49" s="24" t="s">
        <v>985</v>
      </c>
      <c r="J49" s="24"/>
      <c r="K49" s="24">
        <v>0.126</v>
      </c>
      <c r="L49" s="24">
        <v>0.126</v>
      </c>
      <c r="M49" s="24">
        <v>1</v>
      </c>
      <c r="N49" s="24" t="s">
        <v>33</v>
      </c>
      <c r="O49" s="24">
        <f t="shared" si="2"/>
        <v>2.1545999999999998</v>
      </c>
      <c r="P49" s="24">
        <f t="shared" si="3"/>
        <v>2.5137</v>
      </c>
      <c r="Q49" s="24">
        <f t="shared" si="4"/>
        <v>1.4364000000000001</v>
      </c>
      <c r="R49" s="24">
        <f t="shared" si="5"/>
        <v>1.0772999999999999</v>
      </c>
      <c r="S49" s="37">
        <v>7.1820000000000004</v>
      </c>
      <c r="T49" s="8">
        <v>105991.94</v>
      </c>
      <c r="U49" s="8">
        <v>13354.98444</v>
      </c>
      <c r="V49" s="8"/>
      <c r="W49" s="8"/>
      <c r="X49" s="24" t="s">
        <v>983</v>
      </c>
      <c r="Y49" s="24">
        <v>73011</v>
      </c>
      <c r="Z49" s="24">
        <v>6.18</v>
      </c>
      <c r="AA49" s="24" t="s">
        <v>982</v>
      </c>
      <c r="AB49" s="24">
        <v>6</v>
      </c>
      <c r="AC49" s="24">
        <v>5841</v>
      </c>
      <c r="AD49" s="8"/>
      <c r="AE49" s="319" t="s">
        <v>985</v>
      </c>
      <c r="AF49" s="141"/>
      <c r="AG49" s="163"/>
      <c r="AH49" s="163"/>
      <c r="AI49" s="164"/>
      <c r="AJ49" s="46">
        <f t="shared" si="7"/>
        <v>3.78E-2</v>
      </c>
      <c r="AK49" s="41">
        <f t="shared" si="8"/>
        <v>4.41E-2</v>
      </c>
      <c r="AL49" s="265"/>
      <c r="AM49" s="267"/>
      <c r="AN49" s="126"/>
      <c r="AO49" s="72"/>
      <c r="AP49" s="72"/>
      <c r="AQ49" s="127"/>
    </row>
    <row r="50" spans="1:43" x14ac:dyDescent="0.25">
      <c r="A50" s="24">
        <v>47</v>
      </c>
      <c r="B50" s="24" t="s">
        <v>28</v>
      </c>
      <c r="C50" s="24" t="s">
        <v>980</v>
      </c>
      <c r="D50" s="24" t="s">
        <v>981</v>
      </c>
      <c r="E50" s="24"/>
      <c r="F50" s="24" t="s">
        <v>982</v>
      </c>
      <c r="G50" s="24"/>
      <c r="H50" s="24" t="s">
        <v>31</v>
      </c>
      <c r="I50" s="24" t="s">
        <v>985</v>
      </c>
      <c r="J50" s="24"/>
      <c r="K50" s="24">
        <v>0.126</v>
      </c>
      <c r="L50" s="24">
        <v>0.126</v>
      </c>
      <c r="M50" s="24">
        <v>1</v>
      </c>
      <c r="N50" s="24" t="s">
        <v>33</v>
      </c>
      <c r="O50" s="24">
        <f t="shared" si="2"/>
        <v>2.1545999999999998</v>
      </c>
      <c r="P50" s="24">
        <f t="shared" si="3"/>
        <v>2.5137</v>
      </c>
      <c r="Q50" s="24">
        <f t="shared" si="4"/>
        <v>1.4364000000000001</v>
      </c>
      <c r="R50" s="24">
        <f t="shared" si="5"/>
        <v>1.0772999999999999</v>
      </c>
      <c r="S50" s="37">
        <v>7.1820000000000004</v>
      </c>
      <c r="T50" s="8">
        <v>105991.94</v>
      </c>
      <c r="U50" s="8">
        <v>13354.98444</v>
      </c>
      <c r="V50" s="8"/>
      <c r="W50" s="8"/>
      <c r="X50" s="24" t="s">
        <v>983</v>
      </c>
      <c r="Y50" s="24">
        <v>73011</v>
      </c>
      <c r="Z50" s="24">
        <v>6.18</v>
      </c>
      <c r="AA50" s="24" t="s">
        <v>982</v>
      </c>
      <c r="AB50" s="24">
        <v>7</v>
      </c>
      <c r="AC50" s="24">
        <v>5841</v>
      </c>
      <c r="AD50" s="8"/>
      <c r="AE50" s="319" t="s">
        <v>985</v>
      </c>
      <c r="AF50" s="141"/>
      <c r="AG50" s="163"/>
      <c r="AH50" s="163"/>
      <c r="AI50" s="164"/>
      <c r="AJ50" s="46">
        <f t="shared" si="7"/>
        <v>3.78E-2</v>
      </c>
      <c r="AK50" s="41">
        <f t="shared" si="8"/>
        <v>4.41E-2</v>
      </c>
      <c r="AL50" s="265"/>
      <c r="AM50" s="267"/>
      <c r="AN50" s="126"/>
      <c r="AO50" s="72"/>
      <c r="AP50" s="72"/>
      <c r="AQ50" s="127"/>
    </row>
    <row r="51" spans="1:43" x14ac:dyDescent="0.25">
      <c r="A51" s="24">
        <v>48</v>
      </c>
      <c r="B51" s="24" t="s">
        <v>28</v>
      </c>
      <c r="C51" s="24" t="s">
        <v>980</v>
      </c>
      <c r="D51" s="24" t="s">
        <v>981</v>
      </c>
      <c r="E51" s="24"/>
      <c r="F51" s="24" t="s">
        <v>982</v>
      </c>
      <c r="G51" s="24"/>
      <c r="H51" s="24" t="s">
        <v>31</v>
      </c>
      <c r="I51" s="24" t="s">
        <v>985</v>
      </c>
      <c r="J51" s="24"/>
      <c r="K51" s="24">
        <v>0.126</v>
      </c>
      <c r="L51" s="24">
        <v>0.126</v>
      </c>
      <c r="M51" s="24">
        <v>1</v>
      </c>
      <c r="N51" s="24" t="s">
        <v>33</v>
      </c>
      <c r="O51" s="24">
        <f t="shared" si="2"/>
        <v>2.1545999999999998</v>
      </c>
      <c r="P51" s="24">
        <f t="shared" si="3"/>
        <v>2.5137</v>
      </c>
      <c r="Q51" s="24">
        <f t="shared" si="4"/>
        <v>1.4364000000000001</v>
      </c>
      <c r="R51" s="24">
        <f t="shared" si="5"/>
        <v>1.0772999999999999</v>
      </c>
      <c r="S51" s="37">
        <v>7.1820000000000004</v>
      </c>
      <c r="T51" s="8">
        <v>105991.94</v>
      </c>
      <c r="U51" s="8">
        <v>13354.98444</v>
      </c>
      <c r="V51" s="8"/>
      <c r="W51" s="8"/>
      <c r="X51" s="24" t="s">
        <v>983</v>
      </c>
      <c r="Y51" s="24">
        <v>73011</v>
      </c>
      <c r="Z51" s="24">
        <v>6.18</v>
      </c>
      <c r="AA51" s="24" t="s">
        <v>982</v>
      </c>
      <c r="AB51" s="24">
        <v>8</v>
      </c>
      <c r="AC51" s="24">
        <v>5845</v>
      </c>
      <c r="AD51" s="8"/>
      <c r="AE51" s="319" t="s">
        <v>985</v>
      </c>
      <c r="AF51" s="141"/>
      <c r="AG51" s="163"/>
      <c r="AH51" s="163"/>
      <c r="AI51" s="164"/>
      <c r="AJ51" s="46">
        <f t="shared" si="7"/>
        <v>3.78E-2</v>
      </c>
      <c r="AK51" s="41">
        <f t="shared" si="8"/>
        <v>4.41E-2</v>
      </c>
      <c r="AL51" s="265"/>
      <c r="AM51" s="267"/>
      <c r="AN51" s="126"/>
      <c r="AO51" s="72"/>
      <c r="AP51" s="72"/>
      <c r="AQ51" s="127"/>
    </row>
    <row r="52" spans="1:43" x14ac:dyDescent="0.25">
      <c r="A52" s="24">
        <v>49</v>
      </c>
      <c r="B52" s="24" t="s">
        <v>28</v>
      </c>
      <c r="C52" s="24" t="s">
        <v>980</v>
      </c>
      <c r="D52" s="24" t="s">
        <v>981</v>
      </c>
      <c r="E52" s="24"/>
      <c r="F52" s="24" t="s">
        <v>982</v>
      </c>
      <c r="G52" s="24"/>
      <c r="H52" s="24" t="s">
        <v>31</v>
      </c>
      <c r="I52" s="24" t="s">
        <v>985</v>
      </c>
      <c r="J52" s="24"/>
      <c r="K52" s="24">
        <v>0.126</v>
      </c>
      <c r="L52" s="24">
        <v>0.126</v>
      </c>
      <c r="M52" s="24">
        <v>1</v>
      </c>
      <c r="N52" s="24" t="s">
        <v>33</v>
      </c>
      <c r="O52" s="24">
        <f t="shared" si="2"/>
        <v>2.1545999999999998</v>
      </c>
      <c r="P52" s="24">
        <f t="shared" si="3"/>
        <v>2.5137</v>
      </c>
      <c r="Q52" s="24">
        <f t="shared" si="4"/>
        <v>1.4364000000000001</v>
      </c>
      <c r="R52" s="24">
        <f t="shared" si="5"/>
        <v>1.0772999999999999</v>
      </c>
      <c r="S52" s="37">
        <v>7.1820000000000004</v>
      </c>
      <c r="T52" s="8">
        <v>105991.94</v>
      </c>
      <c r="U52" s="8">
        <v>13354.98444</v>
      </c>
      <c r="V52" s="8"/>
      <c r="W52" s="8"/>
      <c r="X52" s="24" t="s">
        <v>983</v>
      </c>
      <c r="Y52" s="24">
        <v>73011</v>
      </c>
      <c r="Z52" s="24">
        <v>6.18</v>
      </c>
      <c r="AA52" s="24" t="s">
        <v>982</v>
      </c>
      <c r="AB52" s="24">
        <v>9</v>
      </c>
      <c r="AC52" s="24">
        <v>5845</v>
      </c>
      <c r="AD52" s="8"/>
      <c r="AE52" s="319" t="s">
        <v>985</v>
      </c>
      <c r="AF52" s="141"/>
      <c r="AG52" s="163"/>
      <c r="AH52" s="163"/>
      <c r="AI52" s="164"/>
      <c r="AJ52" s="46">
        <f t="shared" si="7"/>
        <v>3.78E-2</v>
      </c>
      <c r="AK52" s="41">
        <f t="shared" si="8"/>
        <v>4.41E-2</v>
      </c>
      <c r="AL52" s="265"/>
      <c r="AM52" s="267"/>
      <c r="AN52" s="126"/>
      <c r="AO52" s="72"/>
      <c r="AP52" s="72"/>
      <c r="AQ52" s="127"/>
    </row>
    <row r="53" spans="1:43" x14ac:dyDescent="0.25">
      <c r="A53" s="24">
        <v>50</v>
      </c>
      <c r="B53" s="24" t="s">
        <v>28</v>
      </c>
      <c r="C53" s="24" t="s">
        <v>980</v>
      </c>
      <c r="D53" s="24" t="s">
        <v>981</v>
      </c>
      <c r="E53" s="24"/>
      <c r="F53" s="24" t="s">
        <v>982</v>
      </c>
      <c r="G53" s="24"/>
      <c r="H53" s="24" t="s">
        <v>31</v>
      </c>
      <c r="I53" s="24" t="s">
        <v>985</v>
      </c>
      <c r="J53" s="24"/>
      <c r="K53" s="24">
        <v>0.126</v>
      </c>
      <c r="L53" s="24">
        <v>0.126</v>
      </c>
      <c r="M53" s="24">
        <v>1</v>
      </c>
      <c r="N53" s="24" t="s">
        <v>33</v>
      </c>
      <c r="O53" s="24">
        <f t="shared" si="2"/>
        <v>2.1545999999999998</v>
      </c>
      <c r="P53" s="24">
        <f t="shared" si="3"/>
        <v>2.5137</v>
      </c>
      <c r="Q53" s="24">
        <f t="shared" si="4"/>
        <v>1.4364000000000001</v>
      </c>
      <c r="R53" s="24">
        <f t="shared" si="5"/>
        <v>1.0772999999999999</v>
      </c>
      <c r="S53" s="37">
        <v>7.1820000000000004</v>
      </c>
      <c r="T53" s="8">
        <v>105991.94</v>
      </c>
      <c r="U53" s="8">
        <v>13354.98444</v>
      </c>
      <c r="V53" s="8"/>
      <c r="W53" s="8"/>
      <c r="X53" s="24" t="s">
        <v>983</v>
      </c>
      <c r="Y53" s="24">
        <v>73011</v>
      </c>
      <c r="Z53" s="24">
        <v>6.18</v>
      </c>
      <c r="AA53" s="24" t="s">
        <v>982</v>
      </c>
      <c r="AB53" s="24">
        <v>10</v>
      </c>
      <c r="AC53" s="24">
        <v>5845</v>
      </c>
      <c r="AD53" s="8"/>
      <c r="AE53" s="319" t="s">
        <v>985</v>
      </c>
      <c r="AF53" s="141"/>
      <c r="AG53" s="163"/>
      <c r="AH53" s="163"/>
      <c r="AI53" s="164"/>
      <c r="AJ53" s="46">
        <f t="shared" si="7"/>
        <v>3.78E-2</v>
      </c>
      <c r="AK53" s="41">
        <f t="shared" si="8"/>
        <v>4.41E-2</v>
      </c>
      <c r="AL53" s="265"/>
      <c r="AM53" s="267"/>
      <c r="AN53" s="126"/>
      <c r="AO53" s="72"/>
      <c r="AP53" s="72"/>
      <c r="AQ53" s="127"/>
    </row>
    <row r="54" spans="1:43" x14ac:dyDescent="0.25">
      <c r="A54" s="24">
        <v>51</v>
      </c>
      <c r="B54" s="24" t="s">
        <v>28</v>
      </c>
      <c r="C54" s="24" t="s">
        <v>980</v>
      </c>
      <c r="D54" s="24" t="s">
        <v>981</v>
      </c>
      <c r="E54" s="24"/>
      <c r="F54" s="24" t="s">
        <v>982</v>
      </c>
      <c r="G54" s="24"/>
      <c r="H54" s="24" t="s">
        <v>31</v>
      </c>
      <c r="I54" s="24" t="s">
        <v>984</v>
      </c>
      <c r="J54" s="24"/>
      <c r="K54" s="24">
        <v>0.126</v>
      </c>
      <c r="L54" s="24">
        <v>0.126</v>
      </c>
      <c r="M54" s="24">
        <v>1</v>
      </c>
      <c r="N54" s="24" t="s">
        <v>33</v>
      </c>
      <c r="O54" s="24">
        <f t="shared" si="2"/>
        <v>2.1545999999999998</v>
      </c>
      <c r="P54" s="24">
        <f t="shared" si="3"/>
        <v>2.5137</v>
      </c>
      <c r="Q54" s="24">
        <f t="shared" si="4"/>
        <v>1.4364000000000001</v>
      </c>
      <c r="R54" s="24">
        <f t="shared" si="5"/>
        <v>1.0772999999999999</v>
      </c>
      <c r="S54" s="37">
        <v>7.1820000000000004</v>
      </c>
      <c r="T54" s="8">
        <v>105991.94</v>
      </c>
      <c r="U54" s="8">
        <v>13354.98444</v>
      </c>
      <c r="V54" s="8"/>
      <c r="W54" s="8"/>
      <c r="X54" s="24" t="s">
        <v>983</v>
      </c>
      <c r="Y54" s="24">
        <v>73012</v>
      </c>
      <c r="Z54" s="24">
        <v>6.18</v>
      </c>
      <c r="AA54" s="24" t="s">
        <v>982</v>
      </c>
      <c r="AB54" s="24">
        <v>1</v>
      </c>
      <c r="AC54" s="24">
        <v>5839</v>
      </c>
      <c r="AD54" s="8"/>
      <c r="AE54" s="319" t="s">
        <v>984</v>
      </c>
      <c r="AF54" s="46">
        <f t="shared" ref="AF54:AF73" si="9">L54*0.3</f>
        <v>3.78E-2</v>
      </c>
      <c r="AG54" s="163"/>
      <c r="AH54" s="163"/>
      <c r="AI54" s="164"/>
      <c r="AJ54" s="141"/>
      <c r="AK54" s="265"/>
      <c r="AL54" s="265"/>
      <c r="AM54" s="267"/>
      <c r="AN54" s="126"/>
      <c r="AO54" s="72"/>
      <c r="AP54" s="72"/>
      <c r="AQ54" s="127"/>
    </row>
    <row r="55" spans="1:43" x14ac:dyDescent="0.25">
      <c r="A55" s="24">
        <v>52</v>
      </c>
      <c r="B55" s="24" t="s">
        <v>28</v>
      </c>
      <c r="C55" s="24" t="s">
        <v>980</v>
      </c>
      <c r="D55" s="24" t="s">
        <v>981</v>
      </c>
      <c r="E55" s="24"/>
      <c r="F55" s="24" t="s">
        <v>982</v>
      </c>
      <c r="G55" s="24"/>
      <c r="H55" s="24" t="s">
        <v>31</v>
      </c>
      <c r="I55" s="24" t="s">
        <v>984</v>
      </c>
      <c r="J55" s="24"/>
      <c r="K55" s="24">
        <v>0.126</v>
      </c>
      <c r="L55" s="24">
        <v>0.126</v>
      </c>
      <c r="M55" s="24">
        <v>1</v>
      </c>
      <c r="N55" s="24" t="s">
        <v>33</v>
      </c>
      <c r="O55" s="24">
        <f t="shared" si="2"/>
        <v>2.1545999999999998</v>
      </c>
      <c r="P55" s="24">
        <f t="shared" si="3"/>
        <v>2.5137</v>
      </c>
      <c r="Q55" s="24">
        <f t="shared" si="4"/>
        <v>1.4364000000000001</v>
      </c>
      <c r="R55" s="24">
        <f t="shared" si="5"/>
        <v>1.0772999999999999</v>
      </c>
      <c r="S55" s="37">
        <v>7.1820000000000004</v>
      </c>
      <c r="T55" s="8">
        <v>105991.94</v>
      </c>
      <c r="U55" s="8">
        <v>13354.98444</v>
      </c>
      <c r="V55" s="8"/>
      <c r="W55" s="8"/>
      <c r="X55" s="24" t="s">
        <v>983</v>
      </c>
      <c r="Y55" s="24">
        <v>73012</v>
      </c>
      <c r="Z55" s="24">
        <v>6.18</v>
      </c>
      <c r="AA55" s="24" t="s">
        <v>982</v>
      </c>
      <c r="AB55" s="24">
        <v>2</v>
      </c>
      <c r="AC55" s="24">
        <v>5839</v>
      </c>
      <c r="AD55" s="8"/>
      <c r="AE55" s="319" t="s">
        <v>984</v>
      </c>
      <c r="AF55" s="46">
        <f t="shared" si="9"/>
        <v>3.78E-2</v>
      </c>
      <c r="AG55" s="163"/>
      <c r="AH55" s="163"/>
      <c r="AI55" s="164"/>
      <c r="AJ55" s="141"/>
      <c r="AK55" s="265"/>
      <c r="AL55" s="265"/>
      <c r="AM55" s="267"/>
      <c r="AN55" s="126"/>
      <c r="AO55" s="72"/>
      <c r="AP55" s="72"/>
      <c r="AQ55" s="127"/>
    </row>
    <row r="56" spans="1:43" x14ac:dyDescent="0.25">
      <c r="A56" s="24">
        <v>53</v>
      </c>
      <c r="B56" s="24" t="s">
        <v>28</v>
      </c>
      <c r="C56" s="24" t="s">
        <v>980</v>
      </c>
      <c r="D56" s="24" t="s">
        <v>981</v>
      </c>
      <c r="E56" s="24"/>
      <c r="F56" s="24" t="s">
        <v>982</v>
      </c>
      <c r="G56" s="24"/>
      <c r="H56" s="24" t="s">
        <v>31</v>
      </c>
      <c r="I56" s="24" t="s">
        <v>985</v>
      </c>
      <c r="J56" s="24"/>
      <c r="K56" s="24">
        <v>0.126</v>
      </c>
      <c r="L56" s="24">
        <v>0.126</v>
      </c>
      <c r="M56" s="24">
        <v>1</v>
      </c>
      <c r="N56" s="24" t="s">
        <v>33</v>
      </c>
      <c r="O56" s="24">
        <f t="shared" si="2"/>
        <v>2.1545999999999998</v>
      </c>
      <c r="P56" s="24">
        <f t="shared" si="3"/>
        <v>2.5137</v>
      </c>
      <c r="Q56" s="24">
        <f t="shared" si="4"/>
        <v>1.4364000000000001</v>
      </c>
      <c r="R56" s="24">
        <f t="shared" si="5"/>
        <v>1.0772999999999999</v>
      </c>
      <c r="S56" s="37">
        <v>7.1820000000000004</v>
      </c>
      <c r="T56" s="8">
        <v>105991.94</v>
      </c>
      <c r="U56" s="8">
        <v>13354.98444</v>
      </c>
      <c r="V56" s="8"/>
      <c r="W56" s="8"/>
      <c r="X56" s="24" t="s">
        <v>983</v>
      </c>
      <c r="Y56" s="24">
        <v>73012</v>
      </c>
      <c r="Z56" s="24">
        <v>6.18</v>
      </c>
      <c r="AA56" s="24" t="s">
        <v>982</v>
      </c>
      <c r="AB56" s="24">
        <v>3</v>
      </c>
      <c r="AC56" s="24">
        <v>5841</v>
      </c>
      <c r="AD56" s="8"/>
      <c r="AE56" s="319" t="s">
        <v>985</v>
      </c>
      <c r="AF56" s="46">
        <f t="shared" si="9"/>
        <v>3.78E-2</v>
      </c>
      <c r="AG56" s="163"/>
      <c r="AH56" s="163"/>
      <c r="AI56" s="164"/>
      <c r="AJ56" s="141"/>
      <c r="AK56" s="265"/>
      <c r="AL56" s="265"/>
      <c r="AM56" s="267"/>
      <c r="AN56" s="126"/>
      <c r="AO56" s="72"/>
      <c r="AP56" s="72"/>
      <c r="AQ56" s="127"/>
    </row>
    <row r="57" spans="1:43" x14ac:dyDescent="0.25">
      <c r="A57" s="24">
        <v>54</v>
      </c>
      <c r="B57" s="24" t="s">
        <v>28</v>
      </c>
      <c r="C57" s="24" t="s">
        <v>980</v>
      </c>
      <c r="D57" s="24" t="s">
        <v>981</v>
      </c>
      <c r="E57" s="24"/>
      <c r="F57" s="24" t="s">
        <v>982</v>
      </c>
      <c r="G57" s="24"/>
      <c r="H57" s="24" t="s">
        <v>31</v>
      </c>
      <c r="I57" s="24" t="s">
        <v>985</v>
      </c>
      <c r="J57" s="24"/>
      <c r="K57" s="24">
        <v>0.126</v>
      </c>
      <c r="L57" s="24">
        <v>0.126</v>
      </c>
      <c r="M57" s="24">
        <v>1</v>
      </c>
      <c r="N57" s="24" t="s">
        <v>33</v>
      </c>
      <c r="O57" s="24">
        <f t="shared" si="2"/>
        <v>2.1545999999999998</v>
      </c>
      <c r="P57" s="24">
        <f t="shared" si="3"/>
        <v>2.5137</v>
      </c>
      <c r="Q57" s="24">
        <f t="shared" si="4"/>
        <v>1.4364000000000001</v>
      </c>
      <c r="R57" s="24">
        <f t="shared" si="5"/>
        <v>1.0772999999999999</v>
      </c>
      <c r="S57" s="37">
        <v>7.1820000000000004</v>
      </c>
      <c r="T57" s="8">
        <v>105991.94</v>
      </c>
      <c r="U57" s="8">
        <v>13354.98444</v>
      </c>
      <c r="V57" s="8"/>
      <c r="W57" s="8"/>
      <c r="X57" s="24" t="s">
        <v>983</v>
      </c>
      <c r="Y57" s="24">
        <v>73012</v>
      </c>
      <c r="Z57" s="24">
        <v>6.18</v>
      </c>
      <c r="AA57" s="24" t="s">
        <v>982</v>
      </c>
      <c r="AB57" s="24">
        <v>4</v>
      </c>
      <c r="AC57" s="24">
        <v>5841</v>
      </c>
      <c r="AD57" s="8"/>
      <c r="AE57" s="319" t="s">
        <v>985</v>
      </c>
      <c r="AF57" s="46">
        <f t="shared" si="9"/>
        <v>3.78E-2</v>
      </c>
      <c r="AG57" s="163"/>
      <c r="AH57" s="163"/>
      <c r="AI57" s="164"/>
      <c r="AJ57" s="141"/>
      <c r="AK57" s="265"/>
      <c r="AL57" s="265"/>
      <c r="AM57" s="267"/>
      <c r="AN57" s="126"/>
      <c r="AO57" s="72"/>
      <c r="AP57" s="72"/>
      <c r="AQ57" s="127"/>
    </row>
    <row r="58" spans="1:43" x14ac:dyDescent="0.25">
      <c r="A58" s="24">
        <v>55</v>
      </c>
      <c r="B58" s="24" t="s">
        <v>28</v>
      </c>
      <c r="C58" s="24" t="s">
        <v>980</v>
      </c>
      <c r="D58" s="24" t="s">
        <v>981</v>
      </c>
      <c r="E58" s="24"/>
      <c r="F58" s="24" t="s">
        <v>982</v>
      </c>
      <c r="G58" s="24"/>
      <c r="H58" s="24" t="s">
        <v>31</v>
      </c>
      <c r="I58" s="24" t="s">
        <v>985</v>
      </c>
      <c r="J58" s="24"/>
      <c r="K58" s="24">
        <v>0.126</v>
      </c>
      <c r="L58" s="24">
        <v>0.126</v>
      </c>
      <c r="M58" s="24">
        <v>1</v>
      </c>
      <c r="N58" s="24" t="s">
        <v>33</v>
      </c>
      <c r="O58" s="24">
        <f t="shared" si="2"/>
        <v>2.1545999999999998</v>
      </c>
      <c r="P58" s="24">
        <f t="shared" si="3"/>
        <v>2.5137</v>
      </c>
      <c r="Q58" s="24">
        <f t="shared" si="4"/>
        <v>1.4364000000000001</v>
      </c>
      <c r="R58" s="24">
        <f t="shared" si="5"/>
        <v>1.0772999999999999</v>
      </c>
      <c r="S58" s="37">
        <v>7.1820000000000004</v>
      </c>
      <c r="T58" s="8">
        <v>105991.94</v>
      </c>
      <c r="U58" s="8">
        <v>13354.98444</v>
      </c>
      <c r="V58" s="8"/>
      <c r="W58" s="8"/>
      <c r="X58" s="24" t="s">
        <v>983</v>
      </c>
      <c r="Y58" s="24">
        <v>73012</v>
      </c>
      <c r="Z58" s="24">
        <v>6.18</v>
      </c>
      <c r="AA58" s="24" t="s">
        <v>982</v>
      </c>
      <c r="AB58" s="24">
        <v>5</v>
      </c>
      <c r="AC58" s="24">
        <v>5841</v>
      </c>
      <c r="AD58" s="8"/>
      <c r="AE58" s="319" t="s">
        <v>985</v>
      </c>
      <c r="AF58" s="46">
        <f t="shared" si="9"/>
        <v>3.78E-2</v>
      </c>
      <c r="AG58" s="163"/>
      <c r="AH58" s="163"/>
      <c r="AI58" s="164"/>
      <c r="AJ58" s="141"/>
      <c r="AK58" s="265"/>
      <c r="AL58" s="265"/>
      <c r="AM58" s="267"/>
      <c r="AN58" s="126"/>
      <c r="AO58" s="72"/>
      <c r="AP58" s="72"/>
      <c r="AQ58" s="127"/>
    </row>
    <row r="59" spans="1:43" x14ac:dyDescent="0.25">
      <c r="A59" s="24">
        <v>56</v>
      </c>
      <c r="B59" s="24" t="s">
        <v>28</v>
      </c>
      <c r="C59" s="24" t="s">
        <v>980</v>
      </c>
      <c r="D59" s="24" t="s">
        <v>981</v>
      </c>
      <c r="E59" s="24"/>
      <c r="F59" s="24" t="s">
        <v>982</v>
      </c>
      <c r="G59" s="24"/>
      <c r="H59" s="24" t="s">
        <v>31</v>
      </c>
      <c r="I59" s="24" t="s">
        <v>985</v>
      </c>
      <c r="J59" s="24"/>
      <c r="K59" s="24">
        <v>0.126</v>
      </c>
      <c r="L59" s="24">
        <v>0.126</v>
      </c>
      <c r="M59" s="24">
        <v>1</v>
      </c>
      <c r="N59" s="24" t="s">
        <v>33</v>
      </c>
      <c r="O59" s="24">
        <f t="shared" si="2"/>
        <v>2.1545999999999998</v>
      </c>
      <c r="P59" s="24">
        <f t="shared" si="3"/>
        <v>2.5137</v>
      </c>
      <c r="Q59" s="24">
        <f t="shared" si="4"/>
        <v>1.4364000000000001</v>
      </c>
      <c r="R59" s="24">
        <f t="shared" si="5"/>
        <v>1.0772999999999999</v>
      </c>
      <c r="S59" s="37">
        <v>7.1820000000000004</v>
      </c>
      <c r="T59" s="8">
        <v>105991.94</v>
      </c>
      <c r="U59" s="8">
        <v>13354.98444</v>
      </c>
      <c r="V59" s="8"/>
      <c r="W59" s="8"/>
      <c r="X59" s="24" t="s">
        <v>983</v>
      </c>
      <c r="Y59" s="24">
        <v>73012</v>
      </c>
      <c r="Z59" s="24">
        <v>6.18</v>
      </c>
      <c r="AA59" s="24" t="s">
        <v>982</v>
      </c>
      <c r="AB59" s="24">
        <v>6</v>
      </c>
      <c r="AC59" s="24">
        <v>5841</v>
      </c>
      <c r="AD59" s="8"/>
      <c r="AE59" s="319" t="s">
        <v>985</v>
      </c>
      <c r="AF59" s="46">
        <f t="shared" si="9"/>
        <v>3.78E-2</v>
      </c>
      <c r="AG59" s="163"/>
      <c r="AH59" s="163"/>
      <c r="AI59" s="164"/>
      <c r="AJ59" s="141"/>
      <c r="AK59" s="265"/>
      <c r="AL59" s="265"/>
      <c r="AM59" s="267"/>
      <c r="AN59" s="126"/>
      <c r="AO59" s="72"/>
      <c r="AP59" s="72"/>
      <c r="AQ59" s="127"/>
    </row>
    <row r="60" spans="1:43" x14ac:dyDescent="0.25">
      <c r="A60" s="24">
        <v>57</v>
      </c>
      <c r="B60" s="24" t="s">
        <v>28</v>
      </c>
      <c r="C60" s="24" t="s">
        <v>980</v>
      </c>
      <c r="D60" s="24" t="s">
        <v>981</v>
      </c>
      <c r="E60" s="24"/>
      <c r="F60" s="24" t="s">
        <v>982</v>
      </c>
      <c r="G60" s="24"/>
      <c r="H60" s="24" t="s">
        <v>31</v>
      </c>
      <c r="I60" s="24" t="s">
        <v>985</v>
      </c>
      <c r="J60" s="24"/>
      <c r="K60" s="24">
        <v>0.126</v>
      </c>
      <c r="L60" s="24">
        <v>0.126</v>
      </c>
      <c r="M60" s="24">
        <v>1</v>
      </c>
      <c r="N60" s="24" t="s">
        <v>33</v>
      </c>
      <c r="O60" s="24">
        <f t="shared" si="2"/>
        <v>2.1545999999999998</v>
      </c>
      <c r="P60" s="24">
        <f t="shared" si="3"/>
        <v>2.5137</v>
      </c>
      <c r="Q60" s="24">
        <f t="shared" si="4"/>
        <v>1.4364000000000001</v>
      </c>
      <c r="R60" s="24">
        <f t="shared" si="5"/>
        <v>1.0772999999999999</v>
      </c>
      <c r="S60" s="37">
        <v>7.1820000000000004</v>
      </c>
      <c r="T60" s="8">
        <v>105991.94</v>
      </c>
      <c r="U60" s="8">
        <v>13354.98444</v>
      </c>
      <c r="V60" s="8"/>
      <c r="W60" s="8"/>
      <c r="X60" s="24" t="s">
        <v>983</v>
      </c>
      <c r="Y60" s="24">
        <v>73012</v>
      </c>
      <c r="Z60" s="24">
        <v>6.18</v>
      </c>
      <c r="AA60" s="24" t="s">
        <v>982</v>
      </c>
      <c r="AB60" s="24">
        <v>7</v>
      </c>
      <c r="AC60" s="24">
        <v>5841</v>
      </c>
      <c r="AD60" s="8"/>
      <c r="AE60" s="319" t="s">
        <v>985</v>
      </c>
      <c r="AF60" s="46">
        <f t="shared" si="9"/>
        <v>3.78E-2</v>
      </c>
      <c r="AG60" s="163"/>
      <c r="AH60" s="163"/>
      <c r="AI60" s="164"/>
      <c r="AJ60" s="141"/>
      <c r="AK60" s="265"/>
      <c r="AL60" s="265"/>
      <c r="AM60" s="267"/>
      <c r="AN60" s="126"/>
      <c r="AO60" s="72"/>
      <c r="AP60" s="72"/>
      <c r="AQ60" s="127"/>
    </row>
    <row r="61" spans="1:43" x14ac:dyDescent="0.25">
      <c r="A61" s="24">
        <v>58</v>
      </c>
      <c r="B61" s="24" t="s">
        <v>28</v>
      </c>
      <c r="C61" s="24" t="s">
        <v>980</v>
      </c>
      <c r="D61" s="24" t="s">
        <v>981</v>
      </c>
      <c r="E61" s="24"/>
      <c r="F61" s="24" t="s">
        <v>982</v>
      </c>
      <c r="G61" s="24"/>
      <c r="H61" s="24" t="s">
        <v>31</v>
      </c>
      <c r="I61" s="24" t="s">
        <v>985</v>
      </c>
      <c r="J61" s="24"/>
      <c r="K61" s="24">
        <v>0.126</v>
      </c>
      <c r="L61" s="24">
        <v>0.126</v>
      </c>
      <c r="M61" s="24">
        <v>1</v>
      </c>
      <c r="N61" s="24" t="s">
        <v>33</v>
      </c>
      <c r="O61" s="24">
        <f t="shared" si="2"/>
        <v>2.1545999999999998</v>
      </c>
      <c r="P61" s="24">
        <f t="shared" si="3"/>
        <v>2.5137</v>
      </c>
      <c r="Q61" s="24">
        <f t="shared" si="4"/>
        <v>1.4364000000000001</v>
      </c>
      <c r="R61" s="24">
        <f t="shared" si="5"/>
        <v>1.0772999999999999</v>
      </c>
      <c r="S61" s="37">
        <v>7.1820000000000004</v>
      </c>
      <c r="T61" s="8">
        <v>105991.94</v>
      </c>
      <c r="U61" s="8">
        <v>13354.98444</v>
      </c>
      <c r="V61" s="8"/>
      <c r="W61" s="8"/>
      <c r="X61" s="24" t="s">
        <v>983</v>
      </c>
      <c r="Y61" s="24">
        <v>73012</v>
      </c>
      <c r="Z61" s="24">
        <v>6.18</v>
      </c>
      <c r="AA61" s="24" t="s">
        <v>982</v>
      </c>
      <c r="AB61" s="24">
        <v>8</v>
      </c>
      <c r="AC61" s="24">
        <v>5841</v>
      </c>
      <c r="AD61" s="8"/>
      <c r="AE61" s="319" t="s">
        <v>985</v>
      </c>
      <c r="AF61" s="46">
        <f t="shared" si="9"/>
        <v>3.78E-2</v>
      </c>
      <c r="AG61" s="163"/>
      <c r="AH61" s="163"/>
      <c r="AI61" s="164"/>
      <c r="AJ61" s="141"/>
      <c r="AK61" s="265"/>
      <c r="AL61" s="265"/>
      <c r="AM61" s="267"/>
      <c r="AN61" s="126"/>
      <c r="AO61" s="72"/>
      <c r="AP61" s="72"/>
      <c r="AQ61" s="127"/>
    </row>
    <row r="62" spans="1:43" x14ac:dyDescent="0.25">
      <c r="A62" s="24">
        <v>59</v>
      </c>
      <c r="B62" s="24" t="s">
        <v>28</v>
      </c>
      <c r="C62" s="24" t="s">
        <v>980</v>
      </c>
      <c r="D62" s="24" t="s">
        <v>981</v>
      </c>
      <c r="E62" s="24"/>
      <c r="F62" s="24" t="s">
        <v>982</v>
      </c>
      <c r="G62" s="24"/>
      <c r="H62" s="24" t="s">
        <v>31</v>
      </c>
      <c r="I62" s="24" t="s">
        <v>985</v>
      </c>
      <c r="J62" s="24"/>
      <c r="K62" s="24">
        <v>0.126</v>
      </c>
      <c r="L62" s="24">
        <v>0.126</v>
      </c>
      <c r="M62" s="24">
        <v>1</v>
      </c>
      <c r="N62" s="24" t="s">
        <v>33</v>
      </c>
      <c r="O62" s="24">
        <f t="shared" si="2"/>
        <v>2.1545999999999998</v>
      </c>
      <c r="P62" s="24">
        <f t="shared" si="3"/>
        <v>2.5137</v>
      </c>
      <c r="Q62" s="24">
        <f t="shared" si="4"/>
        <v>1.4364000000000001</v>
      </c>
      <c r="R62" s="24">
        <f t="shared" si="5"/>
        <v>1.0772999999999999</v>
      </c>
      <c r="S62" s="37">
        <v>7.1820000000000004</v>
      </c>
      <c r="T62" s="8">
        <v>105991.94</v>
      </c>
      <c r="U62" s="8">
        <v>13354.98444</v>
      </c>
      <c r="V62" s="8"/>
      <c r="W62" s="8"/>
      <c r="X62" s="24" t="s">
        <v>983</v>
      </c>
      <c r="Y62" s="24">
        <v>73012</v>
      </c>
      <c r="Z62" s="24">
        <v>6.18</v>
      </c>
      <c r="AA62" s="24" t="s">
        <v>982</v>
      </c>
      <c r="AB62" s="24">
        <v>9</v>
      </c>
      <c r="AC62" s="24">
        <v>5846</v>
      </c>
      <c r="AD62" s="8"/>
      <c r="AE62" s="319" t="s">
        <v>985</v>
      </c>
      <c r="AF62" s="46">
        <f t="shared" si="9"/>
        <v>3.78E-2</v>
      </c>
      <c r="AG62" s="163"/>
      <c r="AH62" s="163"/>
      <c r="AI62" s="164"/>
      <c r="AJ62" s="141"/>
      <c r="AK62" s="265"/>
      <c r="AL62" s="265"/>
      <c r="AM62" s="267"/>
      <c r="AN62" s="126"/>
      <c r="AO62" s="72"/>
      <c r="AP62" s="72"/>
      <c r="AQ62" s="127"/>
    </row>
    <row r="63" spans="1:43" x14ac:dyDescent="0.25">
      <c r="A63" s="24">
        <v>60</v>
      </c>
      <c r="B63" s="24" t="s">
        <v>28</v>
      </c>
      <c r="C63" s="24" t="s">
        <v>980</v>
      </c>
      <c r="D63" s="24" t="s">
        <v>981</v>
      </c>
      <c r="E63" s="24"/>
      <c r="F63" s="24" t="s">
        <v>982</v>
      </c>
      <c r="G63" s="24"/>
      <c r="H63" s="24" t="s">
        <v>31</v>
      </c>
      <c r="I63" s="24" t="s">
        <v>985</v>
      </c>
      <c r="J63" s="24"/>
      <c r="K63" s="24">
        <v>0.126</v>
      </c>
      <c r="L63" s="24">
        <v>0.126</v>
      </c>
      <c r="M63" s="24">
        <v>1</v>
      </c>
      <c r="N63" s="24" t="s">
        <v>33</v>
      </c>
      <c r="O63" s="24">
        <f t="shared" si="2"/>
        <v>2.1545999999999998</v>
      </c>
      <c r="P63" s="24">
        <f t="shared" si="3"/>
        <v>2.5137</v>
      </c>
      <c r="Q63" s="24">
        <f t="shared" si="4"/>
        <v>1.4364000000000001</v>
      </c>
      <c r="R63" s="24">
        <f t="shared" si="5"/>
        <v>1.0772999999999999</v>
      </c>
      <c r="S63" s="37">
        <v>7.1820000000000004</v>
      </c>
      <c r="T63" s="8">
        <v>105991.94</v>
      </c>
      <c r="U63" s="8">
        <v>13354.98444</v>
      </c>
      <c r="V63" s="8"/>
      <c r="W63" s="8"/>
      <c r="X63" s="24" t="s">
        <v>983</v>
      </c>
      <c r="Y63" s="24">
        <v>73012</v>
      </c>
      <c r="Z63" s="24">
        <v>6.18</v>
      </c>
      <c r="AA63" s="24" t="s">
        <v>982</v>
      </c>
      <c r="AB63" s="24">
        <v>10</v>
      </c>
      <c r="AC63" s="24">
        <v>5846</v>
      </c>
      <c r="AD63" s="8"/>
      <c r="AE63" s="319" t="s">
        <v>985</v>
      </c>
      <c r="AF63" s="46">
        <f t="shared" si="9"/>
        <v>3.78E-2</v>
      </c>
      <c r="AG63" s="163"/>
      <c r="AH63" s="163"/>
      <c r="AI63" s="164"/>
      <c r="AJ63" s="141"/>
      <c r="AK63" s="265"/>
      <c r="AL63" s="265"/>
      <c r="AM63" s="267"/>
      <c r="AN63" s="126"/>
      <c r="AO63" s="72"/>
      <c r="AP63" s="72"/>
      <c r="AQ63" s="127"/>
    </row>
    <row r="64" spans="1:43" x14ac:dyDescent="0.25">
      <c r="A64" s="24">
        <v>61</v>
      </c>
      <c r="B64" s="24" t="s">
        <v>28</v>
      </c>
      <c r="C64" s="24" t="s">
        <v>980</v>
      </c>
      <c r="D64" s="24" t="s">
        <v>981</v>
      </c>
      <c r="E64" s="24"/>
      <c r="F64" s="24" t="s">
        <v>982</v>
      </c>
      <c r="G64" s="24"/>
      <c r="H64" s="24" t="s">
        <v>31</v>
      </c>
      <c r="I64" s="24" t="s">
        <v>984</v>
      </c>
      <c r="J64" s="24"/>
      <c r="K64" s="24">
        <v>0.126</v>
      </c>
      <c r="L64" s="24">
        <v>0.126</v>
      </c>
      <c r="M64" s="24">
        <v>1</v>
      </c>
      <c r="N64" s="24" t="s">
        <v>33</v>
      </c>
      <c r="O64" s="24">
        <f t="shared" si="2"/>
        <v>2.1545999999999998</v>
      </c>
      <c r="P64" s="24">
        <f t="shared" si="3"/>
        <v>2.5137</v>
      </c>
      <c r="Q64" s="24">
        <f t="shared" si="4"/>
        <v>1.4364000000000001</v>
      </c>
      <c r="R64" s="24">
        <f t="shared" si="5"/>
        <v>1.0772999999999999</v>
      </c>
      <c r="S64" s="37">
        <v>7.1820000000000004</v>
      </c>
      <c r="T64" s="8">
        <v>105991.94</v>
      </c>
      <c r="U64" s="8">
        <v>13354.98444</v>
      </c>
      <c r="V64" s="8"/>
      <c r="W64" s="8"/>
      <c r="X64" s="24" t="s">
        <v>983</v>
      </c>
      <c r="Y64" s="24">
        <v>73013</v>
      </c>
      <c r="Z64" s="24">
        <v>6.18</v>
      </c>
      <c r="AA64" s="24" t="s">
        <v>982</v>
      </c>
      <c r="AB64" s="24">
        <v>1</v>
      </c>
      <c r="AC64" s="24">
        <v>5839</v>
      </c>
      <c r="AD64" s="8"/>
      <c r="AE64" s="319" t="s">
        <v>984</v>
      </c>
      <c r="AF64" s="46">
        <f t="shared" si="9"/>
        <v>3.78E-2</v>
      </c>
      <c r="AG64" s="163"/>
      <c r="AH64" s="163"/>
      <c r="AI64" s="164"/>
      <c r="AJ64" s="141"/>
      <c r="AK64" s="265"/>
      <c r="AL64" s="265"/>
      <c r="AM64" s="267"/>
      <c r="AN64" s="126"/>
      <c r="AO64" s="72"/>
      <c r="AP64" s="72"/>
      <c r="AQ64" s="127"/>
    </row>
    <row r="65" spans="1:43" x14ac:dyDescent="0.25">
      <c r="A65" s="24">
        <v>62</v>
      </c>
      <c r="B65" s="24" t="s">
        <v>28</v>
      </c>
      <c r="C65" s="24" t="s">
        <v>980</v>
      </c>
      <c r="D65" s="24" t="s">
        <v>981</v>
      </c>
      <c r="E65" s="24"/>
      <c r="F65" s="24" t="s">
        <v>982</v>
      </c>
      <c r="G65" s="24"/>
      <c r="H65" s="24" t="s">
        <v>31</v>
      </c>
      <c r="I65" s="24" t="s">
        <v>984</v>
      </c>
      <c r="J65" s="24"/>
      <c r="K65" s="24">
        <v>0.126</v>
      </c>
      <c r="L65" s="24">
        <v>0.126</v>
      </c>
      <c r="M65" s="24">
        <v>1</v>
      </c>
      <c r="N65" s="24" t="s">
        <v>33</v>
      </c>
      <c r="O65" s="24">
        <f t="shared" si="2"/>
        <v>2.1545999999999998</v>
      </c>
      <c r="P65" s="24">
        <f t="shared" si="3"/>
        <v>2.5137</v>
      </c>
      <c r="Q65" s="24">
        <f t="shared" si="4"/>
        <v>1.4364000000000001</v>
      </c>
      <c r="R65" s="24">
        <f t="shared" si="5"/>
        <v>1.0772999999999999</v>
      </c>
      <c r="S65" s="37">
        <v>7.1820000000000004</v>
      </c>
      <c r="T65" s="8">
        <v>105991.94</v>
      </c>
      <c r="U65" s="8">
        <v>13354.98444</v>
      </c>
      <c r="V65" s="8"/>
      <c r="W65" s="8"/>
      <c r="X65" s="24" t="s">
        <v>983</v>
      </c>
      <c r="Y65" s="24">
        <v>73013</v>
      </c>
      <c r="Z65" s="24">
        <v>6.18</v>
      </c>
      <c r="AA65" s="24" t="s">
        <v>982</v>
      </c>
      <c r="AB65" s="24">
        <v>2</v>
      </c>
      <c r="AC65" s="24">
        <v>5839</v>
      </c>
      <c r="AD65" s="8"/>
      <c r="AE65" s="319" t="s">
        <v>984</v>
      </c>
      <c r="AF65" s="46">
        <f t="shared" si="9"/>
        <v>3.78E-2</v>
      </c>
      <c r="AG65" s="109"/>
      <c r="AH65" s="109"/>
      <c r="AI65" s="110"/>
      <c r="AJ65" s="113"/>
      <c r="AK65" s="299"/>
      <c r="AL65" s="299"/>
      <c r="AM65" s="300"/>
      <c r="AN65" s="20"/>
      <c r="AO65" s="8"/>
      <c r="AP65" s="8"/>
      <c r="AQ65" s="21"/>
    </row>
    <row r="66" spans="1:43" x14ac:dyDescent="0.25">
      <c r="A66" s="24">
        <v>63</v>
      </c>
      <c r="B66" s="24" t="s">
        <v>28</v>
      </c>
      <c r="C66" s="24" t="s">
        <v>980</v>
      </c>
      <c r="D66" s="24" t="s">
        <v>981</v>
      </c>
      <c r="E66" s="24"/>
      <c r="F66" s="24" t="s">
        <v>982</v>
      </c>
      <c r="G66" s="24"/>
      <c r="H66" s="24" t="s">
        <v>31</v>
      </c>
      <c r="I66" s="24" t="s">
        <v>984</v>
      </c>
      <c r="J66" s="24"/>
      <c r="K66" s="24">
        <v>0.126</v>
      </c>
      <c r="L66" s="24">
        <v>0.126</v>
      </c>
      <c r="M66" s="24">
        <v>1</v>
      </c>
      <c r="N66" s="24" t="s">
        <v>33</v>
      </c>
      <c r="O66" s="24">
        <f t="shared" si="2"/>
        <v>2.1545999999999998</v>
      </c>
      <c r="P66" s="24">
        <f t="shared" si="3"/>
        <v>2.5137</v>
      </c>
      <c r="Q66" s="24">
        <f t="shared" si="4"/>
        <v>1.4364000000000001</v>
      </c>
      <c r="R66" s="24">
        <f t="shared" si="5"/>
        <v>1.0772999999999999</v>
      </c>
      <c r="S66" s="37">
        <v>7.1820000000000004</v>
      </c>
      <c r="T66" s="8">
        <v>105991.94</v>
      </c>
      <c r="U66" s="8">
        <v>13354.98444</v>
      </c>
      <c r="V66" s="8"/>
      <c r="W66" s="8"/>
      <c r="X66" s="24" t="s">
        <v>983</v>
      </c>
      <c r="Y66" s="24">
        <v>73013</v>
      </c>
      <c r="Z66" s="24">
        <v>6.18</v>
      </c>
      <c r="AA66" s="24" t="s">
        <v>982</v>
      </c>
      <c r="AB66" s="24">
        <v>3</v>
      </c>
      <c r="AC66" s="24">
        <v>5839</v>
      </c>
      <c r="AD66" s="8"/>
      <c r="AE66" s="319" t="s">
        <v>984</v>
      </c>
      <c r="AF66" s="46">
        <f t="shared" si="9"/>
        <v>3.78E-2</v>
      </c>
      <c r="AG66" s="109"/>
      <c r="AH66" s="109"/>
      <c r="AI66" s="110"/>
      <c r="AJ66" s="113"/>
      <c r="AK66" s="299"/>
      <c r="AL66" s="299"/>
      <c r="AM66" s="300"/>
      <c r="AN66" s="20"/>
      <c r="AO66" s="8"/>
      <c r="AP66" s="8"/>
      <c r="AQ66" s="21"/>
    </row>
    <row r="67" spans="1:43" x14ac:dyDescent="0.25">
      <c r="A67" s="24">
        <v>64</v>
      </c>
      <c r="B67" s="24" t="s">
        <v>28</v>
      </c>
      <c r="C67" s="24" t="s">
        <v>980</v>
      </c>
      <c r="D67" s="24" t="s">
        <v>981</v>
      </c>
      <c r="E67" s="24"/>
      <c r="F67" s="24" t="s">
        <v>982</v>
      </c>
      <c r="G67" s="24"/>
      <c r="H67" s="24" t="s">
        <v>31</v>
      </c>
      <c r="I67" s="24" t="s">
        <v>984</v>
      </c>
      <c r="J67" s="24"/>
      <c r="K67" s="24">
        <v>0.126</v>
      </c>
      <c r="L67" s="24">
        <v>0.126</v>
      </c>
      <c r="M67" s="24">
        <v>1</v>
      </c>
      <c r="N67" s="24" t="s">
        <v>33</v>
      </c>
      <c r="O67" s="24">
        <f t="shared" si="2"/>
        <v>2.1545999999999998</v>
      </c>
      <c r="P67" s="24">
        <f t="shared" si="3"/>
        <v>2.5137</v>
      </c>
      <c r="Q67" s="24">
        <f t="shared" si="4"/>
        <v>1.4364000000000001</v>
      </c>
      <c r="R67" s="24">
        <f t="shared" si="5"/>
        <v>1.0772999999999999</v>
      </c>
      <c r="S67" s="37">
        <v>7.1820000000000004</v>
      </c>
      <c r="T67" s="8">
        <v>105991.94</v>
      </c>
      <c r="U67" s="8">
        <v>13354.98444</v>
      </c>
      <c r="V67" s="8"/>
      <c r="W67" s="8"/>
      <c r="X67" s="24" t="s">
        <v>983</v>
      </c>
      <c r="Y67" s="24">
        <v>73013</v>
      </c>
      <c r="Z67" s="24">
        <v>6.18</v>
      </c>
      <c r="AA67" s="24" t="s">
        <v>982</v>
      </c>
      <c r="AB67" s="24">
        <v>4</v>
      </c>
      <c r="AC67" s="24">
        <v>5839</v>
      </c>
      <c r="AD67" s="8"/>
      <c r="AE67" s="319" t="s">
        <v>984</v>
      </c>
      <c r="AF67" s="46">
        <f t="shared" si="9"/>
        <v>3.78E-2</v>
      </c>
      <c r="AG67" s="109"/>
      <c r="AH67" s="109"/>
      <c r="AI67" s="110"/>
      <c r="AJ67" s="113"/>
      <c r="AK67" s="299"/>
      <c r="AL67" s="299"/>
      <c r="AM67" s="300"/>
      <c r="AN67" s="20"/>
      <c r="AO67" s="8"/>
      <c r="AP67" s="8"/>
      <c r="AQ67" s="21"/>
    </row>
    <row r="68" spans="1:43" x14ac:dyDescent="0.25">
      <c r="A68" s="24">
        <v>65</v>
      </c>
      <c r="B68" s="24" t="s">
        <v>28</v>
      </c>
      <c r="C68" s="24" t="s">
        <v>980</v>
      </c>
      <c r="D68" s="24" t="s">
        <v>981</v>
      </c>
      <c r="E68" s="24"/>
      <c r="F68" s="24" t="s">
        <v>982</v>
      </c>
      <c r="G68" s="24"/>
      <c r="H68" s="24" t="s">
        <v>31</v>
      </c>
      <c r="I68" s="24" t="s">
        <v>984</v>
      </c>
      <c r="J68" s="24"/>
      <c r="K68" s="24">
        <v>0.126</v>
      </c>
      <c r="L68" s="24">
        <v>0.126</v>
      </c>
      <c r="M68" s="24">
        <v>1</v>
      </c>
      <c r="N68" s="24" t="s">
        <v>33</v>
      </c>
      <c r="O68" s="24">
        <f t="shared" si="2"/>
        <v>2.1545999999999998</v>
      </c>
      <c r="P68" s="24">
        <f t="shared" si="3"/>
        <v>2.5137</v>
      </c>
      <c r="Q68" s="24">
        <f t="shared" si="4"/>
        <v>1.4364000000000001</v>
      </c>
      <c r="R68" s="24">
        <f t="shared" si="5"/>
        <v>1.0772999999999999</v>
      </c>
      <c r="S68" s="37">
        <v>7.1820000000000004</v>
      </c>
      <c r="T68" s="8">
        <v>105991.94</v>
      </c>
      <c r="U68" s="8">
        <v>13354.98444</v>
      </c>
      <c r="V68" s="8"/>
      <c r="W68" s="8"/>
      <c r="X68" s="24" t="s">
        <v>983</v>
      </c>
      <c r="Y68" s="24">
        <v>73013</v>
      </c>
      <c r="Z68" s="24">
        <v>6.18</v>
      </c>
      <c r="AA68" s="24" t="s">
        <v>982</v>
      </c>
      <c r="AB68" s="24">
        <v>5</v>
      </c>
      <c r="AC68" s="24">
        <v>5839</v>
      </c>
      <c r="AD68" s="8"/>
      <c r="AE68" s="319" t="s">
        <v>984</v>
      </c>
      <c r="AF68" s="46">
        <f t="shared" si="9"/>
        <v>3.78E-2</v>
      </c>
      <c r="AG68" s="109"/>
      <c r="AH68" s="109"/>
      <c r="AI68" s="110"/>
      <c r="AJ68" s="113"/>
      <c r="AK68" s="299"/>
      <c r="AL68" s="299"/>
      <c r="AM68" s="300"/>
      <c r="AN68" s="20"/>
      <c r="AO68" s="8"/>
      <c r="AP68" s="8"/>
      <c r="AQ68" s="21"/>
    </row>
    <row r="69" spans="1:43" x14ac:dyDescent="0.25">
      <c r="A69" s="24">
        <v>66</v>
      </c>
      <c r="B69" s="24" t="s">
        <v>28</v>
      </c>
      <c r="C69" s="24" t="s">
        <v>980</v>
      </c>
      <c r="D69" s="24" t="s">
        <v>981</v>
      </c>
      <c r="E69" s="24"/>
      <c r="F69" s="24" t="s">
        <v>982</v>
      </c>
      <c r="G69" s="24"/>
      <c r="H69" s="24" t="s">
        <v>31</v>
      </c>
      <c r="I69" s="24" t="s">
        <v>984</v>
      </c>
      <c r="J69" s="24"/>
      <c r="K69" s="24">
        <v>0.126</v>
      </c>
      <c r="L69" s="24">
        <v>0.126</v>
      </c>
      <c r="M69" s="24">
        <v>1</v>
      </c>
      <c r="N69" s="24" t="s">
        <v>33</v>
      </c>
      <c r="O69" s="24">
        <f t="shared" si="2"/>
        <v>2.1545999999999998</v>
      </c>
      <c r="P69" s="24">
        <f t="shared" si="3"/>
        <v>2.5137</v>
      </c>
      <c r="Q69" s="24">
        <f t="shared" si="4"/>
        <v>1.4364000000000001</v>
      </c>
      <c r="R69" s="24">
        <f t="shared" si="5"/>
        <v>1.0772999999999999</v>
      </c>
      <c r="S69" s="37">
        <v>7.1820000000000004</v>
      </c>
      <c r="T69" s="8">
        <v>105991.94</v>
      </c>
      <c r="U69" s="8">
        <v>13354.98444</v>
      </c>
      <c r="V69" s="8"/>
      <c r="W69" s="8"/>
      <c r="X69" s="24" t="s">
        <v>983</v>
      </c>
      <c r="Y69" s="24">
        <v>73013</v>
      </c>
      <c r="Z69" s="24">
        <v>6.18</v>
      </c>
      <c r="AA69" s="24" t="s">
        <v>982</v>
      </c>
      <c r="AB69" s="24">
        <v>6</v>
      </c>
      <c r="AC69" s="24">
        <v>5839</v>
      </c>
      <c r="AD69" s="8"/>
      <c r="AE69" s="319" t="s">
        <v>984</v>
      </c>
      <c r="AF69" s="46">
        <f t="shared" si="9"/>
        <v>3.78E-2</v>
      </c>
      <c r="AG69" s="109"/>
      <c r="AH69" s="109"/>
      <c r="AI69" s="110"/>
      <c r="AJ69" s="113"/>
      <c r="AK69" s="299"/>
      <c r="AL69" s="299"/>
      <c r="AM69" s="300"/>
      <c r="AN69" s="20"/>
      <c r="AO69" s="8"/>
      <c r="AP69" s="8"/>
      <c r="AQ69" s="21"/>
    </row>
    <row r="70" spans="1:43" x14ac:dyDescent="0.25">
      <c r="A70" s="24">
        <v>67</v>
      </c>
      <c r="B70" s="24" t="s">
        <v>28</v>
      </c>
      <c r="C70" s="24" t="s">
        <v>980</v>
      </c>
      <c r="D70" s="24" t="s">
        <v>981</v>
      </c>
      <c r="E70" s="24"/>
      <c r="F70" s="24" t="s">
        <v>982</v>
      </c>
      <c r="G70" s="24"/>
      <c r="H70" s="24" t="s">
        <v>31</v>
      </c>
      <c r="I70" s="24" t="s">
        <v>984</v>
      </c>
      <c r="J70" s="24"/>
      <c r="K70" s="24">
        <v>0.126</v>
      </c>
      <c r="L70" s="24">
        <v>0.126</v>
      </c>
      <c r="M70" s="24">
        <v>1</v>
      </c>
      <c r="N70" s="24" t="s">
        <v>33</v>
      </c>
      <c r="O70" s="24">
        <f t="shared" ref="O70:O133" si="10">S70*0.3</f>
        <v>2.1545999999999998</v>
      </c>
      <c r="P70" s="24">
        <f t="shared" ref="P70:P133" si="11">S70*0.35</f>
        <v>2.5137</v>
      </c>
      <c r="Q70" s="24">
        <f t="shared" ref="Q70:Q133" si="12">S70*0.2</f>
        <v>1.4364000000000001</v>
      </c>
      <c r="R70" s="24">
        <f t="shared" ref="R70:R133" si="13">S70*0.15</f>
        <v>1.0772999999999999</v>
      </c>
      <c r="S70" s="37">
        <v>7.1820000000000004</v>
      </c>
      <c r="T70" s="8">
        <v>105991.94</v>
      </c>
      <c r="U70" s="8">
        <v>13354.98444</v>
      </c>
      <c r="V70" s="8"/>
      <c r="W70" s="8"/>
      <c r="X70" s="24" t="s">
        <v>983</v>
      </c>
      <c r="Y70" s="24">
        <v>73013</v>
      </c>
      <c r="Z70" s="24">
        <v>6.18</v>
      </c>
      <c r="AA70" s="24" t="s">
        <v>982</v>
      </c>
      <c r="AB70" s="24">
        <v>7</v>
      </c>
      <c r="AC70" s="24">
        <v>5839</v>
      </c>
      <c r="AD70" s="8"/>
      <c r="AE70" s="319" t="s">
        <v>984</v>
      </c>
      <c r="AF70" s="46">
        <f t="shared" si="9"/>
        <v>3.78E-2</v>
      </c>
      <c r="AG70" s="109"/>
      <c r="AH70" s="109"/>
      <c r="AI70" s="110"/>
      <c r="AJ70" s="113"/>
      <c r="AK70" s="299"/>
      <c r="AL70" s="299"/>
      <c r="AM70" s="300"/>
      <c r="AN70" s="20"/>
      <c r="AO70" s="8"/>
      <c r="AP70" s="8"/>
      <c r="AQ70" s="21"/>
    </row>
    <row r="71" spans="1:43" x14ac:dyDescent="0.25">
      <c r="A71" s="24">
        <v>68</v>
      </c>
      <c r="B71" s="24" t="s">
        <v>28</v>
      </c>
      <c r="C71" s="24" t="s">
        <v>980</v>
      </c>
      <c r="D71" s="24" t="s">
        <v>981</v>
      </c>
      <c r="E71" s="24"/>
      <c r="F71" s="24" t="s">
        <v>982</v>
      </c>
      <c r="G71" s="24"/>
      <c r="H71" s="24" t="s">
        <v>31</v>
      </c>
      <c r="I71" s="24" t="s">
        <v>984</v>
      </c>
      <c r="J71" s="24"/>
      <c r="K71" s="24">
        <v>0.126</v>
      </c>
      <c r="L71" s="24">
        <v>0.126</v>
      </c>
      <c r="M71" s="24">
        <v>1</v>
      </c>
      <c r="N71" s="24" t="s">
        <v>33</v>
      </c>
      <c r="O71" s="24">
        <f t="shared" si="10"/>
        <v>2.1545999999999998</v>
      </c>
      <c r="P71" s="24">
        <f t="shared" si="11"/>
        <v>2.5137</v>
      </c>
      <c r="Q71" s="24">
        <f t="shared" si="12"/>
        <v>1.4364000000000001</v>
      </c>
      <c r="R71" s="24">
        <f t="shared" si="13"/>
        <v>1.0772999999999999</v>
      </c>
      <c r="S71" s="37">
        <v>7.1820000000000004</v>
      </c>
      <c r="T71" s="8">
        <v>105991.94</v>
      </c>
      <c r="U71" s="8">
        <v>13354.98444</v>
      </c>
      <c r="V71" s="8"/>
      <c r="W71" s="8"/>
      <c r="X71" s="24" t="s">
        <v>983</v>
      </c>
      <c r="Y71" s="24">
        <v>73013</v>
      </c>
      <c r="Z71" s="24">
        <v>6.18</v>
      </c>
      <c r="AA71" s="24" t="s">
        <v>982</v>
      </c>
      <c r="AB71" s="24">
        <v>8</v>
      </c>
      <c r="AC71" s="24">
        <v>5839</v>
      </c>
      <c r="AD71" s="8"/>
      <c r="AE71" s="319" t="s">
        <v>984</v>
      </c>
      <c r="AF71" s="46">
        <f t="shared" si="9"/>
        <v>3.78E-2</v>
      </c>
      <c r="AG71" s="109"/>
      <c r="AH71" s="109"/>
      <c r="AI71" s="110"/>
      <c r="AJ71" s="113"/>
      <c r="AK71" s="299"/>
      <c r="AL71" s="299"/>
      <c r="AM71" s="300"/>
      <c r="AN71" s="20"/>
      <c r="AO71" s="8"/>
      <c r="AP71" s="8"/>
      <c r="AQ71" s="21"/>
    </row>
    <row r="72" spans="1:43" x14ac:dyDescent="0.25">
      <c r="A72" s="24">
        <v>69</v>
      </c>
      <c r="B72" s="24" t="s">
        <v>28</v>
      </c>
      <c r="C72" s="24" t="s">
        <v>980</v>
      </c>
      <c r="D72" s="24" t="s">
        <v>981</v>
      </c>
      <c r="E72" s="24"/>
      <c r="F72" s="24" t="s">
        <v>982</v>
      </c>
      <c r="G72" s="24"/>
      <c r="H72" s="24" t="s">
        <v>31</v>
      </c>
      <c r="I72" s="24" t="s">
        <v>985</v>
      </c>
      <c r="J72" s="24"/>
      <c r="K72" s="24">
        <v>0.126</v>
      </c>
      <c r="L72" s="24">
        <v>0.126</v>
      </c>
      <c r="M72" s="24">
        <v>1</v>
      </c>
      <c r="N72" s="24" t="s">
        <v>33</v>
      </c>
      <c r="O72" s="24">
        <f t="shared" si="10"/>
        <v>2.1545999999999998</v>
      </c>
      <c r="P72" s="24">
        <f t="shared" si="11"/>
        <v>2.5137</v>
      </c>
      <c r="Q72" s="24">
        <f t="shared" si="12"/>
        <v>1.4364000000000001</v>
      </c>
      <c r="R72" s="24">
        <f t="shared" si="13"/>
        <v>1.0772999999999999</v>
      </c>
      <c r="S72" s="37">
        <v>7.1820000000000004</v>
      </c>
      <c r="T72" s="8">
        <v>105991.94</v>
      </c>
      <c r="U72" s="8">
        <v>13354.98444</v>
      </c>
      <c r="V72" s="8"/>
      <c r="W72" s="8"/>
      <c r="X72" s="24" t="s">
        <v>983</v>
      </c>
      <c r="Y72" s="24">
        <v>73013</v>
      </c>
      <c r="Z72" s="24">
        <v>6.18</v>
      </c>
      <c r="AA72" s="24" t="s">
        <v>982</v>
      </c>
      <c r="AB72" s="24">
        <v>9</v>
      </c>
      <c r="AC72" s="24">
        <v>5841</v>
      </c>
      <c r="AD72" s="8"/>
      <c r="AE72" s="319" t="s">
        <v>985</v>
      </c>
      <c r="AF72" s="46">
        <f t="shared" si="9"/>
        <v>3.78E-2</v>
      </c>
      <c r="AG72" s="109"/>
      <c r="AH72" s="109"/>
      <c r="AI72" s="110"/>
      <c r="AJ72" s="113"/>
      <c r="AK72" s="299"/>
      <c r="AL72" s="299"/>
      <c r="AM72" s="300"/>
      <c r="AN72" s="20"/>
      <c r="AO72" s="8"/>
      <c r="AP72" s="8"/>
      <c r="AQ72" s="21"/>
    </row>
    <row r="73" spans="1:43" x14ac:dyDescent="0.25">
      <c r="A73" s="24">
        <v>70</v>
      </c>
      <c r="B73" s="24" t="s">
        <v>28</v>
      </c>
      <c r="C73" s="24" t="s">
        <v>980</v>
      </c>
      <c r="D73" s="24" t="s">
        <v>981</v>
      </c>
      <c r="E73" s="24"/>
      <c r="F73" s="24" t="s">
        <v>982</v>
      </c>
      <c r="G73" s="24"/>
      <c r="H73" s="24" t="s">
        <v>31</v>
      </c>
      <c r="I73" s="24" t="s">
        <v>985</v>
      </c>
      <c r="J73" s="24"/>
      <c r="K73" s="24">
        <v>0.126</v>
      </c>
      <c r="L73" s="24">
        <v>0.126</v>
      </c>
      <c r="M73" s="24">
        <v>1</v>
      </c>
      <c r="N73" s="24" t="s">
        <v>33</v>
      </c>
      <c r="O73" s="24">
        <f t="shared" si="10"/>
        <v>2.1545999999999998</v>
      </c>
      <c r="P73" s="24">
        <f t="shared" si="11"/>
        <v>2.5137</v>
      </c>
      <c r="Q73" s="24">
        <f t="shared" si="12"/>
        <v>1.4364000000000001</v>
      </c>
      <c r="R73" s="24">
        <f t="shared" si="13"/>
        <v>1.0772999999999999</v>
      </c>
      <c r="S73" s="37">
        <v>7.1820000000000004</v>
      </c>
      <c r="T73" s="8">
        <v>105991.94</v>
      </c>
      <c r="U73" s="8">
        <v>13354.98444</v>
      </c>
      <c r="V73" s="8"/>
      <c r="W73" s="8"/>
      <c r="X73" s="24" t="s">
        <v>983</v>
      </c>
      <c r="Y73" s="24">
        <v>73013</v>
      </c>
      <c r="Z73" s="24">
        <v>6.18</v>
      </c>
      <c r="AA73" s="24" t="s">
        <v>982</v>
      </c>
      <c r="AB73" s="24">
        <v>10</v>
      </c>
      <c r="AC73" s="24">
        <v>5841</v>
      </c>
      <c r="AD73" s="8"/>
      <c r="AE73" s="319" t="s">
        <v>985</v>
      </c>
      <c r="AF73" s="46">
        <f t="shared" si="9"/>
        <v>3.78E-2</v>
      </c>
      <c r="AG73" s="109"/>
      <c r="AH73" s="109"/>
      <c r="AI73" s="110"/>
      <c r="AJ73" s="113"/>
      <c r="AK73" s="299"/>
      <c r="AL73" s="299"/>
      <c r="AM73" s="300"/>
      <c r="AN73" s="20"/>
      <c r="AO73" s="8"/>
      <c r="AP73" s="8"/>
      <c r="AQ73" s="21"/>
    </row>
    <row r="74" spans="1:43" hidden="1" x14ac:dyDescent="0.25">
      <c r="A74" s="8">
        <v>71</v>
      </c>
      <c r="B74" s="8" t="s">
        <v>28</v>
      </c>
      <c r="C74" s="8" t="s">
        <v>980</v>
      </c>
      <c r="D74" s="8" t="s">
        <v>981</v>
      </c>
      <c r="E74" s="8"/>
      <c r="F74" s="8" t="s">
        <v>982</v>
      </c>
      <c r="G74" s="8"/>
      <c r="H74" s="8" t="s">
        <v>31</v>
      </c>
      <c r="I74" s="8" t="s">
        <v>985</v>
      </c>
      <c r="J74" s="8"/>
      <c r="K74" s="8">
        <v>0.126</v>
      </c>
      <c r="L74" s="8">
        <v>0.126</v>
      </c>
      <c r="M74" s="8">
        <v>1</v>
      </c>
      <c r="N74" s="8" t="s">
        <v>33</v>
      </c>
      <c r="O74" s="8">
        <f t="shared" si="10"/>
        <v>2.1545999999999998</v>
      </c>
      <c r="P74" s="8">
        <f t="shared" si="11"/>
        <v>2.5137</v>
      </c>
      <c r="Q74" s="8">
        <f t="shared" si="12"/>
        <v>1.4364000000000001</v>
      </c>
      <c r="R74" s="8">
        <f t="shared" si="13"/>
        <v>1.0772999999999999</v>
      </c>
      <c r="S74" s="37">
        <v>7.1820000000000004</v>
      </c>
      <c r="T74" s="8">
        <v>105991.94</v>
      </c>
      <c r="U74" s="8">
        <v>13354.98444</v>
      </c>
      <c r="V74" s="8"/>
      <c r="W74" s="8"/>
      <c r="X74" s="8" t="s">
        <v>983</v>
      </c>
      <c r="Y74" s="8">
        <v>73014</v>
      </c>
      <c r="Z74" s="8">
        <v>6.18</v>
      </c>
      <c r="AA74" s="8" t="s">
        <v>982</v>
      </c>
      <c r="AB74" s="8">
        <v>1</v>
      </c>
      <c r="AC74" s="8">
        <v>5841</v>
      </c>
      <c r="AD74" s="8"/>
      <c r="AE74" s="319" t="s">
        <v>985</v>
      </c>
      <c r="AF74" s="113"/>
      <c r="AG74" s="109"/>
      <c r="AH74" s="109"/>
      <c r="AI74" s="110"/>
      <c r="AJ74" s="20"/>
      <c r="AK74" s="8"/>
      <c r="AL74" s="8"/>
      <c r="AM74" s="21"/>
      <c r="AN74" s="20"/>
      <c r="AO74" s="8"/>
      <c r="AP74" s="8"/>
      <c r="AQ74" s="21"/>
    </row>
    <row r="75" spans="1:43" hidden="1" x14ac:dyDescent="0.25">
      <c r="A75" s="8">
        <v>72</v>
      </c>
      <c r="B75" s="8" t="s">
        <v>28</v>
      </c>
      <c r="C75" s="8" t="s">
        <v>980</v>
      </c>
      <c r="D75" s="8" t="s">
        <v>981</v>
      </c>
      <c r="E75" s="8"/>
      <c r="F75" s="8" t="s">
        <v>982</v>
      </c>
      <c r="G75" s="8"/>
      <c r="H75" s="8" t="s">
        <v>31</v>
      </c>
      <c r="I75" s="8" t="s">
        <v>985</v>
      </c>
      <c r="J75" s="8"/>
      <c r="K75" s="8">
        <v>0.126</v>
      </c>
      <c r="L75" s="8">
        <v>0.126</v>
      </c>
      <c r="M75" s="8">
        <v>1</v>
      </c>
      <c r="N75" s="8" t="s">
        <v>33</v>
      </c>
      <c r="O75" s="8">
        <f t="shared" si="10"/>
        <v>2.1545999999999998</v>
      </c>
      <c r="P75" s="8">
        <f t="shared" si="11"/>
        <v>2.5137</v>
      </c>
      <c r="Q75" s="8">
        <f t="shared" si="12"/>
        <v>1.4364000000000001</v>
      </c>
      <c r="R75" s="8">
        <f t="shared" si="13"/>
        <v>1.0772999999999999</v>
      </c>
      <c r="S75" s="37">
        <v>7.1820000000000004</v>
      </c>
      <c r="T75" s="8">
        <v>105991.94</v>
      </c>
      <c r="U75" s="8">
        <v>13354.98444</v>
      </c>
      <c r="V75" s="8"/>
      <c r="W75" s="8"/>
      <c r="X75" s="8" t="s">
        <v>983</v>
      </c>
      <c r="Y75" s="8">
        <v>73014</v>
      </c>
      <c r="Z75" s="8">
        <v>6.18</v>
      </c>
      <c r="AA75" s="8" t="s">
        <v>982</v>
      </c>
      <c r="AB75" s="8">
        <v>2</v>
      </c>
      <c r="AC75" s="8">
        <v>5841</v>
      </c>
      <c r="AD75" s="8"/>
      <c r="AE75" s="319" t="s">
        <v>985</v>
      </c>
      <c r="AF75" s="113"/>
      <c r="AG75" s="109"/>
      <c r="AH75" s="109"/>
      <c r="AI75" s="110"/>
      <c r="AJ75" s="20"/>
      <c r="AK75" s="8"/>
      <c r="AL75" s="8"/>
      <c r="AM75" s="21"/>
      <c r="AN75" s="20"/>
      <c r="AO75" s="8"/>
      <c r="AP75" s="8"/>
      <c r="AQ75" s="21"/>
    </row>
    <row r="76" spans="1:43" hidden="1" x14ac:dyDescent="0.25">
      <c r="A76" s="8">
        <v>73</v>
      </c>
      <c r="B76" s="8" t="s">
        <v>28</v>
      </c>
      <c r="C76" s="8" t="s">
        <v>980</v>
      </c>
      <c r="D76" s="8" t="s">
        <v>981</v>
      </c>
      <c r="E76" s="8"/>
      <c r="F76" s="8" t="s">
        <v>982</v>
      </c>
      <c r="G76" s="8"/>
      <c r="H76" s="8" t="s">
        <v>31</v>
      </c>
      <c r="I76" s="8" t="s">
        <v>985</v>
      </c>
      <c r="J76" s="8"/>
      <c r="K76" s="8">
        <v>0.126</v>
      </c>
      <c r="L76" s="8">
        <v>0.126</v>
      </c>
      <c r="M76" s="8">
        <v>1</v>
      </c>
      <c r="N76" s="8" t="s">
        <v>33</v>
      </c>
      <c r="O76" s="8">
        <f t="shared" si="10"/>
        <v>2.1545999999999998</v>
      </c>
      <c r="P76" s="8">
        <f t="shared" si="11"/>
        <v>2.5137</v>
      </c>
      <c r="Q76" s="8">
        <f t="shared" si="12"/>
        <v>1.4364000000000001</v>
      </c>
      <c r="R76" s="8">
        <f t="shared" si="13"/>
        <v>1.0772999999999999</v>
      </c>
      <c r="S76" s="37">
        <v>7.1820000000000004</v>
      </c>
      <c r="T76" s="8">
        <v>105991.94</v>
      </c>
      <c r="U76" s="8">
        <v>13354.98444</v>
      </c>
      <c r="V76" s="8"/>
      <c r="W76" s="8"/>
      <c r="X76" s="8" t="s">
        <v>983</v>
      </c>
      <c r="Y76" s="8">
        <v>73014</v>
      </c>
      <c r="Z76" s="8">
        <v>6.18</v>
      </c>
      <c r="AA76" s="8" t="s">
        <v>982</v>
      </c>
      <c r="AB76" s="8">
        <v>3</v>
      </c>
      <c r="AC76" s="8">
        <v>5841</v>
      </c>
      <c r="AD76" s="8"/>
      <c r="AE76" s="319" t="s">
        <v>985</v>
      </c>
      <c r="AF76" s="113"/>
      <c r="AG76" s="109"/>
      <c r="AH76" s="109"/>
      <c r="AI76" s="110"/>
      <c r="AJ76" s="20"/>
      <c r="AK76" s="8"/>
      <c r="AL76" s="8"/>
      <c r="AM76" s="21"/>
      <c r="AN76" s="20"/>
      <c r="AO76" s="8"/>
      <c r="AP76" s="8"/>
      <c r="AQ76" s="21"/>
    </row>
    <row r="77" spans="1:43" hidden="1" x14ac:dyDescent="0.25">
      <c r="A77" s="8">
        <v>74</v>
      </c>
      <c r="B77" s="8" t="s">
        <v>28</v>
      </c>
      <c r="C77" s="8" t="s">
        <v>980</v>
      </c>
      <c r="D77" s="8" t="s">
        <v>981</v>
      </c>
      <c r="E77" s="8"/>
      <c r="F77" s="8" t="s">
        <v>982</v>
      </c>
      <c r="G77" s="8"/>
      <c r="H77" s="8" t="s">
        <v>31</v>
      </c>
      <c r="I77" s="8" t="s">
        <v>985</v>
      </c>
      <c r="J77" s="8"/>
      <c r="K77" s="8">
        <v>0.126</v>
      </c>
      <c r="L77" s="8">
        <v>0.126</v>
      </c>
      <c r="M77" s="8">
        <v>1</v>
      </c>
      <c r="N77" s="8" t="s">
        <v>33</v>
      </c>
      <c r="O77" s="8">
        <f t="shared" si="10"/>
        <v>2.1545999999999998</v>
      </c>
      <c r="P77" s="8">
        <f t="shared" si="11"/>
        <v>2.5137</v>
      </c>
      <c r="Q77" s="8">
        <f t="shared" si="12"/>
        <v>1.4364000000000001</v>
      </c>
      <c r="R77" s="8">
        <f t="shared" si="13"/>
        <v>1.0772999999999999</v>
      </c>
      <c r="S77" s="37">
        <v>7.1820000000000004</v>
      </c>
      <c r="T77" s="8">
        <v>105991.94</v>
      </c>
      <c r="U77" s="8">
        <v>13354.98444</v>
      </c>
      <c r="V77" s="8"/>
      <c r="W77" s="8"/>
      <c r="X77" s="8" t="s">
        <v>983</v>
      </c>
      <c r="Y77" s="8">
        <v>73014</v>
      </c>
      <c r="Z77" s="8">
        <v>6.18</v>
      </c>
      <c r="AA77" s="8" t="s">
        <v>982</v>
      </c>
      <c r="AB77" s="8">
        <v>4</v>
      </c>
      <c r="AC77" s="8">
        <v>5841</v>
      </c>
      <c r="AD77" s="8"/>
      <c r="AE77" s="319" t="s">
        <v>985</v>
      </c>
      <c r="AF77" s="113"/>
      <c r="AG77" s="109"/>
      <c r="AH77" s="109"/>
      <c r="AI77" s="110"/>
      <c r="AJ77" s="20"/>
      <c r="AK77" s="8"/>
      <c r="AL77" s="8"/>
      <c r="AM77" s="21"/>
      <c r="AN77" s="20"/>
      <c r="AO77" s="8"/>
      <c r="AP77" s="8"/>
      <c r="AQ77" s="21"/>
    </row>
    <row r="78" spans="1:43" hidden="1" x14ac:dyDescent="0.25">
      <c r="A78" s="8">
        <v>75</v>
      </c>
      <c r="B78" s="8" t="s">
        <v>28</v>
      </c>
      <c r="C78" s="8" t="s">
        <v>980</v>
      </c>
      <c r="D78" s="8" t="s">
        <v>981</v>
      </c>
      <c r="E78" s="8"/>
      <c r="F78" s="8" t="s">
        <v>982</v>
      </c>
      <c r="G78" s="8"/>
      <c r="H78" s="8" t="s">
        <v>31</v>
      </c>
      <c r="I78" s="8" t="s">
        <v>985</v>
      </c>
      <c r="J78" s="8"/>
      <c r="K78" s="8">
        <v>0.126</v>
      </c>
      <c r="L78" s="8">
        <v>0.126</v>
      </c>
      <c r="M78" s="8">
        <v>1</v>
      </c>
      <c r="N78" s="8" t="s">
        <v>33</v>
      </c>
      <c r="O78" s="8">
        <f t="shared" si="10"/>
        <v>2.1545999999999998</v>
      </c>
      <c r="P78" s="8">
        <f t="shared" si="11"/>
        <v>2.5137</v>
      </c>
      <c r="Q78" s="8">
        <f t="shared" si="12"/>
        <v>1.4364000000000001</v>
      </c>
      <c r="R78" s="8">
        <f t="shared" si="13"/>
        <v>1.0772999999999999</v>
      </c>
      <c r="S78" s="37">
        <v>7.1820000000000004</v>
      </c>
      <c r="T78" s="8">
        <v>105991.94</v>
      </c>
      <c r="U78" s="8">
        <v>13354.98444</v>
      </c>
      <c r="V78" s="8"/>
      <c r="W78" s="8"/>
      <c r="X78" s="8" t="s">
        <v>983</v>
      </c>
      <c r="Y78" s="8">
        <v>73014</v>
      </c>
      <c r="Z78" s="8">
        <v>6.18</v>
      </c>
      <c r="AA78" s="8" t="s">
        <v>982</v>
      </c>
      <c r="AB78" s="8">
        <v>5</v>
      </c>
      <c r="AC78" s="8">
        <v>5841</v>
      </c>
      <c r="AD78" s="8"/>
      <c r="AE78" s="319" t="s">
        <v>985</v>
      </c>
      <c r="AF78" s="113"/>
      <c r="AG78" s="109"/>
      <c r="AH78" s="109"/>
      <c r="AI78" s="110"/>
      <c r="AJ78" s="20"/>
      <c r="AK78" s="8"/>
      <c r="AL78" s="8"/>
      <c r="AM78" s="21"/>
      <c r="AN78" s="20"/>
      <c r="AO78" s="8"/>
      <c r="AP78" s="8"/>
      <c r="AQ78" s="21"/>
    </row>
    <row r="79" spans="1:43" hidden="1" x14ac:dyDescent="0.25">
      <c r="A79" s="8">
        <v>76</v>
      </c>
      <c r="B79" s="8" t="s">
        <v>28</v>
      </c>
      <c r="C79" s="8" t="s">
        <v>980</v>
      </c>
      <c r="D79" s="8" t="s">
        <v>981</v>
      </c>
      <c r="E79" s="8"/>
      <c r="F79" s="8" t="s">
        <v>982</v>
      </c>
      <c r="G79" s="8"/>
      <c r="H79" s="8" t="s">
        <v>31</v>
      </c>
      <c r="I79" s="8" t="s">
        <v>985</v>
      </c>
      <c r="J79" s="8"/>
      <c r="K79" s="8">
        <v>0.126</v>
      </c>
      <c r="L79" s="8">
        <v>0.126</v>
      </c>
      <c r="M79" s="8">
        <v>1</v>
      </c>
      <c r="N79" s="8" t="s">
        <v>33</v>
      </c>
      <c r="O79" s="8">
        <f t="shared" si="10"/>
        <v>2.1545999999999998</v>
      </c>
      <c r="P79" s="8">
        <f t="shared" si="11"/>
        <v>2.5137</v>
      </c>
      <c r="Q79" s="8">
        <f t="shared" si="12"/>
        <v>1.4364000000000001</v>
      </c>
      <c r="R79" s="8">
        <f t="shared" si="13"/>
        <v>1.0772999999999999</v>
      </c>
      <c r="S79" s="37">
        <v>7.1820000000000004</v>
      </c>
      <c r="T79" s="8">
        <v>105991.94</v>
      </c>
      <c r="U79" s="8">
        <v>13354.98444</v>
      </c>
      <c r="V79" s="8"/>
      <c r="W79" s="8"/>
      <c r="X79" s="8" t="s">
        <v>983</v>
      </c>
      <c r="Y79" s="8">
        <v>73014</v>
      </c>
      <c r="Z79" s="8">
        <v>6.18</v>
      </c>
      <c r="AA79" s="8" t="s">
        <v>982</v>
      </c>
      <c r="AB79" s="8">
        <v>6</v>
      </c>
      <c r="AC79" s="8">
        <v>5841</v>
      </c>
      <c r="AD79" s="8"/>
      <c r="AE79" s="319" t="s">
        <v>985</v>
      </c>
      <c r="AF79" s="113"/>
      <c r="AG79" s="109"/>
      <c r="AH79" s="109"/>
      <c r="AI79" s="110"/>
      <c r="AJ79" s="20"/>
      <c r="AK79" s="8"/>
      <c r="AL79" s="8"/>
      <c r="AM79" s="21"/>
      <c r="AN79" s="20"/>
      <c r="AO79" s="8"/>
      <c r="AP79" s="8"/>
      <c r="AQ79" s="21"/>
    </row>
    <row r="80" spans="1:43" hidden="1" x14ac:dyDescent="0.25">
      <c r="A80" s="8">
        <v>77</v>
      </c>
      <c r="B80" s="8" t="s">
        <v>28</v>
      </c>
      <c r="C80" s="8" t="s">
        <v>980</v>
      </c>
      <c r="D80" s="8" t="s">
        <v>981</v>
      </c>
      <c r="E80" s="8"/>
      <c r="F80" s="8" t="s">
        <v>982</v>
      </c>
      <c r="G80" s="8"/>
      <c r="H80" s="8" t="s">
        <v>31</v>
      </c>
      <c r="I80" s="8" t="s">
        <v>985</v>
      </c>
      <c r="J80" s="8"/>
      <c r="K80" s="8">
        <v>0.126</v>
      </c>
      <c r="L80" s="8">
        <v>0.126</v>
      </c>
      <c r="M80" s="8">
        <v>1</v>
      </c>
      <c r="N80" s="8" t="s">
        <v>33</v>
      </c>
      <c r="O80" s="8">
        <f t="shared" si="10"/>
        <v>2.1545999999999998</v>
      </c>
      <c r="P80" s="8">
        <f t="shared" si="11"/>
        <v>2.5137</v>
      </c>
      <c r="Q80" s="8">
        <f t="shared" si="12"/>
        <v>1.4364000000000001</v>
      </c>
      <c r="R80" s="8">
        <f t="shared" si="13"/>
        <v>1.0772999999999999</v>
      </c>
      <c r="S80" s="37">
        <v>7.1820000000000004</v>
      </c>
      <c r="T80" s="8">
        <v>105991.94</v>
      </c>
      <c r="U80" s="8">
        <v>13354.98444</v>
      </c>
      <c r="V80" s="8"/>
      <c r="W80" s="8"/>
      <c r="X80" s="8" t="s">
        <v>983</v>
      </c>
      <c r="Y80" s="8">
        <v>73014</v>
      </c>
      <c r="Z80" s="8">
        <v>6.18</v>
      </c>
      <c r="AA80" s="8" t="s">
        <v>982</v>
      </c>
      <c r="AB80" s="8">
        <v>7</v>
      </c>
      <c r="AC80" s="8">
        <v>5841</v>
      </c>
      <c r="AD80" s="8"/>
      <c r="AE80" s="319" t="s">
        <v>985</v>
      </c>
      <c r="AF80" s="113"/>
      <c r="AG80" s="109"/>
      <c r="AH80" s="109"/>
      <c r="AI80" s="110"/>
      <c r="AJ80" s="20"/>
      <c r="AK80" s="8"/>
      <c r="AL80" s="8"/>
      <c r="AM80" s="21"/>
      <c r="AN80" s="20"/>
      <c r="AO80" s="8"/>
      <c r="AP80" s="8"/>
      <c r="AQ80" s="21"/>
    </row>
    <row r="81" spans="1:43" hidden="1" x14ac:dyDescent="0.25">
      <c r="A81" s="8">
        <v>78</v>
      </c>
      <c r="B81" s="8" t="s">
        <v>28</v>
      </c>
      <c r="C81" s="8" t="s">
        <v>980</v>
      </c>
      <c r="D81" s="8" t="s">
        <v>981</v>
      </c>
      <c r="E81" s="8"/>
      <c r="F81" s="8" t="s">
        <v>982</v>
      </c>
      <c r="G81" s="8"/>
      <c r="H81" s="8" t="s">
        <v>31</v>
      </c>
      <c r="I81" s="8" t="s">
        <v>985</v>
      </c>
      <c r="J81" s="8"/>
      <c r="K81" s="8">
        <v>0.126</v>
      </c>
      <c r="L81" s="8">
        <v>0.126</v>
      </c>
      <c r="M81" s="8">
        <v>1</v>
      </c>
      <c r="N81" s="8" t="s">
        <v>33</v>
      </c>
      <c r="O81" s="8">
        <f t="shared" si="10"/>
        <v>2.1545999999999998</v>
      </c>
      <c r="P81" s="8">
        <f t="shared" si="11"/>
        <v>2.5137</v>
      </c>
      <c r="Q81" s="8">
        <f t="shared" si="12"/>
        <v>1.4364000000000001</v>
      </c>
      <c r="R81" s="8">
        <f t="shared" si="13"/>
        <v>1.0772999999999999</v>
      </c>
      <c r="S81" s="37">
        <v>7.1820000000000004</v>
      </c>
      <c r="T81" s="8">
        <v>105991.94</v>
      </c>
      <c r="U81" s="8">
        <v>13354.98444</v>
      </c>
      <c r="V81" s="8"/>
      <c r="W81" s="8"/>
      <c r="X81" s="8" t="s">
        <v>983</v>
      </c>
      <c r="Y81" s="8">
        <v>73014</v>
      </c>
      <c r="Z81" s="8">
        <v>6.18</v>
      </c>
      <c r="AA81" s="8" t="s">
        <v>982</v>
      </c>
      <c r="AB81" s="8">
        <v>8</v>
      </c>
      <c r="AC81" s="8">
        <v>5841</v>
      </c>
      <c r="AD81" s="8"/>
      <c r="AE81" s="319" t="s">
        <v>985</v>
      </c>
      <c r="AF81" s="113"/>
      <c r="AG81" s="109"/>
      <c r="AH81" s="109"/>
      <c r="AI81" s="110"/>
      <c r="AJ81" s="20"/>
      <c r="AK81" s="8"/>
      <c r="AL81" s="8"/>
      <c r="AM81" s="21"/>
      <c r="AN81" s="20"/>
      <c r="AO81" s="8"/>
      <c r="AP81" s="8"/>
      <c r="AQ81" s="21"/>
    </row>
    <row r="82" spans="1:43" hidden="1" x14ac:dyDescent="0.25">
      <c r="A82" s="8">
        <v>79</v>
      </c>
      <c r="B82" s="8" t="s">
        <v>28</v>
      </c>
      <c r="C82" s="8" t="s">
        <v>980</v>
      </c>
      <c r="D82" s="8" t="s">
        <v>981</v>
      </c>
      <c r="E82" s="8"/>
      <c r="F82" s="8" t="s">
        <v>982</v>
      </c>
      <c r="G82" s="8"/>
      <c r="H82" s="8" t="s">
        <v>31</v>
      </c>
      <c r="I82" s="8" t="s">
        <v>985</v>
      </c>
      <c r="J82" s="8"/>
      <c r="K82" s="8">
        <v>0.126</v>
      </c>
      <c r="L82" s="8">
        <v>0.126</v>
      </c>
      <c r="M82" s="8">
        <v>1</v>
      </c>
      <c r="N82" s="8" t="s">
        <v>33</v>
      </c>
      <c r="O82" s="8">
        <f t="shared" si="10"/>
        <v>2.1545999999999998</v>
      </c>
      <c r="P82" s="8">
        <f t="shared" si="11"/>
        <v>2.5137</v>
      </c>
      <c r="Q82" s="8">
        <f t="shared" si="12"/>
        <v>1.4364000000000001</v>
      </c>
      <c r="R82" s="8">
        <f t="shared" si="13"/>
        <v>1.0772999999999999</v>
      </c>
      <c r="S82" s="37">
        <v>7.1820000000000004</v>
      </c>
      <c r="T82" s="8">
        <v>105991.94</v>
      </c>
      <c r="U82" s="8">
        <v>13354.98444</v>
      </c>
      <c r="V82" s="8"/>
      <c r="W82" s="8"/>
      <c r="X82" s="8" t="s">
        <v>983</v>
      </c>
      <c r="Y82" s="8">
        <v>73014</v>
      </c>
      <c r="Z82" s="8">
        <v>6.18</v>
      </c>
      <c r="AA82" s="8" t="s">
        <v>982</v>
      </c>
      <c r="AB82" s="8">
        <v>9</v>
      </c>
      <c r="AC82" s="8">
        <v>5841</v>
      </c>
      <c r="AD82" s="8"/>
      <c r="AE82" s="319" t="s">
        <v>985</v>
      </c>
      <c r="AF82" s="113"/>
      <c r="AG82" s="109"/>
      <c r="AH82" s="109"/>
      <c r="AI82" s="110"/>
      <c r="AJ82" s="20"/>
      <c r="AK82" s="8"/>
      <c r="AL82" s="8"/>
      <c r="AM82" s="21"/>
      <c r="AN82" s="20"/>
      <c r="AO82" s="8"/>
      <c r="AP82" s="8"/>
      <c r="AQ82" s="21"/>
    </row>
    <row r="83" spans="1:43" hidden="1" x14ac:dyDescent="0.25">
      <c r="A83" s="8">
        <v>80</v>
      </c>
      <c r="B83" s="8" t="s">
        <v>28</v>
      </c>
      <c r="C83" s="8" t="s">
        <v>980</v>
      </c>
      <c r="D83" s="8" t="s">
        <v>981</v>
      </c>
      <c r="E83" s="8"/>
      <c r="F83" s="8" t="s">
        <v>982</v>
      </c>
      <c r="G83" s="8"/>
      <c r="H83" s="8" t="s">
        <v>31</v>
      </c>
      <c r="I83" s="8" t="s">
        <v>985</v>
      </c>
      <c r="J83" s="8"/>
      <c r="K83" s="8">
        <v>0.126</v>
      </c>
      <c r="L83" s="8">
        <v>0.126</v>
      </c>
      <c r="M83" s="8">
        <v>1</v>
      </c>
      <c r="N83" s="8" t="s">
        <v>33</v>
      </c>
      <c r="O83" s="8">
        <f t="shared" si="10"/>
        <v>2.1545999999999998</v>
      </c>
      <c r="P83" s="8">
        <f t="shared" si="11"/>
        <v>2.5137</v>
      </c>
      <c r="Q83" s="8">
        <f t="shared" si="12"/>
        <v>1.4364000000000001</v>
      </c>
      <c r="R83" s="8">
        <f t="shared" si="13"/>
        <v>1.0772999999999999</v>
      </c>
      <c r="S83" s="37">
        <v>7.1820000000000004</v>
      </c>
      <c r="T83" s="8">
        <v>105991.94</v>
      </c>
      <c r="U83" s="8">
        <v>13354.98444</v>
      </c>
      <c r="V83" s="8"/>
      <c r="W83" s="8"/>
      <c r="X83" s="8" t="s">
        <v>983</v>
      </c>
      <c r="Y83" s="8">
        <v>73014</v>
      </c>
      <c r="Z83" s="8">
        <v>6.18</v>
      </c>
      <c r="AA83" s="8" t="s">
        <v>982</v>
      </c>
      <c r="AB83" s="8">
        <v>10</v>
      </c>
      <c r="AC83" s="8">
        <v>5841</v>
      </c>
      <c r="AD83" s="8"/>
      <c r="AE83" s="319" t="s">
        <v>985</v>
      </c>
      <c r="AF83" s="113"/>
      <c r="AG83" s="109"/>
      <c r="AH83" s="109"/>
      <c r="AI83" s="110"/>
      <c r="AJ83" s="20"/>
      <c r="AK83" s="8"/>
      <c r="AL83" s="8"/>
      <c r="AM83" s="21"/>
      <c r="AN83" s="20"/>
      <c r="AO83" s="8"/>
      <c r="AP83" s="8"/>
      <c r="AQ83" s="21"/>
    </row>
    <row r="84" spans="1:43" hidden="1" x14ac:dyDescent="0.25">
      <c r="A84" s="8">
        <v>81</v>
      </c>
      <c r="B84" s="8" t="s">
        <v>28</v>
      </c>
      <c r="C84" s="8" t="s">
        <v>980</v>
      </c>
      <c r="D84" s="8" t="s">
        <v>981</v>
      </c>
      <c r="E84" s="8"/>
      <c r="F84" s="8" t="s">
        <v>982</v>
      </c>
      <c r="G84" s="8"/>
      <c r="H84" s="8" t="s">
        <v>31</v>
      </c>
      <c r="I84" s="8" t="s">
        <v>984</v>
      </c>
      <c r="J84" s="8"/>
      <c r="K84" s="8">
        <v>0.126</v>
      </c>
      <c r="L84" s="8">
        <v>0.126</v>
      </c>
      <c r="M84" s="8">
        <v>1</v>
      </c>
      <c r="N84" s="8" t="s">
        <v>33</v>
      </c>
      <c r="O84" s="8">
        <f t="shared" si="10"/>
        <v>2.1545999999999998</v>
      </c>
      <c r="P84" s="8">
        <f t="shared" si="11"/>
        <v>2.5137</v>
      </c>
      <c r="Q84" s="8">
        <f t="shared" si="12"/>
        <v>1.4364000000000001</v>
      </c>
      <c r="R84" s="8">
        <f t="shared" si="13"/>
        <v>1.0772999999999999</v>
      </c>
      <c r="S84" s="37">
        <v>7.1820000000000004</v>
      </c>
      <c r="T84" s="8">
        <v>105991.94</v>
      </c>
      <c r="U84" s="8">
        <v>13354.98444</v>
      </c>
      <c r="V84" s="8"/>
      <c r="W84" s="8"/>
      <c r="X84" s="8" t="s">
        <v>983</v>
      </c>
      <c r="Y84" s="8">
        <v>73015</v>
      </c>
      <c r="Z84" s="8">
        <v>6.18</v>
      </c>
      <c r="AA84" s="8" t="s">
        <v>982</v>
      </c>
      <c r="AB84" s="8">
        <v>1</v>
      </c>
      <c r="AC84" s="8">
        <v>5839</v>
      </c>
      <c r="AD84" s="8"/>
      <c r="AE84" s="319" t="s">
        <v>984</v>
      </c>
      <c r="AF84" s="113"/>
      <c r="AG84" s="109"/>
      <c r="AH84" s="109"/>
      <c r="AI84" s="110"/>
      <c r="AJ84" s="20"/>
      <c r="AK84" s="8"/>
      <c r="AL84" s="8"/>
      <c r="AM84" s="21"/>
      <c r="AN84" s="20"/>
      <c r="AO84" s="8"/>
      <c r="AP84" s="8"/>
      <c r="AQ84" s="21"/>
    </row>
    <row r="85" spans="1:43" hidden="1" x14ac:dyDescent="0.25">
      <c r="A85" s="8">
        <v>82</v>
      </c>
      <c r="B85" s="8" t="s">
        <v>28</v>
      </c>
      <c r="C85" s="8" t="s">
        <v>980</v>
      </c>
      <c r="D85" s="8" t="s">
        <v>981</v>
      </c>
      <c r="E85" s="8"/>
      <c r="F85" s="8" t="s">
        <v>982</v>
      </c>
      <c r="G85" s="8"/>
      <c r="H85" s="8" t="s">
        <v>31</v>
      </c>
      <c r="I85" s="8" t="s">
        <v>984</v>
      </c>
      <c r="J85" s="8"/>
      <c r="K85" s="8">
        <v>0.126</v>
      </c>
      <c r="L85" s="8">
        <v>0.126</v>
      </c>
      <c r="M85" s="8">
        <v>1</v>
      </c>
      <c r="N85" s="8" t="s">
        <v>33</v>
      </c>
      <c r="O85" s="8">
        <f t="shared" si="10"/>
        <v>2.1545999999999998</v>
      </c>
      <c r="P85" s="8">
        <f t="shared" si="11"/>
        <v>2.5137</v>
      </c>
      <c r="Q85" s="8">
        <f t="shared" si="12"/>
        <v>1.4364000000000001</v>
      </c>
      <c r="R85" s="8">
        <f t="shared" si="13"/>
        <v>1.0772999999999999</v>
      </c>
      <c r="S85" s="37">
        <v>7.1820000000000004</v>
      </c>
      <c r="T85" s="8">
        <v>105991.94</v>
      </c>
      <c r="U85" s="8">
        <v>13354.98444</v>
      </c>
      <c r="V85" s="8"/>
      <c r="W85" s="8"/>
      <c r="X85" s="8" t="s">
        <v>983</v>
      </c>
      <c r="Y85" s="8">
        <v>73015</v>
      </c>
      <c r="Z85" s="8">
        <v>6.18</v>
      </c>
      <c r="AA85" s="8" t="s">
        <v>982</v>
      </c>
      <c r="AB85" s="8">
        <v>2</v>
      </c>
      <c r="AC85" s="8">
        <v>5839</v>
      </c>
      <c r="AD85" s="8"/>
      <c r="AE85" s="319" t="s">
        <v>984</v>
      </c>
      <c r="AF85" s="113"/>
      <c r="AG85" s="109"/>
      <c r="AH85" s="109"/>
      <c r="AI85" s="110"/>
      <c r="AJ85" s="20"/>
      <c r="AK85" s="8"/>
      <c r="AL85" s="8"/>
      <c r="AM85" s="21"/>
      <c r="AN85" s="20"/>
      <c r="AO85" s="8"/>
      <c r="AP85" s="8"/>
      <c r="AQ85" s="21"/>
    </row>
    <row r="86" spans="1:43" hidden="1" x14ac:dyDescent="0.25">
      <c r="A86" s="8">
        <v>83</v>
      </c>
      <c r="B86" s="8" t="s">
        <v>28</v>
      </c>
      <c r="C86" s="8" t="s">
        <v>980</v>
      </c>
      <c r="D86" s="8" t="s">
        <v>981</v>
      </c>
      <c r="E86" s="8"/>
      <c r="F86" s="8" t="s">
        <v>982</v>
      </c>
      <c r="G86" s="8"/>
      <c r="H86" s="8" t="s">
        <v>31</v>
      </c>
      <c r="I86" s="8" t="s">
        <v>984</v>
      </c>
      <c r="J86" s="8"/>
      <c r="K86" s="8">
        <v>0.126</v>
      </c>
      <c r="L86" s="8">
        <v>0.126</v>
      </c>
      <c r="M86" s="8">
        <v>1</v>
      </c>
      <c r="N86" s="8" t="s">
        <v>33</v>
      </c>
      <c r="O86" s="8">
        <f t="shared" si="10"/>
        <v>2.1545999999999998</v>
      </c>
      <c r="P86" s="8">
        <f t="shared" si="11"/>
        <v>2.5137</v>
      </c>
      <c r="Q86" s="8">
        <f t="shared" si="12"/>
        <v>1.4364000000000001</v>
      </c>
      <c r="R86" s="8">
        <f t="shared" si="13"/>
        <v>1.0772999999999999</v>
      </c>
      <c r="S86" s="37">
        <v>7.1820000000000004</v>
      </c>
      <c r="T86" s="8">
        <v>105991.94</v>
      </c>
      <c r="U86" s="8">
        <v>13354.98444</v>
      </c>
      <c r="V86" s="8"/>
      <c r="W86" s="8"/>
      <c r="X86" s="8" t="s">
        <v>983</v>
      </c>
      <c r="Y86" s="8">
        <v>73015</v>
      </c>
      <c r="Z86" s="8">
        <v>6.18</v>
      </c>
      <c r="AA86" s="8" t="s">
        <v>982</v>
      </c>
      <c r="AB86" s="8">
        <v>3</v>
      </c>
      <c r="AC86" s="8">
        <v>5839</v>
      </c>
      <c r="AD86" s="8"/>
      <c r="AE86" s="319" t="s">
        <v>984</v>
      </c>
      <c r="AF86" s="113"/>
      <c r="AG86" s="109"/>
      <c r="AH86" s="109"/>
      <c r="AI86" s="110"/>
      <c r="AJ86" s="20"/>
      <c r="AK86" s="8"/>
      <c r="AL86" s="8"/>
      <c r="AM86" s="21"/>
      <c r="AN86" s="20"/>
      <c r="AO86" s="8"/>
      <c r="AP86" s="8"/>
      <c r="AQ86" s="21"/>
    </row>
    <row r="87" spans="1:43" hidden="1" x14ac:dyDescent="0.25">
      <c r="A87" s="8">
        <v>84</v>
      </c>
      <c r="B87" s="8" t="s">
        <v>28</v>
      </c>
      <c r="C87" s="8" t="s">
        <v>980</v>
      </c>
      <c r="D87" s="8" t="s">
        <v>981</v>
      </c>
      <c r="E87" s="8"/>
      <c r="F87" s="8" t="s">
        <v>982</v>
      </c>
      <c r="G87" s="8"/>
      <c r="H87" s="8" t="s">
        <v>31</v>
      </c>
      <c r="I87" s="8" t="s">
        <v>984</v>
      </c>
      <c r="J87" s="8"/>
      <c r="K87" s="8">
        <v>0.126</v>
      </c>
      <c r="L87" s="8">
        <v>0.126</v>
      </c>
      <c r="M87" s="8">
        <v>1</v>
      </c>
      <c r="N87" s="8" t="s">
        <v>33</v>
      </c>
      <c r="O87" s="8">
        <f t="shared" si="10"/>
        <v>2.1545999999999998</v>
      </c>
      <c r="P87" s="8">
        <f t="shared" si="11"/>
        <v>2.5137</v>
      </c>
      <c r="Q87" s="8">
        <f t="shared" si="12"/>
        <v>1.4364000000000001</v>
      </c>
      <c r="R87" s="8">
        <f t="shared" si="13"/>
        <v>1.0772999999999999</v>
      </c>
      <c r="S87" s="37">
        <v>7.1820000000000004</v>
      </c>
      <c r="T87" s="8">
        <v>105991.94</v>
      </c>
      <c r="U87" s="8">
        <v>13354.98444</v>
      </c>
      <c r="V87" s="8"/>
      <c r="W87" s="8"/>
      <c r="X87" s="8" t="s">
        <v>983</v>
      </c>
      <c r="Y87" s="8">
        <v>73015</v>
      </c>
      <c r="Z87" s="8">
        <v>6.18</v>
      </c>
      <c r="AA87" s="8" t="s">
        <v>982</v>
      </c>
      <c r="AB87" s="8">
        <v>4</v>
      </c>
      <c r="AC87" s="8">
        <v>5839</v>
      </c>
      <c r="AD87" s="8"/>
      <c r="AE87" s="319" t="s">
        <v>984</v>
      </c>
      <c r="AF87" s="113"/>
      <c r="AG87" s="109"/>
      <c r="AH87" s="109"/>
      <c r="AI87" s="110"/>
      <c r="AJ87" s="20"/>
      <c r="AK87" s="8"/>
      <c r="AL87" s="8"/>
      <c r="AM87" s="21"/>
      <c r="AN87" s="20"/>
      <c r="AO87" s="8"/>
      <c r="AP87" s="8"/>
      <c r="AQ87" s="21"/>
    </row>
    <row r="88" spans="1:43" hidden="1" x14ac:dyDescent="0.25">
      <c r="A88" s="8">
        <v>85</v>
      </c>
      <c r="B88" s="8" t="s">
        <v>28</v>
      </c>
      <c r="C88" s="8" t="s">
        <v>980</v>
      </c>
      <c r="D88" s="8" t="s">
        <v>981</v>
      </c>
      <c r="E88" s="8"/>
      <c r="F88" s="8" t="s">
        <v>982</v>
      </c>
      <c r="G88" s="8"/>
      <c r="H88" s="8" t="s">
        <v>31</v>
      </c>
      <c r="I88" s="8" t="s">
        <v>985</v>
      </c>
      <c r="J88" s="8"/>
      <c r="K88" s="8">
        <v>0.126</v>
      </c>
      <c r="L88" s="8">
        <v>0.126</v>
      </c>
      <c r="M88" s="8">
        <v>1</v>
      </c>
      <c r="N88" s="8" t="s">
        <v>33</v>
      </c>
      <c r="O88" s="8">
        <f t="shared" si="10"/>
        <v>2.1545999999999998</v>
      </c>
      <c r="P88" s="8">
        <f t="shared" si="11"/>
        <v>2.5137</v>
      </c>
      <c r="Q88" s="8">
        <f t="shared" si="12"/>
        <v>1.4364000000000001</v>
      </c>
      <c r="R88" s="8">
        <f t="shared" si="13"/>
        <v>1.0772999999999999</v>
      </c>
      <c r="S88" s="37">
        <v>7.1820000000000004</v>
      </c>
      <c r="T88" s="8">
        <v>105991.94</v>
      </c>
      <c r="U88" s="8">
        <v>13354.98444</v>
      </c>
      <c r="V88" s="8"/>
      <c r="W88" s="8"/>
      <c r="X88" s="8" t="s">
        <v>983</v>
      </c>
      <c r="Y88" s="8">
        <v>73015</v>
      </c>
      <c r="Z88" s="8">
        <v>6.18</v>
      </c>
      <c r="AA88" s="8" t="s">
        <v>982</v>
      </c>
      <c r="AB88" s="8">
        <v>5</v>
      </c>
      <c r="AC88" s="8">
        <v>5841</v>
      </c>
      <c r="AD88" s="8"/>
      <c r="AE88" s="319" t="s">
        <v>985</v>
      </c>
      <c r="AF88" s="113"/>
      <c r="AG88" s="109"/>
      <c r="AH88" s="109"/>
      <c r="AI88" s="110"/>
      <c r="AJ88" s="20"/>
      <c r="AK88" s="8"/>
      <c r="AL88" s="8"/>
      <c r="AM88" s="21"/>
      <c r="AN88" s="20"/>
      <c r="AO88" s="8"/>
      <c r="AP88" s="8"/>
      <c r="AQ88" s="21"/>
    </row>
    <row r="89" spans="1:43" hidden="1" x14ac:dyDescent="0.25">
      <c r="A89" s="8">
        <v>86</v>
      </c>
      <c r="B89" s="8" t="s">
        <v>28</v>
      </c>
      <c r="C89" s="8" t="s">
        <v>980</v>
      </c>
      <c r="D89" s="8" t="s">
        <v>981</v>
      </c>
      <c r="E89" s="8"/>
      <c r="F89" s="8" t="s">
        <v>982</v>
      </c>
      <c r="G89" s="8"/>
      <c r="H89" s="8" t="s">
        <v>31</v>
      </c>
      <c r="I89" s="8" t="s">
        <v>985</v>
      </c>
      <c r="J89" s="8"/>
      <c r="K89" s="8">
        <v>0.126</v>
      </c>
      <c r="L89" s="8">
        <v>0.126</v>
      </c>
      <c r="M89" s="8">
        <v>1</v>
      </c>
      <c r="N89" s="8" t="s">
        <v>33</v>
      </c>
      <c r="O89" s="8">
        <f t="shared" si="10"/>
        <v>2.1545999999999998</v>
      </c>
      <c r="P89" s="8">
        <f t="shared" si="11"/>
        <v>2.5137</v>
      </c>
      <c r="Q89" s="8">
        <f t="shared" si="12"/>
        <v>1.4364000000000001</v>
      </c>
      <c r="R89" s="8">
        <f t="shared" si="13"/>
        <v>1.0772999999999999</v>
      </c>
      <c r="S89" s="37">
        <v>7.1820000000000004</v>
      </c>
      <c r="T89" s="8">
        <v>105991.94</v>
      </c>
      <c r="U89" s="8">
        <v>13354.98444</v>
      </c>
      <c r="V89" s="8"/>
      <c r="W89" s="8"/>
      <c r="X89" s="8" t="s">
        <v>983</v>
      </c>
      <c r="Y89" s="8">
        <v>73015</v>
      </c>
      <c r="Z89" s="8">
        <v>6.18</v>
      </c>
      <c r="AA89" s="8" t="s">
        <v>982</v>
      </c>
      <c r="AB89" s="8">
        <v>6</v>
      </c>
      <c r="AC89" s="8">
        <v>5841</v>
      </c>
      <c r="AD89" s="8"/>
      <c r="AE89" s="319" t="s">
        <v>985</v>
      </c>
      <c r="AF89" s="113"/>
      <c r="AG89" s="109"/>
      <c r="AH89" s="109"/>
      <c r="AI89" s="110"/>
      <c r="AJ89" s="20"/>
      <c r="AK89" s="8"/>
      <c r="AL89" s="8"/>
      <c r="AM89" s="21"/>
      <c r="AN89" s="20"/>
      <c r="AO89" s="8"/>
      <c r="AP89" s="8"/>
      <c r="AQ89" s="21"/>
    </row>
    <row r="90" spans="1:43" hidden="1" x14ac:dyDescent="0.25">
      <c r="A90" s="8">
        <v>87</v>
      </c>
      <c r="B90" s="8" t="s">
        <v>28</v>
      </c>
      <c r="C90" s="8" t="s">
        <v>980</v>
      </c>
      <c r="D90" s="8" t="s">
        <v>981</v>
      </c>
      <c r="E90" s="8"/>
      <c r="F90" s="8" t="s">
        <v>982</v>
      </c>
      <c r="G90" s="8"/>
      <c r="H90" s="8" t="s">
        <v>31</v>
      </c>
      <c r="I90" s="8" t="s">
        <v>985</v>
      </c>
      <c r="J90" s="8"/>
      <c r="K90" s="8">
        <v>0.126</v>
      </c>
      <c r="L90" s="8">
        <v>0.126</v>
      </c>
      <c r="M90" s="8">
        <v>1</v>
      </c>
      <c r="N90" s="8" t="s">
        <v>33</v>
      </c>
      <c r="O90" s="8">
        <f t="shared" si="10"/>
        <v>2.1545999999999998</v>
      </c>
      <c r="P90" s="8">
        <f t="shared" si="11"/>
        <v>2.5137</v>
      </c>
      <c r="Q90" s="8">
        <f t="shared" si="12"/>
        <v>1.4364000000000001</v>
      </c>
      <c r="R90" s="8">
        <f t="shared" si="13"/>
        <v>1.0772999999999999</v>
      </c>
      <c r="S90" s="37">
        <v>7.1820000000000004</v>
      </c>
      <c r="T90" s="8">
        <v>105991.94</v>
      </c>
      <c r="U90" s="8">
        <v>13354.98444</v>
      </c>
      <c r="V90" s="8"/>
      <c r="W90" s="8"/>
      <c r="X90" s="8" t="s">
        <v>983</v>
      </c>
      <c r="Y90" s="8">
        <v>73015</v>
      </c>
      <c r="Z90" s="8">
        <v>6.18</v>
      </c>
      <c r="AA90" s="8" t="s">
        <v>982</v>
      </c>
      <c r="AB90" s="8">
        <v>7</v>
      </c>
      <c r="AC90" s="8">
        <v>5841</v>
      </c>
      <c r="AD90" s="8"/>
      <c r="AE90" s="319" t="s">
        <v>985</v>
      </c>
      <c r="AF90" s="113"/>
      <c r="AG90" s="109"/>
      <c r="AH90" s="109"/>
      <c r="AI90" s="110"/>
      <c r="AJ90" s="20"/>
      <c r="AK90" s="8"/>
      <c r="AL90" s="8"/>
      <c r="AM90" s="21"/>
      <c r="AN90" s="20"/>
      <c r="AO90" s="8"/>
      <c r="AP90" s="8"/>
      <c r="AQ90" s="21"/>
    </row>
    <row r="91" spans="1:43" hidden="1" x14ac:dyDescent="0.25">
      <c r="A91" s="8">
        <v>88</v>
      </c>
      <c r="B91" s="8" t="s">
        <v>28</v>
      </c>
      <c r="C91" s="8" t="s">
        <v>980</v>
      </c>
      <c r="D91" s="8" t="s">
        <v>981</v>
      </c>
      <c r="E91" s="8"/>
      <c r="F91" s="8" t="s">
        <v>982</v>
      </c>
      <c r="G91" s="8"/>
      <c r="H91" s="8" t="s">
        <v>31</v>
      </c>
      <c r="I91" s="8" t="s">
        <v>985</v>
      </c>
      <c r="J91" s="8"/>
      <c r="K91" s="8">
        <v>0.126</v>
      </c>
      <c r="L91" s="8">
        <v>0.126</v>
      </c>
      <c r="M91" s="8">
        <v>1</v>
      </c>
      <c r="N91" s="8" t="s">
        <v>33</v>
      </c>
      <c r="O91" s="8">
        <f t="shared" si="10"/>
        <v>2.1545999999999998</v>
      </c>
      <c r="P91" s="8">
        <f t="shared" si="11"/>
        <v>2.5137</v>
      </c>
      <c r="Q91" s="8">
        <f t="shared" si="12"/>
        <v>1.4364000000000001</v>
      </c>
      <c r="R91" s="8">
        <f t="shared" si="13"/>
        <v>1.0772999999999999</v>
      </c>
      <c r="S91" s="37">
        <v>7.1820000000000004</v>
      </c>
      <c r="T91" s="8">
        <v>105991.94</v>
      </c>
      <c r="U91" s="8">
        <v>13354.98444</v>
      </c>
      <c r="V91" s="8"/>
      <c r="W91" s="8"/>
      <c r="X91" s="8" t="s">
        <v>983</v>
      </c>
      <c r="Y91" s="8">
        <v>73015</v>
      </c>
      <c r="Z91" s="8">
        <v>6.18</v>
      </c>
      <c r="AA91" s="8" t="s">
        <v>982</v>
      </c>
      <c r="AB91" s="8">
        <v>8</v>
      </c>
      <c r="AC91" s="8">
        <v>5841</v>
      </c>
      <c r="AD91" s="8"/>
      <c r="AE91" s="319" t="s">
        <v>985</v>
      </c>
      <c r="AF91" s="113"/>
      <c r="AG91" s="109"/>
      <c r="AH91" s="109"/>
      <c r="AI91" s="110"/>
      <c r="AJ91" s="20"/>
      <c r="AK91" s="8"/>
      <c r="AL91" s="8"/>
      <c r="AM91" s="21"/>
      <c r="AN91" s="20"/>
      <c r="AO91" s="8"/>
      <c r="AP91" s="8"/>
      <c r="AQ91" s="21"/>
    </row>
    <row r="92" spans="1:43" hidden="1" x14ac:dyDescent="0.25">
      <c r="A92" s="8">
        <v>89</v>
      </c>
      <c r="B92" s="8" t="s">
        <v>28</v>
      </c>
      <c r="C92" s="8" t="s">
        <v>980</v>
      </c>
      <c r="D92" s="8" t="s">
        <v>981</v>
      </c>
      <c r="E92" s="8"/>
      <c r="F92" s="8" t="s">
        <v>982</v>
      </c>
      <c r="G92" s="8"/>
      <c r="H92" s="8" t="s">
        <v>31</v>
      </c>
      <c r="I92" s="8" t="s">
        <v>985</v>
      </c>
      <c r="J92" s="8"/>
      <c r="K92" s="8">
        <v>0.126</v>
      </c>
      <c r="L92" s="8">
        <v>0.126</v>
      </c>
      <c r="M92" s="8">
        <v>1</v>
      </c>
      <c r="N92" s="8" t="s">
        <v>33</v>
      </c>
      <c r="O92" s="8">
        <f t="shared" si="10"/>
        <v>2.1545999999999998</v>
      </c>
      <c r="P92" s="8">
        <f t="shared" si="11"/>
        <v>2.5137</v>
      </c>
      <c r="Q92" s="8">
        <f t="shared" si="12"/>
        <v>1.4364000000000001</v>
      </c>
      <c r="R92" s="8">
        <f t="shared" si="13"/>
        <v>1.0772999999999999</v>
      </c>
      <c r="S92" s="37">
        <v>7.1820000000000004</v>
      </c>
      <c r="T92" s="8">
        <v>105991.94</v>
      </c>
      <c r="U92" s="8">
        <v>13354.98444</v>
      </c>
      <c r="V92" s="8"/>
      <c r="W92" s="8"/>
      <c r="X92" s="8" t="s">
        <v>983</v>
      </c>
      <c r="Y92" s="8">
        <v>73015</v>
      </c>
      <c r="Z92" s="8">
        <v>6.18</v>
      </c>
      <c r="AA92" s="8" t="s">
        <v>982</v>
      </c>
      <c r="AB92" s="8">
        <v>9</v>
      </c>
      <c r="AC92" s="8">
        <v>5841</v>
      </c>
      <c r="AD92" s="8"/>
      <c r="AE92" s="319" t="s">
        <v>985</v>
      </c>
      <c r="AF92" s="113"/>
      <c r="AG92" s="109"/>
      <c r="AH92" s="109"/>
      <c r="AI92" s="110"/>
      <c r="AJ92" s="20"/>
      <c r="AK92" s="8"/>
      <c r="AL92" s="8"/>
      <c r="AM92" s="21"/>
      <c r="AN92" s="20"/>
      <c r="AO92" s="8"/>
      <c r="AP92" s="8"/>
      <c r="AQ92" s="21"/>
    </row>
    <row r="93" spans="1:43" hidden="1" x14ac:dyDescent="0.25">
      <c r="A93" s="8">
        <v>90</v>
      </c>
      <c r="B93" s="8" t="s">
        <v>28</v>
      </c>
      <c r="C93" s="8" t="s">
        <v>980</v>
      </c>
      <c r="D93" s="8" t="s">
        <v>981</v>
      </c>
      <c r="E93" s="8"/>
      <c r="F93" s="8" t="s">
        <v>982</v>
      </c>
      <c r="G93" s="8"/>
      <c r="H93" s="8" t="s">
        <v>31</v>
      </c>
      <c r="I93" s="8" t="s">
        <v>985</v>
      </c>
      <c r="J93" s="8"/>
      <c r="K93" s="8">
        <v>0.126</v>
      </c>
      <c r="L93" s="8">
        <v>0.126</v>
      </c>
      <c r="M93" s="8">
        <v>1</v>
      </c>
      <c r="N93" s="8" t="s">
        <v>33</v>
      </c>
      <c r="O93" s="8">
        <f t="shared" si="10"/>
        <v>2.1545999999999998</v>
      </c>
      <c r="P93" s="8">
        <f t="shared" si="11"/>
        <v>2.5137</v>
      </c>
      <c r="Q93" s="8">
        <f t="shared" si="12"/>
        <v>1.4364000000000001</v>
      </c>
      <c r="R93" s="8">
        <f t="shared" si="13"/>
        <v>1.0772999999999999</v>
      </c>
      <c r="S93" s="37">
        <v>7.1820000000000004</v>
      </c>
      <c r="T93" s="8">
        <v>105991.94</v>
      </c>
      <c r="U93" s="8">
        <v>13354.98444</v>
      </c>
      <c r="V93" s="8"/>
      <c r="W93" s="8"/>
      <c r="X93" s="8" t="s">
        <v>983</v>
      </c>
      <c r="Y93" s="8">
        <v>73015</v>
      </c>
      <c r="Z93" s="8">
        <v>6.18</v>
      </c>
      <c r="AA93" s="8" t="s">
        <v>982</v>
      </c>
      <c r="AB93" s="8">
        <v>10</v>
      </c>
      <c r="AC93" s="8">
        <v>5841</v>
      </c>
      <c r="AD93" s="8"/>
      <c r="AE93" s="319" t="s">
        <v>985</v>
      </c>
      <c r="AF93" s="113"/>
      <c r="AG93" s="109"/>
      <c r="AH93" s="109"/>
      <c r="AI93" s="110"/>
      <c r="AJ93" s="20"/>
      <c r="AK93" s="8"/>
      <c r="AL93" s="8"/>
      <c r="AM93" s="21"/>
      <c r="AN93" s="20"/>
      <c r="AO93" s="8"/>
      <c r="AP93" s="8"/>
      <c r="AQ93" s="21"/>
    </row>
    <row r="94" spans="1:43" hidden="1" x14ac:dyDescent="0.25">
      <c r="A94" s="8">
        <v>91</v>
      </c>
      <c r="B94" s="8" t="s">
        <v>28</v>
      </c>
      <c r="C94" s="8" t="s">
        <v>980</v>
      </c>
      <c r="D94" s="8" t="s">
        <v>981</v>
      </c>
      <c r="E94" s="8"/>
      <c r="F94" s="8" t="s">
        <v>982</v>
      </c>
      <c r="G94" s="8"/>
      <c r="H94" s="8" t="s">
        <v>31</v>
      </c>
      <c r="I94" s="8" t="s">
        <v>984</v>
      </c>
      <c r="J94" s="8"/>
      <c r="K94" s="8">
        <v>0.126</v>
      </c>
      <c r="L94" s="8">
        <v>0.126</v>
      </c>
      <c r="M94" s="8">
        <v>1</v>
      </c>
      <c r="N94" s="8" t="s">
        <v>33</v>
      </c>
      <c r="O94" s="8">
        <f t="shared" si="10"/>
        <v>2.1545999999999998</v>
      </c>
      <c r="P94" s="8">
        <f t="shared" si="11"/>
        <v>2.5137</v>
      </c>
      <c r="Q94" s="8">
        <f t="shared" si="12"/>
        <v>1.4364000000000001</v>
      </c>
      <c r="R94" s="8">
        <f t="shared" si="13"/>
        <v>1.0772999999999999</v>
      </c>
      <c r="S94" s="37">
        <v>7.1820000000000004</v>
      </c>
      <c r="T94" s="8">
        <v>105991.94</v>
      </c>
      <c r="U94" s="8">
        <v>13354.98444</v>
      </c>
      <c r="V94" s="8"/>
      <c r="W94" s="8"/>
      <c r="X94" s="8" t="s">
        <v>983</v>
      </c>
      <c r="Y94" s="8">
        <v>73016</v>
      </c>
      <c r="Z94" s="8">
        <v>6.18</v>
      </c>
      <c r="AA94" s="8" t="s">
        <v>982</v>
      </c>
      <c r="AB94" s="8">
        <v>1</v>
      </c>
      <c r="AC94" s="109">
        <v>5839</v>
      </c>
      <c r="AD94" s="8"/>
      <c r="AE94" s="319" t="s">
        <v>984</v>
      </c>
      <c r="AF94" s="113"/>
      <c r="AG94" s="109"/>
      <c r="AH94" s="109"/>
      <c r="AI94" s="110"/>
      <c r="AJ94" s="20"/>
      <c r="AK94" s="37"/>
      <c r="AL94" s="37"/>
      <c r="AM94" s="372"/>
      <c r="AN94" s="20"/>
      <c r="AO94" s="8"/>
      <c r="AP94" s="8"/>
      <c r="AQ94" s="21"/>
    </row>
    <row r="95" spans="1:43" hidden="1" x14ac:dyDescent="0.25">
      <c r="A95" s="8">
        <v>92</v>
      </c>
      <c r="B95" s="8" t="s">
        <v>28</v>
      </c>
      <c r="C95" s="8" t="s">
        <v>980</v>
      </c>
      <c r="D95" s="8" t="s">
        <v>981</v>
      </c>
      <c r="E95" s="8"/>
      <c r="F95" s="8" t="s">
        <v>982</v>
      </c>
      <c r="G95" s="8"/>
      <c r="H95" s="8" t="s">
        <v>31</v>
      </c>
      <c r="I95" s="8" t="s">
        <v>984</v>
      </c>
      <c r="J95" s="8"/>
      <c r="K95" s="8">
        <v>0.126</v>
      </c>
      <c r="L95" s="8">
        <v>0.126</v>
      </c>
      <c r="M95" s="8">
        <v>1</v>
      </c>
      <c r="N95" s="8" t="s">
        <v>33</v>
      </c>
      <c r="O95" s="8">
        <f t="shared" si="10"/>
        <v>2.1545999999999998</v>
      </c>
      <c r="P95" s="8">
        <f t="shared" si="11"/>
        <v>2.5137</v>
      </c>
      <c r="Q95" s="8">
        <f t="shared" si="12"/>
        <v>1.4364000000000001</v>
      </c>
      <c r="R95" s="8">
        <f t="shared" si="13"/>
        <v>1.0772999999999999</v>
      </c>
      <c r="S95" s="37">
        <v>7.1820000000000004</v>
      </c>
      <c r="T95" s="8">
        <v>105991.94</v>
      </c>
      <c r="U95" s="8">
        <v>13354.98444</v>
      </c>
      <c r="V95" s="8"/>
      <c r="W95" s="8"/>
      <c r="X95" s="8" t="s">
        <v>983</v>
      </c>
      <c r="Y95" s="8">
        <v>73016</v>
      </c>
      <c r="Z95" s="8">
        <v>6.18</v>
      </c>
      <c r="AA95" s="8" t="s">
        <v>982</v>
      </c>
      <c r="AB95" s="8">
        <v>2</v>
      </c>
      <c r="AC95" s="109">
        <v>5839</v>
      </c>
      <c r="AD95" s="8"/>
      <c r="AE95" s="319" t="s">
        <v>984</v>
      </c>
      <c r="AF95" s="113"/>
      <c r="AG95" s="109"/>
      <c r="AH95" s="109"/>
      <c r="AI95" s="110"/>
      <c r="AJ95" s="20"/>
      <c r="AK95" s="37"/>
      <c r="AL95" s="37"/>
      <c r="AM95" s="372"/>
      <c r="AN95" s="20"/>
      <c r="AO95" s="8"/>
      <c r="AP95" s="8"/>
      <c r="AQ95" s="21"/>
    </row>
    <row r="96" spans="1:43" hidden="1" x14ac:dyDescent="0.25">
      <c r="A96" s="8">
        <v>93</v>
      </c>
      <c r="B96" s="8" t="s">
        <v>28</v>
      </c>
      <c r="C96" s="8" t="s">
        <v>980</v>
      </c>
      <c r="D96" s="8" t="s">
        <v>981</v>
      </c>
      <c r="E96" s="8"/>
      <c r="F96" s="8" t="s">
        <v>982</v>
      </c>
      <c r="G96" s="8"/>
      <c r="H96" s="8" t="s">
        <v>31</v>
      </c>
      <c r="I96" s="8" t="s">
        <v>984</v>
      </c>
      <c r="J96" s="8"/>
      <c r="K96" s="8">
        <v>0.126</v>
      </c>
      <c r="L96" s="8">
        <v>0.126</v>
      </c>
      <c r="M96" s="8">
        <v>1</v>
      </c>
      <c r="N96" s="8" t="s">
        <v>33</v>
      </c>
      <c r="O96" s="8">
        <f t="shared" si="10"/>
        <v>2.1545999999999998</v>
      </c>
      <c r="P96" s="8">
        <f t="shared" si="11"/>
        <v>2.5137</v>
      </c>
      <c r="Q96" s="8">
        <f t="shared" si="12"/>
        <v>1.4364000000000001</v>
      </c>
      <c r="R96" s="8">
        <f t="shared" si="13"/>
        <v>1.0772999999999999</v>
      </c>
      <c r="S96" s="37">
        <v>7.1820000000000004</v>
      </c>
      <c r="T96" s="8">
        <v>105991.94</v>
      </c>
      <c r="U96" s="8">
        <v>13354.98444</v>
      </c>
      <c r="V96" s="8"/>
      <c r="W96" s="8"/>
      <c r="X96" s="8" t="s">
        <v>983</v>
      </c>
      <c r="Y96" s="8">
        <v>73016</v>
      </c>
      <c r="Z96" s="8">
        <v>6.18</v>
      </c>
      <c r="AA96" s="8" t="s">
        <v>982</v>
      </c>
      <c r="AB96" s="8">
        <v>3</v>
      </c>
      <c r="AC96" s="109">
        <v>5839</v>
      </c>
      <c r="AD96" s="8"/>
      <c r="AE96" s="319" t="s">
        <v>984</v>
      </c>
      <c r="AF96" s="113"/>
      <c r="AG96" s="109"/>
      <c r="AH96" s="109"/>
      <c r="AI96" s="110"/>
      <c r="AJ96" s="20"/>
      <c r="AK96" s="37"/>
      <c r="AL96" s="37"/>
      <c r="AM96" s="372"/>
      <c r="AN96" s="20"/>
      <c r="AO96" s="8"/>
      <c r="AP96" s="8"/>
      <c r="AQ96" s="21"/>
    </row>
    <row r="97" spans="1:43" hidden="1" x14ac:dyDescent="0.25">
      <c r="A97" s="8">
        <v>94</v>
      </c>
      <c r="B97" s="8" t="s">
        <v>28</v>
      </c>
      <c r="C97" s="8" t="s">
        <v>980</v>
      </c>
      <c r="D97" s="8" t="s">
        <v>981</v>
      </c>
      <c r="E97" s="8"/>
      <c r="F97" s="8" t="s">
        <v>982</v>
      </c>
      <c r="G97" s="8"/>
      <c r="H97" s="8" t="s">
        <v>31</v>
      </c>
      <c r="I97" s="8" t="s">
        <v>984</v>
      </c>
      <c r="J97" s="8"/>
      <c r="K97" s="8">
        <v>0.126</v>
      </c>
      <c r="L97" s="8">
        <v>0.126</v>
      </c>
      <c r="M97" s="8">
        <v>1</v>
      </c>
      <c r="N97" s="8" t="s">
        <v>33</v>
      </c>
      <c r="O97" s="8">
        <f t="shared" si="10"/>
        <v>2.1545999999999998</v>
      </c>
      <c r="P97" s="8">
        <f t="shared" si="11"/>
        <v>2.5137</v>
      </c>
      <c r="Q97" s="8">
        <f t="shared" si="12"/>
        <v>1.4364000000000001</v>
      </c>
      <c r="R97" s="8">
        <f t="shared" si="13"/>
        <v>1.0772999999999999</v>
      </c>
      <c r="S97" s="37">
        <v>7.1820000000000004</v>
      </c>
      <c r="T97" s="8">
        <v>105991.94</v>
      </c>
      <c r="U97" s="8">
        <v>13354.98444</v>
      </c>
      <c r="V97" s="8"/>
      <c r="W97" s="8"/>
      <c r="X97" s="8" t="s">
        <v>983</v>
      </c>
      <c r="Y97" s="8">
        <v>73016</v>
      </c>
      <c r="Z97" s="8">
        <v>6.18</v>
      </c>
      <c r="AA97" s="8" t="s">
        <v>982</v>
      </c>
      <c r="AB97" s="8">
        <v>4</v>
      </c>
      <c r="AC97" s="109">
        <v>5839</v>
      </c>
      <c r="AD97" s="8"/>
      <c r="AE97" s="319" t="s">
        <v>984</v>
      </c>
      <c r="AF97" s="113"/>
      <c r="AG97" s="109"/>
      <c r="AH97" s="109"/>
      <c r="AI97" s="110"/>
      <c r="AJ97" s="20"/>
      <c r="AK97" s="37"/>
      <c r="AL97" s="37"/>
      <c r="AM97" s="372"/>
      <c r="AN97" s="20"/>
      <c r="AO97" s="8"/>
      <c r="AP97" s="8"/>
      <c r="AQ97" s="21"/>
    </row>
    <row r="98" spans="1:43" hidden="1" x14ac:dyDescent="0.25">
      <c r="A98" s="8">
        <v>95</v>
      </c>
      <c r="B98" s="8" t="s">
        <v>28</v>
      </c>
      <c r="C98" s="8" t="s">
        <v>980</v>
      </c>
      <c r="D98" s="8" t="s">
        <v>981</v>
      </c>
      <c r="E98" s="8"/>
      <c r="F98" s="8" t="s">
        <v>982</v>
      </c>
      <c r="G98" s="8"/>
      <c r="H98" s="8" t="s">
        <v>31</v>
      </c>
      <c r="I98" s="8" t="s">
        <v>984</v>
      </c>
      <c r="J98" s="8"/>
      <c r="K98" s="8">
        <v>0.126</v>
      </c>
      <c r="L98" s="8">
        <v>0.126</v>
      </c>
      <c r="M98" s="8">
        <v>1</v>
      </c>
      <c r="N98" s="8" t="s">
        <v>33</v>
      </c>
      <c r="O98" s="8">
        <f t="shared" si="10"/>
        <v>2.1545999999999998</v>
      </c>
      <c r="P98" s="8">
        <f t="shared" si="11"/>
        <v>2.5137</v>
      </c>
      <c r="Q98" s="8">
        <f t="shared" si="12"/>
        <v>1.4364000000000001</v>
      </c>
      <c r="R98" s="8">
        <f t="shared" si="13"/>
        <v>1.0772999999999999</v>
      </c>
      <c r="S98" s="37">
        <v>7.1820000000000004</v>
      </c>
      <c r="T98" s="8">
        <v>105991.94</v>
      </c>
      <c r="U98" s="8">
        <v>13354.98444</v>
      </c>
      <c r="V98" s="8"/>
      <c r="W98" s="8"/>
      <c r="X98" s="8" t="s">
        <v>983</v>
      </c>
      <c r="Y98" s="8">
        <v>73016</v>
      </c>
      <c r="Z98" s="8">
        <v>6.18</v>
      </c>
      <c r="AA98" s="8" t="s">
        <v>982</v>
      </c>
      <c r="AB98" s="8">
        <v>5</v>
      </c>
      <c r="AC98" s="109">
        <v>5839</v>
      </c>
      <c r="AD98" s="8"/>
      <c r="AE98" s="319" t="s">
        <v>984</v>
      </c>
      <c r="AF98" s="113"/>
      <c r="AG98" s="109"/>
      <c r="AH98" s="109"/>
      <c r="AI98" s="110"/>
      <c r="AJ98" s="20"/>
      <c r="AK98" s="37"/>
      <c r="AL98" s="37"/>
      <c r="AM98" s="372"/>
      <c r="AN98" s="20"/>
      <c r="AO98" s="8"/>
      <c r="AP98" s="8"/>
      <c r="AQ98" s="21"/>
    </row>
    <row r="99" spans="1:43" hidden="1" x14ac:dyDescent="0.25">
      <c r="A99" s="8">
        <v>96</v>
      </c>
      <c r="B99" s="8" t="s">
        <v>28</v>
      </c>
      <c r="C99" s="8" t="s">
        <v>980</v>
      </c>
      <c r="D99" s="8" t="s">
        <v>981</v>
      </c>
      <c r="E99" s="8"/>
      <c r="F99" s="8" t="s">
        <v>982</v>
      </c>
      <c r="G99" s="8"/>
      <c r="H99" s="8" t="s">
        <v>31</v>
      </c>
      <c r="I99" s="8" t="s">
        <v>984</v>
      </c>
      <c r="J99" s="8"/>
      <c r="K99" s="8">
        <v>0.126</v>
      </c>
      <c r="L99" s="8">
        <v>0.126</v>
      </c>
      <c r="M99" s="8">
        <v>1</v>
      </c>
      <c r="N99" s="8" t="s">
        <v>33</v>
      </c>
      <c r="O99" s="8">
        <f t="shared" si="10"/>
        <v>2.1545999999999998</v>
      </c>
      <c r="P99" s="8">
        <f t="shared" si="11"/>
        <v>2.5137</v>
      </c>
      <c r="Q99" s="8">
        <f t="shared" si="12"/>
        <v>1.4364000000000001</v>
      </c>
      <c r="R99" s="8">
        <f t="shared" si="13"/>
        <v>1.0772999999999999</v>
      </c>
      <c r="S99" s="37">
        <v>7.1820000000000004</v>
      </c>
      <c r="T99" s="8">
        <v>105991.94</v>
      </c>
      <c r="U99" s="8">
        <v>13354.98444</v>
      </c>
      <c r="V99" s="8"/>
      <c r="W99" s="8"/>
      <c r="X99" s="8" t="s">
        <v>983</v>
      </c>
      <c r="Y99" s="8">
        <v>73016</v>
      </c>
      <c r="Z99" s="8">
        <v>6.18</v>
      </c>
      <c r="AA99" s="8" t="s">
        <v>982</v>
      </c>
      <c r="AB99" s="8">
        <v>6</v>
      </c>
      <c r="AC99" s="109">
        <v>5839</v>
      </c>
      <c r="AD99" s="8"/>
      <c r="AE99" s="319" t="s">
        <v>984</v>
      </c>
      <c r="AF99" s="113"/>
      <c r="AG99" s="109"/>
      <c r="AH99" s="109"/>
      <c r="AI99" s="110"/>
      <c r="AJ99" s="20"/>
      <c r="AK99" s="37"/>
      <c r="AL99" s="37"/>
      <c r="AM99" s="372"/>
      <c r="AN99" s="20"/>
      <c r="AO99" s="8"/>
      <c r="AP99" s="8"/>
      <c r="AQ99" s="21"/>
    </row>
    <row r="100" spans="1:43" hidden="1" x14ac:dyDescent="0.25">
      <c r="A100" s="8">
        <v>97</v>
      </c>
      <c r="B100" s="8" t="s">
        <v>28</v>
      </c>
      <c r="C100" s="8" t="s">
        <v>980</v>
      </c>
      <c r="D100" s="8" t="s">
        <v>981</v>
      </c>
      <c r="E100" s="8"/>
      <c r="F100" s="8" t="s">
        <v>982</v>
      </c>
      <c r="G100" s="8"/>
      <c r="H100" s="8" t="s">
        <v>31</v>
      </c>
      <c r="I100" s="8" t="s">
        <v>985</v>
      </c>
      <c r="J100" s="8"/>
      <c r="K100" s="8">
        <v>0.126</v>
      </c>
      <c r="L100" s="8">
        <v>0.126</v>
      </c>
      <c r="M100" s="8">
        <v>1</v>
      </c>
      <c r="N100" s="8" t="s">
        <v>33</v>
      </c>
      <c r="O100" s="8">
        <f t="shared" si="10"/>
        <v>2.1545999999999998</v>
      </c>
      <c r="P100" s="8">
        <f t="shared" si="11"/>
        <v>2.5137</v>
      </c>
      <c r="Q100" s="8">
        <f t="shared" si="12"/>
        <v>1.4364000000000001</v>
      </c>
      <c r="R100" s="8">
        <f t="shared" si="13"/>
        <v>1.0772999999999999</v>
      </c>
      <c r="S100" s="37">
        <v>7.1820000000000004</v>
      </c>
      <c r="T100" s="8">
        <v>105991.94</v>
      </c>
      <c r="U100" s="8">
        <v>13354.98444</v>
      </c>
      <c r="V100" s="8"/>
      <c r="W100" s="8"/>
      <c r="X100" s="8" t="s">
        <v>983</v>
      </c>
      <c r="Y100" s="8">
        <v>73016</v>
      </c>
      <c r="Z100" s="8">
        <v>6.18</v>
      </c>
      <c r="AA100" s="8" t="s">
        <v>982</v>
      </c>
      <c r="AB100" s="8">
        <v>7</v>
      </c>
      <c r="AC100" s="109">
        <v>5846</v>
      </c>
      <c r="AD100" s="8"/>
      <c r="AE100" s="319" t="s">
        <v>985</v>
      </c>
      <c r="AF100" s="113"/>
      <c r="AG100" s="109"/>
      <c r="AH100" s="109"/>
      <c r="AI100" s="110"/>
      <c r="AJ100" s="20"/>
      <c r="AK100" s="37"/>
      <c r="AL100" s="37"/>
      <c r="AM100" s="372"/>
      <c r="AN100" s="20"/>
      <c r="AO100" s="8"/>
      <c r="AP100" s="8"/>
      <c r="AQ100" s="21"/>
    </row>
    <row r="101" spans="1:43" hidden="1" x14ac:dyDescent="0.25">
      <c r="A101" s="8">
        <v>98</v>
      </c>
      <c r="B101" s="8" t="s">
        <v>28</v>
      </c>
      <c r="C101" s="8" t="s">
        <v>980</v>
      </c>
      <c r="D101" s="8" t="s">
        <v>981</v>
      </c>
      <c r="E101" s="8"/>
      <c r="F101" s="8" t="s">
        <v>982</v>
      </c>
      <c r="G101" s="8"/>
      <c r="H101" s="8" t="s">
        <v>31</v>
      </c>
      <c r="I101" s="8" t="s">
        <v>985</v>
      </c>
      <c r="J101" s="8"/>
      <c r="K101" s="8">
        <v>0.126</v>
      </c>
      <c r="L101" s="8">
        <v>0.126</v>
      </c>
      <c r="M101" s="8">
        <v>1</v>
      </c>
      <c r="N101" s="8" t="s">
        <v>33</v>
      </c>
      <c r="O101" s="8">
        <f t="shared" si="10"/>
        <v>2.1545999999999998</v>
      </c>
      <c r="P101" s="8">
        <f t="shared" si="11"/>
        <v>2.5137</v>
      </c>
      <c r="Q101" s="8">
        <f t="shared" si="12"/>
        <v>1.4364000000000001</v>
      </c>
      <c r="R101" s="8">
        <f t="shared" si="13"/>
        <v>1.0772999999999999</v>
      </c>
      <c r="S101" s="37">
        <v>7.1820000000000004</v>
      </c>
      <c r="T101" s="8">
        <v>105991.94</v>
      </c>
      <c r="U101" s="8">
        <v>13354.98444</v>
      </c>
      <c r="V101" s="8"/>
      <c r="W101" s="8"/>
      <c r="X101" s="8" t="s">
        <v>983</v>
      </c>
      <c r="Y101" s="8">
        <v>73016</v>
      </c>
      <c r="Z101" s="8">
        <v>6.18</v>
      </c>
      <c r="AA101" s="8" t="s">
        <v>982</v>
      </c>
      <c r="AB101" s="8">
        <v>8</v>
      </c>
      <c r="AC101" s="109">
        <v>5846</v>
      </c>
      <c r="AD101" s="8"/>
      <c r="AE101" s="319" t="s">
        <v>985</v>
      </c>
      <c r="AF101" s="113"/>
      <c r="AG101" s="109"/>
      <c r="AH101" s="109"/>
      <c r="AI101" s="110"/>
      <c r="AJ101" s="20"/>
      <c r="AK101" s="37"/>
      <c r="AL101" s="37"/>
      <c r="AM101" s="372"/>
      <c r="AN101" s="20"/>
      <c r="AO101" s="8"/>
      <c r="AP101" s="8"/>
      <c r="AQ101" s="21"/>
    </row>
    <row r="102" spans="1:43" hidden="1" x14ac:dyDescent="0.25">
      <c r="A102" s="8">
        <v>99</v>
      </c>
      <c r="B102" s="8" t="s">
        <v>28</v>
      </c>
      <c r="C102" s="8" t="s">
        <v>980</v>
      </c>
      <c r="D102" s="8" t="s">
        <v>981</v>
      </c>
      <c r="E102" s="8"/>
      <c r="F102" s="8" t="s">
        <v>982</v>
      </c>
      <c r="G102" s="8"/>
      <c r="H102" s="8" t="s">
        <v>31</v>
      </c>
      <c r="I102" s="8" t="s">
        <v>985</v>
      </c>
      <c r="J102" s="8"/>
      <c r="K102" s="8">
        <v>0.126</v>
      </c>
      <c r="L102" s="8">
        <v>0.126</v>
      </c>
      <c r="M102" s="8">
        <v>1</v>
      </c>
      <c r="N102" s="8" t="s">
        <v>33</v>
      </c>
      <c r="O102" s="8">
        <f t="shared" si="10"/>
        <v>2.1545999999999998</v>
      </c>
      <c r="P102" s="8">
        <f t="shared" si="11"/>
        <v>2.5137</v>
      </c>
      <c r="Q102" s="8">
        <f t="shared" si="12"/>
        <v>1.4364000000000001</v>
      </c>
      <c r="R102" s="8">
        <f t="shared" si="13"/>
        <v>1.0772999999999999</v>
      </c>
      <c r="S102" s="37">
        <v>7.1820000000000004</v>
      </c>
      <c r="T102" s="8">
        <v>105991.94</v>
      </c>
      <c r="U102" s="8">
        <v>13354.98444</v>
      </c>
      <c r="V102" s="8"/>
      <c r="W102" s="8"/>
      <c r="X102" s="8" t="s">
        <v>983</v>
      </c>
      <c r="Y102" s="8">
        <v>73016</v>
      </c>
      <c r="Z102" s="8">
        <v>6.18</v>
      </c>
      <c r="AA102" s="8" t="s">
        <v>982</v>
      </c>
      <c r="AB102" s="8">
        <v>9</v>
      </c>
      <c r="AC102" s="109">
        <v>5846</v>
      </c>
      <c r="AD102" s="8"/>
      <c r="AE102" s="319" t="s">
        <v>985</v>
      </c>
      <c r="AF102" s="113"/>
      <c r="AG102" s="109"/>
      <c r="AH102" s="109"/>
      <c r="AI102" s="110"/>
      <c r="AJ102" s="20"/>
      <c r="AK102" s="37"/>
      <c r="AL102" s="37"/>
      <c r="AM102" s="372"/>
      <c r="AN102" s="20"/>
      <c r="AO102" s="8"/>
      <c r="AP102" s="8"/>
      <c r="AQ102" s="21"/>
    </row>
    <row r="103" spans="1:43" hidden="1" x14ac:dyDescent="0.25">
      <c r="A103" s="8">
        <v>100</v>
      </c>
      <c r="B103" s="8" t="s">
        <v>28</v>
      </c>
      <c r="C103" s="8" t="s">
        <v>980</v>
      </c>
      <c r="D103" s="8" t="s">
        <v>981</v>
      </c>
      <c r="E103" s="8"/>
      <c r="F103" s="8" t="s">
        <v>982</v>
      </c>
      <c r="G103" s="8"/>
      <c r="H103" s="8" t="s">
        <v>31</v>
      </c>
      <c r="I103" s="8" t="s">
        <v>985</v>
      </c>
      <c r="J103" s="8"/>
      <c r="K103" s="8">
        <v>0.126</v>
      </c>
      <c r="L103" s="8">
        <v>0.126</v>
      </c>
      <c r="M103" s="8">
        <v>1</v>
      </c>
      <c r="N103" s="8" t="s">
        <v>33</v>
      </c>
      <c r="O103" s="8">
        <f t="shared" si="10"/>
        <v>2.1545999999999998</v>
      </c>
      <c r="P103" s="8">
        <f t="shared" si="11"/>
        <v>2.5137</v>
      </c>
      <c r="Q103" s="8">
        <f t="shared" si="12"/>
        <v>1.4364000000000001</v>
      </c>
      <c r="R103" s="8">
        <f t="shared" si="13"/>
        <v>1.0772999999999999</v>
      </c>
      <c r="S103" s="37">
        <v>7.1820000000000004</v>
      </c>
      <c r="T103" s="8">
        <v>105991.94</v>
      </c>
      <c r="U103" s="8">
        <v>13354.98444</v>
      </c>
      <c r="V103" s="8"/>
      <c r="W103" s="8"/>
      <c r="X103" s="8" t="s">
        <v>983</v>
      </c>
      <c r="Y103" s="8">
        <v>73016</v>
      </c>
      <c r="Z103" s="8">
        <v>6.18</v>
      </c>
      <c r="AA103" s="8" t="s">
        <v>982</v>
      </c>
      <c r="AB103" s="8">
        <v>10</v>
      </c>
      <c r="AC103" s="109">
        <v>5846</v>
      </c>
      <c r="AD103" s="8"/>
      <c r="AE103" s="319" t="s">
        <v>985</v>
      </c>
      <c r="AF103" s="113"/>
      <c r="AG103" s="109"/>
      <c r="AH103" s="109"/>
      <c r="AI103" s="110"/>
      <c r="AJ103" s="20"/>
      <c r="AK103" s="37"/>
      <c r="AL103" s="37"/>
      <c r="AM103" s="372"/>
      <c r="AN103" s="20"/>
      <c r="AO103" s="8"/>
      <c r="AP103" s="8"/>
      <c r="AQ103" s="21"/>
    </row>
    <row r="104" spans="1:43" x14ac:dyDescent="0.25">
      <c r="A104" s="24">
        <v>101</v>
      </c>
      <c r="B104" s="24" t="s">
        <v>28</v>
      </c>
      <c r="C104" s="8" t="s">
        <v>980</v>
      </c>
      <c r="D104" s="8" t="s">
        <v>981</v>
      </c>
      <c r="E104" s="8"/>
      <c r="F104" s="24" t="s">
        <v>986</v>
      </c>
      <c r="G104" s="8"/>
      <c r="H104" s="8" t="s">
        <v>31</v>
      </c>
      <c r="I104" s="24" t="s">
        <v>988</v>
      </c>
      <c r="J104" s="8"/>
      <c r="K104" s="24">
        <v>0.20300000000000001</v>
      </c>
      <c r="L104" s="24">
        <v>0.20300000000000001</v>
      </c>
      <c r="M104" s="24">
        <v>1</v>
      </c>
      <c r="N104" s="24" t="s">
        <v>33</v>
      </c>
      <c r="O104" s="24">
        <f t="shared" si="10"/>
        <v>3.4713000000000003</v>
      </c>
      <c r="P104" s="24">
        <f t="shared" si="11"/>
        <v>4.0498500000000002</v>
      </c>
      <c r="Q104" s="24">
        <f t="shared" si="12"/>
        <v>2.3142000000000005</v>
      </c>
      <c r="R104" s="24">
        <f t="shared" si="13"/>
        <v>1.7356500000000001</v>
      </c>
      <c r="S104" s="37">
        <v>11.571000000000002</v>
      </c>
      <c r="T104" s="8">
        <v>105991.94</v>
      </c>
      <c r="U104" s="8">
        <v>21516.363820000002</v>
      </c>
      <c r="V104" s="8"/>
      <c r="W104" s="8"/>
      <c r="X104" s="24" t="s">
        <v>987</v>
      </c>
      <c r="Y104" s="24">
        <v>73022</v>
      </c>
      <c r="Z104" s="8">
        <v>6.18</v>
      </c>
      <c r="AA104" s="8" t="s">
        <v>986</v>
      </c>
      <c r="AB104" s="8">
        <v>1</v>
      </c>
      <c r="AC104" s="24">
        <v>5836</v>
      </c>
      <c r="AD104" s="8"/>
      <c r="AE104" s="319" t="s">
        <v>988</v>
      </c>
      <c r="AF104" s="198">
        <f>L104*0.3</f>
        <v>6.0900000000000003E-2</v>
      </c>
      <c r="AG104" s="109"/>
      <c r="AH104" s="109"/>
      <c r="AI104" s="110"/>
      <c r="AJ104" s="113"/>
      <c r="AK104" s="8"/>
      <c r="AL104" s="8"/>
      <c r="AM104" s="21"/>
      <c r="AN104" s="20"/>
      <c r="AO104" s="8"/>
      <c r="AP104" s="8"/>
      <c r="AQ104" s="21"/>
    </row>
    <row r="105" spans="1:43" x14ac:dyDescent="0.25">
      <c r="A105" s="24">
        <v>102</v>
      </c>
      <c r="B105" s="24" t="s">
        <v>28</v>
      </c>
      <c r="C105" s="8" t="s">
        <v>980</v>
      </c>
      <c r="D105" s="8" t="s">
        <v>981</v>
      </c>
      <c r="E105" s="8"/>
      <c r="F105" s="24" t="s">
        <v>986</v>
      </c>
      <c r="G105" s="8"/>
      <c r="H105" s="8" t="s">
        <v>31</v>
      </c>
      <c r="I105" s="24" t="s">
        <v>988</v>
      </c>
      <c r="J105" s="8"/>
      <c r="K105" s="24">
        <v>0.20300000000000001</v>
      </c>
      <c r="L105" s="24">
        <v>0.20300000000000001</v>
      </c>
      <c r="M105" s="24">
        <v>1</v>
      </c>
      <c r="N105" s="24" t="s">
        <v>33</v>
      </c>
      <c r="O105" s="24">
        <f t="shared" si="10"/>
        <v>3.4713000000000003</v>
      </c>
      <c r="P105" s="24">
        <f t="shared" si="11"/>
        <v>4.0498500000000002</v>
      </c>
      <c r="Q105" s="24">
        <f t="shared" si="12"/>
        <v>2.3142000000000005</v>
      </c>
      <c r="R105" s="24">
        <f t="shared" si="13"/>
        <v>1.7356500000000001</v>
      </c>
      <c r="S105" s="37">
        <v>11.571000000000002</v>
      </c>
      <c r="T105" s="8">
        <v>105991.94</v>
      </c>
      <c r="U105" s="8">
        <v>21516.363820000002</v>
      </c>
      <c r="V105" s="8"/>
      <c r="W105" s="8"/>
      <c r="X105" s="24" t="s">
        <v>987</v>
      </c>
      <c r="Y105" s="24">
        <v>73022</v>
      </c>
      <c r="Z105" s="8">
        <v>6.18</v>
      </c>
      <c r="AA105" s="8" t="s">
        <v>986</v>
      </c>
      <c r="AB105" s="8">
        <v>2</v>
      </c>
      <c r="AC105" s="109">
        <v>5836</v>
      </c>
      <c r="AD105" s="8"/>
      <c r="AE105" s="319" t="s">
        <v>988</v>
      </c>
      <c r="AF105" s="198">
        <f t="shared" ref="AF105:AF161" si="14">L105*0.3</f>
        <v>6.0900000000000003E-2</v>
      </c>
      <c r="AG105" s="109"/>
      <c r="AH105" s="109"/>
      <c r="AI105" s="110"/>
      <c r="AJ105" s="113"/>
      <c r="AK105" s="173">
        <f>L105*0.3</f>
        <v>6.0900000000000003E-2</v>
      </c>
      <c r="AL105" s="299"/>
      <c r="AM105" s="300"/>
      <c r="AN105" s="20"/>
      <c r="AO105" s="8"/>
      <c r="AP105" s="8"/>
      <c r="AQ105" s="21"/>
    </row>
    <row r="106" spans="1:43" x14ac:dyDescent="0.25">
      <c r="A106" s="24">
        <v>103</v>
      </c>
      <c r="B106" s="24" t="s">
        <v>28</v>
      </c>
      <c r="C106" s="8" t="s">
        <v>980</v>
      </c>
      <c r="D106" s="8" t="s">
        <v>981</v>
      </c>
      <c r="E106" s="8"/>
      <c r="F106" s="24" t="s">
        <v>986</v>
      </c>
      <c r="G106" s="8"/>
      <c r="H106" s="8" t="s">
        <v>31</v>
      </c>
      <c r="I106" s="24" t="s">
        <v>988</v>
      </c>
      <c r="J106" s="8"/>
      <c r="K106" s="24">
        <v>0.20300000000000001</v>
      </c>
      <c r="L106" s="24">
        <v>0.20300000000000001</v>
      </c>
      <c r="M106" s="24">
        <v>1</v>
      </c>
      <c r="N106" s="24" t="s">
        <v>33</v>
      </c>
      <c r="O106" s="24">
        <f t="shared" si="10"/>
        <v>3.4713000000000003</v>
      </c>
      <c r="P106" s="24">
        <f t="shared" si="11"/>
        <v>4.0498500000000002</v>
      </c>
      <c r="Q106" s="24">
        <f t="shared" si="12"/>
        <v>2.3142000000000005</v>
      </c>
      <c r="R106" s="24">
        <f t="shared" si="13"/>
        <v>1.7356500000000001</v>
      </c>
      <c r="S106" s="37">
        <v>11.571000000000002</v>
      </c>
      <c r="T106" s="8">
        <v>105991.94</v>
      </c>
      <c r="U106" s="8">
        <v>21516.363820000002</v>
      </c>
      <c r="V106" s="8"/>
      <c r="W106" s="8"/>
      <c r="X106" s="24" t="s">
        <v>987</v>
      </c>
      <c r="Y106" s="24">
        <v>73022</v>
      </c>
      <c r="Z106" s="8">
        <v>6.18</v>
      </c>
      <c r="AA106" s="8" t="s">
        <v>986</v>
      </c>
      <c r="AB106" s="8">
        <v>3</v>
      </c>
      <c r="AC106" s="109">
        <v>5836</v>
      </c>
      <c r="AD106" s="8"/>
      <c r="AE106" s="319" t="s">
        <v>988</v>
      </c>
      <c r="AF106" s="198">
        <f t="shared" si="14"/>
        <v>6.0900000000000003E-2</v>
      </c>
      <c r="AG106" s="109"/>
      <c r="AH106" s="109"/>
      <c r="AI106" s="110"/>
      <c r="AJ106" s="113"/>
      <c r="AK106" s="173">
        <f t="shared" ref="AK106:AK114" si="15">L106*0.3</f>
        <v>6.0900000000000003E-2</v>
      </c>
      <c r="AL106" s="299"/>
      <c r="AM106" s="300"/>
      <c r="AN106" s="20"/>
      <c r="AO106" s="8"/>
      <c r="AP106" s="8"/>
      <c r="AQ106" s="21"/>
    </row>
    <row r="107" spans="1:43" x14ac:dyDescent="0.25">
      <c r="A107" s="24">
        <v>104</v>
      </c>
      <c r="B107" s="24" t="s">
        <v>28</v>
      </c>
      <c r="C107" s="8" t="s">
        <v>980</v>
      </c>
      <c r="D107" s="8" t="s">
        <v>981</v>
      </c>
      <c r="E107" s="8"/>
      <c r="F107" s="24" t="s">
        <v>986</v>
      </c>
      <c r="G107" s="8"/>
      <c r="H107" s="8" t="s">
        <v>31</v>
      </c>
      <c r="I107" s="24" t="s">
        <v>988</v>
      </c>
      <c r="J107" s="8"/>
      <c r="K107" s="24">
        <v>0.20300000000000001</v>
      </c>
      <c r="L107" s="24">
        <v>0.20300000000000001</v>
      </c>
      <c r="M107" s="24">
        <v>1</v>
      </c>
      <c r="N107" s="24" t="s">
        <v>33</v>
      </c>
      <c r="O107" s="24">
        <f t="shared" si="10"/>
        <v>3.4713000000000003</v>
      </c>
      <c r="P107" s="24">
        <f t="shared" si="11"/>
        <v>4.0498500000000002</v>
      </c>
      <c r="Q107" s="24">
        <f t="shared" si="12"/>
        <v>2.3142000000000005</v>
      </c>
      <c r="R107" s="24">
        <f t="shared" si="13"/>
        <v>1.7356500000000001</v>
      </c>
      <c r="S107" s="37">
        <v>11.571000000000002</v>
      </c>
      <c r="T107" s="8">
        <v>105991.94</v>
      </c>
      <c r="U107" s="8">
        <v>21516.363820000002</v>
      </c>
      <c r="V107" s="8"/>
      <c r="W107" s="8"/>
      <c r="X107" s="24" t="s">
        <v>987</v>
      </c>
      <c r="Y107" s="24">
        <v>73022</v>
      </c>
      <c r="Z107" s="8">
        <v>6.18</v>
      </c>
      <c r="AA107" s="8" t="s">
        <v>986</v>
      </c>
      <c r="AB107" s="8">
        <v>4</v>
      </c>
      <c r="AC107" s="109">
        <v>5836</v>
      </c>
      <c r="AD107" s="8"/>
      <c r="AE107" s="319" t="s">
        <v>988</v>
      </c>
      <c r="AF107" s="198">
        <f t="shared" si="14"/>
        <v>6.0900000000000003E-2</v>
      </c>
      <c r="AG107" s="109"/>
      <c r="AH107" s="109"/>
      <c r="AI107" s="110"/>
      <c r="AJ107" s="113"/>
      <c r="AK107" s="173">
        <f t="shared" si="15"/>
        <v>6.0900000000000003E-2</v>
      </c>
      <c r="AL107" s="299"/>
      <c r="AM107" s="300"/>
      <c r="AN107" s="20"/>
      <c r="AO107" s="8"/>
      <c r="AP107" s="8"/>
      <c r="AQ107" s="21"/>
    </row>
    <row r="108" spans="1:43" x14ac:dyDescent="0.25">
      <c r="A108" s="24">
        <v>105</v>
      </c>
      <c r="B108" s="24" t="s">
        <v>28</v>
      </c>
      <c r="C108" s="8" t="s">
        <v>980</v>
      </c>
      <c r="D108" s="8" t="s">
        <v>981</v>
      </c>
      <c r="E108" s="8"/>
      <c r="F108" s="24" t="s">
        <v>986</v>
      </c>
      <c r="G108" s="8"/>
      <c r="H108" s="8" t="s">
        <v>31</v>
      </c>
      <c r="I108" s="24" t="s">
        <v>988</v>
      </c>
      <c r="J108" s="8"/>
      <c r="K108" s="24">
        <v>0.20300000000000001</v>
      </c>
      <c r="L108" s="24">
        <v>0.20300000000000001</v>
      </c>
      <c r="M108" s="24">
        <v>1</v>
      </c>
      <c r="N108" s="24" t="s">
        <v>33</v>
      </c>
      <c r="O108" s="24">
        <f t="shared" si="10"/>
        <v>3.4713000000000003</v>
      </c>
      <c r="P108" s="24">
        <f t="shared" si="11"/>
        <v>4.0498500000000002</v>
      </c>
      <c r="Q108" s="24">
        <f t="shared" si="12"/>
        <v>2.3142000000000005</v>
      </c>
      <c r="R108" s="24">
        <f t="shared" si="13"/>
        <v>1.7356500000000001</v>
      </c>
      <c r="S108" s="37">
        <v>11.571000000000002</v>
      </c>
      <c r="T108" s="8">
        <v>105991.94</v>
      </c>
      <c r="U108" s="8">
        <v>21516.363820000002</v>
      </c>
      <c r="V108" s="8"/>
      <c r="W108" s="8"/>
      <c r="X108" s="24" t="s">
        <v>987</v>
      </c>
      <c r="Y108" s="24">
        <v>73022</v>
      </c>
      <c r="Z108" s="8">
        <v>6.18</v>
      </c>
      <c r="AA108" s="8" t="s">
        <v>986</v>
      </c>
      <c r="AB108" s="8">
        <v>5</v>
      </c>
      <c r="AC108" s="109">
        <v>5836</v>
      </c>
      <c r="AD108" s="8"/>
      <c r="AE108" s="319" t="s">
        <v>988</v>
      </c>
      <c r="AF108" s="198">
        <f t="shared" si="14"/>
        <v>6.0900000000000003E-2</v>
      </c>
      <c r="AG108" s="109"/>
      <c r="AH108" s="109"/>
      <c r="AI108" s="110"/>
      <c r="AJ108" s="113"/>
      <c r="AK108" s="173">
        <f t="shared" si="15"/>
        <v>6.0900000000000003E-2</v>
      </c>
      <c r="AL108" s="299"/>
      <c r="AM108" s="300"/>
      <c r="AN108" s="20"/>
      <c r="AO108" s="8"/>
      <c r="AP108" s="8"/>
      <c r="AQ108" s="21"/>
    </row>
    <row r="109" spans="1:43" x14ac:dyDescent="0.25">
      <c r="A109" s="24">
        <v>106</v>
      </c>
      <c r="B109" s="24" t="s">
        <v>28</v>
      </c>
      <c r="C109" s="8" t="s">
        <v>980</v>
      </c>
      <c r="D109" s="8" t="s">
        <v>981</v>
      </c>
      <c r="E109" s="8"/>
      <c r="F109" s="24" t="s">
        <v>986</v>
      </c>
      <c r="G109" s="8"/>
      <c r="H109" s="8" t="s">
        <v>31</v>
      </c>
      <c r="I109" s="24" t="s">
        <v>988</v>
      </c>
      <c r="J109" s="8"/>
      <c r="K109" s="24">
        <v>0.20300000000000001</v>
      </c>
      <c r="L109" s="24">
        <v>0.20300000000000001</v>
      </c>
      <c r="M109" s="24">
        <v>1</v>
      </c>
      <c r="N109" s="24" t="s">
        <v>33</v>
      </c>
      <c r="O109" s="24">
        <f t="shared" si="10"/>
        <v>3.4713000000000003</v>
      </c>
      <c r="P109" s="24">
        <f t="shared" si="11"/>
        <v>4.0498500000000002</v>
      </c>
      <c r="Q109" s="24">
        <f t="shared" si="12"/>
        <v>2.3142000000000005</v>
      </c>
      <c r="R109" s="24">
        <f t="shared" si="13"/>
        <v>1.7356500000000001</v>
      </c>
      <c r="S109" s="37">
        <v>11.571000000000002</v>
      </c>
      <c r="T109" s="8">
        <v>105991.94</v>
      </c>
      <c r="U109" s="8">
        <v>21516.363820000002</v>
      </c>
      <c r="V109" s="8"/>
      <c r="W109" s="8"/>
      <c r="X109" s="24" t="s">
        <v>987</v>
      </c>
      <c r="Y109" s="24">
        <v>73022</v>
      </c>
      <c r="Z109" s="8">
        <v>6.18</v>
      </c>
      <c r="AA109" s="8" t="s">
        <v>986</v>
      </c>
      <c r="AB109" s="8">
        <v>6</v>
      </c>
      <c r="AC109" s="109">
        <v>5836</v>
      </c>
      <c r="AD109" s="8"/>
      <c r="AE109" s="319" t="s">
        <v>988</v>
      </c>
      <c r="AF109" s="198">
        <f t="shared" si="14"/>
        <v>6.0900000000000003E-2</v>
      </c>
      <c r="AG109" s="109"/>
      <c r="AH109" s="109"/>
      <c r="AI109" s="110"/>
      <c r="AJ109" s="113"/>
      <c r="AK109" s="173">
        <f t="shared" si="15"/>
        <v>6.0900000000000003E-2</v>
      </c>
      <c r="AL109" s="299"/>
      <c r="AM109" s="300"/>
      <c r="AN109" s="20"/>
      <c r="AO109" s="8"/>
      <c r="AP109" s="8"/>
      <c r="AQ109" s="21"/>
    </row>
    <row r="110" spans="1:43" x14ac:dyDescent="0.25">
      <c r="A110" s="24">
        <v>107</v>
      </c>
      <c r="B110" s="24" t="s">
        <v>28</v>
      </c>
      <c r="C110" s="8" t="s">
        <v>980</v>
      </c>
      <c r="D110" s="8" t="s">
        <v>981</v>
      </c>
      <c r="E110" s="8"/>
      <c r="F110" s="24" t="s">
        <v>986</v>
      </c>
      <c r="G110" s="8"/>
      <c r="H110" s="8" t="s">
        <v>31</v>
      </c>
      <c r="I110" s="24" t="s">
        <v>988</v>
      </c>
      <c r="J110" s="8"/>
      <c r="K110" s="24">
        <v>0.20300000000000001</v>
      </c>
      <c r="L110" s="24">
        <v>0.20300000000000001</v>
      </c>
      <c r="M110" s="24">
        <v>1</v>
      </c>
      <c r="N110" s="24" t="s">
        <v>33</v>
      </c>
      <c r="O110" s="24">
        <f t="shared" si="10"/>
        <v>3.4713000000000003</v>
      </c>
      <c r="P110" s="24">
        <f t="shared" si="11"/>
        <v>4.0498500000000002</v>
      </c>
      <c r="Q110" s="24">
        <f t="shared" si="12"/>
        <v>2.3142000000000005</v>
      </c>
      <c r="R110" s="24">
        <f t="shared" si="13"/>
        <v>1.7356500000000001</v>
      </c>
      <c r="S110" s="37">
        <v>11.571000000000002</v>
      </c>
      <c r="T110" s="8">
        <v>105991.94</v>
      </c>
      <c r="U110" s="8">
        <v>21516.363820000002</v>
      </c>
      <c r="V110" s="8"/>
      <c r="W110" s="8"/>
      <c r="X110" s="24" t="s">
        <v>987</v>
      </c>
      <c r="Y110" s="24">
        <v>73022</v>
      </c>
      <c r="Z110" s="8">
        <v>6.18</v>
      </c>
      <c r="AA110" s="8" t="s">
        <v>986</v>
      </c>
      <c r="AB110" s="8">
        <v>7</v>
      </c>
      <c r="AC110" s="109">
        <v>5836</v>
      </c>
      <c r="AD110" s="8"/>
      <c r="AE110" s="319" t="s">
        <v>988</v>
      </c>
      <c r="AF110" s="198">
        <f t="shared" si="14"/>
        <v>6.0900000000000003E-2</v>
      </c>
      <c r="AG110" s="109"/>
      <c r="AH110" s="109"/>
      <c r="AI110" s="110"/>
      <c r="AJ110" s="113"/>
      <c r="AK110" s="173">
        <f t="shared" si="15"/>
        <v>6.0900000000000003E-2</v>
      </c>
      <c r="AL110" s="299"/>
      <c r="AM110" s="300"/>
      <c r="AN110" s="20"/>
      <c r="AO110" s="8"/>
      <c r="AP110" s="8"/>
      <c r="AQ110" s="21"/>
    </row>
    <row r="111" spans="1:43" x14ac:dyDescent="0.25">
      <c r="A111" s="24">
        <v>108</v>
      </c>
      <c r="B111" s="24" t="s">
        <v>28</v>
      </c>
      <c r="C111" s="8" t="s">
        <v>980</v>
      </c>
      <c r="D111" s="8" t="s">
        <v>981</v>
      </c>
      <c r="E111" s="8"/>
      <c r="F111" s="24" t="s">
        <v>986</v>
      </c>
      <c r="G111" s="8"/>
      <c r="H111" s="8" t="s">
        <v>31</v>
      </c>
      <c r="I111" s="24" t="s">
        <v>988</v>
      </c>
      <c r="J111" s="8"/>
      <c r="K111" s="24">
        <v>0.20300000000000001</v>
      </c>
      <c r="L111" s="24">
        <v>0.20300000000000001</v>
      </c>
      <c r="M111" s="24">
        <v>1</v>
      </c>
      <c r="N111" s="24" t="s">
        <v>33</v>
      </c>
      <c r="O111" s="24">
        <f t="shared" si="10"/>
        <v>3.4713000000000003</v>
      </c>
      <c r="P111" s="24">
        <f t="shared" si="11"/>
        <v>4.0498500000000002</v>
      </c>
      <c r="Q111" s="24">
        <f t="shared" si="12"/>
        <v>2.3142000000000005</v>
      </c>
      <c r="R111" s="24">
        <f t="shared" si="13"/>
        <v>1.7356500000000001</v>
      </c>
      <c r="S111" s="37">
        <v>11.571000000000002</v>
      </c>
      <c r="T111" s="8">
        <v>105991.94</v>
      </c>
      <c r="U111" s="8">
        <v>21516.363820000002</v>
      </c>
      <c r="V111" s="8"/>
      <c r="W111" s="8"/>
      <c r="X111" s="24" t="s">
        <v>987</v>
      </c>
      <c r="Y111" s="24">
        <v>73022</v>
      </c>
      <c r="Z111" s="8">
        <v>6.18</v>
      </c>
      <c r="AA111" s="8" t="s">
        <v>986</v>
      </c>
      <c r="AB111" s="8">
        <v>8</v>
      </c>
      <c r="AC111" s="109">
        <v>5836</v>
      </c>
      <c r="AD111" s="8"/>
      <c r="AE111" s="319" t="s">
        <v>988</v>
      </c>
      <c r="AF111" s="198">
        <f t="shared" si="14"/>
        <v>6.0900000000000003E-2</v>
      </c>
      <c r="AG111" s="109"/>
      <c r="AH111" s="109"/>
      <c r="AI111" s="110"/>
      <c r="AJ111" s="113"/>
      <c r="AK111" s="173">
        <f t="shared" si="15"/>
        <v>6.0900000000000003E-2</v>
      </c>
      <c r="AL111" s="299"/>
      <c r="AM111" s="300"/>
      <c r="AN111" s="20"/>
      <c r="AO111" s="8"/>
      <c r="AP111" s="8"/>
      <c r="AQ111" s="21"/>
    </row>
    <row r="112" spans="1:43" x14ac:dyDescent="0.25">
      <c r="A112" s="24">
        <v>109</v>
      </c>
      <c r="B112" s="24" t="s">
        <v>28</v>
      </c>
      <c r="C112" s="8" t="s">
        <v>980</v>
      </c>
      <c r="D112" s="8" t="s">
        <v>981</v>
      </c>
      <c r="E112" s="8"/>
      <c r="F112" s="24" t="s">
        <v>986</v>
      </c>
      <c r="G112" s="8"/>
      <c r="H112" s="8" t="s">
        <v>31</v>
      </c>
      <c r="I112" s="24" t="s">
        <v>988</v>
      </c>
      <c r="J112" s="8"/>
      <c r="K112" s="24">
        <v>0.20300000000000001</v>
      </c>
      <c r="L112" s="24">
        <v>0.20300000000000001</v>
      </c>
      <c r="M112" s="24">
        <v>1</v>
      </c>
      <c r="N112" s="24" t="s">
        <v>33</v>
      </c>
      <c r="O112" s="24">
        <f t="shared" si="10"/>
        <v>3.4713000000000003</v>
      </c>
      <c r="P112" s="24">
        <f t="shared" si="11"/>
        <v>4.0498500000000002</v>
      </c>
      <c r="Q112" s="24">
        <f t="shared" si="12"/>
        <v>2.3142000000000005</v>
      </c>
      <c r="R112" s="24">
        <f t="shared" si="13"/>
        <v>1.7356500000000001</v>
      </c>
      <c r="S112" s="37">
        <v>11.571000000000002</v>
      </c>
      <c r="T112" s="8">
        <v>105991.94</v>
      </c>
      <c r="U112" s="8">
        <v>21516.363820000002</v>
      </c>
      <c r="V112" s="8"/>
      <c r="W112" s="8"/>
      <c r="X112" s="24" t="s">
        <v>987</v>
      </c>
      <c r="Y112" s="24">
        <v>73022</v>
      </c>
      <c r="Z112" s="8">
        <v>6.18</v>
      </c>
      <c r="AA112" s="8" t="s">
        <v>986</v>
      </c>
      <c r="AB112" s="8">
        <v>9</v>
      </c>
      <c r="AC112" s="109">
        <v>5836</v>
      </c>
      <c r="AD112" s="8"/>
      <c r="AE112" s="319" t="s">
        <v>988</v>
      </c>
      <c r="AF112" s="198">
        <f t="shared" si="14"/>
        <v>6.0900000000000003E-2</v>
      </c>
      <c r="AG112" s="109"/>
      <c r="AH112" s="109"/>
      <c r="AI112" s="110"/>
      <c r="AJ112" s="113"/>
      <c r="AK112" s="173">
        <f t="shared" si="15"/>
        <v>6.0900000000000003E-2</v>
      </c>
      <c r="AL112" s="299"/>
      <c r="AM112" s="300"/>
      <c r="AN112" s="20"/>
      <c r="AO112" s="8"/>
      <c r="AP112" s="8"/>
      <c r="AQ112" s="21"/>
    </row>
    <row r="113" spans="1:43" x14ac:dyDescent="0.25">
      <c r="A113" s="24">
        <v>110</v>
      </c>
      <c r="B113" s="24" t="s">
        <v>28</v>
      </c>
      <c r="C113" s="8" t="s">
        <v>980</v>
      </c>
      <c r="D113" s="8" t="s">
        <v>981</v>
      </c>
      <c r="E113" s="8"/>
      <c r="F113" s="24" t="s">
        <v>986</v>
      </c>
      <c r="G113" s="8"/>
      <c r="H113" s="8" t="s">
        <v>31</v>
      </c>
      <c r="I113" s="24" t="s">
        <v>988</v>
      </c>
      <c r="J113" s="8"/>
      <c r="K113" s="24">
        <v>0.20300000000000001</v>
      </c>
      <c r="L113" s="24">
        <v>0.20300000000000001</v>
      </c>
      <c r="M113" s="24">
        <v>1</v>
      </c>
      <c r="N113" s="24" t="s">
        <v>33</v>
      </c>
      <c r="O113" s="24">
        <f t="shared" si="10"/>
        <v>3.4713000000000003</v>
      </c>
      <c r="P113" s="24">
        <f t="shared" si="11"/>
        <v>4.0498500000000002</v>
      </c>
      <c r="Q113" s="24">
        <f t="shared" si="12"/>
        <v>2.3142000000000005</v>
      </c>
      <c r="R113" s="24">
        <f t="shared" si="13"/>
        <v>1.7356500000000001</v>
      </c>
      <c r="S113" s="37">
        <v>11.571000000000002</v>
      </c>
      <c r="T113" s="8">
        <v>105991.94</v>
      </c>
      <c r="U113" s="8">
        <v>21516.363820000002</v>
      </c>
      <c r="V113" s="8"/>
      <c r="W113" s="8"/>
      <c r="X113" s="24" t="s">
        <v>987</v>
      </c>
      <c r="Y113" s="24">
        <v>73022</v>
      </c>
      <c r="Z113" s="8">
        <v>6.18</v>
      </c>
      <c r="AA113" s="8" t="s">
        <v>986</v>
      </c>
      <c r="AB113" s="8">
        <v>10</v>
      </c>
      <c r="AC113" s="109">
        <v>5836</v>
      </c>
      <c r="AD113" s="8"/>
      <c r="AE113" s="319" t="s">
        <v>988</v>
      </c>
      <c r="AF113" s="198">
        <f t="shared" si="14"/>
        <v>6.0900000000000003E-2</v>
      </c>
      <c r="AG113" s="109"/>
      <c r="AH113" s="109"/>
      <c r="AI113" s="110"/>
      <c r="AJ113" s="113"/>
      <c r="AK113" s="173">
        <f t="shared" si="15"/>
        <v>6.0900000000000003E-2</v>
      </c>
      <c r="AL113" s="299"/>
      <c r="AM113" s="300"/>
      <c r="AN113" s="20"/>
      <c r="AO113" s="8"/>
      <c r="AP113" s="8"/>
      <c r="AQ113" s="21"/>
    </row>
    <row r="114" spans="1:43" x14ac:dyDescent="0.25">
      <c r="A114" s="24">
        <v>111</v>
      </c>
      <c r="B114" s="24" t="s">
        <v>28</v>
      </c>
      <c r="C114" s="8" t="s">
        <v>980</v>
      </c>
      <c r="D114" s="8" t="s">
        <v>981</v>
      </c>
      <c r="E114" s="8"/>
      <c r="F114" s="24" t="s">
        <v>986</v>
      </c>
      <c r="G114" s="8"/>
      <c r="H114" s="8" t="s">
        <v>31</v>
      </c>
      <c r="I114" s="24" t="s">
        <v>988</v>
      </c>
      <c r="J114" s="8"/>
      <c r="K114" s="24">
        <v>0.20300000000000001</v>
      </c>
      <c r="L114" s="24">
        <v>0.20300000000000001</v>
      </c>
      <c r="M114" s="24">
        <v>1</v>
      </c>
      <c r="N114" s="24" t="s">
        <v>33</v>
      </c>
      <c r="O114" s="24">
        <f t="shared" si="10"/>
        <v>3.4713000000000003</v>
      </c>
      <c r="P114" s="24">
        <f t="shared" si="11"/>
        <v>4.0498500000000002</v>
      </c>
      <c r="Q114" s="24">
        <f t="shared" si="12"/>
        <v>2.3142000000000005</v>
      </c>
      <c r="R114" s="24">
        <f t="shared" si="13"/>
        <v>1.7356500000000001</v>
      </c>
      <c r="S114" s="37">
        <v>11.571000000000002</v>
      </c>
      <c r="T114" s="8">
        <v>105991.94</v>
      </c>
      <c r="U114" s="8">
        <v>21516.363820000002</v>
      </c>
      <c r="V114" s="8"/>
      <c r="W114" s="8"/>
      <c r="X114" s="24" t="s">
        <v>987</v>
      </c>
      <c r="Y114" s="24">
        <v>73022</v>
      </c>
      <c r="Z114" s="8">
        <v>6.18</v>
      </c>
      <c r="AA114" s="8" t="s">
        <v>986</v>
      </c>
      <c r="AB114" s="8">
        <v>11</v>
      </c>
      <c r="AC114" s="109">
        <v>5836</v>
      </c>
      <c r="AD114" s="8"/>
      <c r="AE114" s="319" t="s">
        <v>988</v>
      </c>
      <c r="AF114" s="198">
        <f t="shared" si="14"/>
        <v>6.0900000000000003E-2</v>
      </c>
      <c r="AG114" s="109"/>
      <c r="AH114" s="109"/>
      <c r="AI114" s="110"/>
      <c r="AJ114" s="113"/>
      <c r="AK114" s="173">
        <f t="shared" si="15"/>
        <v>6.0900000000000003E-2</v>
      </c>
      <c r="AL114" s="299"/>
      <c r="AM114" s="300"/>
      <c r="AN114" s="20"/>
      <c r="AO114" s="8"/>
      <c r="AP114" s="8"/>
      <c r="AQ114" s="21"/>
    </row>
    <row r="115" spans="1:43" x14ac:dyDescent="0.25">
      <c r="A115" s="24">
        <v>112</v>
      </c>
      <c r="B115" s="24" t="s">
        <v>28</v>
      </c>
      <c r="C115" s="8" t="s">
        <v>980</v>
      </c>
      <c r="D115" s="8" t="s">
        <v>981</v>
      </c>
      <c r="E115" s="8"/>
      <c r="F115" s="24" t="s">
        <v>986</v>
      </c>
      <c r="G115" s="8"/>
      <c r="H115" s="8" t="s">
        <v>31</v>
      </c>
      <c r="I115" s="24" t="s">
        <v>988</v>
      </c>
      <c r="J115" s="8"/>
      <c r="K115" s="24">
        <v>0.20300000000000001</v>
      </c>
      <c r="L115" s="24">
        <v>0.20300000000000001</v>
      </c>
      <c r="M115" s="24">
        <v>1</v>
      </c>
      <c r="N115" s="24" t="s">
        <v>33</v>
      </c>
      <c r="O115" s="24">
        <f t="shared" si="10"/>
        <v>3.4713000000000003</v>
      </c>
      <c r="P115" s="24">
        <f t="shared" si="11"/>
        <v>4.0498500000000002</v>
      </c>
      <c r="Q115" s="24">
        <f t="shared" si="12"/>
        <v>2.3142000000000005</v>
      </c>
      <c r="R115" s="24">
        <f t="shared" si="13"/>
        <v>1.7356500000000001</v>
      </c>
      <c r="S115" s="37">
        <v>11.571000000000002</v>
      </c>
      <c r="T115" s="8">
        <v>105991.94</v>
      </c>
      <c r="U115" s="8">
        <v>21516.363820000002</v>
      </c>
      <c r="V115" s="8"/>
      <c r="W115" s="8"/>
      <c r="X115" s="24" t="s">
        <v>987</v>
      </c>
      <c r="Y115" s="24">
        <v>73023</v>
      </c>
      <c r="Z115" s="8">
        <v>6.18</v>
      </c>
      <c r="AA115" s="8" t="s">
        <v>986</v>
      </c>
      <c r="AB115" s="8">
        <v>1</v>
      </c>
      <c r="AC115" s="109">
        <v>5836</v>
      </c>
      <c r="AD115" s="8"/>
      <c r="AE115" s="319" t="s">
        <v>988</v>
      </c>
      <c r="AF115" s="198">
        <f t="shared" si="14"/>
        <v>6.0900000000000003E-2</v>
      </c>
      <c r="AG115" s="109"/>
      <c r="AH115" s="109"/>
      <c r="AI115" s="110"/>
      <c r="AJ115" s="113"/>
      <c r="AK115" s="299"/>
      <c r="AL115" s="299"/>
      <c r="AM115" s="300"/>
      <c r="AN115" s="20"/>
      <c r="AO115" s="8"/>
      <c r="AP115" s="8"/>
      <c r="AQ115" s="21"/>
    </row>
    <row r="116" spans="1:43" x14ac:dyDescent="0.25">
      <c r="A116" s="24">
        <v>113</v>
      </c>
      <c r="B116" s="24" t="s">
        <v>28</v>
      </c>
      <c r="C116" s="8" t="s">
        <v>980</v>
      </c>
      <c r="D116" s="8" t="s">
        <v>981</v>
      </c>
      <c r="E116" s="8"/>
      <c r="F116" s="24" t="s">
        <v>986</v>
      </c>
      <c r="G116" s="8"/>
      <c r="H116" s="8" t="s">
        <v>31</v>
      </c>
      <c r="I116" s="24" t="s">
        <v>988</v>
      </c>
      <c r="J116" s="8"/>
      <c r="K116" s="24">
        <v>0.20300000000000001</v>
      </c>
      <c r="L116" s="24">
        <v>0.20300000000000001</v>
      </c>
      <c r="M116" s="24">
        <v>1</v>
      </c>
      <c r="N116" s="24" t="s">
        <v>33</v>
      </c>
      <c r="O116" s="24">
        <f t="shared" si="10"/>
        <v>3.4713000000000003</v>
      </c>
      <c r="P116" s="24">
        <f t="shared" si="11"/>
        <v>4.0498500000000002</v>
      </c>
      <c r="Q116" s="24">
        <f t="shared" si="12"/>
        <v>2.3142000000000005</v>
      </c>
      <c r="R116" s="24">
        <f t="shared" si="13"/>
        <v>1.7356500000000001</v>
      </c>
      <c r="S116" s="37">
        <v>11.571000000000002</v>
      </c>
      <c r="T116" s="8">
        <v>105991.94</v>
      </c>
      <c r="U116" s="8">
        <v>21516.363820000002</v>
      </c>
      <c r="V116" s="8"/>
      <c r="W116" s="8"/>
      <c r="X116" s="24" t="s">
        <v>987</v>
      </c>
      <c r="Y116" s="24">
        <v>73023</v>
      </c>
      <c r="Z116" s="8">
        <v>6.18</v>
      </c>
      <c r="AA116" s="8" t="s">
        <v>986</v>
      </c>
      <c r="AB116" s="8">
        <v>2</v>
      </c>
      <c r="AC116" s="109">
        <v>5836</v>
      </c>
      <c r="AD116" s="8"/>
      <c r="AE116" s="319" t="s">
        <v>988</v>
      </c>
      <c r="AF116" s="198">
        <f t="shared" si="14"/>
        <v>6.0900000000000003E-2</v>
      </c>
      <c r="AG116" s="109"/>
      <c r="AH116" s="109"/>
      <c r="AI116" s="110"/>
      <c r="AJ116" s="113"/>
      <c r="AK116" s="299"/>
      <c r="AL116" s="299"/>
      <c r="AM116" s="300"/>
      <c r="AN116" s="20"/>
      <c r="AO116" s="8"/>
      <c r="AP116" s="8"/>
      <c r="AQ116" s="21"/>
    </row>
    <row r="117" spans="1:43" x14ac:dyDescent="0.25">
      <c r="A117" s="24">
        <v>114</v>
      </c>
      <c r="B117" s="24" t="s">
        <v>28</v>
      </c>
      <c r="C117" s="8" t="s">
        <v>980</v>
      </c>
      <c r="D117" s="8" t="s">
        <v>981</v>
      </c>
      <c r="E117" s="8"/>
      <c r="F117" s="24" t="s">
        <v>986</v>
      </c>
      <c r="G117" s="8"/>
      <c r="H117" s="8" t="s">
        <v>31</v>
      </c>
      <c r="I117" s="24" t="s">
        <v>988</v>
      </c>
      <c r="J117" s="8"/>
      <c r="K117" s="24">
        <v>0.20300000000000001</v>
      </c>
      <c r="L117" s="24">
        <v>0.20300000000000001</v>
      </c>
      <c r="M117" s="24">
        <v>1</v>
      </c>
      <c r="N117" s="24" t="s">
        <v>33</v>
      </c>
      <c r="O117" s="24">
        <f t="shared" si="10"/>
        <v>3.4713000000000003</v>
      </c>
      <c r="P117" s="24">
        <f t="shared" si="11"/>
        <v>4.0498500000000002</v>
      </c>
      <c r="Q117" s="24">
        <f t="shared" si="12"/>
        <v>2.3142000000000005</v>
      </c>
      <c r="R117" s="24">
        <f t="shared" si="13"/>
        <v>1.7356500000000001</v>
      </c>
      <c r="S117" s="37">
        <v>11.571000000000002</v>
      </c>
      <c r="T117" s="8">
        <v>105991.94</v>
      </c>
      <c r="U117" s="8">
        <v>21516.363820000002</v>
      </c>
      <c r="V117" s="8"/>
      <c r="W117" s="8"/>
      <c r="X117" s="24" t="s">
        <v>987</v>
      </c>
      <c r="Y117" s="24">
        <v>73023</v>
      </c>
      <c r="Z117" s="8">
        <v>6.18</v>
      </c>
      <c r="AA117" s="8" t="s">
        <v>986</v>
      </c>
      <c r="AB117" s="8">
        <v>3</v>
      </c>
      <c r="AC117" s="109">
        <v>5836</v>
      </c>
      <c r="AD117" s="8"/>
      <c r="AE117" s="319" t="s">
        <v>988</v>
      </c>
      <c r="AF117" s="198">
        <f t="shared" si="14"/>
        <v>6.0900000000000003E-2</v>
      </c>
      <c r="AG117" s="109"/>
      <c r="AH117" s="109"/>
      <c r="AI117" s="110"/>
      <c r="AJ117" s="113"/>
      <c r="AK117" s="299"/>
      <c r="AL117" s="299"/>
      <c r="AM117" s="300"/>
      <c r="AN117" s="20"/>
      <c r="AO117" s="8"/>
      <c r="AP117" s="8"/>
      <c r="AQ117" s="21"/>
    </row>
    <row r="118" spans="1:43" x14ac:dyDescent="0.25">
      <c r="A118" s="24">
        <v>115</v>
      </c>
      <c r="B118" s="24" t="s">
        <v>28</v>
      </c>
      <c r="C118" s="8" t="s">
        <v>980</v>
      </c>
      <c r="D118" s="8" t="s">
        <v>981</v>
      </c>
      <c r="E118" s="8"/>
      <c r="F118" s="24" t="s">
        <v>986</v>
      </c>
      <c r="G118" s="8"/>
      <c r="H118" s="8" t="s">
        <v>31</v>
      </c>
      <c r="I118" s="24" t="s">
        <v>988</v>
      </c>
      <c r="J118" s="8"/>
      <c r="K118" s="24">
        <v>0.20300000000000001</v>
      </c>
      <c r="L118" s="24">
        <v>0.20300000000000001</v>
      </c>
      <c r="M118" s="24">
        <v>1</v>
      </c>
      <c r="N118" s="24" t="s">
        <v>33</v>
      </c>
      <c r="O118" s="24">
        <f t="shared" si="10"/>
        <v>3.4713000000000003</v>
      </c>
      <c r="P118" s="24">
        <f t="shared" si="11"/>
        <v>4.0498500000000002</v>
      </c>
      <c r="Q118" s="24">
        <f t="shared" si="12"/>
        <v>2.3142000000000005</v>
      </c>
      <c r="R118" s="24">
        <f t="shared" si="13"/>
        <v>1.7356500000000001</v>
      </c>
      <c r="S118" s="37">
        <v>11.571000000000002</v>
      </c>
      <c r="T118" s="8">
        <v>105991.94</v>
      </c>
      <c r="U118" s="8">
        <v>21516.363820000002</v>
      </c>
      <c r="V118" s="8"/>
      <c r="W118" s="8"/>
      <c r="X118" s="24" t="s">
        <v>987</v>
      </c>
      <c r="Y118" s="24">
        <v>73023</v>
      </c>
      <c r="Z118" s="8">
        <v>6.18</v>
      </c>
      <c r="AA118" s="8" t="s">
        <v>986</v>
      </c>
      <c r="AB118" s="8">
        <v>4</v>
      </c>
      <c r="AC118" s="109">
        <v>5836</v>
      </c>
      <c r="AD118" s="8"/>
      <c r="AE118" s="319" t="s">
        <v>988</v>
      </c>
      <c r="AF118" s="198">
        <f t="shared" si="14"/>
        <v>6.0900000000000003E-2</v>
      </c>
      <c r="AG118" s="109"/>
      <c r="AH118" s="109"/>
      <c r="AI118" s="110"/>
      <c r="AJ118" s="113"/>
      <c r="AK118" s="299"/>
      <c r="AL118" s="299"/>
      <c r="AM118" s="300"/>
      <c r="AN118" s="20"/>
      <c r="AO118" s="8"/>
      <c r="AP118" s="8"/>
      <c r="AQ118" s="21"/>
    </row>
    <row r="119" spans="1:43" x14ac:dyDescent="0.25">
      <c r="A119" s="24">
        <v>116</v>
      </c>
      <c r="B119" s="24" t="s">
        <v>28</v>
      </c>
      <c r="C119" s="8" t="s">
        <v>980</v>
      </c>
      <c r="D119" s="8" t="s">
        <v>981</v>
      </c>
      <c r="E119" s="8"/>
      <c r="F119" s="24" t="s">
        <v>986</v>
      </c>
      <c r="G119" s="8"/>
      <c r="H119" s="8" t="s">
        <v>31</v>
      </c>
      <c r="I119" s="24" t="s">
        <v>988</v>
      </c>
      <c r="J119" s="8"/>
      <c r="K119" s="24">
        <v>0.20300000000000001</v>
      </c>
      <c r="L119" s="24">
        <v>0.20300000000000001</v>
      </c>
      <c r="M119" s="24">
        <v>1</v>
      </c>
      <c r="N119" s="24" t="s">
        <v>33</v>
      </c>
      <c r="O119" s="24">
        <f t="shared" si="10"/>
        <v>3.4713000000000003</v>
      </c>
      <c r="P119" s="24">
        <f t="shared" si="11"/>
        <v>4.0498500000000002</v>
      </c>
      <c r="Q119" s="24">
        <f t="shared" si="12"/>
        <v>2.3142000000000005</v>
      </c>
      <c r="R119" s="24">
        <f t="shared" si="13"/>
        <v>1.7356500000000001</v>
      </c>
      <c r="S119" s="37">
        <v>11.571000000000002</v>
      </c>
      <c r="T119" s="8">
        <v>105991.94</v>
      </c>
      <c r="U119" s="8">
        <v>21516.363820000002</v>
      </c>
      <c r="V119" s="8"/>
      <c r="W119" s="8"/>
      <c r="X119" s="24" t="s">
        <v>987</v>
      </c>
      <c r="Y119" s="24">
        <v>73023</v>
      </c>
      <c r="Z119" s="8">
        <v>6.18</v>
      </c>
      <c r="AA119" s="8" t="s">
        <v>986</v>
      </c>
      <c r="AB119" s="8">
        <v>5</v>
      </c>
      <c r="AC119" s="109">
        <v>5836</v>
      </c>
      <c r="AD119" s="8"/>
      <c r="AE119" s="319" t="s">
        <v>988</v>
      </c>
      <c r="AF119" s="198">
        <f t="shared" si="14"/>
        <v>6.0900000000000003E-2</v>
      </c>
      <c r="AG119" s="109"/>
      <c r="AH119" s="109"/>
      <c r="AI119" s="110"/>
      <c r="AJ119" s="113"/>
      <c r="AK119" s="299"/>
      <c r="AL119" s="299"/>
      <c r="AM119" s="300"/>
      <c r="AN119" s="20"/>
      <c r="AO119" s="8"/>
      <c r="AP119" s="8"/>
      <c r="AQ119" s="21"/>
    </row>
    <row r="120" spans="1:43" x14ac:dyDescent="0.25">
      <c r="A120" s="24">
        <v>117</v>
      </c>
      <c r="B120" s="24" t="s">
        <v>28</v>
      </c>
      <c r="C120" s="8" t="s">
        <v>980</v>
      </c>
      <c r="D120" s="8" t="s">
        <v>981</v>
      </c>
      <c r="E120" s="8"/>
      <c r="F120" s="24" t="s">
        <v>986</v>
      </c>
      <c r="G120" s="8"/>
      <c r="H120" s="8" t="s">
        <v>31</v>
      </c>
      <c r="I120" s="24" t="s">
        <v>988</v>
      </c>
      <c r="J120" s="8"/>
      <c r="K120" s="24">
        <v>0.20300000000000001</v>
      </c>
      <c r="L120" s="24">
        <v>0.20300000000000001</v>
      </c>
      <c r="M120" s="24">
        <v>1</v>
      </c>
      <c r="N120" s="24" t="s">
        <v>33</v>
      </c>
      <c r="O120" s="24">
        <f t="shared" si="10"/>
        <v>3.4713000000000003</v>
      </c>
      <c r="P120" s="24">
        <f t="shared" si="11"/>
        <v>4.0498500000000002</v>
      </c>
      <c r="Q120" s="24">
        <f t="shared" si="12"/>
        <v>2.3142000000000005</v>
      </c>
      <c r="R120" s="24">
        <f t="shared" si="13"/>
        <v>1.7356500000000001</v>
      </c>
      <c r="S120" s="37">
        <v>11.571000000000002</v>
      </c>
      <c r="T120" s="8">
        <v>105991.94</v>
      </c>
      <c r="U120" s="8">
        <v>21516.363820000002</v>
      </c>
      <c r="V120" s="8"/>
      <c r="W120" s="8"/>
      <c r="X120" s="24" t="s">
        <v>987</v>
      </c>
      <c r="Y120" s="24">
        <v>73023</v>
      </c>
      <c r="Z120" s="8">
        <v>6.18</v>
      </c>
      <c r="AA120" s="8" t="s">
        <v>986</v>
      </c>
      <c r="AB120" s="8">
        <v>6</v>
      </c>
      <c r="AC120" s="109">
        <v>5836</v>
      </c>
      <c r="AD120" s="8"/>
      <c r="AE120" s="319" t="s">
        <v>988</v>
      </c>
      <c r="AF120" s="198">
        <f t="shared" si="14"/>
        <v>6.0900000000000003E-2</v>
      </c>
      <c r="AG120" s="109"/>
      <c r="AH120" s="109"/>
      <c r="AI120" s="110"/>
      <c r="AJ120" s="113"/>
      <c r="AK120" s="299"/>
      <c r="AL120" s="299"/>
      <c r="AM120" s="300"/>
      <c r="AN120" s="20"/>
      <c r="AO120" s="8"/>
      <c r="AP120" s="8"/>
      <c r="AQ120" s="21"/>
    </row>
    <row r="121" spans="1:43" x14ac:dyDescent="0.25">
      <c r="A121" s="24">
        <v>118</v>
      </c>
      <c r="B121" s="24" t="s">
        <v>28</v>
      </c>
      <c r="C121" s="8" t="s">
        <v>980</v>
      </c>
      <c r="D121" s="8" t="s">
        <v>981</v>
      </c>
      <c r="E121" s="8"/>
      <c r="F121" s="24" t="s">
        <v>986</v>
      </c>
      <c r="G121" s="8"/>
      <c r="H121" s="8" t="s">
        <v>31</v>
      </c>
      <c r="I121" s="24" t="s">
        <v>988</v>
      </c>
      <c r="J121" s="8"/>
      <c r="K121" s="24">
        <v>0.20300000000000001</v>
      </c>
      <c r="L121" s="24">
        <v>0.20300000000000001</v>
      </c>
      <c r="M121" s="24">
        <v>1</v>
      </c>
      <c r="N121" s="24" t="s">
        <v>33</v>
      </c>
      <c r="O121" s="24">
        <f t="shared" si="10"/>
        <v>3.4713000000000003</v>
      </c>
      <c r="P121" s="24">
        <f t="shared" si="11"/>
        <v>4.0498500000000002</v>
      </c>
      <c r="Q121" s="24">
        <f t="shared" si="12"/>
        <v>2.3142000000000005</v>
      </c>
      <c r="R121" s="24">
        <f t="shared" si="13"/>
        <v>1.7356500000000001</v>
      </c>
      <c r="S121" s="37">
        <v>11.571000000000002</v>
      </c>
      <c r="T121" s="8">
        <v>105991.94</v>
      </c>
      <c r="U121" s="8">
        <v>21516.363820000002</v>
      </c>
      <c r="V121" s="8"/>
      <c r="W121" s="8"/>
      <c r="X121" s="24" t="s">
        <v>987</v>
      </c>
      <c r="Y121" s="24">
        <v>73023</v>
      </c>
      <c r="Z121" s="8">
        <v>6.18</v>
      </c>
      <c r="AA121" s="8" t="s">
        <v>986</v>
      </c>
      <c r="AB121" s="8">
        <v>7</v>
      </c>
      <c r="AC121" s="109">
        <v>5836</v>
      </c>
      <c r="AD121" s="8"/>
      <c r="AE121" s="319" t="s">
        <v>988</v>
      </c>
      <c r="AF121" s="198">
        <f t="shared" si="14"/>
        <v>6.0900000000000003E-2</v>
      </c>
      <c r="AG121" s="109"/>
      <c r="AH121" s="109"/>
      <c r="AI121" s="110"/>
      <c r="AJ121" s="113"/>
      <c r="AK121" s="299"/>
      <c r="AL121" s="299"/>
      <c r="AM121" s="300"/>
      <c r="AN121" s="20"/>
      <c r="AO121" s="8"/>
      <c r="AP121" s="8"/>
      <c r="AQ121" s="21"/>
    </row>
    <row r="122" spans="1:43" x14ac:dyDescent="0.25">
      <c r="A122" s="24">
        <v>119</v>
      </c>
      <c r="B122" s="24" t="s">
        <v>28</v>
      </c>
      <c r="C122" s="8" t="s">
        <v>980</v>
      </c>
      <c r="D122" s="8" t="s">
        <v>981</v>
      </c>
      <c r="E122" s="8"/>
      <c r="F122" s="24" t="s">
        <v>986</v>
      </c>
      <c r="G122" s="8"/>
      <c r="H122" s="8" t="s">
        <v>31</v>
      </c>
      <c r="I122" s="24" t="s">
        <v>988</v>
      </c>
      <c r="J122" s="8"/>
      <c r="K122" s="24">
        <v>0.20300000000000001</v>
      </c>
      <c r="L122" s="24">
        <v>0.20300000000000001</v>
      </c>
      <c r="M122" s="24">
        <v>1</v>
      </c>
      <c r="N122" s="24" t="s">
        <v>33</v>
      </c>
      <c r="O122" s="24">
        <f t="shared" si="10"/>
        <v>3.4713000000000003</v>
      </c>
      <c r="P122" s="24">
        <f t="shared" si="11"/>
        <v>4.0498500000000002</v>
      </c>
      <c r="Q122" s="24">
        <f t="shared" si="12"/>
        <v>2.3142000000000005</v>
      </c>
      <c r="R122" s="24">
        <f t="shared" si="13"/>
        <v>1.7356500000000001</v>
      </c>
      <c r="S122" s="37">
        <v>11.571000000000002</v>
      </c>
      <c r="T122" s="8">
        <v>105991.94</v>
      </c>
      <c r="U122" s="8">
        <v>21516.363820000002</v>
      </c>
      <c r="V122" s="8"/>
      <c r="W122" s="8"/>
      <c r="X122" s="24" t="s">
        <v>987</v>
      </c>
      <c r="Y122" s="24">
        <v>73023</v>
      </c>
      <c r="Z122" s="8">
        <v>6.18</v>
      </c>
      <c r="AA122" s="8" t="s">
        <v>986</v>
      </c>
      <c r="AB122" s="8">
        <v>8</v>
      </c>
      <c r="AC122" s="109">
        <v>5836</v>
      </c>
      <c r="AD122" s="8"/>
      <c r="AE122" s="319" t="s">
        <v>988</v>
      </c>
      <c r="AF122" s="198">
        <f t="shared" si="14"/>
        <v>6.0900000000000003E-2</v>
      </c>
      <c r="AG122" s="109"/>
      <c r="AH122" s="109"/>
      <c r="AI122" s="110"/>
      <c r="AJ122" s="113"/>
      <c r="AK122" s="299"/>
      <c r="AL122" s="299"/>
      <c r="AM122" s="300"/>
      <c r="AN122" s="20"/>
      <c r="AO122" s="8"/>
      <c r="AP122" s="8"/>
      <c r="AQ122" s="21"/>
    </row>
    <row r="123" spans="1:43" x14ac:dyDescent="0.25">
      <c r="A123" s="24">
        <v>120</v>
      </c>
      <c r="B123" s="24" t="s">
        <v>28</v>
      </c>
      <c r="C123" s="8" t="s">
        <v>980</v>
      </c>
      <c r="D123" s="8" t="s">
        <v>981</v>
      </c>
      <c r="E123" s="8"/>
      <c r="F123" s="24" t="s">
        <v>986</v>
      </c>
      <c r="G123" s="8"/>
      <c r="H123" s="8" t="s">
        <v>31</v>
      </c>
      <c r="I123" s="24" t="s">
        <v>988</v>
      </c>
      <c r="J123" s="8"/>
      <c r="K123" s="24">
        <v>0.20300000000000001</v>
      </c>
      <c r="L123" s="24">
        <v>0.20300000000000001</v>
      </c>
      <c r="M123" s="24">
        <v>1</v>
      </c>
      <c r="N123" s="24" t="s">
        <v>33</v>
      </c>
      <c r="O123" s="24">
        <f t="shared" si="10"/>
        <v>3.4713000000000003</v>
      </c>
      <c r="P123" s="24">
        <f t="shared" si="11"/>
        <v>4.0498500000000002</v>
      </c>
      <c r="Q123" s="24">
        <f t="shared" si="12"/>
        <v>2.3142000000000005</v>
      </c>
      <c r="R123" s="24">
        <f t="shared" si="13"/>
        <v>1.7356500000000001</v>
      </c>
      <c r="S123" s="37">
        <v>11.571000000000002</v>
      </c>
      <c r="T123" s="8">
        <v>105991.94</v>
      </c>
      <c r="U123" s="8">
        <v>21516.363820000002</v>
      </c>
      <c r="V123" s="8"/>
      <c r="W123" s="8"/>
      <c r="X123" s="24" t="s">
        <v>987</v>
      </c>
      <c r="Y123" s="24">
        <v>73023</v>
      </c>
      <c r="Z123" s="8">
        <v>6.18</v>
      </c>
      <c r="AA123" s="8" t="s">
        <v>986</v>
      </c>
      <c r="AB123" s="8">
        <v>9</v>
      </c>
      <c r="AC123" s="109">
        <v>5836</v>
      </c>
      <c r="AD123" s="8"/>
      <c r="AE123" s="319" t="s">
        <v>988</v>
      </c>
      <c r="AF123" s="198">
        <f t="shared" si="14"/>
        <v>6.0900000000000003E-2</v>
      </c>
      <c r="AG123" s="109"/>
      <c r="AH123" s="109"/>
      <c r="AI123" s="110"/>
      <c r="AJ123" s="113"/>
      <c r="AK123" s="299"/>
      <c r="AL123" s="299"/>
      <c r="AM123" s="300"/>
      <c r="AN123" s="20"/>
      <c r="AO123" s="8"/>
      <c r="AP123" s="8"/>
      <c r="AQ123" s="21"/>
    </row>
    <row r="124" spans="1:43" x14ac:dyDescent="0.25">
      <c r="A124" s="24">
        <v>121</v>
      </c>
      <c r="B124" s="24" t="s">
        <v>28</v>
      </c>
      <c r="C124" s="8" t="s">
        <v>980</v>
      </c>
      <c r="D124" s="8" t="s">
        <v>981</v>
      </c>
      <c r="E124" s="8"/>
      <c r="F124" s="24" t="s">
        <v>986</v>
      </c>
      <c r="G124" s="8"/>
      <c r="H124" s="8" t="s">
        <v>31</v>
      </c>
      <c r="I124" s="24" t="s">
        <v>988</v>
      </c>
      <c r="J124" s="8"/>
      <c r="K124" s="24">
        <v>0.20300000000000001</v>
      </c>
      <c r="L124" s="24">
        <v>0.20300000000000001</v>
      </c>
      <c r="M124" s="24">
        <v>1</v>
      </c>
      <c r="N124" s="24" t="s">
        <v>33</v>
      </c>
      <c r="O124" s="24">
        <f t="shared" si="10"/>
        <v>3.4713000000000003</v>
      </c>
      <c r="P124" s="24">
        <f t="shared" si="11"/>
        <v>4.0498500000000002</v>
      </c>
      <c r="Q124" s="24">
        <f t="shared" si="12"/>
        <v>2.3142000000000005</v>
      </c>
      <c r="R124" s="24">
        <f t="shared" si="13"/>
        <v>1.7356500000000001</v>
      </c>
      <c r="S124" s="37">
        <v>11.571000000000002</v>
      </c>
      <c r="T124" s="8">
        <v>105991.94</v>
      </c>
      <c r="U124" s="8">
        <v>21516.363820000002</v>
      </c>
      <c r="V124" s="8"/>
      <c r="W124" s="8"/>
      <c r="X124" s="24" t="s">
        <v>987</v>
      </c>
      <c r="Y124" s="24">
        <v>73023</v>
      </c>
      <c r="Z124" s="8">
        <v>6.18</v>
      </c>
      <c r="AA124" s="8" t="s">
        <v>986</v>
      </c>
      <c r="AB124" s="8">
        <v>10</v>
      </c>
      <c r="AC124" s="109">
        <v>5836</v>
      </c>
      <c r="AD124" s="8"/>
      <c r="AE124" s="319" t="s">
        <v>988</v>
      </c>
      <c r="AF124" s="198">
        <f t="shared" si="14"/>
        <v>6.0900000000000003E-2</v>
      </c>
      <c r="AG124" s="109"/>
      <c r="AH124" s="109"/>
      <c r="AI124" s="110"/>
      <c r="AJ124" s="113"/>
      <c r="AK124" s="299"/>
      <c r="AL124" s="299"/>
      <c r="AM124" s="300"/>
      <c r="AN124" s="20"/>
      <c r="AO124" s="8"/>
      <c r="AP124" s="8"/>
      <c r="AQ124" s="21"/>
    </row>
    <row r="125" spans="1:43" x14ac:dyDescent="0.25">
      <c r="A125" s="24">
        <v>122</v>
      </c>
      <c r="B125" s="24" t="s">
        <v>28</v>
      </c>
      <c r="C125" s="8" t="s">
        <v>980</v>
      </c>
      <c r="D125" s="8" t="s">
        <v>981</v>
      </c>
      <c r="E125" s="8"/>
      <c r="F125" s="24" t="s">
        <v>986</v>
      </c>
      <c r="G125" s="8"/>
      <c r="H125" s="8" t="s">
        <v>31</v>
      </c>
      <c r="I125" s="24" t="s">
        <v>988</v>
      </c>
      <c r="J125" s="8"/>
      <c r="K125" s="24">
        <v>0.20300000000000001</v>
      </c>
      <c r="L125" s="24">
        <v>0.20300000000000001</v>
      </c>
      <c r="M125" s="24">
        <v>1</v>
      </c>
      <c r="N125" s="24" t="s">
        <v>33</v>
      </c>
      <c r="O125" s="24">
        <f t="shared" si="10"/>
        <v>3.4713000000000003</v>
      </c>
      <c r="P125" s="24">
        <f t="shared" si="11"/>
        <v>4.0498500000000002</v>
      </c>
      <c r="Q125" s="24">
        <f t="shared" si="12"/>
        <v>2.3142000000000005</v>
      </c>
      <c r="R125" s="24">
        <f t="shared" si="13"/>
        <v>1.7356500000000001</v>
      </c>
      <c r="S125" s="37">
        <v>11.571000000000002</v>
      </c>
      <c r="T125" s="8">
        <v>105991.94</v>
      </c>
      <c r="U125" s="8">
        <v>21516.363820000002</v>
      </c>
      <c r="V125" s="8"/>
      <c r="W125" s="8"/>
      <c r="X125" s="24" t="s">
        <v>987</v>
      </c>
      <c r="Y125" s="24">
        <v>73023</v>
      </c>
      <c r="Z125" s="8">
        <v>6.18</v>
      </c>
      <c r="AA125" s="8" t="s">
        <v>986</v>
      </c>
      <c r="AB125" s="8">
        <v>11</v>
      </c>
      <c r="AC125" s="109">
        <v>5836</v>
      </c>
      <c r="AD125" s="8"/>
      <c r="AE125" s="319" t="s">
        <v>988</v>
      </c>
      <c r="AF125" s="198">
        <f t="shared" si="14"/>
        <v>6.0900000000000003E-2</v>
      </c>
      <c r="AG125" s="109"/>
      <c r="AH125" s="109"/>
      <c r="AI125" s="110"/>
      <c r="AJ125" s="113"/>
      <c r="AK125" s="299"/>
      <c r="AL125" s="299"/>
      <c r="AM125" s="300"/>
      <c r="AN125" s="20"/>
      <c r="AO125" s="8"/>
      <c r="AP125" s="8"/>
      <c r="AQ125" s="21"/>
    </row>
    <row r="126" spans="1:43" x14ac:dyDescent="0.25">
      <c r="A126" s="24">
        <v>123</v>
      </c>
      <c r="B126" s="24" t="s">
        <v>28</v>
      </c>
      <c r="C126" s="8" t="s">
        <v>980</v>
      </c>
      <c r="D126" s="8" t="s">
        <v>981</v>
      </c>
      <c r="E126" s="8"/>
      <c r="F126" s="24" t="s">
        <v>989</v>
      </c>
      <c r="G126" s="8"/>
      <c r="H126" s="8" t="s">
        <v>31</v>
      </c>
      <c r="I126" s="24" t="s">
        <v>988</v>
      </c>
      <c r="J126" s="8"/>
      <c r="K126" s="24">
        <v>0.20300000000000001</v>
      </c>
      <c r="L126" s="24">
        <v>0.20300000000000001</v>
      </c>
      <c r="M126" s="24">
        <v>1</v>
      </c>
      <c r="N126" s="24" t="s">
        <v>33</v>
      </c>
      <c r="O126" s="24">
        <f t="shared" si="10"/>
        <v>3.4713000000000003</v>
      </c>
      <c r="P126" s="24">
        <f t="shared" si="11"/>
        <v>4.0498500000000002</v>
      </c>
      <c r="Q126" s="24">
        <f t="shared" si="12"/>
        <v>2.3142000000000005</v>
      </c>
      <c r="R126" s="24">
        <f t="shared" si="13"/>
        <v>1.7356500000000001</v>
      </c>
      <c r="S126" s="37">
        <v>11.571000000000002</v>
      </c>
      <c r="T126" s="8">
        <v>105991.94</v>
      </c>
      <c r="U126" s="8">
        <v>21516.363820000002</v>
      </c>
      <c r="V126" s="8"/>
      <c r="W126" s="8"/>
      <c r="X126" s="24" t="s">
        <v>867</v>
      </c>
      <c r="Y126" s="24">
        <v>73026</v>
      </c>
      <c r="Z126" s="8">
        <v>6.18</v>
      </c>
      <c r="AA126" s="8" t="s">
        <v>989</v>
      </c>
      <c r="AB126" s="8">
        <v>1</v>
      </c>
      <c r="AC126" s="109">
        <v>5837</v>
      </c>
      <c r="AD126" s="8"/>
      <c r="AE126" s="319" t="s">
        <v>988</v>
      </c>
      <c r="AF126" s="198">
        <f t="shared" si="14"/>
        <v>6.0900000000000003E-2</v>
      </c>
      <c r="AG126" s="109"/>
      <c r="AH126" s="109"/>
      <c r="AI126" s="110"/>
      <c r="AJ126" s="113"/>
      <c r="AK126" s="299"/>
      <c r="AL126" s="299"/>
      <c r="AM126" s="300"/>
      <c r="AN126" s="20"/>
      <c r="AO126" s="8"/>
      <c r="AP126" s="8"/>
      <c r="AQ126" s="21"/>
    </row>
    <row r="127" spans="1:43" x14ac:dyDescent="0.25">
      <c r="A127" s="24">
        <v>124</v>
      </c>
      <c r="B127" s="24" t="s">
        <v>28</v>
      </c>
      <c r="C127" s="8" t="s">
        <v>980</v>
      </c>
      <c r="D127" s="8" t="s">
        <v>981</v>
      </c>
      <c r="E127" s="8"/>
      <c r="F127" s="24" t="s">
        <v>989</v>
      </c>
      <c r="G127" s="8"/>
      <c r="H127" s="8" t="s">
        <v>31</v>
      </c>
      <c r="I127" s="24" t="s">
        <v>988</v>
      </c>
      <c r="J127" s="8"/>
      <c r="K127" s="24">
        <v>0.20300000000000001</v>
      </c>
      <c r="L127" s="24">
        <v>0.20300000000000001</v>
      </c>
      <c r="M127" s="24">
        <v>1</v>
      </c>
      <c r="N127" s="24" t="s">
        <v>33</v>
      </c>
      <c r="O127" s="24">
        <f t="shared" si="10"/>
        <v>3.4713000000000003</v>
      </c>
      <c r="P127" s="24">
        <f t="shared" si="11"/>
        <v>4.0498500000000002</v>
      </c>
      <c r="Q127" s="24">
        <f t="shared" si="12"/>
        <v>2.3142000000000005</v>
      </c>
      <c r="R127" s="24">
        <f t="shared" si="13"/>
        <v>1.7356500000000001</v>
      </c>
      <c r="S127" s="37">
        <v>11.571000000000002</v>
      </c>
      <c r="T127" s="8">
        <v>105991.94</v>
      </c>
      <c r="U127" s="8">
        <v>21516.363820000002</v>
      </c>
      <c r="V127" s="8"/>
      <c r="W127" s="8"/>
      <c r="X127" s="24" t="s">
        <v>867</v>
      </c>
      <c r="Y127" s="24">
        <v>73026</v>
      </c>
      <c r="Z127" s="8">
        <v>6.18</v>
      </c>
      <c r="AA127" s="8" t="s">
        <v>989</v>
      </c>
      <c r="AB127" s="8">
        <v>2</v>
      </c>
      <c r="AC127" s="109">
        <v>5837</v>
      </c>
      <c r="AD127" s="8"/>
      <c r="AE127" s="319" t="s">
        <v>988</v>
      </c>
      <c r="AF127" s="198">
        <f t="shared" si="14"/>
        <v>6.0900000000000003E-2</v>
      </c>
      <c r="AG127" s="109"/>
      <c r="AH127" s="109"/>
      <c r="AI127" s="110"/>
      <c r="AJ127" s="113"/>
      <c r="AK127" s="299"/>
      <c r="AL127" s="299"/>
      <c r="AM127" s="300"/>
      <c r="AN127" s="20"/>
      <c r="AO127" s="8"/>
      <c r="AP127" s="8"/>
      <c r="AQ127" s="21"/>
    </row>
    <row r="128" spans="1:43" x14ac:dyDescent="0.25">
      <c r="A128" s="24">
        <v>125</v>
      </c>
      <c r="B128" s="24" t="s">
        <v>28</v>
      </c>
      <c r="C128" s="8" t="s">
        <v>980</v>
      </c>
      <c r="D128" s="8" t="s">
        <v>981</v>
      </c>
      <c r="E128" s="8"/>
      <c r="F128" s="24" t="s">
        <v>989</v>
      </c>
      <c r="G128" s="8"/>
      <c r="H128" s="8" t="s">
        <v>31</v>
      </c>
      <c r="I128" s="24" t="s">
        <v>988</v>
      </c>
      <c r="J128" s="8"/>
      <c r="K128" s="24">
        <v>0.20300000000000001</v>
      </c>
      <c r="L128" s="24">
        <v>0.20300000000000001</v>
      </c>
      <c r="M128" s="24">
        <v>1</v>
      </c>
      <c r="N128" s="24" t="s">
        <v>33</v>
      </c>
      <c r="O128" s="24">
        <f t="shared" si="10"/>
        <v>3.4713000000000003</v>
      </c>
      <c r="P128" s="24">
        <f t="shared" si="11"/>
        <v>4.0498500000000002</v>
      </c>
      <c r="Q128" s="24">
        <f t="shared" si="12"/>
        <v>2.3142000000000005</v>
      </c>
      <c r="R128" s="24">
        <f t="shared" si="13"/>
        <v>1.7356500000000001</v>
      </c>
      <c r="S128" s="37">
        <v>11.571000000000002</v>
      </c>
      <c r="T128" s="8">
        <v>105991.94</v>
      </c>
      <c r="U128" s="8">
        <v>21516.363820000002</v>
      </c>
      <c r="V128" s="8"/>
      <c r="W128" s="8"/>
      <c r="X128" s="24" t="s">
        <v>867</v>
      </c>
      <c r="Y128" s="24">
        <v>73026</v>
      </c>
      <c r="Z128" s="8">
        <v>6.18</v>
      </c>
      <c r="AA128" s="8" t="s">
        <v>989</v>
      </c>
      <c r="AB128" s="8">
        <v>3</v>
      </c>
      <c r="AC128" s="109">
        <v>5837</v>
      </c>
      <c r="AD128" s="8"/>
      <c r="AE128" s="319" t="s">
        <v>988</v>
      </c>
      <c r="AF128" s="198">
        <f t="shared" si="14"/>
        <v>6.0900000000000003E-2</v>
      </c>
      <c r="AG128" s="109"/>
      <c r="AH128" s="109"/>
      <c r="AI128" s="110"/>
      <c r="AJ128" s="113"/>
      <c r="AK128" s="299"/>
      <c r="AL128" s="299"/>
      <c r="AM128" s="300"/>
      <c r="AN128" s="20"/>
      <c r="AO128" s="8"/>
      <c r="AP128" s="8"/>
      <c r="AQ128" s="21"/>
    </row>
    <row r="129" spans="1:43" x14ac:dyDescent="0.25">
      <c r="A129" s="24">
        <v>126</v>
      </c>
      <c r="B129" s="24" t="s">
        <v>28</v>
      </c>
      <c r="C129" s="8" t="s">
        <v>980</v>
      </c>
      <c r="D129" s="8" t="s">
        <v>981</v>
      </c>
      <c r="E129" s="8"/>
      <c r="F129" s="24" t="s">
        <v>989</v>
      </c>
      <c r="G129" s="8"/>
      <c r="H129" s="8" t="s">
        <v>31</v>
      </c>
      <c r="I129" s="24" t="s">
        <v>988</v>
      </c>
      <c r="J129" s="8"/>
      <c r="K129" s="24">
        <v>0.20300000000000001</v>
      </c>
      <c r="L129" s="24">
        <v>0.20300000000000001</v>
      </c>
      <c r="M129" s="24">
        <v>1</v>
      </c>
      <c r="N129" s="24" t="s">
        <v>33</v>
      </c>
      <c r="O129" s="24">
        <f t="shared" si="10"/>
        <v>3.4713000000000003</v>
      </c>
      <c r="P129" s="24">
        <f t="shared" si="11"/>
        <v>4.0498500000000002</v>
      </c>
      <c r="Q129" s="24">
        <f t="shared" si="12"/>
        <v>2.3142000000000005</v>
      </c>
      <c r="R129" s="24">
        <f t="shared" si="13"/>
        <v>1.7356500000000001</v>
      </c>
      <c r="S129" s="37">
        <v>11.571000000000002</v>
      </c>
      <c r="T129" s="8">
        <v>105991.94</v>
      </c>
      <c r="U129" s="8">
        <v>21516.363820000002</v>
      </c>
      <c r="V129" s="8"/>
      <c r="W129" s="8"/>
      <c r="X129" s="24" t="s">
        <v>867</v>
      </c>
      <c r="Y129" s="24">
        <v>73026</v>
      </c>
      <c r="Z129" s="8">
        <v>6.18</v>
      </c>
      <c r="AA129" s="8" t="s">
        <v>989</v>
      </c>
      <c r="AB129" s="8">
        <v>4</v>
      </c>
      <c r="AC129" s="109">
        <v>5837</v>
      </c>
      <c r="AD129" s="8"/>
      <c r="AE129" s="319" t="s">
        <v>988</v>
      </c>
      <c r="AF129" s="198">
        <f t="shared" si="14"/>
        <v>6.0900000000000003E-2</v>
      </c>
      <c r="AG129" s="109"/>
      <c r="AH129" s="109"/>
      <c r="AI129" s="110"/>
      <c r="AJ129" s="113"/>
      <c r="AK129" s="299"/>
      <c r="AL129" s="299"/>
      <c r="AM129" s="300"/>
      <c r="AN129" s="20"/>
      <c r="AO129" s="8"/>
      <c r="AP129" s="8"/>
      <c r="AQ129" s="21"/>
    </row>
    <row r="130" spans="1:43" x14ac:dyDescent="0.25">
      <c r="A130" s="24">
        <v>127</v>
      </c>
      <c r="B130" s="24" t="s">
        <v>28</v>
      </c>
      <c r="C130" s="8" t="s">
        <v>980</v>
      </c>
      <c r="D130" s="8" t="s">
        <v>981</v>
      </c>
      <c r="E130" s="8"/>
      <c r="F130" s="24" t="s">
        <v>989</v>
      </c>
      <c r="G130" s="8"/>
      <c r="H130" s="8" t="s">
        <v>31</v>
      </c>
      <c r="I130" s="24" t="s">
        <v>988</v>
      </c>
      <c r="J130" s="8"/>
      <c r="K130" s="24">
        <v>0.20300000000000001</v>
      </c>
      <c r="L130" s="24">
        <v>0.20300000000000001</v>
      </c>
      <c r="M130" s="24">
        <v>1</v>
      </c>
      <c r="N130" s="24" t="s">
        <v>33</v>
      </c>
      <c r="O130" s="24">
        <f t="shared" si="10"/>
        <v>3.4713000000000003</v>
      </c>
      <c r="P130" s="24">
        <f t="shared" si="11"/>
        <v>4.0498500000000002</v>
      </c>
      <c r="Q130" s="24">
        <f t="shared" si="12"/>
        <v>2.3142000000000005</v>
      </c>
      <c r="R130" s="24">
        <f t="shared" si="13"/>
        <v>1.7356500000000001</v>
      </c>
      <c r="S130" s="37">
        <v>11.571000000000002</v>
      </c>
      <c r="T130" s="8">
        <v>105991.94</v>
      </c>
      <c r="U130" s="8">
        <v>21516.363820000002</v>
      </c>
      <c r="V130" s="8"/>
      <c r="W130" s="8"/>
      <c r="X130" s="24" t="s">
        <v>867</v>
      </c>
      <c r="Y130" s="24">
        <v>73026</v>
      </c>
      <c r="Z130" s="8">
        <v>6.18</v>
      </c>
      <c r="AA130" s="8" t="s">
        <v>989</v>
      </c>
      <c r="AB130" s="8">
        <v>5</v>
      </c>
      <c r="AC130" s="109">
        <v>5837</v>
      </c>
      <c r="AD130" s="8"/>
      <c r="AE130" s="319" t="s">
        <v>988</v>
      </c>
      <c r="AF130" s="198">
        <f t="shared" si="14"/>
        <v>6.0900000000000003E-2</v>
      </c>
      <c r="AG130" s="109"/>
      <c r="AH130" s="109"/>
      <c r="AI130" s="110"/>
      <c r="AJ130" s="113"/>
      <c r="AK130" s="299"/>
      <c r="AL130" s="299"/>
      <c r="AM130" s="300"/>
      <c r="AN130" s="20"/>
      <c r="AO130" s="8"/>
      <c r="AP130" s="8"/>
      <c r="AQ130" s="21"/>
    </row>
    <row r="131" spans="1:43" x14ac:dyDescent="0.25">
      <c r="A131" s="24">
        <v>128</v>
      </c>
      <c r="B131" s="24" t="s">
        <v>28</v>
      </c>
      <c r="C131" s="8" t="s">
        <v>980</v>
      </c>
      <c r="D131" s="8" t="s">
        <v>981</v>
      </c>
      <c r="E131" s="8"/>
      <c r="F131" s="24" t="s">
        <v>989</v>
      </c>
      <c r="G131" s="8"/>
      <c r="H131" s="8" t="s">
        <v>31</v>
      </c>
      <c r="I131" s="24" t="s">
        <v>988</v>
      </c>
      <c r="J131" s="8"/>
      <c r="K131" s="24">
        <v>0.20300000000000001</v>
      </c>
      <c r="L131" s="24">
        <v>0.20300000000000001</v>
      </c>
      <c r="M131" s="24">
        <v>1</v>
      </c>
      <c r="N131" s="24" t="s">
        <v>33</v>
      </c>
      <c r="O131" s="24">
        <f t="shared" si="10"/>
        <v>3.4713000000000003</v>
      </c>
      <c r="P131" s="24">
        <f t="shared" si="11"/>
        <v>4.0498500000000002</v>
      </c>
      <c r="Q131" s="24">
        <f t="shared" si="12"/>
        <v>2.3142000000000005</v>
      </c>
      <c r="R131" s="24">
        <f t="shared" si="13"/>
        <v>1.7356500000000001</v>
      </c>
      <c r="S131" s="37">
        <v>11.571000000000002</v>
      </c>
      <c r="T131" s="8">
        <v>105991.94</v>
      </c>
      <c r="U131" s="8">
        <v>21516.363820000002</v>
      </c>
      <c r="V131" s="8"/>
      <c r="W131" s="8"/>
      <c r="X131" s="24" t="s">
        <v>867</v>
      </c>
      <c r="Y131" s="24">
        <v>73026</v>
      </c>
      <c r="Z131" s="8">
        <v>6.18</v>
      </c>
      <c r="AA131" s="8" t="s">
        <v>989</v>
      </c>
      <c r="AB131" s="8">
        <v>6</v>
      </c>
      <c r="AC131" s="109">
        <v>5837</v>
      </c>
      <c r="AD131" s="8"/>
      <c r="AE131" s="319" t="s">
        <v>988</v>
      </c>
      <c r="AF131" s="198">
        <f t="shared" si="14"/>
        <v>6.0900000000000003E-2</v>
      </c>
      <c r="AG131" s="109"/>
      <c r="AH131" s="109"/>
      <c r="AI131" s="110"/>
      <c r="AJ131" s="113"/>
      <c r="AK131" s="299"/>
      <c r="AL131" s="299"/>
      <c r="AM131" s="300"/>
      <c r="AN131" s="20"/>
      <c r="AO131" s="8"/>
      <c r="AP131" s="8"/>
      <c r="AQ131" s="21"/>
    </row>
    <row r="132" spans="1:43" x14ac:dyDescent="0.25">
      <c r="A132" s="24">
        <v>129</v>
      </c>
      <c r="B132" s="24" t="s">
        <v>28</v>
      </c>
      <c r="C132" s="8" t="s">
        <v>980</v>
      </c>
      <c r="D132" s="8" t="s">
        <v>981</v>
      </c>
      <c r="E132" s="8"/>
      <c r="F132" s="24" t="s">
        <v>989</v>
      </c>
      <c r="G132" s="8"/>
      <c r="H132" s="8" t="s">
        <v>31</v>
      </c>
      <c r="I132" s="24" t="s">
        <v>988</v>
      </c>
      <c r="J132" s="8"/>
      <c r="K132" s="24">
        <v>0.20300000000000001</v>
      </c>
      <c r="L132" s="24">
        <v>0.20300000000000001</v>
      </c>
      <c r="M132" s="24">
        <v>1</v>
      </c>
      <c r="N132" s="24" t="s">
        <v>33</v>
      </c>
      <c r="O132" s="24">
        <f t="shared" si="10"/>
        <v>3.4713000000000003</v>
      </c>
      <c r="P132" s="24">
        <f t="shared" si="11"/>
        <v>4.0498500000000002</v>
      </c>
      <c r="Q132" s="24">
        <f t="shared" si="12"/>
        <v>2.3142000000000005</v>
      </c>
      <c r="R132" s="24">
        <f t="shared" si="13"/>
        <v>1.7356500000000001</v>
      </c>
      <c r="S132" s="37">
        <v>11.571000000000002</v>
      </c>
      <c r="T132" s="8">
        <v>105991.94</v>
      </c>
      <c r="U132" s="8">
        <v>21516.363820000002</v>
      </c>
      <c r="V132" s="8"/>
      <c r="W132" s="8"/>
      <c r="X132" s="24" t="s">
        <v>867</v>
      </c>
      <c r="Y132" s="24">
        <v>73026</v>
      </c>
      <c r="Z132" s="8">
        <v>6.18</v>
      </c>
      <c r="AA132" s="8" t="s">
        <v>989</v>
      </c>
      <c r="AB132" s="8">
        <v>7</v>
      </c>
      <c r="AC132" s="109">
        <v>5837</v>
      </c>
      <c r="AD132" s="8"/>
      <c r="AE132" s="319" t="s">
        <v>988</v>
      </c>
      <c r="AF132" s="198">
        <f t="shared" si="14"/>
        <v>6.0900000000000003E-2</v>
      </c>
      <c r="AG132" s="109"/>
      <c r="AH132" s="109"/>
      <c r="AI132" s="110"/>
      <c r="AJ132" s="113"/>
      <c r="AK132" s="299"/>
      <c r="AL132" s="299"/>
      <c r="AM132" s="300"/>
      <c r="AN132" s="20"/>
      <c r="AO132" s="8"/>
      <c r="AP132" s="8"/>
      <c r="AQ132" s="21"/>
    </row>
    <row r="133" spans="1:43" x14ac:dyDescent="0.25">
      <c r="A133" s="24">
        <v>130</v>
      </c>
      <c r="B133" s="24" t="s">
        <v>28</v>
      </c>
      <c r="C133" s="8" t="s">
        <v>980</v>
      </c>
      <c r="D133" s="8" t="s">
        <v>981</v>
      </c>
      <c r="E133" s="8"/>
      <c r="F133" s="24" t="s">
        <v>989</v>
      </c>
      <c r="G133" s="8"/>
      <c r="H133" s="8" t="s">
        <v>31</v>
      </c>
      <c r="I133" s="24" t="s">
        <v>988</v>
      </c>
      <c r="J133" s="8"/>
      <c r="K133" s="24">
        <v>0.20300000000000001</v>
      </c>
      <c r="L133" s="24">
        <v>0.20300000000000001</v>
      </c>
      <c r="M133" s="24">
        <v>1</v>
      </c>
      <c r="N133" s="24" t="s">
        <v>33</v>
      </c>
      <c r="O133" s="24">
        <f t="shared" si="10"/>
        <v>3.4713000000000003</v>
      </c>
      <c r="P133" s="24">
        <f t="shared" si="11"/>
        <v>4.0498500000000002</v>
      </c>
      <c r="Q133" s="24">
        <f t="shared" si="12"/>
        <v>2.3142000000000005</v>
      </c>
      <c r="R133" s="24">
        <f t="shared" si="13"/>
        <v>1.7356500000000001</v>
      </c>
      <c r="S133" s="37">
        <v>11.571000000000002</v>
      </c>
      <c r="T133" s="8">
        <v>105991.94</v>
      </c>
      <c r="U133" s="8">
        <v>21516.363820000002</v>
      </c>
      <c r="V133" s="8"/>
      <c r="W133" s="8"/>
      <c r="X133" s="24" t="s">
        <v>867</v>
      </c>
      <c r="Y133" s="24">
        <v>73026</v>
      </c>
      <c r="Z133" s="8">
        <v>6.18</v>
      </c>
      <c r="AA133" s="8" t="s">
        <v>989</v>
      </c>
      <c r="AB133" s="8">
        <v>8</v>
      </c>
      <c r="AC133" s="109">
        <v>5837</v>
      </c>
      <c r="AD133" s="8"/>
      <c r="AE133" s="319" t="s">
        <v>988</v>
      </c>
      <c r="AF133" s="198">
        <f t="shared" si="14"/>
        <v>6.0900000000000003E-2</v>
      </c>
      <c r="AG133" s="109"/>
      <c r="AH133" s="109"/>
      <c r="AI133" s="110"/>
      <c r="AJ133" s="113"/>
      <c r="AK133" s="299"/>
      <c r="AL133" s="299"/>
      <c r="AM133" s="300"/>
      <c r="AN133" s="20"/>
      <c r="AO133" s="8"/>
      <c r="AP133" s="8"/>
      <c r="AQ133" s="21"/>
    </row>
    <row r="134" spans="1:43" x14ac:dyDescent="0.25">
      <c r="A134" s="24">
        <v>131</v>
      </c>
      <c r="B134" s="24" t="s">
        <v>28</v>
      </c>
      <c r="C134" s="8" t="s">
        <v>980</v>
      </c>
      <c r="D134" s="8" t="s">
        <v>981</v>
      </c>
      <c r="E134" s="8"/>
      <c r="F134" s="24" t="s">
        <v>989</v>
      </c>
      <c r="G134" s="8"/>
      <c r="H134" s="8" t="s">
        <v>31</v>
      </c>
      <c r="I134" s="24" t="s">
        <v>988</v>
      </c>
      <c r="J134" s="8"/>
      <c r="K134" s="24">
        <v>0.20300000000000001</v>
      </c>
      <c r="L134" s="24">
        <v>0.20300000000000001</v>
      </c>
      <c r="M134" s="24">
        <v>1</v>
      </c>
      <c r="N134" s="24" t="s">
        <v>33</v>
      </c>
      <c r="O134" s="24">
        <f t="shared" ref="O134:O197" si="16">S134*0.3</f>
        <v>3.4713000000000003</v>
      </c>
      <c r="P134" s="24">
        <f t="shared" ref="P134:P197" si="17">S134*0.35</f>
        <v>4.0498500000000002</v>
      </c>
      <c r="Q134" s="24">
        <f t="shared" ref="Q134:Q197" si="18">S134*0.2</f>
        <v>2.3142000000000005</v>
      </c>
      <c r="R134" s="24">
        <f t="shared" ref="R134:R197" si="19">S134*0.15</f>
        <v>1.7356500000000001</v>
      </c>
      <c r="S134" s="37">
        <v>11.571000000000002</v>
      </c>
      <c r="T134" s="8">
        <v>105991.94</v>
      </c>
      <c r="U134" s="8">
        <v>21516.363820000002</v>
      </c>
      <c r="V134" s="8"/>
      <c r="W134" s="8"/>
      <c r="X134" s="24" t="s">
        <v>867</v>
      </c>
      <c r="Y134" s="24">
        <v>73026</v>
      </c>
      <c r="Z134" s="8">
        <v>6.18</v>
      </c>
      <c r="AA134" s="8" t="s">
        <v>989</v>
      </c>
      <c r="AB134" s="8">
        <v>9</v>
      </c>
      <c r="AC134" s="109">
        <v>5837</v>
      </c>
      <c r="AD134" s="8"/>
      <c r="AE134" s="319" t="s">
        <v>988</v>
      </c>
      <c r="AF134" s="198">
        <f t="shared" si="14"/>
        <v>6.0900000000000003E-2</v>
      </c>
      <c r="AG134" s="109"/>
      <c r="AH134" s="109"/>
      <c r="AI134" s="110"/>
      <c r="AJ134" s="113"/>
      <c r="AK134" s="299"/>
      <c r="AL134" s="299"/>
      <c r="AM134" s="300"/>
      <c r="AN134" s="20"/>
      <c r="AO134" s="8"/>
      <c r="AP134" s="8"/>
      <c r="AQ134" s="21"/>
    </row>
    <row r="135" spans="1:43" x14ac:dyDescent="0.25">
      <c r="A135" s="24">
        <v>132</v>
      </c>
      <c r="B135" s="24" t="s">
        <v>28</v>
      </c>
      <c r="C135" s="8" t="s">
        <v>980</v>
      </c>
      <c r="D135" s="8" t="s">
        <v>981</v>
      </c>
      <c r="E135" s="8"/>
      <c r="F135" s="24" t="s">
        <v>989</v>
      </c>
      <c r="G135" s="8"/>
      <c r="H135" s="8" t="s">
        <v>31</v>
      </c>
      <c r="I135" s="24" t="s">
        <v>988</v>
      </c>
      <c r="J135" s="8"/>
      <c r="K135" s="24">
        <v>0.20300000000000001</v>
      </c>
      <c r="L135" s="24">
        <v>0.20300000000000001</v>
      </c>
      <c r="M135" s="24">
        <v>1</v>
      </c>
      <c r="N135" s="24" t="s">
        <v>33</v>
      </c>
      <c r="O135" s="24">
        <f t="shared" si="16"/>
        <v>3.4713000000000003</v>
      </c>
      <c r="P135" s="24">
        <f t="shared" si="17"/>
        <v>4.0498500000000002</v>
      </c>
      <c r="Q135" s="24">
        <f t="shared" si="18"/>
        <v>2.3142000000000005</v>
      </c>
      <c r="R135" s="24">
        <f t="shared" si="19"/>
        <v>1.7356500000000001</v>
      </c>
      <c r="S135" s="37">
        <v>11.571000000000002</v>
      </c>
      <c r="T135" s="8">
        <v>105991.94</v>
      </c>
      <c r="U135" s="8">
        <v>21516.363820000002</v>
      </c>
      <c r="V135" s="8"/>
      <c r="W135" s="8"/>
      <c r="X135" s="24" t="s">
        <v>867</v>
      </c>
      <c r="Y135" s="24">
        <v>73026</v>
      </c>
      <c r="Z135" s="8">
        <v>6.18</v>
      </c>
      <c r="AA135" s="8" t="s">
        <v>989</v>
      </c>
      <c r="AB135" s="8">
        <v>10</v>
      </c>
      <c r="AC135" s="109">
        <v>5837</v>
      </c>
      <c r="AD135" s="8"/>
      <c r="AE135" s="319" t="s">
        <v>988</v>
      </c>
      <c r="AF135" s="198">
        <f t="shared" si="14"/>
        <v>6.0900000000000003E-2</v>
      </c>
      <c r="AG135" s="109"/>
      <c r="AH135" s="109"/>
      <c r="AI135" s="110"/>
      <c r="AJ135" s="113"/>
      <c r="AK135" s="299"/>
      <c r="AL135" s="299"/>
      <c r="AM135" s="300"/>
      <c r="AN135" s="20"/>
      <c r="AO135" s="8"/>
      <c r="AP135" s="8"/>
      <c r="AQ135" s="21"/>
    </row>
    <row r="136" spans="1:43" x14ac:dyDescent="0.25">
      <c r="A136" s="24">
        <v>133</v>
      </c>
      <c r="B136" s="24" t="s">
        <v>28</v>
      </c>
      <c r="C136" s="8" t="s">
        <v>980</v>
      </c>
      <c r="D136" s="8" t="s">
        <v>981</v>
      </c>
      <c r="E136" s="8"/>
      <c r="F136" s="24" t="s">
        <v>989</v>
      </c>
      <c r="G136" s="8"/>
      <c r="H136" s="8" t="s">
        <v>31</v>
      </c>
      <c r="I136" s="24" t="s">
        <v>988</v>
      </c>
      <c r="J136" s="8"/>
      <c r="K136" s="24">
        <v>0.20300000000000001</v>
      </c>
      <c r="L136" s="24">
        <v>0.20300000000000001</v>
      </c>
      <c r="M136" s="24">
        <v>1</v>
      </c>
      <c r="N136" s="24" t="s">
        <v>33</v>
      </c>
      <c r="O136" s="24">
        <f t="shared" si="16"/>
        <v>3.4713000000000003</v>
      </c>
      <c r="P136" s="24">
        <f t="shared" si="17"/>
        <v>4.0498500000000002</v>
      </c>
      <c r="Q136" s="24">
        <f t="shared" si="18"/>
        <v>2.3142000000000005</v>
      </c>
      <c r="R136" s="24">
        <f t="shared" si="19"/>
        <v>1.7356500000000001</v>
      </c>
      <c r="S136" s="37">
        <v>11.571000000000002</v>
      </c>
      <c r="T136" s="8">
        <v>105991.94</v>
      </c>
      <c r="U136" s="8">
        <v>21516.363820000002</v>
      </c>
      <c r="V136" s="8"/>
      <c r="W136" s="8"/>
      <c r="X136" s="24" t="s">
        <v>867</v>
      </c>
      <c r="Y136" s="24">
        <v>73026</v>
      </c>
      <c r="Z136" s="8">
        <v>6.18</v>
      </c>
      <c r="AA136" s="8" t="s">
        <v>989</v>
      </c>
      <c r="AB136" s="8">
        <v>11</v>
      </c>
      <c r="AC136" s="109">
        <v>5837</v>
      </c>
      <c r="AD136" s="8"/>
      <c r="AE136" s="319" t="s">
        <v>988</v>
      </c>
      <c r="AF136" s="198">
        <f t="shared" si="14"/>
        <v>6.0900000000000003E-2</v>
      </c>
      <c r="AG136" s="109"/>
      <c r="AH136" s="109"/>
      <c r="AI136" s="110"/>
      <c r="AJ136" s="113"/>
      <c r="AK136" s="299"/>
      <c r="AL136" s="299"/>
      <c r="AM136" s="300"/>
      <c r="AN136" s="20"/>
      <c r="AO136" s="8"/>
      <c r="AP136" s="8"/>
      <c r="AQ136" s="21"/>
    </row>
    <row r="137" spans="1:43" x14ac:dyDescent="0.25">
      <c r="A137" s="24">
        <v>134</v>
      </c>
      <c r="B137" s="24" t="s">
        <v>28</v>
      </c>
      <c r="C137" s="8" t="s">
        <v>980</v>
      </c>
      <c r="D137" s="8" t="s">
        <v>981</v>
      </c>
      <c r="E137" s="8"/>
      <c r="F137" s="24" t="s">
        <v>989</v>
      </c>
      <c r="G137" s="8"/>
      <c r="H137" s="8" t="s">
        <v>31</v>
      </c>
      <c r="I137" s="24" t="s">
        <v>988</v>
      </c>
      <c r="J137" s="8"/>
      <c r="K137" s="24">
        <v>0.20300000000000001</v>
      </c>
      <c r="L137" s="24">
        <v>0.20300000000000001</v>
      </c>
      <c r="M137" s="24">
        <v>1</v>
      </c>
      <c r="N137" s="24" t="s">
        <v>33</v>
      </c>
      <c r="O137" s="24">
        <f t="shared" si="16"/>
        <v>3.4713000000000003</v>
      </c>
      <c r="P137" s="24">
        <f t="shared" si="17"/>
        <v>4.0498500000000002</v>
      </c>
      <c r="Q137" s="24">
        <f t="shared" si="18"/>
        <v>2.3142000000000005</v>
      </c>
      <c r="R137" s="24">
        <f t="shared" si="19"/>
        <v>1.7356500000000001</v>
      </c>
      <c r="S137" s="37">
        <v>11.571000000000002</v>
      </c>
      <c r="T137" s="8">
        <v>105991.94</v>
      </c>
      <c r="U137" s="8">
        <v>21516.363820000002</v>
      </c>
      <c r="V137" s="8"/>
      <c r="W137" s="8"/>
      <c r="X137" s="24" t="s">
        <v>867</v>
      </c>
      <c r="Y137" s="24">
        <v>73026</v>
      </c>
      <c r="Z137" s="8">
        <v>6.18</v>
      </c>
      <c r="AA137" s="8" t="s">
        <v>989</v>
      </c>
      <c r="AB137" s="8">
        <v>12</v>
      </c>
      <c r="AC137" s="109">
        <v>5837</v>
      </c>
      <c r="AD137" s="8"/>
      <c r="AE137" s="319" t="s">
        <v>988</v>
      </c>
      <c r="AF137" s="198">
        <f t="shared" si="14"/>
        <v>6.0900000000000003E-2</v>
      </c>
      <c r="AG137" s="109"/>
      <c r="AH137" s="109"/>
      <c r="AI137" s="110"/>
      <c r="AJ137" s="113"/>
      <c r="AK137" s="299"/>
      <c r="AL137" s="299"/>
      <c r="AM137" s="300"/>
      <c r="AN137" s="20"/>
      <c r="AO137" s="8"/>
      <c r="AP137" s="8"/>
      <c r="AQ137" s="21"/>
    </row>
    <row r="138" spans="1:43" x14ac:dyDescent="0.25">
      <c r="A138" s="24">
        <v>135</v>
      </c>
      <c r="B138" s="24" t="s">
        <v>28</v>
      </c>
      <c r="C138" s="8" t="s">
        <v>980</v>
      </c>
      <c r="D138" s="8" t="s">
        <v>981</v>
      </c>
      <c r="E138" s="8"/>
      <c r="F138" s="24" t="s">
        <v>989</v>
      </c>
      <c r="G138" s="8"/>
      <c r="H138" s="8" t="s">
        <v>31</v>
      </c>
      <c r="I138" s="24" t="s">
        <v>988</v>
      </c>
      <c r="J138" s="8"/>
      <c r="K138" s="24">
        <v>0.20300000000000001</v>
      </c>
      <c r="L138" s="24">
        <v>0.20300000000000001</v>
      </c>
      <c r="M138" s="24">
        <v>1</v>
      </c>
      <c r="N138" s="24" t="s">
        <v>33</v>
      </c>
      <c r="O138" s="24">
        <f t="shared" si="16"/>
        <v>3.4713000000000003</v>
      </c>
      <c r="P138" s="24">
        <f t="shared" si="17"/>
        <v>4.0498500000000002</v>
      </c>
      <c r="Q138" s="24">
        <f t="shared" si="18"/>
        <v>2.3142000000000005</v>
      </c>
      <c r="R138" s="24">
        <f t="shared" si="19"/>
        <v>1.7356500000000001</v>
      </c>
      <c r="S138" s="37">
        <v>11.571000000000002</v>
      </c>
      <c r="T138" s="8">
        <v>105991.94</v>
      </c>
      <c r="U138" s="8">
        <v>21516.363820000002</v>
      </c>
      <c r="V138" s="8"/>
      <c r="W138" s="8"/>
      <c r="X138" s="24" t="s">
        <v>867</v>
      </c>
      <c r="Y138" s="24">
        <v>73026</v>
      </c>
      <c r="Z138" s="8">
        <v>6.18</v>
      </c>
      <c r="AA138" s="8" t="s">
        <v>989</v>
      </c>
      <c r="AB138" s="8">
        <v>13</v>
      </c>
      <c r="AC138" s="109">
        <v>5837</v>
      </c>
      <c r="AD138" s="8"/>
      <c r="AE138" s="319" t="s">
        <v>988</v>
      </c>
      <c r="AF138" s="198">
        <f t="shared" si="14"/>
        <v>6.0900000000000003E-2</v>
      </c>
      <c r="AG138" s="109"/>
      <c r="AH138" s="109"/>
      <c r="AI138" s="110"/>
      <c r="AJ138" s="113"/>
      <c r="AK138" s="299"/>
      <c r="AL138" s="299"/>
      <c r="AM138" s="300"/>
      <c r="AN138" s="20"/>
      <c r="AO138" s="8"/>
      <c r="AP138" s="8"/>
      <c r="AQ138" s="21"/>
    </row>
    <row r="139" spans="1:43" x14ac:dyDescent="0.25">
      <c r="A139" s="24">
        <v>136</v>
      </c>
      <c r="B139" s="24" t="s">
        <v>28</v>
      </c>
      <c r="C139" s="8" t="s">
        <v>980</v>
      </c>
      <c r="D139" s="8" t="s">
        <v>981</v>
      </c>
      <c r="E139" s="8"/>
      <c r="F139" s="24" t="s">
        <v>989</v>
      </c>
      <c r="G139" s="8"/>
      <c r="H139" s="8" t="s">
        <v>31</v>
      </c>
      <c r="I139" s="24" t="s">
        <v>988</v>
      </c>
      <c r="J139" s="8"/>
      <c r="K139" s="24">
        <v>0.20300000000000001</v>
      </c>
      <c r="L139" s="24">
        <v>0.20300000000000001</v>
      </c>
      <c r="M139" s="24">
        <v>1</v>
      </c>
      <c r="N139" s="24" t="s">
        <v>33</v>
      </c>
      <c r="O139" s="24">
        <f t="shared" si="16"/>
        <v>3.4713000000000003</v>
      </c>
      <c r="P139" s="24">
        <f t="shared" si="17"/>
        <v>4.0498500000000002</v>
      </c>
      <c r="Q139" s="24">
        <f t="shared" si="18"/>
        <v>2.3142000000000005</v>
      </c>
      <c r="R139" s="24">
        <f t="shared" si="19"/>
        <v>1.7356500000000001</v>
      </c>
      <c r="S139" s="37">
        <v>11.571000000000002</v>
      </c>
      <c r="T139" s="8">
        <v>105991.94</v>
      </c>
      <c r="U139" s="8">
        <v>21516.363820000002</v>
      </c>
      <c r="V139" s="8"/>
      <c r="W139" s="8"/>
      <c r="X139" s="24" t="s">
        <v>867</v>
      </c>
      <c r="Y139" s="24">
        <v>73026</v>
      </c>
      <c r="Z139" s="8">
        <v>6.18</v>
      </c>
      <c r="AA139" s="8" t="s">
        <v>989</v>
      </c>
      <c r="AB139" s="8">
        <v>14</v>
      </c>
      <c r="AC139" s="109">
        <v>5837</v>
      </c>
      <c r="AD139" s="8"/>
      <c r="AE139" s="319" t="s">
        <v>988</v>
      </c>
      <c r="AF139" s="198">
        <f t="shared" si="14"/>
        <v>6.0900000000000003E-2</v>
      </c>
      <c r="AG139" s="109"/>
      <c r="AH139" s="109"/>
      <c r="AI139" s="110"/>
      <c r="AJ139" s="113"/>
      <c r="AK139" s="299"/>
      <c r="AL139" s="299"/>
      <c r="AM139" s="300"/>
      <c r="AN139" s="20"/>
      <c r="AO139" s="8"/>
      <c r="AP139" s="8"/>
      <c r="AQ139" s="21"/>
    </row>
    <row r="140" spans="1:43" x14ac:dyDescent="0.25">
      <c r="A140" s="24">
        <v>137</v>
      </c>
      <c r="B140" s="24" t="s">
        <v>28</v>
      </c>
      <c r="C140" s="8" t="s">
        <v>980</v>
      </c>
      <c r="D140" s="8" t="s">
        <v>981</v>
      </c>
      <c r="E140" s="8"/>
      <c r="F140" s="24" t="s">
        <v>989</v>
      </c>
      <c r="G140" s="8"/>
      <c r="H140" s="8" t="s">
        <v>31</v>
      </c>
      <c r="I140" s="24" t="s">
        <v>988</v>
      </c>
      <c r="J140" s="8"/>
      <c r="K140" s="24">
        <v>0.20300000000000001</v>
      </c>
      <c r="L140" s="24">
        <v>0.20300000000000001</v>
      </c>
      <c r="M140" s="24">
        <v>1</v>
      </c>
      <c r="N140" s="24" t="s">
        <v>33</v>
      </c>
      <c r="O140" s="24">
        <f t="shared" si="16"/>
        <v>3.4713000000000003</v>
      </c>
      <c r="P140" s="24">
        <f t="shared" si="17"/>
        <v>4.0498500000000002</v>
      </c>
      <c r="Q140" s="24">
        <f t="shared" si="18"/>
        <v>2.3142000000000005</v>
      </c>
      <c r="R140" s="24">
        <f t="shared" si="19"/>
        <v>1.7356500000000001</v>
      </c>
      <c r="S140" s="37">
        <v>11.571000000000002</v>
      </c>
      <c r="T140" s="8">
        <v>105991.94</v>
      </c>
      <c r="U140" s="8">
        <v>21516.363820000002</v>
      </c>
      <c r="V140" s="8"/>
      <c r="W140" s="8"/>
      <c r="X140" s="24" t="s">
        <v>867</v>
      </c>
      <c r="Y140" s="24">
        <v>73026</v>
      </c>
      <c r="Z140" s="8">
        <v>6.18</v>
      </c>
      <c r="AA140" s="8" t="s">
        <v>989</v>
      </c>
      <c r="AB140" s="8">
        <v>15</v>
      </c>
      <c r="AC140" s="109">
        <v>5837</v>
      </c>
      <c r="AD140" s="8"/>
      <c r="AE140" s="319" t="s">
        <v>988</v>
      </c>
      <c r="AF140" s="198">
        <f t="shared" si="14"/>
        <v>6.0900000000000003E-2</v>
      </c>
      <c r="AG140" s="109"/>
      <c r="AH140" s="109"/>
      <c r="AI140" s="110"/>
      <c r="AJ140" s="113"/>
      <c r="AK140" s="299"/>
      <c r="AL140" s="299"/>
      <c r="AM140" s="300"/>
      <c r="AN140" s="20"/>
      <c r="AO140" s="8"/>
      <c r="AP140" s="8"/>
      <c r="AQ140" s="21"/>
    </row>
    <row r="141" spans="1:43" x14ac:dyDescent="0.25">
      <c r="A141" s="24">
        <v>138</v>
      </c>
      <c r="B141" s="24" t="s">
        <v>28</v>
      </c>
      <c r="C141" s="8" t="s">
        <v>980</v>
      </c>
      <c r="D141" s="8" t="s">
        <v>981</v>
      </c>
      <c r="E141" s="8"/>
      <c r="F141" s="24" t="s">
        <v>989</v>
      </c>
      <c r="G141" s="8"/>
      <c r="H141" s="8" t="s">
        <v>31</v>
      </c>
      <c r="I141" s="24" t="s">
        <v>988</v>
      </c>
      <c r="J141" s="8"/>
      <c r="K141" s="24">
        <v>0.20300000000000001</v>
      </c>
      <c r="L141" s="24">
        <v>0.20300000000000001</v>
      </c>
      <c r="M141" s="24">
        <v>1</v>
      </c>
      <c r="N141" s="24" t="s">
        <v>33</v>
      </c>
      <c r="O141" s="24">
        <f t="shared" si="16"/>
        <v>3.4713000000000003</v>
      </c>
      <c r="P141" s="24">
        <f t="shared" si="17"/>
        <v>4.0498500000000002</v>
      </c>
      <c r="Q141" s="24">
        <f t="shared" si="18"/>
        <v>2.3142000000000005</v>
      </c>
      <c r="R141" s="24">
        <f t="shared" si="19"/>
        <v>1.7356500000000001</v>
      </c>
      <c r="S141" s="37">
        <v>11.571000000000002</v>
      </c>
      <c r="T141" s="8">
        <v>105991.94</v>
      </c>
      <c r="U141" s="8">
        <v>21516.363820000002</v>
      </c>
      <c r="V141" s="8"/>
      <c r="W141" s="8"/>
      <c r="X141" s="24" t="s">
        <v>867</v>
      </c>
      <c r="Y141" s="24">
        <v>73026</v>
      </c>
      <c r="Z141" s="8">
        <v>6.18</v>
      </c>
      <c r="AA141" s="8" t="s">
        <v>989</v>
      </c>
      <c r="AB141" s="8">
        <v>16</v>
      </c>
      <c r="AC141" s="109">
        <v>5837</v>
      </c>
      <c r="AD141" s="8"/>
      <c r="AE141" s="319" t="s">
        <v>988</v>
      </c>
      <c r="AF141" s="198">
        <f t="shared" si="14"/>
        <v>6.0900000000000003E-2</v>
      </c>
      <c r="AG141" s="109"/>
      <c r="AH141" s="109"/>
      <c r="AI141" s="110"/>
      <c r="AJ141" s="113"/>
      <c r="AK141" s="299"/>
      <c r="AL141" s="299"/>
      <c r="AM141" s="300"/>
      <c r="AN141" s="20"/>
      <c r="AO141" s="8"/>
      <c r="AP141" s="8"/>
      <c r="AQ141" s="21"/>
    </row>
    <row r="142" spans="1:43" x14ac:dyDescent="0.25">
      <c r="A142" s="24">
        <v>139</v>
      </c>
      <c r="B142" s="24" t="s">
        <v>28</v>
      </c>
      <c r="C142" s="8" t="s">
        <v>980</v>
      </c>
      <c r="D142" s="8" t="s">
        <v>981</v>
      </c>
      <c r="E142" s="8"/>
      <c r="F142" s="24" t="s">
        <v>989</v>
      </c>
      <c r="G142" s="8"/>
      <c r="H142" s="8" t="s">
        <v>31</v>
      </c>
      <c r="I142" s="24" t="s">
        <v>988</v>
      </c>
      <c r="J142" s="8"/>
      <c r="K142" s="24">
        <v>0.20300000000000001</v>
      </c>
      <c r="L142" s="24">
        <v>0.20300000000000001</v>
      </c>
      <c r="M142" s="24">
        <v>1</v>
      </c>
      <c r="N142" s="24" t="s">
        <v>33</v>
      </c>
      <c r="O142" s="24">
        <f t="shared" si="16"/>
        <v>3.4713000000000003</v>
      </c>
      <c r="P142" s="24">
        <f t="shared" si="17"/>
        <v>4.0498500000000002</v>
      </c>
      <c r="Q142" s="24">
        <f t="shared" si="18"/>
        <v>2.3142000000000005</v>
      </c>
      <c r="R142" s="24">
        <f t="shared" si="19"/>
        <v>1.7356500000000001</v>
      </c>
      <c r="S142" s="37">
        <v>11.571000000000002</v>
      </c>
      <c r="T142" s="8">
        <v>105991.94</v>
      </c>
      <c r="U142" s="8">
        <v>21516.363820000002</v>
      </c>
      <c r="V142" s="8"/>
      <c r="W142" s="8"/>
      <c r="X142" s="24" t="s">
        <v>867</v>
      </c>
      <c r="Y142" s="24">
        <v>73026</v>
      </c>
      <c r="Z142" s="8">
        <v>6.18</v>
      </c>
      <c r="AA142" s="8" t="s">
        <v>989</v>
      </c>
      <c r="AB142" s="8">
        <v>17</v>
      </c>
      <c r="AC142" s="109">
        <v>5837</v>
      </c>
      <c r="AD142" s="8"/>
      <c r="AE142" s="319" t="s">
        <v>988</v>
      </c>
      <c r="AF142" s="198">
        <f t="shared" si="14"/>
        <v>6.0900000000000003E-2</v>
      </c>
      <c r="AG142" s="109"/>
      <c r="AH142" s="109"/>
      <c r="AI142" s="110"/>
      <c r="AJ142" s="113"/>
      <c r="AK142" s="299"/>
      <c r="AL142" s="299"/>
      <c r="AM142" s="300"/>
      <c r="AN142" s="20"/>
      <c r="AO142" s="8"/>
      <c r="AP142" s="8"/>
      <c r="AQ142" s="21"/>
    </row>
    <row r="143" spans="1:43" x14ac:dyDescent="0.25">
      <c r="A143" s="24">
        <v>140</v>
      </c>
      <c r="B143" s="24" t="s">
        <v>28</v>
      </c>
      <c r="C143" s="8" t="s">
        <v>980</v>
      </c>
      <c r="D143" s="8" t="s">
        <v>981</v>
      </c>
      <c r="E143" s="8"/>
      <c r="F143" s="24" t="s">
        <v>989</v>
      </c>
      <c r="G143" s="8"/>
      <c r="H143" s="8" t="s">
        <v>31</v>
      </c>
      <c r="I143" s="24" t="s">
        <v>988</v>
      </c>
      <c r="J143" s="8"/>
      <c r="K143" s="24">
        <v>0.20300000000000001</v>
      </c>
      <c r="L143" s="24">
        <v>0.20300000000000001</v>
      </c>
      <c r="M143" s="24">
        <v>1</v>
      </c>
      <c r="N143" s="24" t="s">
        <v>33</v>
      </c>
      <c r="O143" s="24">
        <f t="shared" si="16"/>
        <v>3.4713000000000003</v>
      </c>
      <c r="P143" s="24">
        <f t="shared" si="17"/>
        <v>4.0498500000000002</v>
      </c>
      <c r="Q143" s="24">
        <f t="shared" si="18"/>
        <v>2.3142000000000005</v>
      </c>
      <c r="R143" s="24">
        <f t="shared" si="19"/>
        <v>1.7356500000000001</v>
      </c>
      <c r="S143" s="37">
        <v>11.571000000000002</v>
      </c>
      <c r="T143" s="8">
        <v>105991.94</v>
      </c>
      <c r="U143" s="8">
        <v>21516.363820000002</v>
      </c>
      <c r="V143" s="8"/>
      <c r="W143" s="8"/>
      <c r="X143" s="24" t="s">
        <v>867</v>
      </c>
      <c r="Y143" s="24">
        <v>73026</v>
      </c>
      <c r="Z143" s="8">
        <v>6.18</v>
      </c>
      <c r="AA143" s="8" t="s">
        <v>989</v>
      </c>
      <c r="AB143" s="8">
        <v>18</v>
      </c>
      <c r="AC143" s="109">
        <v>5837</v>
      </c>
      <c r="AD143" s="8"/>
      <c r="AE143" s="319" t="s">
        <v>988</v>
      </c>
      <c r="AF143" s="198">
        <f t="shared" si="14"/>
        <v>6.0900000000000003E-2</v>
      </c>
      <c r="AG143" s="109"/>
      <c r="AH143" s="109"/>
      <c r="AI143" s="110"/>
      <c r="AJ143" s="113"/>
      <c r="AK143" s="299"/>
      <c r="AL143" s="299"/>
      <c r="AM143" s="300"/>
      <c r="AN143" s="20"/>
      <c r="AO143" s="8"/>
      <c r="AP143" s="8"/>
      <c r="AQ143" s="21"/>
    </row>
    <row r="144" spans="1:43" x14ac:dyDescent="0.25">
      <c r="A144" s="24">
        <v>141</v>
      </c>
      <c r="B144" s="24" t="s">
        <v>28</v>
      </c>
      <c r="C144" s="8" t="s">
        <v>980</v>
      </c>
      <c r="D144" s="8" t="s">
        <v>981</v>
      </c>
      <c r="E144" s="8"/>
      <c r="F144" s="24" t="s">
        <v>990</v>
      </c>
      <c r="G144" s="8"/>
      <c r="H144" s="8" t="s">
        <v>31</v>
      </c>
      <c r="I144" s="24" t="s">
        <v>984</v>
      </c>
      <c r="J144" s="8"/>
      <c r="K144" s="24">
        <v>0.126</v>
      </c>
      <c r="L144" s="24">
        <v>0.126</v>
      </c>
      <c r="M144" s="24">
        <v>1</v>
      </c>
      <c r="N144" s="24" t="s">
        <v>33</v>
      </c>
      <c r="O144" s="24">
        <f t="shared" si="16"/>
        <v>2.1545999999999998</v>
      </c>
      <c r="P144" s="24">
        <f t="shared" si="17"/>
        <v>2.5137</v>
      </c>
      <c r="Q144" s="24">
        <f t="shared" si="18"/>
        <v>1.4364000000000001</v>
      </c>
      <c r="R144" s="24">
        <f t="shared" si="19"/>
        <v>1.0772999999999999</v>
      </c>
      <c r="S144" s="37">
        <v>7.1820000000000004</v>
      </c>
      <c r="T144" s="8">
        <v>105991.94</v>
      </c>
      <c r="U144" s="8">
        <v>13354.98444</v>
      </c>
      <c r="V144" s="8"/>
      <c r="W144" s="8"/>
      <c r="X144" s="24" t="s">
        <v>991</v>
      </c>
      <c r="Y144" s="24">
        <v>73027</v>
      </c>
      <c r="Z144" s="8">
        <v>6.18</v>
      </c>
      <c r="AA144" s="8" t="s">
        <v>990</v>
      </c>
      <c r="AB144" s="8">
        <v>1</v>
      </c>
      <c r="AC144" s="24">
        <v>5814</v>
      </c>
      <c r="AD144" s="8"/>
      <c r="AE144" s="319" t="s">
        <v>984</v>
      </c>
      <c r="AF144" s="198">
        <f t="shared" si="14"/>
        <v>3.78E-2</v>
      </c>
      <c r="AG144" s="109"/>
      <c r="AH144" s="109"/>
      <c r="AI144" s="110"/>
      <c r="AJ144" s="113"/>
      <c r="AK144" s="299"/>
      <c r="AL144" s="299"/>
      <c r="AM144" s="300"/>
      <c r="AN144" s="20"/>
      <c r="AO144" s="8"/>
      <c r="AP144" s="8"/>
      <c r="AQ144" s="21"/>
    </row>
    <row r="145" spans="1:43" x14ac:dyDescent="0.25">
      <c r="A145" s="24">
        <v>142</v>
      </c>
      <c r="B145" s="24" t="s">
        <v>28</v>
      </c>
      <c r="C145" s="8" t="s">
        <v>980</v>
      </c>
      <c r="D145" s="8" t="s">
        <v>981</v>
      </c>
      <c r="E145" s="8"/>
      <c r="F145" s="24" t="s">
        <v>990</v>
      </c>
      <c r="G145" s="8"/>
      <c r="H145" s="8" t="s">
        <v>31</v>
      </c>
      <c r="I145" s="24" t="s">
        <v>984</v>
      </c>
      <c r="J145" s="8"/>
      <c r="K145" s="24">
        <v>0.126</v>
      </c>
      <c r="L145" s="24">
        <v>0.126</v>
      </c>
      <c r="M145" s="24">
        <v>1</v>
      </c>
      <c r="N145" s="24" t="s">
        <v>33</v>
      </c>
      <c r="O145" s="24">
        <f t="shared" si="16"/>
        <v>2.1545999999999998</v>
      </c>
      <c r="P145" s="24">
        <f t="shared" si="17"/>
        <v>2.5137</v>
      </c>
      <c r="Q145" s="24">
        <f t="shared" si="18"/>
        <v>1.4364000000000001</v>
      </c>
      <c r="R145" s="24">
        <f t="shared" si="19"/>
        <v>1.0772999999999999</v>
      </c>
      <c r="S145" s="37">
        <v>7.1820000000000004</v>
      </c>
      <c r="T145" s="8">
        <v>105991.94</v>
      </c>
      <c r="U145" s="8">
        <v>13354.98444</v>
      </c>
      <c r="V145" s="8"/>
      <c r="W145" s="8"/>
      <c r="X145" s="24" t="s">
        <v>991</v>
      </c>
      <c r="Y145" s="24">
        <v>73027</v>
      </c>
      <c r="Z145" s="8">
        <v>6.18</v>
      </c>
      <c r="AA145" s="8" t="s">
        <v>990</v>
      </c>
      <c r="AB145" s="8">
        <v>2</v>
      </c>
      <c r="AC145" s="24">
        <v>5814</v>
      </c>
      <c r="AD145" s="8"/>
      <c r="AE145" s="319" t="s">
        <v>984</v>
      </c>
      <c r="AF145" s="198">
        <f t="shared" si="14"/>
        <v>3.78E-2</v>
      </c>
      <c r="AG145" s="109"/>
      <c r="AH145" s="109"/>
      <c r="AI145" s="110"/>
      <c r="AJ145" s="113"/>
      <c r="AK145" s="299"/>
      <c r="AL145" s="299"/>
      <c r="AM145" s="300"/>
      <c r="AN145" s="20"/>
      <c r="AO145" s="8"/>
      <c r="AP145" s="8"/>
      <c r="AQ145" s="21"/>
    </row>
    <row r="146" spans="1:43" x14ac:dyDescent="0.25">
      <c r="A146" s="24">
        <v>143</v>
      </c>
      <c r="B146" s="24" t="s">
        <v>28</v>
      </c>
      <c r="C146" s="8" t="s">
        <v>980</v>
      </c>
      <c r="D146" s="8" t="s">
        <v>981</v>
      </c>
      <c r="E146" s="8"/>
      <c r="F146" s="24" t="s">
        <v>990</v>
      </c>
      <c r="G146" s="8"/>
      <c r="H146" s="8" t="s">
        <v>31</v>
      </c>
      <c r="I146" s="24" t="s">
        <v>984</v>
      </c>
      <c r="J146" s="8"/>
      <c r="K146" s="24">
        <v>0.126</v>
      </c>
      <c r="L146" s="24">
        <v>0.126</v>
      </c>
      <c r="M146" s="24">
        <v>1</v>
      </c>
      <c r="N146" s="24" t="s">
        <v>33</v>
      </c>
      <c r="O146" s="24">
        <f t="shared" si="16"/>
        <v>2.1545999999999998</v>
      </c>
      <c r="P146" s="24">
        <f t="shared" si="17"/>
        <v>2.5137</v>
      </c>
      <c r="Q146" s="24">
        <f t="shared" si="18"/>
        <v>1.4364000000000001</v>
      </c>
      <c r="R146" s="24">
        <f t="shared" si="19"/>
        <v>1.0772999999999999</v>
      </c>
      <c r="S146" s="37">
        <v>7.1820000000000004</v>
      </c>
      <c r="T146" s="8">
        <v>105991.94</v>
      </c>
      <c r="U146" s="8">
        <v>13354.98444</v>
      </c>
      <c r="V146" s="8"/>
      <c r="W146" s="8"/>
      <c r="X146" s="24" t="s">
        <v>991</v>
      </c>
      <c r="Y146" s="24">
        <v>73027</v>
      </c>
      <c r="Z146" s="8">
        <v>6.18</v>
      </c>
      <c r="AA146" s="8" t="s">
        <v>990</v>
      </c>
      <c r="AB146" s="8">
        <v>3</v>
      </c>
      <c r="AC146" s="24">
        <v>5814</v>
      </c>
      <c r="AD146" s="8"/>
      <c r="AE146" s="319" t="s">
        <v>984</v>
      </c>
      <c r="AF146" s="198">
        <f t="shared" si="14"/>
        <v>3.78E-2</v>
      </c>
      <c r="AG146" s="109"/>
      <c r="AH146" s="109"/>
      <c r="AI146" s="110"/>
      <c r="AJ146" s="113"/>
      <c r="AK146" s="299"/>
      <c r="AL146" s="299"/>
      <c r="AM146" s="300"/>
      <c r="AN146" s="20"/>
      <c r="AO146" s="8"/>
      <c r="AP146" s="8"/>
      <c r="AQ146" s="21"/>
    </row>
    <row r="147" spans="1:43" x14ac:dyDescent="0.25">
      <c r="A147" s="24">
        <v>144</v>
      </c>
      <c r="B147" s="24" t="s">
        <v>28</v>
      </c>
      <c r="C147" s="8" t="s">
        <v>980</v>
      </c>
      <c r="D147" s="8" t="s">
        <v>981</v>
      </c>
      <c r="E147" s="8"/>
      <c r="F147" s="24" t="s">
        <v>990</v>
      </c>
      <c r="G147" s="8"/>
      <c r="H147" s="8" t="s">
        <v>31</v>
      </c>
      <c r="I147" s="24" t="s">
        <v>984</v>
      </c>
      <c r="J147" s="8"/>
      <c r="K147" s="24">
        <v>0.126</v>
      </c>
      <c r="L147" s="24">
        <v>0.126</v>
      </c>
      <c r="M147" s="24">
        <v>1</v>
      </c>
      <c r="N147" s="24" t="s">
        <v>33</v>
      </c>
      <c r="O147" s="24">
        <f t="shared" si="16"/>
        <v>2.1545999999999998</v>
      </c>
      <c r="P147" s="24">
        <f t="shared" si="17"/>
        <v>2.5137</v>
      </c>
      <c r="Q147" s="24">
        <f t="shared" si="18"/>
        <v>1.4364000000000001</v>
      </c>
      <c r="R147" s="24">
        <f t="shared" si="19"/>
        <v>1.0772999999999999</v>
      </c>
      <c r="S147" s="37">
        <v>7.1820000000000004</v>
      </c>
      <c r="T147" s="8">
        <v>105991.94</v>
      </c>
      <c r="U147" s="8">
        <v>13354.98444</v>
      </c>
      <c r="V147" s="8"/>
      <c r="W147" s="8"/>
      <c r="X147" s="24" t="s">
        <v>991</v>
      </c>
      <c r="Y147" s="24">
        <v>73027</v>
      </c>
      <c r="Z147" s="8">
        <v>6.18</v>
      </c>
      <c r="AA147" s="8" t="s">
        <v>990</v>
      </c>
      <c r="AB147" s="8">
        <v>4</v>
      </c>
      <c r="AC147" s="24">
        <v>5814</v>
      </c>
      <c r="AD147" s="8"/>
      <c r="AE147" s="319" t="s">
        <v>984</v>
      </c>
      <c r="AF147" s="198">
        <f t="shared" si="14"/>
        <v>3.78E-2</v>
      </c>
      <c r="AG147" s="109"/>
      <c r="AH147" s="109"/>
      <c r="AI147" s="110"/>
      <c r="AJ147" s="113"/>
      <c r="AK147" s="299"/>
      <c r="AL147" s="299"/>
      <c r="AM147" s="300"/>
      <c r="AN147" s="20"/>
      <c r="AO147" s="8"/>
      <c r="AP147" s="8"/>
      <c r="AQ147" s="21"/>
    </row>
    <row r="148" spans="1:43" x14ac:dyDescent="0.25">
      <c r="A148" s="24">
        <v>145</v>
      </c>
      <c r="B148" s="24" t="s">
        <v>28</v>
      </c>
      <c r="C148" s="8" t="s">
        <v>980</v>
      </c>
      <c r="D148" s="8" t="s">
        <v>981</v>
      </c>
      <c r="E148" s="8"/>
      <c r="F148" s="24" t="s">
        <v>990</v>
      </c>
      <c r="G148" s="8"/>
      <c r="H148" s="8" t="s">
        <v>31</v>
      </c>
      <c r="I148" s="24" t="s">
        <v>984</v>
      </c>
      <c r="J148" s="8"/>
      <c r="K148" s="24">
        <v>0.126</v>
      </c>
      <c r="L148" s="24">
        <v>0.126</v>
      </c>
      <c r="M148" s="24">
        <v>1</v>
      </c>
      <c r="N148" s="24" t="s">
        <v>33</v>
      </c>
      <c r="O148" s="24">
        <f t="shared" si="16"/>
        <v>2.1545999999999998</v>
      </c>
      <c r="P148" s="24">
        <f t="shared" si="17"/>
        <v>2.5137</v>
      </c>
      <c r="Q148" s="24">
        <f t="shared" si="18"/>
        <v>1.4364000000000001</v>
      </c>
      <c r="R148" s="24">
        <f t="shared" si="19"/>
        <v>1.0772999999999999</v>
      </c>
      <c r="S148" s="37">
        <v>7.1820000000000004</v>
      </c>
      <c r="T148" s="8">
        <v>105991.94</v>
      </c>
      <c r="U148" s="8">
        <v>13354.98444</v>
      </c>
      <c r="V148" s="8"/>
      <c r="W148" s="8"/>
      <c r="X148" s="24" t="s">
        <v>991</v>
      </c>
      <c r="Y148" s="24">
        <v>73027</v>
      </c>
      <c r="Z148" s="8">
        <v>6.18</v>
      </c>
      <c r="AA148" s="8" t="s">
        <v>990</v>
      </c>
      <c r="AB148" s="8">
        <v>5</v>
      </c>
      <c r="AC148" s="24">
        <v>5814</v>
      </c>
      <c r="AD148" s="8"/>
      <c r="AE148" s="319" t="s">
        <v>984</v>
      </c>
      <c r="AF148" s="198">
        <f t="shared" si="14"/>
        <v>3.78E-2</v>
      </c>
      <c r="AG148" s="109"/>
      <c r="AH148" s="109"/>
      <c r="AI148" s="110"/>
      <c r="AJ148" s="113"/>
      <c r="AK148" s="299"/>
      <c r="AL148" s="299"/>
      <c r="AM148" s="300"/>
      <c r="AN148" s="20"/>
      <c r="AO148" s="8"/>
      <c r="AP148" s="8"/>
      <c r="AQ148" s="21"/>
    </row>
    <row r="149" spans="1:43" x14ac:dyDescent="0.25">
      <c r="A149" s="24">
        <v>146</v>
      </c>
      <c r="B149" s="24" t="s">
        <v>28</v>
      </c>
      <c r="C149" s="8" t="s">
        <v>980</v>
      </c>
      <c r="D149" s="8" t="s">
        <v>981</v>
      </c>
      <c r="E149" s="8"/>
      <c r="F149" s="24" t="s">
        <v>990</v>
      </c>
      <c r="G149" s="8"/>
      <c r="H149" s="8" t="s">
        <v>31</v>
      </c>
      <c r="I149" s="24" t="s">
        <v>984</v>
      </c>
      <c r="J149" s="8"/>
      <c r="K149" s="24">
        <v>0.126</v>
      </c>
      <c r="L149" s="24">
        <v>0.126</v>
      </c>
      <c r="M149" s="24">
        <v>1</v>
      </c>
      <c r="N149" s="24" t="s">
        <v>33</v>
      </c>
      <c r="O149" s="24">
        <f t="shared" si="16"/>
        <v>2.1545999999999998</v>
      </c>
      <c r="P149" s="24">
        <f t="shared" si="17"/>
        <v>2.5137</v>
      </c>
      <c r="Q149" s="24">
        <f t="shared" si="18"/>
        <v>1.4364000000000001</v>
      </c>
      <c r="R149" s="24">
        <f t="shared" si="19"/>
        <v>1.0772999999999999</v>
      </c>
      <c r="S149" s="37">
        <v>7.1820000000000004</v>
      </c>
      <c r="T149" s="8">
        <v>105991.94</v>
      </c>
      <c r="U149" s="8">
        <v>13354.98444</v>
      </c>
      <c r="V149" s="8"/>
      <c r="W149" s="8"/>
      <c r="X149" s="24" t="s">
        <v>991</v>
      </c>
      <c r="Y149" s="24">
        <v>73027</v>
      </c>
      <c r="Z149" s="8">
        <v>6.18</v>
      </c>
      <c r="AA149" s="8" t="s">
        <v>990</v>
      </c>
      <c r="AB149" s="8">
        <v>6</v>
      </c>
      <c r="AC149" s="24">
        <v>5814</v>
      </c>
      <c r="AD149" s="8"/>
      <c r="AE149" s="319" t="s">
        <v>984</v>
      </c>
      <c r="AF149" s="198">
        <f t="shared" si="14"/>
        <v>3.78E-2</v>
      </c>
      <c r="AG149" s="109"/>
      <c r="AH149" s="109"/>
      <c r="AI149" s="110"/>
      <c r="AJ149" s="113"/>
      <c r="AK149" s="299"/>
      <c r="AL149" s="299"/>
      <c r="AM149" s="300"/>
      <c r="AN149" s="20"/>
      <c r="AO149" s="8"/>
      <c r="AP149" s="8"/>
      <c r="AQ149" s="21"/>
    </row>
    <row r="150" spans="1:43" x14ac:dyDescent="0.25">
      <c r="A150" s="24">
        <v>147</v>
      </c>
      <c r="B150" s="24" t="s">
        <v>28</v>
      </c>
      <c r="C150" s="8" t="s">
        <v>980</v>
      </c>
      <c r="D150" s="8" t="s">
        <v>981</v>
      </c>
      <c r="E150" s="8"/>
      <c r="F150" s="24" t="s">
        <v>990</v>
      </c>
      <c r="G150" s="8"/>
      <c r="H150" s="8" t="s">
        <v>31</v>
      </c>
      <c r="I150" s="24" t="s">
        <v>984</v>
      </c>
      <c r="J150" s="8"/>
      <c r="K150" s="24">
        <v>0.126</v>
      </c>
      <c r="L150" s="24">
        <v>0.126</v>
      </c>
      <c r="M150" s="24">
        <v>1</v>
      </c>
      <c r="N150" s="24" t="s">
        <v>33</v>
      </c>
      <c r="O150" s="24">
        <f t="shared" si="16"/>
        <v>2.1545999999999998</v>
      </c>
      <c r="P150" s="24">
        <f t="shared" si="17"/>
        <v>2.5137</v>
      </c>
      <c r="Q150" s="24">
        <f t="shared" si="18"/>
        <v>1.4364000000000001</v>
      </c>
      <c r="R150" s="24">
        <f t="shared" si="19"/>
        <v>1.0772999999999999</v>
      </c>
      <c r="S150" s="37">
        <v>7.1820000000000004</v>
      </c>
      <c r="T150" s="8">
        <v>105991.94</v>
      </c>
      <c r="U150" s="8">
        <v>13354.98444</v>
      </c>
      <c r="V150" s="8"/>
      <c r="W150" s="8"/>
      <c r="X150" s="24" t="s">
        <v>991</v>
      </c>
      <c r="Y150" s="24">
        <v>73027</v>
      </c>
      <c r="Z150" s="8">
        <v>6.18</v>
      </c>
      <c r="AA150" s="8" t="s">
        <v>990</v>
      </c>
      <c r="AB150" s="8">
        <v>7</v>
      </c>
      <c r="AC150" s="24">
        <v>5814</v>
      </c>
      <c r="AD150" s="8"/>
      <c r="AE150" s="319" t="s">
        <v>984</v>
      </c>
      <c r="AF150" s="198">
        <f t="shared" si="14"/>
        <v>3.78E-2</v>
      </c>
      <c r="AG150" s="109"/>
      <c r="AH150" s="109"/>
      <c r="AI150" s="110"/>
      <c r="AJ150" s="113"/>
      <c r="AK150" s="299"/>
      <c r="AL150" s="299"/>
      <c r="AM150" s="300"/>
      <c r="AN150" s="20"/>
      <c r="AO150" s="8"/>
      <c r="AP150" s="8"/>
      <c r="AQ150" s="21"/>
    </row>
    <row r="151" spans="1:43" x14ac:dyDescent="0.25">
      <c r="A151" s="24">
        <v>148</v>
      </c>
      <c r="B151" s="24" t="s">
        <v>28</v>
      </c>
      <c r="C151" s="8" t="s">
        <v>980</v>
      </c>
      <c r="D151" s="8" t="s">
        <v>981</v>
      </c>
      <c r="E151" s="8"/>
      <c r="F151" s="24" t="s">
        <v>990</v>
      </c>
      <c r="G151" s="8"/>
      <c r="H151" s="8" t="s">
        <v>31</v>
      </c>
      <c r="I151" s="24" t="s">
        <v>984</v>
      </c>
      <c r="J151" s="8"/>
      <c r="K151" s="24">
        <v>0.126</v>
      </c>
      <c r="L151" s="24">
        <v>0.126</v>
      </c>
      <c r="M151" s="24">
        <v>1</v>
      </c>
      <c r="N151" s="24" t="s">
        <v>33</v>
      </c>
      <c r="O151" s="24">
        <f t="shared" si="16"/>
        <v>2.1545999999999998</v>
      </c>
      <c r="P151" s="24">
        <f t="shared" si="17"/>
        <v>2.5137</v>
      </c>
      <c r="Q151" s="24">
        <f t="shared" si="18"/>
        <v>1.4364000000000001</v>
      </c>
      <c r="R151" s="24">
        <f t="shared" si="19"/>
        <v>1.0772999999999999</v>
      </c>
      <c r="S151" s="37">
        <v>7.1820000000000004</v>
      </c>
      <c r="T151" s="8">
        <v>105991.94</v>
      </c>
      <c r="U151" s="8">
        <v>13354.98444</v>
      </c>
      <c r="V151" s="8"/>
      <c r="W151" s="8"/>
      <c r="X151" s="24" t="s">
        <v>991</v>
      </c>
      <c r="Y151" s="24">
        <v>73027</v>
      </c>
      <c r="Z151" s="8">
        <v>6.18</v>
      </c>
      <c r="AA151" s="8" t="s">
        <v>990</v>
      </c>
      <c r="AB151" s="8">
        <v>8</v>
      </c>
      <c r="AC151" s="24">
        <v>5814</v>
      </c>
      <c r="AD151" s="8"/>
      <c r="AE151" s="319" t="s">
        <v>984</v>
      </c>
      <c r="AF151" s="198">
        <f t="shared" si="14"/>
        <v>3.78E-2</v>
      </c>
      <c r="AG151" s="109"/>
      <c r="AH151" s="109"/>
      <c r="AI151" s="110"/>
      <c r="AJ151" s="113"/>
      <c r="AK151" s="299"/>
      <c r="AL151" s="299"/>
      <c r="AM151" s="300"/>
      <c r="AN151" s="20"/>
      <c r="AO151" s="8"/>
      <c r="AP151" s="8"/>
      <c r="AQ151" s="21"/>
    </row>
    <row r="152" spans="1:43" x14ac:dyDescent="0.25">
      <c r="A152" s="24">
        <v>149</v>
      </c>
      <c r="B152" s="24" t="s">
        <v>28</v>
      </c>
      <c r="C152" s="8" t="s">
        <v>980</v>
      </c>
      <c r="D152" s="8" t="s">
        <v>981</v>
      </c>
      <c r="E152" s="8"/>
      <c r="F152" s="24" t="s">
        <v>990</v>
      </c>
      <c r="G152" s="8"/>
      <c r="H152" s="8" t="s">
        <v>31</v>
      </c>
      <c r="I152" s="24" t="s">
        <v>984</v>
      </c>
      <c r="J152" s="8"/>
      <c r="K152" s="24">
        <v>0.126</v>
      </c>
      <c r="L152" s="24">
        <v>0.126</v>
      </c>
      <c r="M152" s="24">
        <v>1</v>
      </c>
      <c r="N152" s="24" t="s">
        <v>33</v>
      </c>
      <c r="O152" s="24">
        <f t="shared" si="16"/>
        <v>2.1545999999999998</v>
      </c>
      <c r="P152" s="24">
        <f t="shared" si="17"/>
        <v>2.5137</v>
      </c>
      <c r="Q152" s="24">
        <f t="shared" si="18"/>
        <v>1.4364000000000001</v>
      </c>
      <c r="R152" s="24">
        <f t="shared" si="19"/>
        <v>1.0772999999999999</v>
      </c>
      <c r="S152" s="37">
        <v>7.1820000000000004</v>
      </c>
      <c r="T152" s="8">
        <v>105991.94</v>
      </c>
      <c r="U152" s="8">
        <v>13354.98444</v>
      </c>
      <c r="V152" s="8"/>
      <c r="W152" s="8"/>
      <c r="X152" s="24" t="s">
        <v>991</v>
      </c>
      <c r="Y152" s="24">
        <v>73027</v>
      </c>
      <c r="Z152" s="8">
        <v>6.18</v>
      </c>
      <c r="AA152" s="8" t="s">
        <v>990</v>
      </c>
      <c r="AB152" s="8">
        <v>9</v>
      </c>
      <c r="AC152" s="24">
        <v>5814</v>
      </c>
      <c r="AD152" s="8"/>
      <c r="AE152" s="319" t="s">
        <v>984</v>
      </c>
      <c r="AF152" s="198">
        <f t="shared" si="14"/>
        <v>3.78E-2</v>
      </c>
      <c r="AG152" s="109"/>
      <c r="AH152" s="109"/>
      <c r="AI152" s="110"/>
      <c r="AJ152" s="113"/>
      <c r="AK152" s="299"/>
      <c r="AL152" s="299"/>
      <c r="AM152" s="300"/>
      <c r="AN152" s="20"/>
      <c r="AO152" s="8"/>
      <c r="AP152" s="8"/>
      <c r="AQ152" s="21"/>
    </row>
    <row r="153" spans="1:43" x14ac:dyDescent="0.25">
      <c r="A153" s="24">
        <v>150</v>
      </c>
      <c r="B153" s="24" t="s">
        <v>28</v>
      </c>
      <c r="C153" s="8" t="s">
        <v>980</v>
      </c>
      <c r="D153" s="8" t="s">
        <v>981</v>
      </c>
      <c r="E153" s="8"/>
      <c r="F153" s="24" t="s">
        <v>990</v>
      </c>
      <c r="G153" s="8"/>
      <c r="H153" s="8" t="s">
        <v>31</v>
      </c>
      <c r="I153" s="24" t="s">
        <v>984</v>
      </c>
      <c r="J153" s="8"/>
      <c r="K153" s="24">
        <v>0.126</v>
      </c>
      <c r="L153" s="24">
        <v>0.126</v>
      </c>
      <c r="M153" s="24">
        <v>1</v>
      </c>
      <c r="N153" s="24" t="s">
        <v>33</v>
      </c>
      <c r="O153" s="24">
        <f t="shared" si="16"/>
        <v>2.1545999999999998</v>
      </c>
      <c r="P153" s="24">
        <f t="shared" si="17"/>
        <v>2.5137</v>
      </c>
      <c r="Q153" s="24">
        <f t="shared" si="18"/>
        <v>1.4364000000000001</v>
      </c>
      <c r="R153" s="24">
        <f t="shared" si="19"/>
        <v>1.0772999999999999</v>
      </c>
      <c r="S153" s="37">
        <v>7.1820000000000004</v>
      </c>
      <c r="T153" s="8">
        <v>105991.94</v>
      </c>
      <c r="U153" s="8">
        <v>13354.98444</v>
      </c>
      <c r="V153" s="8"/>
      <c r="W153" s="8"/>
      <c r="X153" s="24" t="s">
        <v>991</v>
      </c>
      <c r="Y153" s="24">
        <v>73027</v>
      </c>
      <c r="Z153" s="8">
        <v>6.18</v>
      </c>
      <c r="AA153" s="8" t="s">
        <v>990</v>
      </c>
      <c r="AB153" s="8">
        <v>10</v>
      </c>
      <c r="AC153" s="24">
        <v>5814</v>
      </c>
      <c r="AD153" s="8"/>
      <c r="AE153" s="319" t="s">
        <v>984</v>
      </c>
      <c r="AF153" s="198">
        <f t="shared" si="14"/>
        <v>3.78E-2</v>
      </c>
      <c r="AG153" s="109"/>
      <c r="AH153" s="109"/>
      <c r="AI153" s="110"/>
      <c r="AJ153" s="113"/>
      <c r="AK153" s="299"/>
      <c r="AL153" s="299"/>
      <c r="AM153" s="300"/>
      <c r="AN153" s="20"/>
      <c r="AO153" s="8"/>
      <c r="AP153" s="8"/>
      <c r="AQ153" s="21"/>
    </row>
    <row r="154" spans="1:43" x14ac:dyDescent="0.25">
      <c r="A154" s="24">
        <v>151</v>
      </c>
      <c r="B154" s="24" t="s">
        <v>28</v>
      </c>
      <c r="C154" s="8" t="s">
        <v>980</v>
      </c>
      <c r="D154" s="8" t="s">
        <v>981</v>
      </c>
      <c r="E154" s="8"/>
      <c r="F154" s="24" t="s">
        <v>990</v>
      </c>
      <c r="G154" s="8"/>
      <c r="H154" s="8" t="s">
        <v>31</v>
      </c>
      <c r="I154" s="24" t="s">
        <v>984</v>
      </c>
      <c r="J154" s="8"/>
      <c r="K154" s="24">
        <v>0.126</v>
      </c>
      <c r="L154" s="24">
        <v>0.126</v>
      </c>
      <c r="M154" s="24">
        <v>1</v>
      </c>
      <c r="N154" s="24" t="s">
        <v>33</v>
      </c>
      <c r="O154" s="24">
        <f t="shared" si="16"/>
        <v>2.1545999999999998</v>
      </c>
      <c r="P154" s="24">
        <f t="shared" si="17"/>
        <v>2.5137</v>
      </c>
      <c r="Q154" s="24">
        <f t="shared" si="18"/>
        <v>1.4364000000000001</v>
      </c>
      <c r="R154" s="24">
        <f t="shared" si="19"/>
        <v>1.0772999999999999</v>
      </c>
      <c r="S154" s="37">
        <v>7.1820000000000004</v>
      </c>
      <c r="T154" s="8">
        <v>105991.94</v>
      </c>
      <c r="U154" s="8">
        <v>13354.98444</v>
      </c>
      <c r="V154" s="8"/>
      <c r="W154" s="8"/>
      <c r="X154" s="24" t="s">
        <v>991</v>
      </c>
      <c r="Y154" s="24">
        <v>73027</v>
      </c>
      <c r="Z154" s="8">
        <v>6.18</v>
      </c>
      <c r="AA154" s="8" t="s">
        <v>990</v>
      </c>
      <c r="AB154" s="8">
        <v>11</v>
      </c>
      <c r="AC154" s="24">
        <v>5814</v>
      </c>
      <c r="AD154" s="8"/>
      <c r="AE154" s="319" t="s">
        <v>984</v>
      </c>
      <c r="AF154" s="198">
        <f t="shared" si="14"/>
        <v>3.78E-2</v>
      </c>
      <c r="AG154" s="109"/>
      <c r="AH154" s="109"/>
      <c r="AI154" s="110"/>
      <c r="AJ154" s="113"/>
      <c r="AK154" s="299"/>
      <c r="AL154" s="299"/>
      <c r="AM154" s="300"/>
      <c r="AN154" s="20"/>
      <c r="AO154" s="8"/>
      <c r="AP154" s="8"/>
      <c r="AQ154" s="21"/>
    </row>
    <row r="155" spans="1:43" x14ac:dyDescent="0.25">
      <c r="A155" s="24">
        <v>152</v>
      </c>
      <c r="B155" s="24" t="s">
        <v>28</v>
      </c>
      <c r="C155" s="8" t="s">
        <v>980</v>
      </c>
      <c r="D155" s="8" t="s">
        <v>981</v>
      </c>
      <c r="E155" s="8"/>
      <c r="F155" s="24" t="s">
        <v>990</v>
      </c>
      <c r="G155" s="8"/>
      <c r="H155" s="8" t="s">
        <v>31</v>
      </c>
      <c r="I155" s="24" t="s">
        <v>984</v>
      </c>
      <c r="J155" s="8"/>
      <c r="K155" s="24">
        <v>0.126</v>
      </c>
      <c r="L155" s="24">
        <v>0.126</v>
      </c>
      <c r="M155" s="24">
        <v>1</v>
      </c>
      <c r="N155" s="24" t="s">
        <v>33</v>
      </c>
      <c r="O155" s="24">
        <f t="shared" si="16"/>
        <v>2.1545999999999998</v>
      </c>
      <c r="P155" s="24">
        <f t="shared" si="17"/>
        <v>2.5137</v>
      </c>
      <c r="Q155" s="24">
        <f t="shared" si="18"/>
        <v>1.4364000000000001</v>
      </c>
      <c r="R155" s="24">
        <f t="shared" si="19"/>
        <v>1.0772999999999999</v>
      </c>
      <c r="S155" s="37">
        <v>7.1820000000000004</v>
      </c>
      <c r="T155" s="8">
        <v>105991.94</v>
      </c>
      <c r="U155" s="8">
        <v>13354.98444</v>
      </c>
      <c r="V155" s="8"/>
      <c r="W155" s="8"/>
      <c r="X155" s="24" t="s">
        <v>991</v>
      </c>
      <c r="Y155" s="24">
        <v>73027</v>
      </c>
      <c r="Z155" s="8">
        <v>6.18</v>
      </c>
      <c r="AA155" s="8" t="s">
        <v>990</v>
      </c>
      <c r="AB155" s="8">
        <v>12</v>
      </c>
      <c r="AC155" s="24">
        <v>5814</v>
      </c>
      <c r="AD155" s="8"/>
      <c r="AE155" s="319" t="s">
        <v>984</v>
      </c>
      <c r="AF155" s="198">
        <f t="shared" si="14"/>
        <v>3.78E-2</v>
      </c>
      <c r="AG155" s="109"/>
      <c r="AH155" s="109"/>
      <c r="AI155" s="110"/>
      <c r="AJ155" s="113"/>
      <c r="AK155" s="299"/>
      <c r="AL155" s="299"/>
      <c r="AM155" s="300"/>
      <c r="AN155" s="20"/>
      <c r="AO155" s="8"/>
      <c r="AP155" s="8"/>
      <c r="AQ155" s="21"/>
    </row>
    <row r="156" spans="1:43" x14ac:dyDescent="0.25">
      <c r="A156" s="24">
        <v>153</v>
      </c>
      <c r="B156" s="24" t="s">
        <v>28</v>
      </c>
      <c r="C156" s="8" t="s">
        <v>980</v>
      </c>
      <c r="D156" s="8" t="s">
        <v>981</v>
      </c>
      <c r="E156" s="8"/>
      <c r="F156" s="24" t="s">
        <v>990</v>
      </c>
      <c r="G156" s="8"/>
      <c r="H156" s="8" t="s">
        <v>31</v>
      </c>
      <c r="I156" s="24" t="s">
        <v>984</v>
      </c>
      <c r="J156" s="8"/>
      <c r="K156" s="24">
        <v>0.126</v>
      </c>
      <c r="L156" s="24">
        <v>0.126</v>
      </c>
      <c r="M156" s="24">
        <v>1</v>
      </c>
      <c r="N156" s="24" t="s">
        <v>33</v>
      </c>
      <c r="O156" s="24">
        <f t="shared" si="16"/>
        <v>2.1545999999999998</v>
      </c>
      <c r="P156" s="24">
        <f t="shared" si="17"/>
        <v>2.5137</v>
      </c>
      <c r="Q156" s="24">
        <f t="shared" si="18"/>
        <v>1.4364000000000001</v>
      </c>
      <c r="R156" s="24">
        <f t="shared" si="19"/>
        <v>1.0772999999999999</v>
      </c>
      <c r="S156" s="37">
        <v>7.1820000000000004</v>
      </c>
      <c r="T156" s="8">
        <v>105991.94</v>
      </c>
      <c r="U156" s="8">
        <v>13354.98444</v>
      </c>
      <c r="V156" s="8"/>
      <c r="W156" s="8"/>
      <c r="X156" s="24" t="s">
        <v>991</v>
      </c>
      <c r="Y156" s="24">
        <v>73027</v>
      </c>
      <c r="Z156" s="8">
        <v>6.18</v>
      </c>
      <c r="AA156" s="8" t="s">
        <v>990</v>
      </c>
      <c r="AB156" s="8">
        <v>13</v>
      </c>
      <c r="AC156" s="24">
        <v>5814</v>
      </c>
      <c r="AD156" s="8"/>
      <c r="AE156" s="319" t="s">
        <v>984</v>
      </c>
      <c r="AF156" s="198">
        <f t="shared" si="14"/>
        <v>3.78E-2</v>
      </c>
      <c r="AG156" s="109"/>
      <c r="AH156" s="109"/>
      <c r="AI156" s="110"/>
      <c r="AJ156" s="113"/>
      <c r="AK156" s="299"/>
      <c r="AL156" s="299"/>
      <c r="AM156" s="300"/>
      <c r="AN156" s="20"/>
      <c r="AO156" s="8"/>
      <c r="AP156" s="8"/>
      <c r="AQ156" s="21"/>
    </row>
    <row r="157" spans="1:43" x14ac:dyDescent="0.25">
      <c r="A157" s="24">
        <v>154</v>
      </c>
      <c r="B157" s="24" t="s">
        <v>28</v>
      </c>
      <c r="C157" s="8" t="s">
        <v>980</v>
      </c>
      <c r="D157" s="8" t="s">
        <v>981</v>
      </c>
      <c r="E157" s="8"/>
      <c r="F157" s="24" t="s">
        <v>990</v>
      </c>
      <c r="G157" s="8"/>
      <c r="H157" s="8" t="s">
        <v>31</v>
      </c>
      <c r="I157" s="24" t="s">
        <v>984</v>
      </c>
      <c r="J157" s="8"/>
      <c r="K157" s="24">
        <v>0.126</v>
      </c>
      <c r="L157" s="24">
        <v>0.126</v>
      </c>
      <c r="M157" s="24">
        <v>1</v>
      </c>
      <c r="N157" s="24" t="s">
        <v>33</v>
      </c>
      <c r="O157" s="24">
        <f t="shared" si="16"/>
        <v>2.1545999999999998</v>
      </c>
      <c r="P157" s="24">
        <f t="shared" si="17"/>
        <v>2.5137</v>
      </c>
      <c r="Q157" s="24">
        <f t="shared" si="18"/>
        <v>1.4364000000000001</v>
      </c>
      <c r="R157" s="24">
        <f t="shared" si="19"/>
        <v>1.0772999999999999</v>
      </c>
      <c r="S157" s="37">
        <v>7.1820000000000004</v>
      </c>
      <c r="T157" s="8">
        <v>105991.94</v>
      </c>
      <c r="U157" s="8">
        <v>13354.98444</v>
      </c>
      <c r="V157" s="8"/>
      <c r="W157" s="8"/>
      <c r="X157" s="24" t="s">
        <v>991</v>
      </c>
      <c r="Y157" s="24">
        <v>73027</v>
      </c>
      <c r="Z157" s="8">
        <v>6.18</v>
      </c>
      <c r="AA157" s="8" t="s">
        <v>990</v>
      </c>
      <c r="AB157" s="8">
        <v>14</v>
      </c>
      <c r="AC157" s="24">
        <v>5814</v>
      </c>
      <c r="AD157" s="8"/>
      <c r="AE157" s="319" t="s">
        <v>984</v>
      </c>
      <c r="AF157" s="198">
        <f t="shared" si="14"/>
        <v>3.78E-2</v>
      </c>
      <c r="AG157" s="109"/>
      <c r="AH157" s="109"/>
      <c r="AI157" s="110"/>
      <c r="AJ157" s="113"/>
      <c r="AK157" s="299"/>
      <c r="AL157" s="299"/>
      <c r="AM157" s="300"/>
      <c r="AN157" s="20"/>
      <c r="AO157" s="8"/>
      <c r="AP157" s="8"/>
      <c r="AQ157" s="21"/>
    </row>
    <row r="158" spans="1:43" x14ac:dyDescent="0.25">
      <c r="A158" s="24">
        <v>155</v>
      </c>
      <c r="B158" s="24" t="s">
        <v>28</v>
      </c>
      <c r="C158" s="8" t="s">
        <v>980</v>
      </c>
      <c r="D158" s="8" t="s">
        <v>981</v>
      </c>
      <c r="E158" s="8"/>
      <c r="F158" s="24" t="s">
        <v>990</v>
      </c>
      <c r="G158" s="8"/>
      <c r="H158" s="8" t="s">
        <v>31</v>
      </c>
      <c r="I158" s="24" t="s">
        <v>984</v>
      </c>
      <c r="J158" s="8"/>
      <c r="K158" s="24">
        <v>0.126</v>
      </c>
      <c r="L158" s="24">
        <v>0.126</v>
      </c>
      <c r="M158" s="24">
        <v>1</v>
      </c>
      <c r="N158" s="24" t="s">
        <v>33</v>
      </c>
      <c r="O158" s="24">
        <f t="shared" si="16"/>
        <v>2.1545999999999998</v>
      </c>
      <c r="P158" s="24">
        <f t="shared" si="17"/>
        <v>2.5137</v>
      </c>
      <c r="Q158" s="24">
        <f t="shared" si="18"/>
        <v>1.4364000000000001</v>
      </c>
      <c r="R158" s="24">
        <f t="shared" si="19"/>
        <v>1.0772999999999999</v>
      </c>
      <c r="S158" s="37">
        <v>7.1820000000000004</v>
      </c>
      <c r="T158" s="8">
        <v>105991.94</v>
      </c>
      <c r="U158" s="8">
        <v>13354.98444</v>
      </c>
      <c r="V158" s="8"/>
      <c r="W158" s="8"/>
      <c r="X158" s="24" t="s">
        <v>991</v>
      </c>
      <c r="Y158" s="24">
        <v>73027</v>
      </c>
      <c r="Z158" s="8">
        <v>6.18</v>
      </c>
      <c r="AA158" s="8" t="s">
        <v>990</v>
      </c>
      <c r="AB158" s="8">
        <v>15</v>
      </c>
      <c r="AC158" s="24">
        <v>5814</v>
      </c>
      <c r="AD158" s="8"/>
      <c r="AE158" s="319" t="s">
        <v>984</v>
      </c>
      <c r="AF158" s="198">
        <f t="shared" si="14"/>
        <v>3.78E-2</v>
      </c>
      <c r="AG158" s="109"/>
      <c r="AH158" s="109"/>
      <c r="AI158" s="110"/>
      <c r="AJ158" s="113"/>
      <c r="AK158" s="299"/>
      <c r="AL158" s="299"/>
      <c r="AM158" s="300"/>
      <c r="AN158" s="20"/>
      <c r="AO158" s="8"/>
      <c r="AP158" s="8"/>
      <c r="AQ158" s="21"/>
    </row>
    <row r="159" spans="1:43" x14ac:dyDescent="0.25">
      <c r="A159" s="24">
        <v>156</v>
      </c>
      <c r="B159" s="24" t="s">
        <v>28</v>
      </c>
      <c r="C159" s="8" t="s">
        <v>980</v>
      </c>
      <c r="D159" s="8" t="s">
        <v>981</v>
      </c>
      <c r="E159" s="8"/>
      <c r="F159" s="24" t="s">
        <v>990</v>
      </c>
      <c r="G159" s="8"/>
      <c r="H159" s="8" t="s">
        <v>31</v>
      </c>
      <c r="I159" s="24" t="s">
        <v>984</v>
      </c>
      <c r="J159" s="8"/>
      <c r="K159" s="24">
        <v>0.126</v>
      </c>
      <c r="L159" s="24">
        <v>0.126</v>
      </c>
      <c r="M159" s="24">
        <v>1</v>
      </c>
      <c r="N159" s="24" t="s">
        <v>33</v>
      </c>
      <c r="O159" s="24">
        <f t="shared" si="16"/>
        <v>2.1545999999999998</v>
      </c>
      <c r="P159" s="24">
        <f t="shared" si="17"/>
        <v>2.5137</v>
      </c>
      <c r="Q159" s="24">
        <f t="shared" si="18"/>
        <v>1.4364000000000001</v>
      </c>
      <c r="R159" s="24">
        <f t="shared" si="19"/>
        <v>1.0772999999999999</v>
      </c>
      <c r="S159" s="37">
        <v>7.1820000000000004</v>
      </c>
      <c r="T159" s="8">
        <v>105991.94</v>
      </c>
      <c r="U159" s="8">
        <v>13354.98444</v>
      </c>
      <c r="V159" s="8"/>
      <c r="W159" s="8"/>
      <c r="X159" s="24" t="s">
        <v>991</v>
      </c>
      <c r="Y159" s="24">
        <v>73027</v>
      </c>
      <c r="Z159" s="8">
        <v>6.18</v>
      </c>
      <c r="AA159" s="8" t="s">
        <v>990</v>
      </c>
      <c r="AB159" s="8">
        <v>16</v>
      </c>
      <c r="AC159" s="24">
        <v>5814</v>
      </c>
      <c r="AD159" s="8"/>
      <c r="AE159" s="319" t="s">
        <v>984</v>
      </c>
      <c r="AF159" s="198">
        <f t="shared" si="14"/>
        <v>3.78E-2</v>
      </c>
      <c r="AG159" s="109"/>
      <c r="AH159" s="109"/>
      <c r="AI159" s="110"/>
      <c r="AJ159" s="113"/>
      <c r="AK159" s="299"/>
      <c r="AL159" s="299"/>
      <c r="AM159" s="300"/>
      <c r="AN159" s="20"/>
      <c r="AO159" s="8"/>
      <c r="AP159" s="8"/>
      <c r="AQ159" s="21"/>
    </row>
    <row r="160" spans="1:43" x14ac:dyDescent="0.25">
      <c r="A160" s="24">
        <v>157</v>
      </c>
      <c r="B160" s="24" t="s">
        <v>28</v>
      </c>
      <c r="C160" s="8" t="s">
        <v>980</v>
      </c>
      <c r="D160" s="8" t="s">
        <v>981</v>
      </c>
      <c r="E160" s="8"/>
      <c r="F160" s="24" t="s">
        <v>990</v>
      </c>
      <c r="G160" s="8"/>
      <c r="H160" s="8" t="s">
        <v>31</v>
      </c>
      <c r="I160" s="24" t="s">
        <v>984</v>
      </c>
      <c r="J160" s="8"/>
      <c r="K160" s="24">
        <v>0.126</v>
      </c>
      <c r="L160" s="24">
        <v>0.126</v>
      </c>
      <c r="M160" s="24">
        <v>1</v>
      </c>
      <c r="N160" s="24" t="s">
        <v>33</v>
      </c>
      <c r="O160" s="24">
        <f t="shared" si="16"/>
        <v>2.1545999999999998</v>
      </c>
      <c r="P160" s="24">
        <f t="shared" si="17"/>
        <v>2.5137</v>
      </c>
      <c r="Q160" s="24">
        <f t="shared" si="18"/>
        <v>1.4364000000000001</v>
      </c>
      <c r="R160" s="24">
        <f t="shared" si="19"/>
        <v>1.0772999999999999</v>
      </c>
      <c r="S160" s="37">
        <v>7.1820000000000004</v>
      </c>
      <c r="T160" s="8">
        <v>105991.94</v>
      </c>
      <c r="U160" s="8">
        <v>13354.98444</v>
      </c>
      <c r="V160" s="8"/>
      <c r="W160" s="8"/>
      <c r="X160" s="24" t="s">
        <v>991</v>
      </c>
      <c r="Y160" s="24">
        <v>73027</v>
      </c>
      <c r="Z160" s="8">
        <v>6.18</v>
      </c>
      <c r="AA160" s="8" t="s">
        <v>990</v>
      </c>
      <c r="AB160" s="8">
        <v>17</v>
      </c>
      <c r="AC160" s="24">
        <v>5814</v>
      </c>
      <c r="AD160" s="8"/>
      <c r="AE160" s="319" t="s">
        <v>984</v>
      </c>
      <c r="AF160" s="198">
        <f t="shared" si="14"/>
        <v>3.78E-2</v>
      </c>
      <c r="AG160" s="109"/>
      <c r="AH160" s="109"/>
      <c r="AI160" s="110"/>
      <c r="AJ160" s="113"/>
      <c r="AK160" s="299"/>
      <c r="AL160" s="299"/>
      <c r="AM160" s="300"/>
      <c r="AN160" s="20"/>
      <c r="AO160" s="8"/>
      <c r="AP160" s="8"/>
      <c r="AQ160" s="21"/>
    </row>
    <row r="161" spans="1:43" x14ac:dyDescent="0.25">
      <c r="A161" s="24">
        <v>158</v>
      </c>
      <c r="B161" s="24" t="s">
        <v>28</v>
      </c>
      <c r="C161" s="8" t="s">
        <v>980</v>
      </c>
      <c r="D161" s="8" t="s">
        <v>981</v>
      </c>
      <c r="E161" s="8"/>
      <c r="F161" s="24" t="s">
        <v>990</v>
      </c>
      <c r="G161" s="8"/>
      <c r="H161" s="8" t="s">
        <v>31</v>
      </c>
      <c r="I161" s="24" t="s">
        <v>984</v>
      </c>
      <c r="J161" s="8"/>
      <c r="K161" s="24">
        <v>0.126</v>
      </c>
      <c r="L161" s="24">
        <v>0.126</v>
      </c>
      <c r="M161" s="24">
        <v>1</v>
      </c>
      <c r="N161" s="24" t="s">
        <v>33</v>
      </c>
      <c r="O161" s="24">
        <f t="shared" si="16"/>
        <v>2.1545999999999998</v>
      </c>
      <c r="P161" s="24">
        <f t="shared" si="17"/>
        <v>2.5137</v>
      </c>
      <c r="Q161" s="24">
        <f t="shared" si="18"/>
        <v>1.4364000000000001</v>
      </c>
      <c r="R161" s="24">
        <f t="shared" si="19"/>
        <v>1.0772999999999999</v>
      </c>
      <c r="S161" s="37">
        <v>7.1820000000000004</v>
      </c>
      <c r="T161" s="8">
        <v>105991.94</v>
      </c>
      <c r="U161" s="8">
        <v>13354.98444</v>
      </c>
      <c r="V161" s="8"/>
      <c r="W161" s="8"/>
      <c r="X161" s="24" t="s">
        <v>991</v>
      </c>
      <c r="Y161" s="24">
        <v>73027</v>
      </c>
      <c r="Z161" s="8">
        <v>6.18</v>
      </c>
      <c r="AA161" s="8" t="s">
        <v>990</v>
      </c>
      <c r="AB161" s="8">
        <v>18</v>
      </c>
      <c r="AC161" s="24">
        <v>5814</v>
      </c>
      <c r="AD161" s="8"/>
      <c r="AE161" s="319" t="s">
        <v>984</v>
      </c>
      <c r="AF161" s="198">
        <f t="shared" si="14"/>
        <v>3.78E-2</v>
      </c>
      <c r="AG161" s="109"/>
      <c r="AH161" s="109"/>
      <c r="AI161" s="110"/>
      <c r="AJ161" s="113"/>
      <c r="AK161" s="299"/>
      <c r="AL161" s="299"/>
      <c r="AM161" s="300"/>
      <c r="AN161" s="20"/>
      <c r="AO161" s="8"/>
      <c r="AP161" s="8"/>
      <c r="AQ161" s="21"/>
    </row>
    <row r="162" spans="1:43" x14ac:dyDescent="0.25">
      <c r="A162" s="24">
        <v>159</v>
      </c>
      <c r="B162" s="24" t="s">
        <v>28</v>
      </c>
      <c r="C162" s="24" t="s">
        <v>980</v>
      </c>
      <c r="D162" s="24" t="s">
        <v>981</v>
      </c>
      <c r="E162" s="24"/>
      <c r="F162" s="24" t="s">
        <v>990</v>
      </c>
      <c r="G162" s="24"/>
      <c r="H162" s="24" t="s">
        <v>31</v>
      </c>
      <c r="I162" s="24" t="s">
        <v>984</v>
      </c>
      <c r="J162" s="24"/>
      <c r="K162" s="24">
        <v>0.126</v>
      </c>
      <c r="L162" s="24">
        <v>0.126</v>
      </c>
      <c r="M162" s="24">
        <v>1</v>
      </c>
      <c r="N162" s="24" t="s">
        <v>33</v>
      </c>
      <c r="O162" s="24">
        <f t="shared" si="16"/>
        <v>2.1545999999999998</v>
      </c>
      <c r="P162" s="24">
        <f t="shared" si="17"/>
        <v>2.5137</v>
      </c>
      <c r="Q162" s="24">
        <f t="shared" si="18"/>
        <v>1.4364000000000001</v>
      </c>
      <c r="R162" s="24">
        <f t="shared" si="19"/>
        <v>1.0772999999999999</v>
      </c>
      <c r="S162" s="37">
        <v>7.1820000000000004</v>
      </c>
      <c r="T162" s="8">
        <v>105991.94</v>
      </c>
      <c r="U162" s="8">
        <v>13354.98444</v>
      </c>
      <c r="V162" s="8"/>
      <c r="W162" s="8"/>
      <c r="X162" s="24" t="s">
        <v>991</v>
      </c>
      <c r="Y162" s="24">
        <v>73028</v>
      </c>
      <c r="Z162" s="24">
        <v>6.18</v>
      </c>
      <c r="AA162" s="24" t="s">
        <v>990</v>
      </c>
      <c r="AB162" s="24">
        <v>1</v>
      </c>
      <c r="AC162" s="24">
        <v>5814</v>
      </c>
      <c r="AD162" s="8"/>
      <c r="AE162" s="319" t="s">
        <v>984</v>
      </c>
      <c r="AF162" s="113"/>
      <c r="AG162" s="109"/>
      <c r="AH162" s="109"/>
      <c r="AI162" s="110"/>
      <c r="AJ162" s="20"/>
      <c r="AK162" s="8"/>
      <c r="AL162" s="8"/>
      <c r="AM162" s="21"/>
      <c r="AN162" s="20"/>
      <c r="AO162" s="8"/>
      <c r="AP162" s="8"/>
      <c r="AQ162" s="21"/>
    </row>
    <row r="163" spans="1:43" x14ac:dyDescent="0.25">
      <c r="A163" s="24">
        <v>160</v>
      </c>
      <c r="B163" s="24" t="s">
        <v>28</v>
      </c>
      <c r="C163" s="24" t="s">
        <v>980</v>
      </c>
      <c r="D163" s="24" t="s">
        <v>981</v>
      </c>
      <c r="E163" s="24"/>
      <c r="F163" s="24" t="s">
        <v>990</v>
      </c>
      <c r="G163" s="24"/>
      <c r="H163" s="24" t="s">
        <v>31</v>
      </c>
      <c r="I163" s="24" t="s">
        <v>984</v>
      </c>
      <c r="J163" s="24"/>
      <c r="K163" s="24">
        <v>0.126</v>
      </c>
      <c r="L163" s="24">
        <v>0.126</v>
      </c>
      <c r="M163" s="24">
        <v>1</v>
      </c>
      <c r="N163" s="24" t="s">
        <v>33</v>
      </c>
      <c r="O163" s="24">
        <f t="shared" si="16"/>
        <v>2.1545999999999998</v>
      </c>
      <c r="P163" s="24">
        <f t="shared" si="17"/>
        <v>2.5137</v>
      </c>
      <c r="Q163" s="24">
        <f t="shared" si="18"/>
        <v>1.4364000000000001</v>
      </c>
      <c r="R163" s="24">
        <f t="shared" si="19"/>
        <v>1.0772999999999999</v>
      </c>
      <c r="S163" s="37">
        <v>7.1820000000000004</v>
      </c>
      <c r="T163" s="8">
        <v>105991.94</v>
      </c>
      <c r="U163" s="8">
        <v>13354.98444</v>
      </c>
      <c r="V163" s="8"/>
      <c r="W163" s="8"/>
      <c r="X163" s="24" t="s">
        <v>991</v>
      </c>
      <c r="Y163" s="24">
        <v>73028</v>
      </c>
      <c r="Z163" s="24">
        <v>6.18</v>
      </c>
      <c r="AA163" s="24" t="s">
        <v>990</v>
      </c>
      <c r="AB163" s="24">
        <v>2</v>
      </c>
      <c r="AC163" s="24">
        <v>5814</v>
      </c>
      <c r="AD163" s="8"/>
      <c r="AE163" s="319" t="s">
        <v>984</v>
      </c>
      <c r="AF163" s="113"/>
      <c r="AG163" s="109"/>
      <c r="AH163" s="109"/>
      <c r="AI163" s="110"/>
      <c r="AJ163" s="20"/>
      <c r="AK163" s="8"/>
      <c r="AL163" s="8"/>
      <c r="AM163" s="21"/>
      <c r="AN163" s="20"/>
      <c r="AO163" s="8"/>
      <c r="AP163" s="8"/>
      <c r="AQ163" s="21"/>
    </row>
    <row r="164" spans="1:43" x14ac:dyDescent="0.25">
      <c r="A164" s="24">
        <v>161</v>
      </c>
      <c r="B164" s="24" t="s">
        <v>28</v>
      </c>
      <c r="C164" s="24" t="s">
        <v>980</v>
      </c>
      <c r="D164" s="24" t="s">
        <v>981</v>
      </c>
      <c r="E164" s="24"/>
      <c r="F164" s="24" t="s">
        <v>990</v>
      </c>
      <c r="G164" s="24"/>
      <c r="H164" s="24" t="s">
        <v>31</v>
      </c>
      <c r="I164" s="24" t="s">
        <v>984</v>
      </c>
      <c r="J164" s="24"/>
      <c r="K164" s="24">
        <v>0.126</v>
      </c>
      <c r="L164" s="24">
        <v>0.126</v>
      </c>
      <c r="M164" s="24">
        <v>1</v>
      </c>
      <c r="N164" s="24" t="s">
        <v>33</v>
      </c>
      <c r="O164" s="24">
        <f t="shared" si="16"/>
        <v>2.1545999999999998</v>
      </c>
      <c r="P164" s="24">
        <f t="shared" si="17"/>
        <v>2.5137</v>
      </c>
      <c r="Q164" s="24">
        <f t="shared" si="18"/>
        <v>1.4364000000000001</v>
      </c>
      <c r="R164" s="24">
        <f t="shared" si="19"/>
        <v>1.0772999999999999</v>
      </c>
      <c r="S164" s="37">
        <v>7.1820000000000004</v>
      </c>
      <c r="T164" s="8">
        <v>105991.94</v>
      </c>
      <c r="U164" s="8">
        <v>13354.98444</v>
      </c>
      <c r="V164" s="8"/>
      <c r="W164" s="8"/>
      <c r="X164" s="24" t="s">
        <v>991</v>
      </c>
      <c r="Y164" s="24">
        <v>73028</v>
      </c>
      <c r="Z164" s="24">
        <v>6.18</v>
      </c>
      <c r="AA164" s="24" t="s">
        <v>990</v>
      </c>
      <c r="AB164" s="24">
        <v>3</v>
      </c>
      <c r="AC164" s="24">
        <v>5814</v>
      </c>
      <c r="AD164" s="8"/>
      <c r="AE164" s="319" t="s">
        <v>984</v>
      </c>
      <c r="AF164" s="113"/>
      <c r="AG164" s="109"/>
      <c r="AH164" s="109"/>
      <c r="AI164" s="110"/>
      <c r="AJ164" s="20"/>
      <c r="AK164" s="8"/>
      <c r="AL164" s="8"/>
      <c r="AM164" s="21"/>
      <c r="AN164" s="20"/>
      <c r="AO164" s="8"/>
      <c r="AP164" s="8"/>
      <c r="AQ164" s="21"/>
    </row>
    <row r="165" spans="1:43" x14ac:dyDescent="0.25">
      <c r="A165" s="24">
        <v>162</v>
      </c>
      <c r="B165" s="24" t="s">
        <v>28</v>
      </c>
      <c r="C165" s="24" t="s">
        <v>980</v>
      </c>
      <c r="D165" s="24" t="s">
        <v>981</v>
      </c>
      <c r="E165" s="24"/>
      <c r="F165" s="24" t="s">
        <v>990</v>
      </c>
      <c r="G165" s="24"/>
      <c r="H165" s="24" t="s">
        <v>31</v>
      </c>
      <c r="I165" s="24" t="s">
        <v>984</v>
      </c>
      <c r="J165" s="24"/>
      <c r="K165" s="24">
        <v>0.126</v>
      </c>
      <c r="L165" s="24">
        <v>0.126</v>
      </c>
      <c r="M165" s="24">
        <v>1</v>
      </c>
      <c r="N165" s="24" t="s">
        <v>33</v>
      </c>
      <c r="O165" s="24">
        <f t="shared" si="16"/>
        <v>2.1545999999999998</v>
      </c>
      <c r="P165" s="24">
        <f t="shared" si="17"/>
        <v>2.5137</v>
      </c>
      <c r="Q165" s="24">
        <f t="shared" si="18"/>
        <v>1.4364000000000001</v>
      </c>
      <c r="R165" s="24">
        <f t="shared" si="19"/>
        <v>1.0772999999999999</v>
      </c>
      <c r="S165" s="37">
        <v>7.1820000000000004</v>
      </c>
      <c r="T165" s="8">
        <v>105991.94</v>
      </c>
      <c r="U165" s="8">
        <v>13354.98444</v>
      </c>
      <c r="V165" s="8"/>
      <c r="W165" s="8"/>
      <c r="X165" s="24" t="s">
        <v>991</v>
      </c>
      <c r="Y165" s="24">
        <v>73028</v>
      </c>
      <c r="Z165" s="24">
        <v>6.18</v>
      </c>
      <c r="AA165" s="24" t="s">
        <v>990</v>
      </c>
      <c r="AB165" s="24">
        <v>4</v>
      </c>
      <c r="AC165" s="24">
        <v>5814</v>
      </c>
      <c r="AD165" s="8"/>
      <c r="AE165" s="319" t="s">
        <v>984</v>
      </c>
      <c r="AF165" s="113"/>
      <c r="AG165" s="109"/>
      <c r="AH165" s="109"/>
      <c r="AI165" s="110"/>
      <c r="AJ165" s="20"/>
      <c r="AK165" s="8"/>
      <c r="AL165" s="8"/>
      <c r="AM165" s="21"/>
      <c r="AN165" s="20"/>
      <c r="AO165" s="8"/>
      <c r="AP165" s="8"/>
      <c r="AQ165" s="21"/>
    </row>
    <row r="166" spans="1:43" x14ac:dyDescent="0.25">
      <c r="A166" s="24">
        <v>163</v>
      </c>
      <c r="B166" s="24" t="s">
        <v>28</v>
      </c>
      <c r="C166" s="24" t="s">
        <v>980</v>
      </c>
      <c r="D166" s="24" t="s">
        <v>981</v>
      </c>
      <c r="E166" s="24"/>
      <c r="F166" s="24" t="s">
        <v>990</v>
      </c>
      <c r="G166" s="24"/>
      <c r="H166" s="24" t="s">
        <v>31</v>
      </c>
      <c r="I166" s="24" t="s">
        <v>984</v>
      </c>
      <c r="J166" s="24"/>
      <c r="K166" s="24">
        <v>0.126</v>
      </c>
      <c r="L166" s="24">
        <v>0.126</v>
      </c>
      <c r="M166" s="24">
        <v>1</v>
      </c>
      <c r="N166" s="24" t="s">
        <v>33</v>
      </c>
      <c r="O166" s="24">
        <f t="shared" si="16"/>
        <v>2.1545999999999998</v>
      </c>
      <c r="P166" s="24">
        <f t="shared" si="17"/>
        <v>2.5137</v>
      </c>
      <c r="Q166" s="24">
        <f t="shared" si="18"/>
        <v>1.4364000000000001</v>
      </c>
      <c r="R166" s="24">
        <f t="shared" si="19"/>
        <v>1.0772999999999999</v>
      </c>
      <c r="S166" s="37">
        <v>7.1820000000000004</v>
      </c>
      <c r="T166" s="8">
        <v>105991.94</v>
      </c>
      <c r="U166" s="8">
        <v>13354.98444</v>
      </c>
      <c r="V166" s="8"/>
      <c r="W166" s="8"/>
      <c r="X166" s="24" t="s">
        <v>991</v>
      </c>
      <c r="Y166" s="24">
        <v>73028</v>
      </c>
      <c r="Z166" s="24">
        <v>6.18</v>
      </c>
      <c r="AA166" s="24" t="s">
        <v>990</v>
      </c>
      <c r="AB166" s="24">
        <v>5</v>
      </c>
      <c r="AC166" s="24">
        <v>5814</v>
      </c>
      <c r="AD166" s="8"/>
      <c r="AE166" s="319" t="s">
        <v>984</v>
      </c>
      <c r="AF166" s="113"/>
      <c r="AG166" s="109"/>
      <c r="AH166" s="109"/>
      <c r="AI166" s="110"/>
      <c r="AJ166" s="20"/>
      <c r="AK166" s="8"/>
      <c r="AL166" s="8"/>
      <c r="AM166" s="21"/>
      <c r="AN166" s="20"/>
      <c r="AO166" s="8"/>
      <c r="AP166" s="8"/>
      <c r="AQ166" s="21"/>
    </row>
    <row r="167" spans="1:43" x14ac:dyDescent="0.25">
      <c r="A167" s="24">
        <v>164</v>
      </c>
      <c r="B167" s="24" t="s">
        <v>28</v>
      </c>
      <c r="C167" s="24" t="s">
        <v>980</v>
      </c>
      <c r="D167" s="24" t="s">
        <v>981</v>
      </c>
      <c r="E167" s="24"/>
      <c r="F167" s="24" t="s">
        <v>990</v>
      </c>
      <c r="G167" s="24"/>
      <c r="H167" s="24" t="s">
        <v>31</v>
      </c>
      <c r="I167" s="24" t="s">
        <v>984</v>
      </c>
      <c r="J167" s="24"/>
      <c r="K167" s="24">
        <v>0.126</v>
      </c>
      <c r="L167" s="24">
        <v>0.126</v>
      </c>
      <c r="M167" s="24">
        <v>1</v>
      </c>
      <c r="N167" s="24" t="s">
        <v>33</v>
      </c>
      <c r="O167" s="24">
        <f t="shared" si="16"/>
        <v>2.1545999999999998</v>
      </c>
      <c r="P167" s="24">
        <f t="shared" si="17"/>
        <v>2.5137</v>
      </c>
      <c r="Q167" s="24">
        <f t="shared" si="18"/>
        <v>1.4364000000000001</v>
      </c>
      <c r="R167" s="24">
        <f t="shared" si="19"/>
        <v>1.0772999999999999</v>
      </c>
      <c r="S167" s="37">
        <v>7.1820000000000004</v>
      </c>
      <c r="T167" s="8">
        <v>105991.94</v>
      </c>
      <c r="U167" s="8">
        <v>13354.98444</v>
      </c>
      <c r="V167" s="8"/>
      <c r="W167" s="8"/>
      <c r="X167" s="24" t="s">
        <v>991</v>
      </c>
      <c r="Y167" s="24">
        <v>73028</v>
      </c>
      <c r="Z167" s="24">
        <v>6.18</v>
      </c>
      <c r="AA167" s="24" t="s">
        <v>990</v>
      </c>
      <c r="AB167" s="24">
        <v>6</v>
      </c>
      <c r="AC167" s="24">
        <v>5814</v>
      </c>
      <c r="AD167" s="8"/>
      <c r="AE167" s="319" t="s">
        <v>984</v>
      </c>
      <c r="AF167" s="113"/>
      <c r="AG167" s="109"/>
      <c r="AH167" s="109"/>
      <c r="AI167" s="110"/>
      <c r="AJ167" s="20"/>
      <c r="AK167" s="8"/>
      <c r="AL167" s="8"/>
      <c r="AM167" s="21"/>
      <c r="AN167" s="20"/>
      <c r="AO167" s="8"/>
      <c r="AP167" s="8"/>
      <c r="AQ167" s="21"/>
    </row>
    <row r="168" spans="1:43" x14ac:dyDescent="0.25">
      <c r="A168" s="24">
        <v>165</v>
      </c>
      <c r="B168" s="24" t="s">
        <v>28</v>
      </c>
      <c r="C168" s="24" t="s">
        <v>980</v>
      </c>
      <c r="D168" s="24" t="s">
        <v>981</v>
      </c>
      <c r="E168" s="24"/>
      <c r="F168" s="24" t="s">
        <v>990</v>
      </c>
      <c r="G168" s="24"/>
      <c r="H168" s="24" t="s">
        <v>31</v>
      </c>
      <c r="I168" s="24" t="s">
        <v>984</v>
      </c>
      <c r="J168" s="24"/>
      <c r="K168" s="24">
        <v>0.126</v>
      </c>
      <c r="L168" s="24">
        <v>0.126</v>
      </c>
      <c r="M168" s="24">
        <v>1</v>
      </c>
      <c r="N168" s="24" t="s">
        <v>33</v>
      </c>
      <c r="O168" s="24">
        <f t="shared" si="16"/>
        <v>2.1545999999999998</v>
      </c>
      <c r="P168" s="24">
        <f t="shared" si="17"/>
        <v>2.5137</v>
      </c>
      <c r="Q168" s="24">
        <f t="shared" si="18"/>
        <v>1.4364000000000001</v>
      </c>
      <c r="R168" s="24">
        <f t="shared" si="19"/>
        <v>1.0772999999999999</v>
      </c>
      <c r="S168" s="37">
        <v>7.1820000000000004</v>
      </c>
      <c r="T168" s="8">
        <v>105991.94</v>
      </c>
      <c r="U168" s="8">
        <v>13354.98444</v>
      </c>
      <c r="V168" s="8"/>
      <c r="W168" s="8"/>
      <c r="X168" s="24" t="s">
        <v>991</v>
      </c>
      <c r="Y168" s="24">
        <v>73028</v>
      </c>
      <c r="Z168" s="24">
        <v>6.18</v>
      </c>
      <c r="AA168" s="24" t="s">
        <v>990</v>
      </c>
      <c r="AB168" s="24">
        <v>7</v>
      </c>
      <c r="AC168" s="24">
        <v>5814</v>
      </c>
      <c r="AD168" s="8"/>
      <c r="AE168" s="319" t="s">
        <v>984</v>
      </c>
      <c r="AF168" s="113"/>
      <c r="AG168" s="109"/>
      <c r="AH168" s="109"/>
      <c r="AI168" s="110"/>
      <c r="AJ168" s="20"/>
      <c r="AK168" s="8"/>
      <c r="AL168" s="8"/>
      <c r="AM168" s="21"/>
      <c r="AN168" s="20"/>
      <c r="AO168" s="8"/>
      <c r="AP168" s="8"/>
      <c r="AQ168" s="21"/>
    </row>
    <row r="169" spans="1:43" x14ac:dyDescent="0.25">
      <c r="A169" s="24">
        <v>166</v>
      </c>
      <c r="B169" s="24" t="s">
        <v>28</v>
      </c>
      <c r="C169" s="24" t="s">
        <v>980</v>
      </c>
      <c r="D169" s="24" t="s">
        <v>981</v>
      </c>
      <c r="E169" s="24"/>
      <c r="F169" s="24" t="s">
        <v>990</v>
      </c>
      <c r="G169" s="24"/>
      <c r="H169" s="24" t="s">
        <v>31</v>
      </c>
      <c r="I169" s="24" t="s">
        <v>984</v>
      </c>
      <c r="J169" s="24"/>
      <c r="K169" s="24">
        <v>0.126</v>
      </c>
      <c r="L169" s="24">
        <v>0.126</v>
      </c>
      <c r="M169" s="24">
        <v>1</v>
      </c>
      <c r="N169" s="24" t="s">
        <v>33</v>
      </c>
      <c r="O169" s="24">
        <f t="shared" si="16"/>
        <v>2.1545999999999998</v>
      </c>
      <c r="P169" s="24">
        <f t="shared" si="17"/>
        <v>2.5137</v>
      </c>
      <c r="Q169" s="24">
        <f t="shared" si="18"/>
        <v>1.4364000000000001</v>
      </c>
      <c r="R169" s="24">
        <f t="shared" si="19"/>
        <v>1.0772999999999999</v>
      </c>
      <c r="S169" s="37">
        <v>7.1820000000000004</v>
      </c>
      <c r="T169" s="8">
        <v>105991.94</v>
      </c>
      <c r="U169" s="8">
        <v>13354.98444</v>
      </c>
      <c r="V169" s="8"/>
      <c r="W169" s="8"/>
      <c r="X169" s="24" t="s">
        <v>991</v>
      </c>
      <c r="Y169" s="24">
        <v>73028</v>
      </c>
      <c r="Z169" s="24">
        <v>6.18</v>
      </c>
      <c r="AA169" s="24" t="s">
        <v>990</v>
      </c>
      <c r="AB169" s="24">
        <v>8</v>
      </c>
      <c r="AC169" s="24">
        <v>5814</v>
      </c>
      <c r="AD169" s="8"/>
      <c r="AE169" s="319" t="s">
        <v>984</v>
      </c>
      <c r="AF169" s="113"/>
      <c r="AG169" s="109"/>
      <c r="AH169" s="109"/>
      <c r="AI169" s="110"/>
      <c r="AJ169" s="20"/>
      <c r="AK169" s="8"/>
      <c r="AL169" s="8"/>
      <c r="AM169" s="21"/>
      <c r="AN169" s="20"/>
      <c r="AO169" s="8"/>
      <c r="AP169" s="8"/>
      <c r="AQ169" s="21"/>
    </row>
    <row r="170" spans="1:43" x14ac:dyDescent="0.25">
      <c r="A170" s="24">
        <v>167</v>
      </c>
      <c r="B170" s="24" t="s">
        <v>28</v>
      </c>
      <c r="C170" s="24" t="s">
        <v>980</v>
      </c>
      <c r="D170" s="24" t="s">
        <v>981</v>
      </c>
      <c r="E170" s="24"/>
      <c r="F170" s="24" t="s">
        <v>990</v>
      </c>
      <c r="G170" s="24"/>
      <c r="H170" s="24" t="s">
        <v>31</v>
      </c>
      <c r="I170" s="24" t="s">
        <v>984</v>
      </c>
      <c r="J170" s="24"/>
      <c r="K170" s="24">
        <v>0.126</v>
      </c>
      <c r="L170" s="24">
        <v>0.126</v>
      </c>
      <c r="M170" s="24">
        <v>1</v>
      </c>
      <c r="N170" s="24" t="s">
        <v>33</v>
      </c>
      <c r="O170" s="24">
        <f t="shared" si="16"/>
        <v>2.1545999999999998</v>
      </c>
      <c r="P170" s="24">
        <f t="shared" si="17"/>
        <v>2.5137</v>
      </c>
      <c r="Q170" s="24">
        <f t="shared" si="18"/>
        <v>1.4364000000000001</v>
      </c>
      <c r="R170" s="24">
        <f t="shared" si="19"/>
        <v>1.0772999999999999</v>
      </c>
      <c r="S170" s="37">
        <v>7.1820000000000004</v>
      </c>
      <c r="T170" s="8">
        <v>105991.94</v>
      </c>
      <c r="U170" s="8">
        <v>13354.98444</v>
      </c>
      <c r="V170" s="8"/>
      <c r="W170" s="8"/>
      <c r="X170" s="24" t="s">
        <v>991</v>
      </c>
      <c r="Y170" s="24">
        <v>73028</v>
      </c>
      <c r="Z170" s="24">
        <v>6.18</v>
      </c>
      <c r="AA170" s="24" t="s">
        <v>990</v>
      </c>
      <c r="AB170" s="24">
        <v>9</v>
      </c>
      <c r="AC170" s="24">
        <v>5814</v>
      </c>
      <c r="AD170" s="8"/>
      <c r="AE170" s="319" t="s">
        <v>984</v>
      </c>
      <c r="AF170" s="113"/>
      <c r="AG170" s="109"/>
      <c r="AH170" s="109"/>
      <c r="AI170" s="110"/>
      <c r="AJ170" s="20"/>
      <c r="AK170" s="8"/>
      <c r="AL170" s="8"/>
      <c r="AM170" s="21"/>
      <c r="AN170" s="20"/>
      <c r="AO170" s="8"/>
      <c r="AP170" s="8"/>
      <c r="AQ170" s="21"/>
    </row>
    <row r="171" spans="1:43" x14ac:dyDescent="0.25">
      <c r="A171" s="24">
        <v>168</v>
      </c>
      <c r="B171" s="24" t="s">
        <v>28</v>
      </c>
      <c r="C171" s="24" t="s">
        <v>980</v>
      </c>
      <c r="D171" s="24" t="s">
        <v>981</v>
      </c>
      <c r="E171" s="24"/>
      <c r="F171" s="24" t="s">
        <v>990</v>
      </c>
      <c r="G171" s="24"/>
      <c r="H171" s="24" t="s">
        <v>31</v>
      </c>
      <c r="I171" s="24" t="s">
        <v>984</v>
      </c>
      <c r="J171" s="24"/>
      <c r="K171" s="24">
        <v>0.126</v>
      </c>
      <c r="L171" s="24">
        <v>0.126</v>
      </c>
      <c r="M171" s="24">
        <v>1</v>
      </c>
      <c r="N171" s="24" t="s">
        <v>33</v>
      </c>
      <c r="O171" s="24">
        <f t="shared" si="16"/>
        <v>2.1545999999999998</v>
      </c>
      <c r="P171" s="24">
        <f t="shared" si="17"/>
        <v>2.5137</v>
      </c>
      <c r="Q171" s="24">
        <f t="shared" si="18"/>
        <v>1.4364000000000001</v>
      </c>
      <c r="R171" s="24">
        <f t="shared" si="19"/>
        <v>1.0772999999999999</v>
      </c>
      <c r="S171" s="37">
        <v>7.1820000000000004</v>
      </c>
      <c r="T171" s="8">
        <v>105991.94</v>
      </c>
      <c r="U171" s="8">
        <v>13354.98444</v>
      </c>
      <c r="V171" s="8"/>
      <c r="W171" s="8"/>
      <c r="X171" s="24" t="s">
        <v>991</v>
      </c>
      <c r="Y171" s="24">
        <v>73028</v>
      </c>
      <c r="Z171" s="24">
        <v>6.18</v>
      </c>
      <c r="AA171" s="24" t="s">
        <v>990</v>
      </c>
      <c r="AB171" s="24">
        <v>10</v>
      </c>
      <c r="AC171" s="24">
        <v>5814</v>
      </c>
      <c r="AD171" s="8"/>
      <c r="AE171" s="319" t="s">
        <v>984</v>
      </c>
      <c r="AF171" s="113"/>
      <c r="AG171" s="109"/>
      <c r="AH171" s="109"/>
      <c r="AI171" s="110"/>
      <c r="AJ171" s="20"/>
      <c r="AK171" s="8"/>
      <c r="AL171" s="8"/>
      <c r="AM171" s="21"/>
      <c r="AN171" s="20"/>
      <c r="AO171" s="8"/>
      <c r="AP171" s="8"/>
      <c r="AQ171" s="21"/>
    </row>
    <row r="172" spans="1:43" x14ac:dyDescent="0.25">
      <c r="A172" s="24">
        <v>169</v>
      </c>
      <c r="B172" s="24" t="s">
        <v>28</v>
      </c>
      <c r="C172" s="24" t="s">
        <v>980</v>
      </c>
      <c r="D172" s="24" t="s">
        <v>981</v>
      </c>
      <c r="E172" s="24"/>
      <c r="F172" s="24" t="s">
        <v>990</v>
      </c>
      <c r="G172" s="24"/>
      <c r="H172" s="24" t="s">
        <v>31</v>
      </c>
      <c r="I172" s="24" t="s">
        <v>984</v>
      </c>
      <c r="J172" s="24"/>
      <c r="K172" s="24">
        <v>0.126</v>
      </c>
      <c r="L172" s="24">
        <v>0.126</v>
      </c>
      <c r="M172" s="24">
        <v>1</v>
      </c>
      <c r="N172" s="24" t="s">
        <v>33</v>
      </c>
      <c r="O172" s="24">
        <f t="shared" si="16"/>
        <v>2.1545999999999998</v>
      </c>
      <c r="P172" s="24">
        <f t="shared" si="17"/>
        <v>2.5137</v>
      </c>
      <c r="Q172" s="24">
        <f t="shared" si="18"/>
        <v>1.4364000000000001</v>
      </c>
      <c r="R172" s="24">
        <f t="shared" si="19"/>
        <v>1.0772999999999999</v>
      </c>
      <c r="S172" s="37">
        <v>7.1820000000000004</v>
      </c>
      <c r="T172" s="8">
        <v>105991.94</v>
      </c>
      <c r="U172" s="8">
        <v>13354.98444</v>
      </c>
      <c r="V172" s="8"/>
      <c r="W172" s="8"/>
      <c r="X172" s="24" t="s">
        <v>991</v>
      </c>
      <c r="Y172" s="24">
        <v>73028</v>
      </c>
      <c r="Z172" s="24">
        <v>6.18</v>
      </c>
      <c r="AA172" s="24" t="s">
        <v>990</v>
      </c>
      <c r="AB172" s="24">
        <v>11</v>
      </c>
      <c r="AC172" s="24">
        <v>5814</v>
      </c>
      <c r="AD172" s="8"/>
      <c r="AE172" s="319" t="s">
        <v>984</v>
      </c>
      <c r="AF172" s="113"/>
      <c r="AG172" s="109"/>
      <c r="AH172" s="109"/>
      <c r="AI172" s="110"/>
      <c r="AJ172" s="20"/>
      <c r="AK172" s="8"/>
      <c r="AL172" s="8"/>
      <c r="AM172" s="21"/>
      <c r="AN172" s="20"/>
      <c r="AO172" s="8"/>
      <c r="AP172" s="8"/>
      <c r="AQ172" s="21"/>
    </row>
    <row r="173" spans="1:43" x14ac:dyDescent="0.25">
      <c r="A173" s="24">
        <v>170</v>
      </c>
      <c r="B173" s="24" t="s">
        <v>28</v>
      </c>
      <c r="C173" s="24" t="s">
        <v>980</v>
      </c>
      <c r="D173" s="24" t="s">
        <v>981</v>
      </c>
      <c r="E173" s="24"/>
      <c r="F173" s="24" t="s">
        <v>990</v>
      </c>
      <c r="G173" s="24"/>
      <c r="H173" s="24" t="s">
        <v>31</v>
      </c>
      <c r="I173" s="24" t="s">
        <v>984</v>
      </c>
      <c r="J173" s="24"/>
      <c r="K173" s="24">
        <v>0.126</v>
      </c>
      <c r="L173" s="24">
        <v>0.126</v>
      </c>
      <c r="M173" s="24">
        <v>1</v>
      </c>
      <c r="N173" s="24" t="s">
        <v>33</v>
      </c>
      <c r="O173" s="24">
        <f t="shared" si="16"/>
        <v>2.1545999999999998</v>
      </c>
      <c r="P173" s="24">
        <f t="shared" si="17"/>
        <v>2.5137</v>
      </c>
      <c r="Q173" s="24">
        <f t="shared" si="18"/>
        <v>1.4364000000000001</v>
      </c>
      <c r="R173" s="24">
        <f t="shared" si="19"/>
        <v>1.0772999999999999</v>
      </c>
      <c r="S173" s="37">
        <v>7.1820000000000004</v>
      </c>
      <c r="T173" s="8">
        <v>105991.94</v>
      </c>
      <c r="U173" s="8">
        <v>13354.98444</v>
      </c>
      <c r="V173" s="8"/>
      <c r="W173" s="8"/>
      <c r="X173" s="24" t="s">
        <v>991</v>
      </c>
      <c r="Y173" s="24">
        <v>73028</v>
      </c>
      <c r="Z173" s="24">
        <v>6.18</v>
      </c>
      <c r="AA173" s="24" t="s">
        <v>990</v>
      </c>
      <c r="AB173" s="24">
        <v>12</v>
      </c>
      <c r="AC173" s="24">
        <v>5814</v>
      </c>
      <c r="AD173" s="8"/>
      <c r="AE173" s="319" t="s">
        <v>984</v>
      </c>
      <c r="AF173" s="113"/>
      <c r="AG173" s="109"/>
      <c r="AH173" s="109"/>
      <c r="AI173" s="110"/>
      <c r="AJ173" s="20"/>
      <c r="AK173" s="8"/>
      <c r="AL173" s="8"/>
      <c r="AM173" s="21"/>
      <c r="AN173" s="20"/>
      <c r="AO173" s="8"/>
      <c r="AP173" s="8"/>
      <c r="AQ173" s="21"/>
    </row>
    <row r="174" spans="1:43" x14ac:dyDescent="0.25">
      <c r="A174" s="24">
        <v>171</v>
      </c>
      <c r="B174" s="24" t="s">
        <v>28</v>
      </c>
      <c r="C174" s="24" t="s">
        <v>980</v>
      </c>
      <c r="D174" s="24" t="s">
        <v>981</v>
      </c>
      <c r="E174" s="24"/>
      <c r="F174" s="24" t="s">
        <v>990</v>
      </c>
      <c r="G174" s="24"/>
      <c r="H174" s="24" t="s">
        <v>31</v>
      </c>
      <c r="I174" s="24" t="s">
        <v>984</v>
      </c>
      <c r="J174" s="24"/>
      <c r="K174" s="24">
        <v>0.126</v>
      </c>
      <c r="L174" s="24">
        <v>0.126</v>
      </c>
      <c r="M174" s="24">
        <v>1</v>
      </c>
      <c r="N174" s="24" t="s">
        <v>33</v>
      </c>
      <c r="O174" s="24">
        <f t="shared" si="16"/>
        <v>2.1545999999999998</v>
      </c>
      <c r="P174" s="24">
        <f t="shared" si="17"/>
        <v>2.5137</v>
      </c>
      <c r="Q174" s="24">
        <f t="shared" si="18"/>
        <v>1.4364000000000001</v>
      </c>
      <c r="R174" s="24">
        <f t="shared" si="19"/>
        <v>1.0772999999999999</v>
      </c>
      <c r="S174" s="37">
        <v>7.1820000000000004</v>
      </c>
      <c r="T174" s="8">
        <v>105991.94</v>
      </c>
      <c r="U174" s="8">
        <v>13354.98444</v>
      </c>
      <c r="V174" s="8"/>
      <c r="W174" s="8"/>
      <c r="X174" s="24" t="s">
        <v>991</v>
      </c>
      <c r="Y174" s="24">
        <v>73028</v>
      </c>
      <c r="Z174" s="24">
        <v>6.18</v>
      </c>
      <c r="AA174" s="24" t="s">
        <v>990</v>
      </c>
      <c r="AB174" s="24">
        <v>13</v>
      </c>
      <c r="AC174" s="24">
        <v>5814</v>
      </c>
      <c r="AD174" s="8"/>
      <c r="AE174" s="319" t="s">
        <v>984</v>
      </c>
      <c r="AF174" s="113"/>
      <c r="AG174" s="109"/>
      <c r="AH174" s="109"/>
      <c r="AI174" s="110"/>
      <c r="AJ174" s="20"/>
      <c r="AK174" s="8"/>
      <c r="AL174" s="8"/>
      <c r="AM174" s="21"/>
      <c r="AN174" s="20"/>
      <c r="AO174" s="8"/>
      <c r="AP174" s="8"/>
      <c r="AQ174" s="21"/>
    </row>
    <row r="175" spans="1:43" x14ac:dyDescent="0.25">
      <c r="A175" s="24">
        <v>172</v>
      </c>
      <c r="B175" s="24" t="s">
        <v>28</v>
      </c>
      <c r="C175" s="24" t="s">
        <v>980</v>
      </c>
      <c r="D175" s="24" t="s">
        <v>981</v>
      </c>
      <c r="E175" s="24"/>
      <c r="F175" s="24" t="s">
        <v>990</v>
      </c>
      <c r="G175" s="24"/>
      <c r="H175" s="24" t="s">
        <v>31</v>
      </c>
      <c r="I175" s="24" t="s">
        <v>984</v>
      </c>
      <c r="J175" s="24"/>
      <c r="K175" s="24">
        <v>0.126</v>
      </c>
      <c r="L175" s="24">
        <v>0.126</v>
      </c>
      <c r="M175" s="24">
        <v>1</v>
      </c>
      <c r="N175" s="24" t="s">
        <v>33</v>
      </c>
      <c r="O175" s="24">
        <f t="shared" si="16"/>
        <v>2.1545999999999998</v>
      </c>
      <c r="P175" s="24">
        <f t="shared" si="17"/>
        <v>2.5137</v>
      </c>
      <c r="Q175" s="24">
        <f t="shared" si="18"/>
        <v>1.4364000000000001</v>
      </c>
      <c r="R175" s="24">
        <f t="shared" si="19"/>
        <v>1.0772999999999999</v>
      </c>
      <c r="S175" s="37">
        <v>7.1820000000000004</v>
      </c>
      <c r="T175" s="8">
        <v>105991.94</v>
      </c>
      <c r="U175" s="8">
        <v>13354.98444</v>
      </c>
      <c r="V175" s="8"/>
      <c r="W175" s="8"/>
      <c r="X175" s="24" t="s">
        <v>991</v>
      </c>
      <c r="Y175" s="24">
        <v>73028</v>
      </c>
      <c r="Z175" s="24">
        <v>6.18</v>
      </c>
      <c r="AA175" s="24" t="s">
        <v>990</v>
      </c>
      <c r="AB175" s="24">
        <v>14</v>
      </c>
      <c r="AC175" s="24">
        <v>5814</v>
      </c>
      <c r="AD175" s="8"/>
      <c r="AE175" s="319" t="s">
        <v>984</v>
      </c>
      <c r="AF175" s="113"/>
      <c r="AG175" s="109"/>
      <c r="AH175" s="109"/>
      <c r="AI175" s="110"/>
      <c r="AJ175" s="20"/>
      <c r="AK175" s="8"/>
      <c r="AL175" s="8"/>
      <c r="AM175" s="21"/>
      <c r="AN175" s="20"/>
      <c r="AO175" s="8"/>
      <c r="AP175" s="8"/>
      <c r="AQ175" s="21"/>
    </row>
    <row r="176" spans="1:43" x14ac:dyDescent="0.25">
      <c r="A176" s="24">
        <v>173</v>
      </c>
      <c r="B176" s="24" t="s">
        <v>28</v>
      </c>
      <c r="C176" s="24" t="s">
        <v>980</v>
      </c>
      <c r="D176" s="24" t="s">
        <v>981</v>
      </c>
      <c r="E176" s="24"/>
      <c r="F176" s="24" t="s">
        <v>990</v>
      </c>
      <c r="G176" s="24"/>
      <c r="H176" s="24" t="s">
        <v>31</v>
      </c>
      <c r="I176" s="24" t="s">
        <v>984</v>
      </c>
      <c r="J176" s="24"/>
      <c r="K176" s="24">
        <v>0.126</v>
      </c>
      <c r="L176" s="24">
        <v>0.126</v>
      </c>
      <c r="M176" s="24">
        <v>1</v>
      </c>
      <c r="N176" s="24" t="s">
        <v>33</v>
      </c>
      <c r="O176" s="24">
        <f t="shared" si="16"/>
        <v>2.1545999999999998</v>
      </c>
      <c r="P176" s="24">
        <f t="shared" si="17"/>
        <v>2.5137</v>
      </c>
      <c r="Q176" s="24">
        <f t="shared" si="18"/>
        <v>1.4364000000000001</v>
      </c>
      <c r="R176" s="24">
        <f t="shared" si="19"/>
        <v>1.0772999999999999</v>
      </c>
      <c r="S176" s="37">
        <v>7.1820000000000004</v>
      </c>
      <c r="T176" s="8">
        <v>105991.94</v>
      </c>
      <c r="U176" s="8">
        <v>13354.98444</v>
      </c>
      <c r="V176" s="8"/>
      <c r="W176" s="8"/>
      <c r="X176" s="24" t="s">
        <v>991</v>
      </c>
      <c r="Y176" s="24">
        <v>73028</v>
      </c>
      <c r="Z176" s="24">
        <v>6.18</v>
      </c>
      <c r="AA176" s="24" t="s">
        <v>990</v>
      </c>
      <c r="AB176" s="24">
        <v>15</v>
      </c>
      <c r="AC176" s="24">
        <v>5814</v>
      </c>
      <c r="AD176" s="8"/>
      <c r="AE176" s="319" t="s">
        <v>984</v>
      </c>
      <c r="AF176" s="113"/>
      <c r="AG176" s="109"/>
      <c r="AH176" s="109"/>
      <c r="AI176" s="110"/>
      <c r="AJ176" s="20"/>
      <c r="AK176" s="8"/>
      <c r="AL176" s="8"/>
      <c r="AM176" s="21"/>
      <c r="AN176" s="20"/>
      <c r="AO176" s="8"/>
      <c r="AP176" s="8"/>
      <c r="AQ176" s="21"/>
    </row>
    <row r="177" spans="1:43" x14ac:dyDescent="0.25">
      <c r="A177" s="24">
        <v>174</v>
      </c>
      <c r="B177" s="24" t="s">
        <v>28</v>
      </c>
      <c r="C177" s="24" t="s">
        <v>980</v>
      </c>
      <c r="D177" s="24" t="s">
        <v>981</v>
      </c>
      <c r="E177" s="24"/>
      <c r="F177" s="24" t="s">
        <v>990</v>
      </c>
      <c r="G177" s="24"/>
      <c r="H177" s="24" t="s">
        <v>31</v>
      </c>
      <c r="I177" s="24" t="s">
        <v>984</v>
      </c>
      <c r="J177" s="24"/>
      <c r="K177" s="24">
        <v>0.126</v>
      </c>
      <c r="L177" s="24">
        <v>0.126</v>
      </c>
      <c r="M177" s="24">
        <v>1</v>
      </c>
      <c r="N177" s="24" t="s">
        <v>33</v>
      </c>
      <c r="O177" s="24">
        <f t="shared" si="16"/>
        <v>2.1545999999999998</v>
      </c>
      <c r="P177" s="24">
        <f t="shared" si="17"/>
        <v>2.5137</v>
      </c>
      <c r="Q177" s="24">
        <f t="shared" si="18"/>
        <v>1.4364000000000001</v>
      </c>
      <c r="R177" s="24">
        <f t="shared" si="19"/>
        <v>1.0772999999999999</v>
      </c>
      <c r="S177" s="37">
        <v>7.1820000000000004</v>
      </c>
      <c r="T177" s="8">
        <v>105991.94</v>
      </c>
      <c r="U177" s="8">
        <v>13354.98444</v>
      </c>
      <c r="V177" s="8"/>
      <c r="W177" s="8"/>
      <c r="X177" s="24" t="s">
        <v>991</v>
      </c>
      <c r="Y177" s="24">
        <v>73028</v>
      </c>
      <c r="Z177" s="24">
        <v>6.18</v>
      </c>
      <c r="AA177" s="24" t="s">
        <v>990</v>
      </c>
      <c r="AB177" s="24">
        <v>16</v>
      </c>
      <c r="AC177" s="24">
        <v>5814</v>
      </c>
      <c r="AD177" s="8"/>
      <c r="AE177" s="319" t="s">
        <v>984</v>
      </c>
      <c r="AF177" s="113"/>
      <c r="AG177" s="109"/>
      <c r="AH177" s="109"/>
      <c r="AI177" s="110"/>
      <c r="AJ177" s="20"/>
      <c r="AK177" s="8"/>
      <c r="AL177" s="8"/>
      <c r="AM177" s="21"/>
      <c r="AN177" s="20"/>
      <c r="AO177" s="8"/>
      <c r="AP177" s="8"/>
      <c r="AQ177" s="21"/>
    </row>
    <row r="178" spans="1:43" x14ac:dyDescent="0.25">
      <c r="A178" s="24">
        <v>175</v>
      </c>
      <c r="B178" s="24" t="s">
        <v>28</v>
      </c>
      <c r="C178" s="24" t="s">
        <v>980</v>
      </c>
      <c r="D178" s="24" t="s">
        <v>981</v>
      </c>
      <c r="E178" s="24"/>
      <c r="F178" s="24" t="s">
        <v>990</v>
      </c>
      <c r="G178" s="24"/>
      <c r="H178" s="24" t="s">
        <v>31</v>
      </c>
      <c r="I178" s="24" t="s">
        <v>984</v>
      </c>
      <c r="J178" s="24"/>
      <c r="K178" s="24">
        <v>0.126</v>
      </c>
      <c r="L178" s="24">
        <v>0.126</v>
      </c>
      <c r="M178" s="24">
        <v>1</v>
      </c>
      <c r="N178" s="24" t="s">
        <v>33</v>
      </c>
      <c r="O178" s="24">
        <f t="shared" si="16"/>
        <v>2.1545999999999998</v>
      </c>
      <c r="P178" s="24">
        <f t="shared" si="17"/>
        <v>2.5137</v>
      </c>
      <c r="Q178" s="24">
        <f t="shared" si="18"/>
        <v>1.4364000000000001</v>
      </c>
      <c r="R178" s="24">
        <f t="shared" si="19"/>
        <v>1.0772999999999999</v>
      </c>
      <c r="S178" s="37">
        <v>7.1820000000000004</v>
      </c>
      <c r="T178" s="8">
        <v>105991.94</v>
      </c>
      <c r="U178" s="8">
        <v>13354.98444</v>
      </c>
      <c r="V178" s="8"/>
      <c r="W178" s="8"/>
      <c r="X178" s="24" t="s">
        <v>991</v>
      </c>
      <c r="Y178" s="24">
        <v>73028</v>
      </c>
      <c r="Z178" s="24">
        <v>6.18</v>
      </c>
      <c r="AA178" s="24" t="s">
        <v>990</v>
      </c>
      <c r="AB178" s="24">
        <v>17</v>
      </c>
      <c r="AC178" s="24">
        <v>5814</v>
      </c>
      <c r="AD178" s="8"/>
      <c r="AE178" s="319" t="s">
        <v>984</v>
      </c>
      <c r="AF178" s="113"/>
      <c r="AG178" s="109"/>
      <c r="AH178" s="109"/>
      <c r="AI178" s="110"/>
      <c r="AJ178" s="20"/>
      <c r="AK178" s="8"/>
      <c r="AL178" s="8"/>
      <c r="AM178" s="21"/>
      <c r="AN178" s="20"/>
      <c r="AO178" s="8"/>
      <c r="AP178" s="8"/>
      <c r="AQ178" s="21"/>
    </row>
    <row r="179" spans="1:43" x14ac:dyDescent="0.25">
      <c r="A179" s="24">
        <v>176</v>
      </c>
      <c r="B179" s="24" t="s">
        <v>28</v>
      </c>
      <c r="C179" s="24" t="s">
        <v>980</v>
      </c>
      <c r="D179" s="24" t="s">
        <v>981</v>
      </c>
      <c r="E179" s="24"/>
      <c r="F179" s="24" t="s">
        <v>990</v>
      </c>
      <c r="G179" s="24"/>
      <c r="H179" s="24" t="s">
        <v>31</v>
      </c>
      <c r="I179" s="24" t="s">
        <v>984</v>
      </c>
      <c r="J179" s="24"/>
      <c r="K179" s="24">
        <v>0.126</v>
      </c>
      <c r="L179" s="24">
        <v>0.126</v>
      </c>
      <c r="M179" s="24">
        <v>1</v>
      </c>
      <c r="N179" s="24" t="s">
        <v>33</v>
      </c>
      <c r="O179" s="24">
        <f t="shared" si="16"/>
        <v>2.1545999999999998</v>
      </c>
      <c r="P179" s="24">
        <f t="shared" si="17"/>
        <v>2.5137</v>
      </c>
      <c r="Q179" s="24">
        <f t="shared" si="18"/>
        <v>1.4364000000000001</v>
      </c>
      <c r="R179" s="24">
        <f t="shared" si="19"/>
        <v>1.0772999999999999</v>
      </c>
      <c r="S179" s="37">
        <v>7.1820000000000004</v>
      </c>
      <c r="T179" s="8">
        <v>105991.94</v>
      </c>
      <c r="U179" s="8">
        <v>13354.98444</v>
      </c>
      <c r="V179" s="8"/>
      <c r="W179" s="8"/>
      <c r="X179" s="24" t="s">
        <v>991</v>
      </c>
      <c r="Y179" s="24">
        <v>73028</v>
      </c>
      <c r="Z179" s="24">
        <v>6.18</v>
      </c>
      <c r="AA179" s="24" t="s">
        <v>990</v>
      </c>
      <c r="AB179" s="24">
        <v>18</v>
      </c>
      <c r="AC179" s="24">
        <v>5814</v>
      </c>
      <c r="AD179" s="8"/>
      <c r="AE179" s="319" t="s">
        <v>984</v>
      </c>
      <c r="AF179" s="113"/>
      <c r="AG179" s="109"/>
      <c r="AH179" s="109"/>
      <c r="AI179" s="110"/>
      <c r="AJ179" s="20"/>
      <c r="AK179" s="8"/>
      <c r="AL179" s="8"/>
      <c r="AM179" s="21"/>
      <c r="AN179" s="20"/>
      <c r="AO179" s="8"/>
      <c r="AP179" s="8"/>
      <c r="AQ179" s="21"/>
    </row>
    <row r="180" spans="1:43" x14ac:dyDescent="0.25">
      <c r="A180" s="24">
        <v>177</v>
      </c>
      <c r="B180" s="24" t="s">
        <v>28</v>
      </c>
      <c r="C180" s="8" t="s">
        <v>980</v>
      </c>
      <c r="D180" s="8" t="s">
        <v>981</v>
      </c>
      <c r="E180" s="8"/>
      <c r="F180" s="24" t="s">
        <v>989</v>
      </c>
      <c r="G180" s="8"/>
      <c r="H180" s="8" t="s">
        <v>31</v>
      </c>
      <c r="I180" s="24" t="s">
        <v>988</v>
      </c>
      <c r="J180" s="8"/>
      <c r="K180" s="24">
        <v>0.20299999999999999</v>
      </c>
      <c r="L180" s="24">
        <v>0.20299999999999999</v>
      </c>
      <c r="M180" s="24">
        <v>1</v>
      </c>
      <c r="N180" s="24" t="s">
        <v>33</v>
      </c>
      <c r="O180" s="24">
        <f t="shared" si="16"/>
        <v>3.4712999999999998</v>
      </c>
      <c r="P180" s="24">
        <f t="shared" si="17"/>
        <v>4.0498499999999993</v>
      </c>
      <c r="Q180" s="24">
        <f t="shared" si="18"/>
        <v>2.3142</v>
      </c>
      <c r="R180" s="24">
        <f t="shared" si="19"/>
        <v>1.7356499999999999</v>
      </c>
      <c r="S180" s="37">
        <v>11.571</v>
      </c>
      <c r="T180" s="8">
        <v>105991.94</v>
      </c>
      <c r="U180" s="8">
        <v>21516.363819999999</v>
      </c>
      <c r="V180" s="8"/>
      <c r="W180" s="8"/>
      <c r="X180" s="24" t="s">
        <v>867</v>
      </c>
      <c r="Y180" s="24" t="s">
        <v>472</v>
      </c>
      <c r="Z180" s="8">
        <v>6.18</v>
      </c>
      <c r="AA180" s="8" t="s">
        <v>989</v>
      </c>
      <c r="AB180" s="8">
        <v>1</v>
      </c>
      <c r="AC180" s="109">
        <v>5837</v>
      </c>
      <c r="AD180" s="8"/>
      <c r="AE180" s="319" t="s">
        <v>988</v>
      </c>
      <c r="AF180" s="198">
        <f t="shared" ref="AF180:AF197" si="20">L180*0.3</f>
        <v>6.0899999999999996E-2</v>
      </c>
      <c r="AG180" s="109"/>
      <c r="AH180" s="109"/>
      <c r="AI180" s="110"/>
      <c r="AJ180" s="113"/>
      <c r="AK180" s="299"/>
      <c r="AL180" s="299"/>
      <c r="AM180" s="300"/>
      <c r="AN180" s="20"/>
      <c r="AO180" s="8"/>
      <c r="AP180" s="8"/>
      <c r="AQ180" s="21"/>
    </row>
    <row r="181" spans="1:43" x14ac:dyDescent="0.25">
      <c r="A181" s="24">
        <v>178</v>
      </c>
      <c r="B181" s="24" t="s">
        <v>28</v>
      </c>
      <c r="C181" s="8" t="s">
        <v>980</v>
      </c>
      <c r="D181" s="8" t="s">
        <v>981</v>
      </c>
      <c r="E181" s="8"/>
      <c r="F181" s="24" t="s">
        <v>989</v>
      </c>
      <c r="G181" s="8"/>
      <c r="H181" s="8" t="s">
        <v>31</v>
      </c>
      <c r="I181" s="24" t="s">
        <v>988</v>
      </c>
      <c r="J181" s="8"/>
      <c r="K181" s="24">
        <v>0.20299999999999999</v>
      </c>
      <c r="L181" s="24">
        <v>0.20299999999999999</v>
      </c>
      <c r="M181" s="24">
        <v>1</v>
      </c>
      <c r="N181" s="24" t="s">
        <v>33</v>
      </c>
      <c r="O181" s="24">
        <f t="shared" si="16"/>
        <v>3.4712999999999998</v>
      </c>
      <c r="P181" s="24">
        <f t="shared" si="17"/>
        <v>4.0498499999999993</v>
      </c>
      <c r="Q181" s="24">
        <f t="shared" si="18"/>
        <v>2.3142</v>
      </c>
      <c r="R181" s="24">
        <f t="shared" si="19"/>
        <v>1.7356499999999999</v>
      </c>
      <c r="S181" s="37">
        <v>11.571</v>
      </c>
      <c r="T181" s="8">
        <v>105991.94</v>
      </c>
      <c r="U181" s="8">
        <v>21516.363819999999</v>
      </c>
      <c r="V181" s="8"/>
      <c r="W181" s="8"/>
      <c r="X181" s="24" t="s">
        <v>867</v>
      </c>
      <c r="Y181" s="24">
        <v>73029</v>
      </c>
      <c r="Z181" s="8">
        <v>6.18</v>
      </c>
      <c r="AA181" s="8" t="s">
        <v>989</v>
      </c>
      <c r="AB181" s="8">
        <v>2</v>
      </c>
      <c r="AC181" s="109">
        <v>5837</v>
      </c>
      <c r="AD181" s="8"/>
      <c r="AE181" s="319" t="s">
        <v>988</v>
      </c>
      <c r="AF181" s="198">
        <f t="shared" si="20"/>
        <v>6.0899999999999996E-2</v>
      </c>
      <c r="AG181" s="109"/>
      <c r="AH181" s="109"/>
      <c r="AI181" s="110"/>
      <c r="AJ181" s="113"/>
      <c r="AK181" s="299"/>
      <c r="AL181" s="299"/>
      <c r="AM181" s="300"/>
      <c r="AN181" s="20"/>
      <c r="AO181" s="8"/>
      <c r="AP181" s="8"/>
      <c r="AQ181" s="21"/>
    </row>
    <row r="182" spans="1:43" x14ac:dyDescent="0.25">
      <c r="A182" s="24">
        <v>179</v>
      </c>
      <c r="B182" s="24" t="s">
        <v>28</v>
      </c>
      <c r="C182" s="8" t="s">
        <v>980</v>
      </c>
      <c r="D182" s="8" t="s">
        <v>981</v>
      </c>
      <c r="E182" s="8"/>
      <c r="F182" s="24" t="s">
        <v>989</v>
      </c>
      <c r="G182" s="8"/>
      <c r="H182" s="8" t="s">
        <v>31</v>
      </c>
      <c r="I182" s="24" t="s">
        <v>988</v>
      </c>
      <c r="J182" s="8"/>
      <c r="K182" s="24">
        <v>0.20299999999999999</v>
      </c>
      <c r="L182" s="24">
        <v>0.20299999999999999</v>
      </c>
      <c r="M182" s="24">
        <v>1</v>
      </c>
      <c r="N182" s="24" t="s">
        <v>33</v>
      </c>
      <c r="O182" s="24">
        <f t="shared" si="16"/>
        <v>3.4712999999999998</v>
      </c>
      <c r="P182" s="24">
        <f t="shared" si="17"/>
        <v>4.0498499999999993</v>
      </c>
      <c r="Q182" s="24">
        <f t="shared" si="18"/>
        <v>2.3142</v>
      </c>
      <c r="R182" s="24">
        <f t="shared" si="19"/>
        <v>1.7356499999999999</v>
      </c>
      <c r="S182" s="37">
        <v>11.571</v>
      </c>
      <c r="T182" s="8">
        <v>105991.94</v>
      </c>
      <c r="U182" s="8">
        <v>21516.363819999999</v>
      </c>
      <c r="V182" s="8"/>
      <c r="W182" s="8"/>
      <c r="X182" s="24" t="s">
        <v>867</v>
      </c>
      <c r="Y182" s="24">
        <v>73029</v>
      </c>
      <c r="Z182" s="8">
        <v>6.18</v>
      </c>
      <c r="AA182" s="8" t="s">
        <v>989</v>
      </c>
      <c r="AB182" s="8">
        <v>3</v>
      </c>
      <c r="AC182" s="109">
        <v>5837</v>
      </c>
      <c r="AD182" s="8"/>
      <c r="AE182" s="319" t="s">
        <v>988</v>
      </c>
      <c r="AF182" s="198">
        <f t="shared" si="20"/>
        <v>6.0899999999999996E-2</v>
      </c>
      <c r="AG182" s="109"/>
      <c r="AH182" s="109"/>
      <c r="AI182" s="110"/>
      <c r="AJ182" s="113"/>
      <c r="AK182" s="299"/>
      <c r="AL182" s="299"/>
      <c r="AM182" s="300"/>
      <c r="AN182" s="20"/>
      <c r="AO182" s="8"/>
      <c r="AP182" s="8"/>
      <c r="AQ182" s="21"/>
    </row>
    <row r="183" spans="1:43" x14ac:dyDescent="0.25">
      <c r="A183" s="24">
        <v>180</v>
      </c>
      <c r="B183" s="24" t="s">
        <v>28</v>
      </c>
      <c r="C183" s="8" t="s">
        <v>980</v>
      </c>
      <c r="D183" s="8" t="s">
        <v>981</v>
      </c>
      <c r="E183" s="8"/>
      <c r="F183" s="24" t="s">
        <v>989</v>
      </c>
      <c r="G183" s="8"/>
      <c r="H183" s="8" t="s">
        <v>31</v>
      </c>
      <c r="I183" s="24" t="s">
        <v>988</v>
      </c>
      <c r="J183" s="8"/>
      <c r="K183" s="24">
        <v>0.20299999999999999</v>
      </c>
      <c r="L183" s="24">
        <v>0.20299999999999999</v>
      </c>
      <c r="M183" s="24">
        <v>1</v>
      </c>
      <c r="N183" s="24" t="s">
        <v>33</v>
      </c>
      <c r="O183" s="24">
        <f t="shared" si="16"/>
        <v>3.4712999999999998</v>
      </c>
      <c r="P183" s="24">
        <f t="shared" si="17"/>
        <v>4.0498499999999993</v>
      </c>
      <c r="Q183" s="24">
        <f t="shared" si="18"/>
        <v>2.3142</v>
      </c>
      <c r="R183" s="24">
        <f t="shared" si="19"/>
        <v>1.7356499999999999</v>
      </c>
      <c r="S183" s="37">
        <v>11.571</v>
      </c>
      <c r="T183" s="8">
        <v>105991.94</v>
      </c>
      <c r="U183" s="8">
        <v>21516.363819999999</v>
      </c>
      <c r="V183" s="8"/>
      <c r="W183" s="8"/>
      <c r="X183" s="24" t="s">
        <v>867</v>
      </c>
      <c r="Y183" s="24">
        <v>73029</v>
      </c>
      <c r="Z183" s="8">
        <v>6.18</v>
      </c>
      <c r="AA183" s="8" t="s">
        <v>989</v>
      </c>
      <c r="AB183" s="8">
        <v>4</v>
      </c>
      <c r="AC183" s="109">
        <v>5837</v>
      </c>
      <c r="AD183" s="8"/>
      <c r="AE183" s="319" t="s">
        <v>988</v>
      </c>
      <c r="AF183" s="198">
        <f t="shared" si="20"/>
        <v>6.0899999999999996E-2</v>
      </c>
      <c r="AG183" s="109"/>
      <c r="AH183" s="109"/>
      <c r="AI183" s="110"/>
      <c r="AJ183" s="113"/>
      <c r="AK183" s="299"/>
      <c r="AL183" s="299"/>
      <c r="AM183" s="300"/>
      <c r="AN183" s="20"/>
      <c r="AO183" s="8"/>
      <c r="AP183" s="8"/>
      <c r="AQ183" s="21"/>
    </row>
    <row r="184" spans="1:43" x14ac:dyDescent="0.25">
      <c r="A184" s="24">
        <v>181</v>
      </c>
      <c r="B184" s="24" t="s">
        <v>28</v>
      </c>
      <c r="C184" s="8" t="s">
        <v>980</v>
      </c>
      <c r="D184" s="8" t="s">
        <v>981</v>
      </c>
      <c r="E184" s="8"/>
      <c r="F184" s="24" t="s">
        <v>989</v>
      </c>
      <c r="G184" s="8"/>
      <c r="H184" s="8" t="s">
        <v>31</v>
      </c>
      <c r="I184" s="24" t="s">
        <v>988</v>
      </c>
      <c r="J184" s="8"/>
      <c r="K184" s="24">
        <v>0.20299999999999999</v>
      </c>
      <c r="L184" s="24">
        <v>0.20299999999999999</v>
      </c>
      <c r="M184" s="24">
        <v>1</v>
      </c>
      <c r="N184" s="24" t="s">
        <v>33</v>
      </c>
      <c r="O184" s="24">
        <f t="shared" si="16"/>
        <v>3.4712999999999998</v>
      </c>
      <c r="P184" s="24">
        <f t="shared" si="17"/>
        <v>4.0498499999999993</v>
      </c>
      <c r="Q184" s="24">
        <f t="shared" si="18"/>
        <v>2.3142</v>
      </c>
      <c r="R184" s="24">
        <f t="shared" si="19"/>
        <v>1.7356499999999999</v>
      </c>
      <c r="S184" s="37">
        <v>11.571</v>
      </c>
      <c r="T184" s="8">
        <v>105991.94</v>
      </c>
      <c r="U184" s="8">
        <v>21516.363819999999</v>
      </c>
      <c r="V184" s="8"/>
      <c r="W184" s="8"/>
      <c r="X184" s="24" t="s">
        <v>867</v>
      </c>
      <c r="Y184" s="24">
        <v>73029</v>
      </c>
      <c r="Z184" s="8">
        <v>6.18</v>
      </c>
      <c r="AA184" s="8" t="s">
        <v>989</v>
      </c>
      <c r="AB184" s="8">
        <v>5</v>
      </c>
      <c r="AC184" s="109">
        <v>5837</v>
      </c>
      <c r="AD184" s="8"/>
      <c r="AE184" s="319" t="s">
        <v>988</v>
      </c>
      <c r="AF184" s="198">
        <f t="shared" si="20"/>
        <v>6.0899999999999996E-2</v>
      </c>
      <c r="AG184" s="109"/>
      <c r="AH184" s="109"/>
      <c r="AI184" s="110"/>
      <c r="AJ184" s="113"/>
      <c r="AK184" s="299"/>
      <c r="AL184" s="299"/>
      <c r="AM184" s="300"/>
      <c r="AN184" s="20"/>
      <c r="AO184" s="8"/>
      <c r="AP184" s="8"/>
      <c r="AQ184" s="21"/>
    </row>
    <row r="185" spans="1:43" x14ac:dyDescent="0.25">
      <c r="A185" s="24">
        <v>182</v>
      </c>
      <c r="B185" s="24" t="s">
        <v>28</v>
      </c>
      <c r="C185" s="8" t="s">
        <v>980</v>
      </c>
      <c r="D185" s="8" t="s">
        <v>981</v>
      </c>
      <c r="E185" s="8"/>
      <c r="F185" s="24" t="s">
        <v>989</v>
      </c>
      <c r="G185" s="8"/>
      <c r="H185" s="8" t="s">
        <v>31</v>
      </c>
      <c r="I185" s="24" t="s">
        <v>988</v>
      </c>
      <c r="J185" s="8"/>
      <c r="K185" s="24">
        <v>0.20299999999999999</v>
      </c>
      <c r="L185" s="24">
        <v>0.20299999999999999</v>
      </c>
      <c r="M185" s="24">
        <v>1</v>
      </c>
      <c r="N185" s="24" t="s">
        <v>33</v>
      </c>
      <c r="O185" s="24">
        <f t="shared" si="16"/>
        <v>3.4712999999999998</v>
      </c>
      <c r="P185" s="24">
        <f t="shared" si="17"/>
        <v>4.0498499999999993</v>
      </c>
      <c r="Q185" s="24">
        <f t="shared" si="18"/>
        <v>2.3142</v>
      </c>
      <c r="R185" s="24">
        <f t="shared" si="19"/>
        <v>1.7356499999999999</v>
      </c>
      <c r="S185" s="37">
        <v>11.571</v>
      </c>
      <c r="T185" s="8">
        <v>105991.94</v>
      </c>
      <c r="U185" s="8">
        <v>21516.363819999999</v>
      </c>
      <c r="V185" s="8"/>
      <c r="W185" s="8"/>
      <c r="X185" s="24" t="s">
        <v>867</v>
      </c>
      <c r="Y185" s="24">
        <v>73029</v>
      </c>
      <c r="Z185" s="8">
        <v>6.18</v>
      </c>
      <c r="AA185" s="8" t="s">
        <v>989</v>
      </c>
      <c r="AB185" s="8">
        <v>6</v>
      </c>
      <c r="AC185" s="109">
        <v>5837</v>
      </c>
      <c r="AD185" s="8"/>
      <c r="AE185" s="319" t="s">
        <v>988</v>
      </c>
      <c r="AF185" s="198">
        <f t="shared" si="20"/>
        <v>6.0899999999999996E-2</v>
      </c>
      <c r="AG185" s="109"/>
      <c r="AH185" s="109"/>
      <c r="AI185" s="110"/>
      <c r="AJ185" s="113"/>
      <c r="AK185" s="299"/>
      <c r="AL185" s="299"/>
      <c r="AM185" s="300"/>
      <c r="AN185" s="20"/>
      <c r="AO185" s="8"/>
      <c r="AP185" s="8"/>
      <c r="AQ185" s="21"/>
    </row>
    <row r="186" spans="1:43" x14ac:dyDescent="0.25">
      <c r="A186" s="24">
        <v>183</v>
      </c>
      <c r="B186" s="24" t="s">
        <v>28</v>
      </c>
      <c r="C186" s="8" t="s">
        <v>980</v>
      </c>
      <c r="D186" s="8" t="s">
        <v>981</v>
      </c>
      <c r="E186" s="8"/>
      <c r="F186" s="24" t="s">
        <v>989</v>
      </c>
      <c r="G186" s="8"/>
      <c r="H186" s="8" t="s">
        <v>31</v>
      </c>
      <c r="I186" s="24" t="s">
        <v>988</v>
      </c>
      <c r="J186" s="8"/>
      <c r="K186" s="24">
        <v>0.20299999999999999</v>
      </c>
      <c r="L186" s="24">
        <v>0.20299999999999999</v>
      </c>
      <c r="M186" s="24">
        <v>1</v>
      </c>
      <c r="N186" s="24" t="s">
        <v>33</v>
      </c>
      <c r="O186" s="24">
        <f t="shared" si="16"/>
        <v>3.4712999999999998</v>
      </c>
      <c r="P186" s="24">
        <f t="shared" si="17"/>
        <v>4.0498499999999993</v>
      </c>
      <c r="Q186" s="24">
        <f t="shared" si="18"/>
        <v>2.3142</v>
      </c>
      <c r="R186" s="24">
        <f t="shared" si="19"/>
        <v>1.7356499999999999</v>
      </c>
      <c r="S186" s="37">
        <v>11.571</v>
      </c>
      <c r="T186" s="8">
        <v>105991.94</v>
      </c>
      <c r="U186" s="8">
        <v>21516.363819999999</v>
      </c>
      <c r="V186" s="8"/>
      <c r="W186" s="8"/>
      <c r="X186" s="24" t="s">
        <v>867</v>
      </c>
      <c r="Y186" s="24">
        <v>73029</v>
      </c>
      <c r="Z186" s="8">
        <v>6.18</v>
      </c>
      <c r="AA186" s="8" t="s">
        <v>989</v>
      </c>
      <c r="AB186" s="8">
        <v>7</v>
      </c>
      <c r="AC186" s="109">
        <v>5837</v>
      </c>
      <c r="AD186" s="8"/>
      <c r="AE186" s="319" t="s">
        <v>988</v>
      </c>
      <c r="AF186" s="198">
        <f t="shared" si="20"/>
        <v>6.0899999999999996E-2</v>
      </c>
      <c r="AG186" s="109"/>
      <c r="AH186" s="109"/>
      <c r="AI186" s="110"/>
      <c r="AJ186" s="113"/>
      <c r="AK186" s="299"/>
      <c r="AL186" s="299"/>
      <c r="AM186" s="300"/>
      <c r="AN186" s="20"/>
      <c r="AO186" s="8"/>
      <c r="AP186" s="8"/>
      <c r="AQ186" s="21"/>
    </row>
    <row r="187" spans="1:43" x14ac:dyDescent="0.25">
      <c r="A187" s="24">
        <v>184</v>
      </c>
      <c r="B187" s="24" t="s">
        <v>28</v>
      </c>
      <c r="C187" s="8" t="s">
        <v>980</v>
      </c>
      <c r="D187" s="8" t="s">
        <v>981</v>
      </c>
      <c r="E187" s="8"/>
      <c r="F187" s="24" t="s">
        <v>989</v>
      </c>
      <c r="G187" s="8"/>
      <c r="H187" s="8" t="s">
        <v>31</v>
      </c>
      <c r="I187" s="24" t="s">
        <v>988</v>
      </c>
      <c r="J187" s="8"/>
      <c r="K187" s="24">
        <v>0.20299999999999999</v>
      </c>
      <c r="L187" s="24">
        <v>0.20299999999999999</v>
      </c>
      <c r="M187" s="24">
        <v>1</v>
      </c>
      <c r="N187" s="24" t="s">
        <v>33</v>
      </c>
      <c r="O187" s="24">
        <f t="shared" si="16"/>
        <v>3.4712999999999998</v>
      </c>
      <c r="P187" s="24">
        <f t="shared" si="17"/>
        <v>4.0498499999999993</v>
      </c>
      <c r="Q187" s="24">
        <f t="shared" si="18"/>
        <v>2.3142</v>
      </c>
      <c r="R187" s="24">
        <f t="shared" si="19"/>
        <v>1.7356499999999999</v>
      </c>
      <c r="S187" s="37">
        <v>11.571</v>
      </c>
      <c r="T187" s="8">
        <v>105991.94</v>
      </c>
      <c r="U187" s="8">
        <v>21516.363819999999</v>
      </c>
      <c r="V187" s="8"/>
      <c r="W187" s="8"/>
      <c r="X187" s="24" t="s">
        <v>867</v>
      </c>
      <c r="Y187" s="24">
        <v>73029</v>
      </c>
      <c r="Z187" s="8">
        <v>6.18</v>
      </c>
      <c r="AA187" s="8" t="s">
        <v>989</v>
      </c>
      <c r="AB187" s="8">
        <v>8</v>
      </c>
      <c r="AC187" s="109">
        <v>5837</v>
      </c>
      <c r="AD187" s="8"/>
      <c r="AE187" s="319" t="s">
        <v>988</v>
      </c>
      <c r="AF187" s="198">
        <f t="shared" si="20"/>
        <v>6.0899999999999996E-2</v>
      </c>
      <c r="AG187" s="109"/>
      <c r="AH187" s="109"/>
      <c r="AI187" s="110"/>
      <c r="AJ187" s="113"/>
      <c r="AK187" s="299"/>
      <c r="AL187" s="299"/>
      <c r="AM187" s="300"/>
      <c r="AN187" s="20"/>
      <c r="AO187" s="8"/>
      <c r="AP187" s="8"/>
      <c r="AQ187" s="21"/>
    </row>
    <row r="188" spans="1:43" x14ac:dyDescent="0.25">
      <c r="A188" s="24">
        <v>185</v>
      </c>
      <c r="B188" s="24" t="s">
        <v>28</v>
      </c>
      <c r="C188" s="8" t="s">
        <v>980</v>
      </c>
      <c r="D188" s="8" t="s">
        <v>981</v>
      </c>
      <c r="E188" s="8"/>
      <c r="F188" s="24" t="s">
        <v>989</v>
      </c>
      <c r="G188" s="8"/>
      <c r="H188" s="8" t="s">
        <v>31</v>
      </c>
      <c r="I188" s="24" t="s">
        <v>988</v>
      </c>
      <c r="J188" s="8"/>
      <c r="K188" s="24">
        <v>0.20299999999999999</v>
      </c>
      <c r="L188" s="24">
        <v>0.20299999999999999</v>
      </c>
      <c r="M188" s="24">
        <v>1</v>
      </c>
      <c r="N188" s="24" t="s">
        <v>33</v>
      </c>
      <c r="O188" s="24">
        <f t="shared" si="16"/>
        <v>3.4712999999999998</v>
      </c>
      <c r="P188" s="24">
        <f t="shared" si="17"/>
        <v>4.0498499999999993</v>
      </c>
      <c r="Q188" s="24">
        <f t="shared" si="18"/>
        <v>2.3142</v>
      </c>
      <c r="R188" s="24">
        <f t="shared" si="19"/>
        <v>1.7356499999999999</v>
      </c>
      <c r="S188" s="37">
        <v>11.571</v>
      </c>
      <c r="T188" s="8">
        <v>105991.94</v>
      </c>
      <c r="U188" s="8">
        <v>21516.363819999999</v>
      </c>
      <c r="V188" s="8"/>
      <c r="W188" s="8"/>
      <c r="X188" s="24" t="s">
        <v>867</v>
      </c>
      <c r="Y188" s="24">
        <v>73029</v>
      </c>
      <c r="Z188" s="8">
        <v>6.18</v>
      </c>
      <c r="AA188" s="8" t="s">
        <v>989</v>
      </c>
      <c r="AB188" s="8">
        <v>9</v>
      </c>
      <c r="AC188" s="109">
        <v>5837</v>
      </c>
      <c r="AD188" s="8"/>
      <c r="AE188" s="319" t="s">
        <v>988</v>
      </c>
      <c r="AF188" s="198">
        <f t="shared" si="20"/>
        <v>6.0899999999999996E-2</v>
      </c>
      <c r="AG188" s="109"/>
      <c r="AH188" s="109"/>
      <c r="AI188" s="110"/>
      <c r="AJ188" s="113"/>
      <c r="AK188" s="299"/>
      <c r="AL188" s="299"/>
      <c r="AM188" s="300"/>
      <c r="AN188" s="20"/>
      <c r="AO188" s="8"/>
      <c r="AP188" s="8"/>
      <c r="AQ188" s="21"/>
    </row>
    <row r="189" spans="1:43" x14ac:dyDescent="0.25">
      <c r="A189" s="24">
        <v>186</v>
      </c>
      <c r="B189" s="24" t="s">
        <v>28</v>
      </c>
      <c r="C189" s="8" t="s">
        <v>980</v>
      </c>
      <c r="D189" s="8" t="s">
        <v>981</v>
      </c>
      <c r="E189" s="8"/>
      <c r="F189" s="24" t="s">
        <v>989</v>
      </c>
      <c r="G189" s="8"/>
      <c r="H189" s="8" t="s">
        <v>31</v>
      </c>
      <c r="I189" s="24" t="s">
        <v>988</v>
      </c>
      <c r="J189" s="8"/>
      <c r="K189" s="24">
        <v>0.20299999999999999</v>
      </c>
      <c r="L189" s="24">
        <v>0.20299999999999999</v>
      </c>
      <c r="M189" s="24">
        <v>1</v>
      </c>
      <c r="N189" s="24" t="s">
        <v>33</v>
      </c>
      <c r="O189" s="24">
        <f t="shared" si="16"/>
        <v>3.4712999999999998</v>
      </c>
      <c r="P189" s="24">
        <f t="shared" si="17"/>
        <v>4.0498499999999993</v>
      </c>
      <c r="Q189" s="24">
        <f t="shared" si="18"/>
        <v>2.3142</v>
      </c>
      <c r="R189" s="24">
        <f t="shared" si="19"/>
        <v>1.7356499999999999</v>
      </c>
      <c r="S189" s="37">
        <v>11.571</v>
      </c>
      <c r="T189" s="8">
        <v>105991.94</v>
      </c>
      <c r="U189" s="8">
        <v>21516.363819999999</v>
      </c>
      <c r="V189" s="8"/>
      <c r="W189" s="8"/>
      <c r="X189" s="24" t="s">
        <v>867</v>
      </c>
      <c r="Y189" s="24">
        <v>73029</v>
      </c>
      <c r="Z189" s="8">
        <v>6.18</v>
      </c>
      <c r="AA189" s="8" t="s">
        <v>989</v>
      </c>
      <c r="AB189" s="8">
        <v>10</v>
      </c>
      <c r="AC189" s="109">
        <v>5837</v>
      </c>
      <c r="AD189" s="8"/>
      <c r="AE189" s="319" t="s">
        <v>988</v>
      </c>
      <c r="AF189" s="198">
        <f t="shared" si="20"/>
        <v>6.0899999999999996E-2</v>
      </c>
      <c r="AG189" s="109"/>
      <c r="AH189" s="109"/>
      <c r="AI189" s="110"/>
      <c r="AJ189" s="113"/>
      <c r="AK189" s="299"/>
      <c r="AL189" s="299"/>
      <c r="AM189" s="300"/>
      <c r="AN189" s="20"/>
      <c r="AO189" s="8"/>
      <c r="AP189" s="8"/>
      <c r="AQ189" s="21"/>
    </row>
    <row r="190" spans="1:43" x14ac:dyDescent="0.25">
      <c r="A190" s="24">
        <v>187</v>
      </c>
      <c r="B190" s="24" t="s">
        <v>28</v>
      </c>
      <c r="C190" s="8" t="s">
        <v>980</v>
      </c>
      <c r="D190" s="8" t="s">
        <v>981</v>
      </c>
      <c r="E190" s="8"/>
      <c r="F190" s="24" t="s">
        <v>989</v>
      </c>
      <c r="G190" s="8"/>
      <c r="H190" s="8" t="s">
        <v>31</v>
      </c>
      <c r="I190" s="24" t="s">
        <v>988</v>
      </c>
      <c r="J190" s="8"/>
      <c r="K190" s="24">
        <v>0.20299999999999999</v>
      </c>
      <c r="L190" s="24">
        <v>0.20299999999999999</v>
      </c>
      <c r="M190" s="24">
        <v>1</v>
      </c>
      <c r="N190" s="24" t="s">
        <v>33</v>
      </c>
      <c r="O190" s="24">
        <f t="shared" si="16"/>
        <v>3.4712999999999998</v>
      </c>
      <c r="P190" s="24">
        <f t="shared" si="17"/>
        <v>4.0498499999999993</v>
      </c>
      <c r="Q190" s="24">
        <f t="shared" si="18"/>
        <v>2.3142</v>
      </c>
      <c r="R190" s="24">
        <f t="shared" si="19"/>
        <v>1.7356499999999999</v>
      </c>
      <c r="S190" s="37">
        <v>11.571</v>
      </c>
      <c r="T190" s="8">
        <v>105991.94</v>
      </c>
      <c r="U190" s="8">
        <v>21516.363819999999</v>
      </c>
      <c r="V190" s="8"/>
      <c r="W190" s="8"/>
      <c r="X190" s="24" t="s">
        <v>867</v>
      </c>
      <c r="Y190" s="24">
        <v>73029</v>
      </c>
      <c r="Z190" s="8">
        <v>6.18</v>
      </c>
      <c r="AA190" s="8" t="s">
        <v>989</v>
      </c>
      <c r="AB190" s="8">
        <v>11</v>
      </c>
      <c r="AC190" s="109">
        <v>5837</v>
      </c>
      <c r="AD190" s="8"/>
      <c r="AE190" s="319" t="s">
        <v>988</v>
      </c>
      <c r="AF190" s="198">
        <f t="shared" si="20"/>
        <v>6.0899999999999996E-2</v>
      </c>
      <c r="AG190" s="109"/>
      <c r="AH190" s="109"/>
      <c r="AI190" s="110"/>
      <c r="AJ190" s="113"/>
      <c r="AK190" s="299"/>
      <c r="AL190" s="299"/>
      <c r="AM190" s="300"/>
      <c r="AN190" s="20"/>
      <c r="AO190" s="8"/>
      <c r="AP190" s="8"/>
      <c r="AQ190" s="21"/>
    </row>
    <row r="191" spans="1:43" x14ac:dyDescent="0.25">
      <c r="A191" s="24">
        <v>188</v>
      </c>
      <c r="B191" s="24" t="s">
        <v>28</v>
      </c>
      <c r="C191" s="8" t="s">
        <v>980</v>
      </c>
      <c r="D191" s="8" t="s">
        <v>981</v>
      </c>
      <c r="E191" s="8"/>
      <c r="F191" s="24" t="s">
        <v>989</v>
      </c>
      <c r="G191" s="8"/>
      <c r="H191" s="8" t="s">
        <v>31</v>
      </c>
      <c r="I191" s="24" t="s">
        <v>988</v>
      </c>
      <c r="J191" s="8"/>
      <c r="K191" s="24">
        <v>0.20299999999999999</v>
      </c>
      <c r="L191" s="24">
        <v>0.20299999999999999</v>
      </c>
      <c r="M191" s="24">
        <v>1</v>
      </c>
      <c r="N191" s="24" t="s">
        <v>33</v>
      </c>
      <c r="O191" s="24">
        <f t="shared" si="16"/>
        <v>3.4712999999999998</v>
      </c>
      <c r="P191" s="24">
        <f t="shared" si="17"/>
        <v>4.0498499999999993</v>
      </c>
      <c r="Q191" s="24">
        <f t="shared" si="18"/>
        <v>2.3142</v>
      </c>
      <c r="R191" s="24">
        <f t="shared" si="19"/>
        <v>1.7356499999999999</v>
      </c>
      <c r="S191" s="37">
        <v>11.571</v>
      </c>
      <c r="T191" s="8">
        <v>105991.94</v>
      </c>
      <c r="U191" s="8">
        <v>21516.363819999999</v>
      </c>
      <c r="V191" s="8"/>
      <c r="W191" s="8"/>
      <c r="X191" s="24" t="s">
        <v>867</v>
      </c>
      <c r="Y191" s="24">
        <v>73029</v>
      </c>
      <c r="Z191" s="8">
        <v>6.18</v>
      </c>
      <c r="AA191" s="8" t="s">
        <v>989</v>
      </c>
      <c r="AB191" s="8">
        <v>12</v>
      </c>
      <c r="AC191" s="109">
        <v>5837</v>
      </c>
      <c r="AD191" s="8"/>
      <c r="AE191" s="319" t="s">
        <v>988</v>
      </c>
      <c r="AF191" s="198">
        <f t="shared" si="20"/>
        <v>6.0899999999999996E-2</v>
      </c>
      <c r="AG191" s="109"/>
      <c r="AH191" s="109"/>
      <c r="AI191" s="110"/>
      <c r="AJ191" s="113"/>
      <c r="AK191" s="299"/>
      <c r="AL191" s="299"/>
      <c r="AM191" s="300"/>
      <c r="AN191" s="20"/>
      <c r="AO191" s="8"/>
      <c r="AP191" s="8"/>
      <c r="AQ191" s="21"/>
    </row>
    <row r="192" spans="1:43" x14ac:dyDescent="0.25">
      <c r="A192" s="24">
        <v>189</v>
      </c>
      <c r="B192" s="24" t="s">
        <v>28</v>
      </c>
      <c r="C192" s="8" t="s">
        <v>980</v>
      </c>
      <c r="D192" s="8" t="s">
        <v>981</v>
      </c>
      <c r="E192" s="8"/>
      <c r="F192" s="24" t="s">
        <v>989</v>
      </c>
      <c r="G192" s="8"/>
      <c r="H192" s="8" t="s">
        <v>31</v>
      </c>
      <c r="I192" s="24" t="s">
        <v>988</v>
      </c>
      <c r="J192" s="8"/>
      <c r="K192" s="24">
        <v>0.20299999999999999</v>
      </c>
      <c r="L192" s="24">
        <v>0.20299999999999999</v>
      </c>
      <c r="M192" s="24">
        <v>1</v>
      </c>
      <c r="N192" s="24" t="s">
        <v>33</v>
      </c>
      <c r="O192" s="24">
        <f t="shared" si="16"/>
        <v>3.4712999999999998</v>
      </c>
      <c r="P192" s="24">
        <f t="shared" si="17"/>
        <v>4.0498499999999993</v>
      </c>
      <c r="Q192" s="24">
        <f t="shared" si="18"/>
        <v>2.3142</v>
      </c>
      <c r="R192" s="24">
        <f t="shared" si="19"/>
        <v>1.7356499999999999</v>
      </c>
      <c r="S192" s="37">
        <v>11.571</v>
      </c>
      <c r="T192" s="8">
        <v>105991.94</v>
      </c>
      <c r="U192" s="8">
        <v>21516.363819999999</v>
      </c>
      <c r="V192" s="8"/>
      <c r="W192" s="8"/>
      <c r="X192" s="24" t="s">
        <v>867</v>
      </c>
      <c r="Y192" s="24">
        <v>73029</v>
      </c>
      <c r="Z192" s="8">
        <v>6.18</v>
      </c>
      <c r="AA192" s="8" t="s">
        <v>989</v>
      </c>
      <c r="AB192" s="8">
        <v>13</v>
      </c>
      <c r="AC192" s="109">
        <v>5837</v>
      </c>
      <c r="AD192" s="8"/>
      <c r="AE192" s="319" t="s">
        <v>988</v>
      </c>
      <c r="AF192" s="198">
        <f t="shared" si="20"/>
        <v>6.0899999999999996E-2</v>
      </c>
      <c r="AG192" s="109"/>
      <c r="AH192" s="109"/>
      <c r="AI192" s="110"/>
      <c r="AJ192" s="113"/>
      <c r="AK192" s="299"/>
      <c r="AL192" s="299"/>
      <c r="AM192" s="300"/>
      <c r="AN192" s="20"/>
      <c r="AO192" s="8"/>
      <c r="AP192" s="8"/>
      <c r="AQ192" s="21"/>
    </row>
    <row r="193" spans="1:43" x14ac:dyDescent="0.25">
      <c r="A193" s="24">
        <v>190</v>
      </c>
      <c r="B193" s="24" t="s">
        <v>28</v>
      </c>
      <c r="C193" s="8" t="s">
        <v>980</v>
      </c>
      <c r="D193" s="8" t="s">
        <v>981</v>
      </c>
      <c r="E193" s="8"/>
      <c r="F193" s="24" t="s">
        <v>989</v>
      </c>
      <c r="G193" s="8"/>
      <c r="H193" s="8" t="s">
        <v>31</v>
      </c>
      <c r="I193" s="24" t="s">
        <v>988</v>
      </c>
      <c r="J193" s="8"/>
      <c r="K193" s="24">
        <v>0.20299999999999999</v>
      </c>
      <c r="L193" s="24">
        <v>0.20299999999999999</v>
      </c>
      <c r="M193" s="24">
        <v>1</v>
      </c>
      <c r="N193" s="24" t="s">
        <v>33</v>
      </c>
      <c r="O193" s="24">
        <f t="shared" si="16"/>
        <v>3.4712999999999998</v>
      </c>
      <c r="P193" s="24">
        <f t="shared" si="17"/>
        <v>4.0498499999999993</v>
      </c>
      <c r="Q193" s="24">
        <f t="shared" si="18"/>
        <v>2.3142</v>
      </c>
      <c r="R193" s="24">
        <f t="shared" si="19"/>
        <v>1.7356499999999999</v>
      </c>
      <c r="S193" s="37">
        <v>11.571</v>
      </c>
      <c r="T193" s="8">
        <v>105991.94</v>
      </c>
      <c r="U193" s="8">
        <v>21516.363819999999</v>
      </c>
      <c r="V193" s="8"/>
      <c r="W193" s="8"/>
      <c r="X193" s="24" t="s">
        <v>867</v>
      </c>
      <c r="Y193" s="24">
        <v>73029</v>
      </c>
      <c r="Z193" s="8">
        <v>6.18</v>
      </c>
      <c r="AA193" s="8" t="s">
        <v>989</v>
      </c>
      <c r="AB193" s="8">
        <v>14</v>
      </c>
      <c r="AC193" s="109">
        <v>5837</v>
      </c>
      <c r="AD193" s="8"/>
      <c r="AE193" s="319" t="s">
        <v>988</v>
      </c>
      <c r="AF193" s="198">
        <f t="shared" si="20"/>
        <v>6.0899999999999996E-2</v>
      </c>
      <c r="AG193" s="109"/>
      <c r="AH193" s="109"/>
      <c r="AI193" s="110"/>
      <c r="AJ193" s="113"/>
      <c r="AK193" s="299"/>
      <c r="AL193" s="299"/>
      <c r="AM193" s="300"/>
      <c r="AN193" s="20"/>
      <c r="AO193" s="8"/>
      <c r="AP193" s="8"/>
      <c r="AQ193" s="21"/>
    </row>
    <row r="194" spans="1:43" x14ac:dyDescent="0.25">
      <c r="A194" s="24">
        <v>191</v>
      </c>
      <c r="B194" s="24" t="s">
        <v>28</v>
      </c>
      <c r="C194" s="8" t="s">
        <v>980</v>
      </c>
      <c r="D194" s="8" t="s">
        <v>981</v>
      </c>
      <c r="E194" s="8"/>
      <c r="F194" s="24" t="s">
        <v>989</v>
      </c>
      <c r="G194" s="8"/>
      <c r="H194" s="8" t="s">
        <v>31</v>
      </c>
      <c r="I194" s="24" t="s">
        <v>988</v>
      </c>
      <c r="J194" s="8"/>
      <c r="K194" s="24">
        <v>0.20299999999999999</v>
      </c>
      <c r="L194" s="24">
        <v>0.20299999999999999</v>
      </c>
      <c r="M194" s="24">
        <v>1</v>
      </c>
      <c r="N194" s="24" t="s">
        <v>33</v>
      </c>
      <c r="O194" s="24">
        <f t="shared" si="16"/>
        <v>3.4712999999999998</v>
      </c>
      <c r="P194" s="24">
        <f t="shared" si="17"/>
        <v>4.0498499999999993</v>
      </c>
      <c r="Q194" s="24">
        <f t="shared" si="18"/>
        <v>2.3142</v>
      </c>
      <c r="R194" s="24">
        <f t="shared" si="19"/>
        <v>1.7356499999999999</v>
      </c>
      <c r="S194" s="37">
        <v>11.571</v>
      </c>
      <c r="T194" s="8">
        <v>105991.94</v>
      </c>
      <c r="U194" s="8">
        <v>21516.363819999999</v>
      </c>
      <c r="V194" s="8"/>
      <c r="W194" s="8"/>
      <c r="X194" s="24" t="s">
        <v>867</v>
      </c>
      <c r="Y194" s="24">
        <v>73029</v>
      </c>
      <c r="Z194" s="8">
        <v>6.18</v>
      </c>
      <c r="AA194" s="8" t="s">
        <v>989</v>
      </c>
      <c r="AB194" s="8">
        <v>15</v>
      </c>
      <c r="AC194" s="109">
        <v>5837</v>
      </c>
      <c r="AD194" s="8"/>
      <c r="AE194" s="319" t="s">
        <v>988</v>
      </c>
      <c r="AF194" s="198">
        <f t="shared" si="20"/>
        <v>6.0899999999999996E-2</v>
      </c>
      <c r="AG194" s="109"/>
      <c r="AH194" s="109"/>
      <c r="AI194" s="110"/>
      <c r="AJ194" s="113"/>
      <c r="AK194" s="299"/>
      <c r="AL194" s="299"/>
      <c r="AM194" s="300"/>
      <c r="AN194" s="20"/>
      <c r="AO194" s="8"/>
      <c r="AP194" s="8"/>
      <c r="AQ194" s="21"/>
    </row>
    <row r="195" spans="1:43" x14ac:dyDescent="0.25">
      <c r="A195" s="24">
        <v>192</v>
      </c>
      <c r="B195" s="24" t="s">
        <v>28</v>
      </c>
      <c r="C195" s="8" t="s">
        <v>980</v>
      </c>
      <c r="D195" s="8" t="s">
        <v>981</v>
      </c>
      <c r="E195" s="8"/>
      <c r="F195" s="24" t="s">
        <v>989</v>
      </c>
      <c r="G195" s="8"/>
      <c r="H195" s="8" t="s">
        <v>31</v>
      </c>
      <c r="I195" s="24" t="s">
        <v>988</v>
      </c>
      <c r="J195" s="8"/>
      <c r="K195" s="24">
        <v>0.20299999999999999</v>
      </c>
      <c r="L195" s="24">
        <v>0.20299999999999999</v>
      </c>
      <c r="M195" s="24">
        <v>1</v>
      </c>
      <c r="N195" s="24" t="s">
        <v>33</v>
      </c>
      <c r="O195" s="24">
        <f t="shared" si="16"/>
        <v>3.4712999999999998</v>
      </c>
      <c r="P195" s="24">
        <f t="shared" si="17"/>
        <v>4.0498499999999993</v>
      </c>
      <c r="Q195" s="24">
        <f t="shared" si="18"/>
        <v>2.3142</v>
      </c>
      <c r="R195" s="24">
        <f t="shared" si="19"/>
        <v>1.7356499999999999</v>
      </c>
      <c r="S195" s="37">
        <v>11.571</v>
      </c>
      <c r="T195" s="8">
        <v>105991.94</v>
      </c>
      <c r="U195" s="8">
        <v>21516.363819999999</v>
      </c>
      <c r="V195" s="8"/>
      <c r="W195" s="8"/>
      <c r="X195" s="24" t="s">
        <v>867</v>
      </c>
      <c r="Y195" s="24">
        <v>73029</v>
      </c>
      <c r="Z195" s="8">
        <v>6.18</v>
      </c>
      <c r="AA195" s="8" t="s">
        <v>989</v>
      </c>
      <c r="AB195" s="8">
        <v>16</v>
      </c>
      <c r="AC195" s="109">
        <v>5837</v>
      </c>
      <c r="AD195" s="8"/>
      <c r="AE195" s="319" t="s">
        <v>988</v>
      </c>
      <c r="AF195" s="198">
        <f t="shared" si="20"/>
        <v>6.0899999999999996E-2</v>
      </c>
      <c r="AG195" s="109"/>
      <c r="AH195" s="109"/>
      <c r="AI195" s="110"/>
      <c r="AJ195" s="113"/>
      <c r="AK195" s="299"/>
      <c r="AL195" s="299"/>
      <c r="AM195" s="300"/>
      <c r="AN195" s="20"/>
      <c r="AO195" s="8"/>
      <c r="AP195" s="8"/>
      <c r="AQ195" s="21"/>
    </row>
    <row r="196" spans="1:43" x14ac:dyDescent="0.25">
      <c r="A196" s="24">
        <v>193</v>
      </c>
      <c r="B196" s="24" t="s">
        <v>28</v>
      </c>
      <c r="C196" s="8" t="s">
        <v>980</v>
      </c>
      <c r="D196" s="8" t="s">
        <v>981</v>
      </c>
      <c r="E196" s="8"/>
      <c r="F196" s="24" t="s">
        <v>989</v>
      </c>
      <c r="G196" s="8"/>
      <c r="H196" s="8" t="s">
        <v>31</v>
      </c>
      <c r="I196" s="24" t="s">
        <v>988</v>
      </c>
      <c r="J196" s="8"/>
      <c r="K196" s="24">
        <v>0.20299999999999999</v>
      </c>
      <c r="L196" s="24">
        <v>0.20299999999999999</v>
      </c>
      <c r="M196" s="24">
        <v>1</v>
      </c>
      <c r="N196" s="24" t="s">
        <v>33</v>
      </c>
      <c r="O196" s="24">
        <f t="shared" si="16"/>
        <v>3.4712999999999998</v>
      </c>
      <c r="P196" s="24">
        <f t="shared" si="17"/>
        <v>4.0498499999999993</v>
      </c>
      <c r="Q196" s="24">
        <f t="shared" si="18"/>
        <v>2.3142</v>
      </c>
      <c r="R196" s="24">
        <f t="shared" si="19"/>
        <v>1.7356499999999999</v>
      </c>
      <c r="S196" s="37">
        <v>11.571</v>
      </c>
      <c r="T196" s="8">
        <v>105991.94</v>
      </c>
      <c r="U196" s="8">
        <v>21516.363819999999</v>
      </c>
      <c r="V196" s="8"/>
      <c r="W196" s="8"/>
      <c r="X196" s="24" t="s">
        <v>867</v>
      </c>
      <c r="Y196" s="24">
        <v>73029</v>
      </c>
      <c r="Z196" s="8">
        <v>6.18</v>
      </c>
      <c r="AA196" s="8" t="s">
        <v>989</v>
      </c>
      <c r="AB196" s="8">
        <v>17</v>
      </c>
      <c r="AC196" s="109">
        <v>5837</v>
      </c>
      <c r="AD196" s="8"/>
      <c r="AE196" s="319" t="s">
        <v>988</v>
      </c>
      <c r="AF196" s="198">
        <f t="shared" si="20"/>
        <v>6.0899999999999996E-2</v>
      </c>
      <c r="AG196" s="109"/>
      <c r="AH196" s="163"/>
      <c r="AI196" s="164"/>
      <c r="AJ196" s="141"/>
      <c r="AK196" s="265"/>
      <c r="AL196" s="265"/>
      <c r="AM196" s="267"/>
      <c r="AN196" s="126"/>
      <c r="AO196" s="72"/>
      <c r="AP196" s="72"/>
      <c r="AQ196" s="127"/>
    </row>
    <row r="197" spans="1:43" x14ac:dyDescent="0.25">
      <c r="A197" s="24">
        <v>194</v>
      </c>
      <c r="B197" s="24" t="s">
        <v>28</v>
      </c>
      <c r="C197" s="8" t="s">
        <v>980</v>
      </c>
      <c r="D197" s="8" t="s">
        <v>981</v>
      </c>
      <c r="E197" s="8"/>
      <c r="F197" s="24" t="s">
        <v>989</v>
      </c>
      <c r="G197" s="8"/>
      <c r="H197" s="8" t="s">
        <v>31</v>
      </c>
      <c r="I197" s="24" t="s">
        <v>988</v>
      </c>
      <c r="J197" s="8"/>
      <c r="K197" s="24">
        <v>0.20299999999999999</v>
      </c>
      <c r="L197" s="24">
        <v>0.20299999999999999</v>
      </c>
      <c r="M197" s="24">
        <v>1</v>
      </c>
      <c r="N197" s="24" t="s">
        <v>33</v>
      </c>
      <c r="O197" s="24">
        <f t="shared" si="16"/>
        <v>3.4712999999999998</v>
      </c>
      <c r="P197" s="24">
        <f t="shared" si="17"/>
        <v>4.0498499999999993</v>
      </c>
      <c r="Q197" s="24">
        <f t="shared" si="18"/>
        <v>2.3142</v>
      </c>
      <c r="R197" s="24">
        <f t="shared" si="19"/>
        <v>1.7356499999999999</v>
      </c>
      <c r="S197" s="37">
        <v>11.571</v>
      </c>
      <c r="T197" s="8">
        <v>105991.94</v>
      </c>
      <c r="U197" s="8">
        <v>21516.363819999999</v>
      </c>
      <c r="V197" s="8"/>
      <c r="W197" s="8"/>
      <c r="X197" s="24" t="s">
        <v>867</v>
      </c>
      <c r="Y197" s="24">
        <v>73029</v>
      </c>
      <c r="Z197" s="8">
        <v>6.18</v>
      </c>
      <c r="AA197" s="8" t="s">
        <v>989</v>
      </c>
      <c r="AB197" s="8">
        <v>18</v>
      </c>
      <c r="AC197" s="24">
        <v>5837</v>
      </c>
      <c r="AD197" s="8"/>
      <c r="AE197" s="319" t="s">
        <v>988</v>
      </c>
      <c r="AF197" s="198">
        <f t="shared" si="20"/>
        <v>6.0899999999999996E-2</v>
      </c>
      <c r="AG197" s="109"/>
      <c r="AH197" s="163"/>
      <c r="AI197" s="164"/>
      <c r="AJ197" s="141"/>
      <c r="AK197" s="72"/>
      <c r="AL197" s="72"/>
      <c r="AM197" s="127"/>
      <c r="AN197" s="126"/>
      <c r="AO197" s="72"/>
      <c r="AP197" s="72"/>
      <c r="AQ197" s="127"/>
    </row>
    <row r="198" spans="1:43" hidden="1" x14ac:dyDescent="0.25">
      <c r="A198" s="8">
        <v>195</v>
      </c>
      <c r="B198" s="8" t="s">
        <v>28</v>
      </c>
      <c r="C198" s="8" t="s">
        <v>980</v>
      </c>
      <c r="D198" s="8" t="s">
        <v>981</v>
      </c>
      <c r="E198" s="8"/>
      <c r="F198" s="8" t="s">
        <v>992</v>
      </c>
      <c r="G198" s="8"/>
      <c r="H198" s="8" t="s">
        <v>31</v>
      </c>
      <c r="I198" s="8" t="s">
        <v>994</v>
      </c>
      <c r="J198" s="8"/>
      <c r="K198" s="8">
        <v>4.7E-2</v>
      </c>
      <c r="L198" s="8">
        <v>4.7E-2</v>
      </c>
      <c r="M198" s="8">
        <v>1</v>
      </c>
      <c r="N198" s="8" t="s">
        <v>33</v>
      </c>
      <c r="O198" s="8">
        <f t="shared" ref="O198:O261" si="21">S198*0.3</f>
        <v>0.98699999999999999</v>
      </c>
      <c r="P198" s="8">
        <f t="shared" ref="P198:P261" si="22">S198*0.35</f>
        <v>1.1515</v>
      </c>
      <c r="Q198" s="8">
        <f t="shared" ref="Q198:Q261" si="23">S198*0.2</f>
        <v>0.65800000000000003</v>
      </c>
      <c r="R198" s="8">
        <f t="shared" ref="R198:R261" si="24">S198*0.15</f>
        <v>0.49349999999999999</v>
      </c>
      <c r="S198" s="37">
        <v>3.29</v>
      </c>
      <c r="T198" s="8">
        <v>105991.94</v>
      </c>
      <c r="U198" s="8">
        <v>4981.6211800000001</v>
      </c>
      <c r="V198" s="8"/>
      <c r="W198" s="8"/>
      <c r="X198" s="8" t="s">
        <v>993</v>
      </c>
      <c r="Y198" s="8">
        <v>73030</v>
      </c>
      <c r="Z198" s="8">
        <v>6.18</v>
      </c>
      <c r="AA198" s="8" t="s">
        <v>992</v>
      </c>
      <c r="AB198" s="8">
        <v>1</v>
      </c>
      <c r="AC198" s="8">
        <v>5833</v>
      </c>
      <c r="AD198" s="8"/>
      <c r="AE198" s="319" t="s">
        <v>994</v>
      </c>
      <c r="AF198" s="141"/>
      <c r="AG198" s="163"/>
      <c r="AH198" s="163"/>
      <c r="AI198" s="164"/>
      <c r="AJ198" s="126"/>
      <c r="AK198" s="72"/>
      <c r="AL198" s="72"/>
      <c r="AM198" s="127"/>
      <c r="AN198" s="126"/>
      <c r="AO198" s="72"/>
      <c r="AP198" s="72"/>
      <c r="AQ198" s="127"/>
    </row>
    <row r="199" spans="1:43" hidden="1" x14ac:dyDescent="0.25">
      <c r="A199" s="8">
        <v>196</v>
      </c>
      <c r="B199" s="8" t="s">
        <v>28</v>
      </c>
      <c r="C199" s="8" t="s">
        <v>980</v>
      </c>
      <c r="D199" s="8" t="s">
        <v>981</v>
      </c>
      <c r="E199" s="8"/>
      <c r="F199" s="8" t="s">
        <v>992</v>
      </c>
      <c r="G199" s="8"/>
      <c r="H199" s="8" t="s">
        <v>31</v>
      </c>
      <c r="I199" s="8" t="s">
        <v>997</v>
      </c>
      <c r="J199" s="8"/>
      <c r="K199" s="8">
        <v>0.1433076923076923</v>
      </c>
      <c r="L199" s="8">
        <v>0.1433076923076923</v>
      </c>
      <c r="M199" s="8">
        <v>1</v>
      </c>
      <c r="N199" s="8" t="s">
        <v>33</v>
      </c>
      <c r="O199" s="8">
        <f t="shared" si="21"/>
        <v>2.450561538461538</v>
      </c>
      <c r="P199" s="8">
        <f t="shared" si="22"/>
        <v>2.8589884615384609</v>
      </c>
      <c r="Q199" s="8">
        <f t="shared" si="23"/>
        <v>1.6337076923076923</v>
      </c>
      <c r="R199" s="8">
        <f t="shared" si="24"/>
        <v>1.225280769230769</v>
      </c>
      <c r="S199" s="37">
        <v>8.1685384615384606</v>
      </c>
      <c r="T199" s="8">
        <v>105991.94</v>
      </c>
      <c r="U199" s="8">
        <v>15189.460324615384</v>
      </c>
      <c r="V199" s="8"/>
      <c r="W199" s="8"/>
      <c r="X199" s="8" t="s">
        <v>995</v>
      </c>
      <c r="Y199" s="8">
        <v>73030</v>
      </c>
      <c r="Z199" s="8">
        <v>6.18</v>
      </c>
      <c r="AA199" s="8" t="s">
        <v>996</v>
      </c>
      <c r="AB199" s="8">
        <v>2</v>
      </c>
      <c r="AC199" s="8">
        <v>5850</v>
      </c>
      <c r="AD199" s="8"/>
      <c r="AE199" s="319" t="s">
        <v>997</v>
      </c>
      <c r="AF199" s="141"/>
      <c r="AG199" s="163"/>
      <c r="AH199" s="163"/>
      <c r="AI199" s="164"/>
      <c r="AJ199" s="126"/>
      <c r="AK199" s="72"/>
      <c r="AL199" s="72"/>
      <c r="AM199" s="127"/>
      <c r="AN199" s="126"/>
      <c r="AO199" s="72"/>
      <c r="AP199" s="72"/>
      <c r="AQ199" s="127"/>
    </row>
    <row r="200" spans="1:43" hidden="1" x14ac:dyDescent="0.25">
      <c r="A200" s="8">
        <v>197</v>
      </c>
      <c r="B200" s="8" t="s">
        <v>28</v>
      </c>
      <c r="C200" s="8" t="s">
        <v>980</v>
      </c>
      <c r="D200" s="8" t="s">
        <v>981</v>
      </c>
      <c r="E200" s="8"/>
      <c r="F200" s="8" t="s">
        <v>992</v>
      </c>
      <c r="G200" s="8"/>
      <c r="H200" s="8" t="s">
        <v>31</v>
      </c>
      <c r="I200" s="8" t="s">
        <v>997</v>
      </c>
      <c r="J200" s="8"/>
      <c r="K200" s="8">
        <v>0.1433076923076923</v>
      </c>
      <c r="L200" s="8">
        <v>0.1433076923076923</v>
      </c>
      <c r="M200" s="8">
        <v>1</v>
      </c>
      <c r="N200" s="8" t="s">
        <v>33</v>
      </c>
      <c r="O200" s="8">
        <f t="shared" si="21"/>
        <v>2.450561538461538</v>
      </c>
      <c r="P200" s="8">
        <f t="shared" si="22"/>
        <v>2.8589884615384609</v>
      </c>
      <c r="Q200" s="8">
        <f t="shared" si="23"/>
        <v>1.6337076923076923</v>
      </c>
      <c r="R200" s="8">
        <f t="shared" si="24"/>
        <v>1.225280769230769</v>
      </c>
      <c r="S200" s="37">
        <v>8.1685384615384606</v>
      </c>
      <c r="T200" s="8">
        <v>105991.94</v>
      </c>
      <c r="U200" s="8">
        <v>15189.460324615384</v>
      </c>
      <c r="V200" s="8"/>
      <c r="W200" s="8"/>
      <c r="X200" s="8" t="s">
        <v>995</v>
      </c>
      <c r="Y200" s="8">
        <v>73030</v>
      </c>
      <c r="Z200" s="8">
        <v>6.18</v>
      </c>
      <c r="AA200" s="8" t="s">
        <v>996</v>
      </c>
      <c r="AB200" s="8">
        <v>3</v>
      </c>
      <c r="AC200" s="8">
        <v>5850</v>
      </c>
      <c r="AD200" s="8"/>
      <c r="AE200" s="319" t="s">
        <v>997</v>
      </c>
      <c r="AF200" s="141"/>
      <c r="AG200" s="163"/>
      <c r="AH200" s="163"/>
      <c r="AI200" s="164"/>
      <c r="AJ200" s="126"/>
      <c r="AK200" s="72"/>
      <c r="AL200" s="72"/>
      <c r="AM200" s="127"/>
      <c r="AN200" s="126"/>
      <c r="AO200" s="72"/>
      <c r="AP200" s="72"/>
      <c r="AQ200" s="127"/>
    </row>
    <row r="201" spans="1:43" hidden="1" x14ac:dyDescent="0.25">
      <c r="A201" s="8">
        <v>198</v>
      </c>
      <c r="B201" s="8" t="s">
        <v>28</v>
      </c>
      <c r="C201" s="8" t="s">
        <v>980</v>
      </c>
      <c r="D201" s="8" t="s">
        <v>981</v>
      </c>
      <c r="E201" s="8"/>
      <c r="F201" s="8" t="s">
        <v>992</v>
      </c>
      <c r="G201" s="8"/>
      <c r="H201" s="8" t="s">
        <v>31</v>
      </c>
      <c r="I201" s="8" t="s">
        <v>997</v>
      </c>
      <c r="J201" s="8"/>
      <c r="K201" s="8">
        <v>0.1433076923076923</v>
      </c>
      <c r="L201" s="8">
        <v>0.1433076923076923</v>
      </c>
      <c r="M201" s="8">
        <v>1</v>
      </c>
      <c r="N201" s="8" t="s">
        <v>33</v>
      </c>
      <c r="O201" s="8">
        <f t="shared" si="21"/>
        <v>2.450561538461538</v>
      </c>
      <c r="P201" s="8">
        <f t="shared" si="22"/>
        <v>2.8589884615384609</v>
      </c>
      <c r="Q201" s="8">
        <f t="shared" si="23"/>
        <v>1.6337076923076923</v>
      </c>
      <c r="R201" s="8">
        <f t="shared" si="24"/>
        <v>1.225280769230769</v>
      </c>
      <c r="S201" s="37">
        <v>8.1685384615384606</v>
      </c>
      <c r="T201" s="8">
        <v>105991.94</v>
      </c>
      <c r="U201" s="8">
        <v>15189.460324615384</v>
      </c>
      <c r="V201" s="8"/>
      <c r="W201" s="8"/>
      <c r="X201" s="8" t="s">
        <v>995</v>
      </c>
      <c r="Y201" s="8">
        <v>73030</v>
      </c>
      <c r="Z201" s="8">
        <v>6.18</v>
      </c>
      <c r="AA201" s="8" t="s">
        <v>996</v>
      </c>
      <c r="AB201" s="8">
        <v>4</v>
      </c>
      <c r="AC201" s="8">
        <v>5850</v>
      </c>
      <c r="AD201" s="8"/>
      <c r="AE201" s="319" t="s">
        <v>997</v>
      </c>
      <c r="AF201" s="141"/>
      <c r="AG201" s="163"/>
      <c r="AH201" s="163"/>
      <c r="AI201" s="164"/>
      <c r="AJ201" s="126"/>
      <c r="AK201" s="72"/>
      <c r="AL201" s="72"/>
      <c r="AM201" s="127"/>
      <c r="AN201" s="126"/>
      <c r="AO201" s="72"/>
      <c r="AP201" s="72"/>
      <c r="AQ201" s="127"/>
    </row>
    <row r="202" spans="1:43" hidden="1" x14ac:dyDescent="0.25">
      <c r="A202" s="8">
        <v>199</v>
      </c>
      <c r="B202" s="8" t="s">
        <v>28</v>
      </c>
      <c r="C202" s="8" t="s">
        <v>980</v>
      </c>
      <c r="D202" s="8" t="s">
        <v>981</v>
      </c>
      <c r="E202" s="8"/>
      <c r="F202" s="8" t="s">
        <v>992</v>
      </c>
      <c r="G202" s="8"/>
      <c r="H202" s="8" t="s">
        <v>31</v>
      </c>
      <c r="I202" s="8" t="s">
        <v>997</v>
      </c>
      <c r="J202" s="8"/>
      <c r="K202" s="8">
        <v>0.1433076923076923</v>
      </c>
      <c r="L202" s="8">
        <v>0.1433076923076923</v>
      </c>
      <c r="M202" s="8">
        <v>1</v>
      </c>
      <c r="N202" s="8" t="s">
        <v>33</v>
      </c>
      <c r="O202" s="8">
        <f t="shared" si="21"/>
        <v>2.450561538461538</v>
      </c>
      <c r="P202" s="8">
        <f t="shared" si="22"/>
        <v>2.8589884615384609</v>
      </c>
      <c r="Q202" s="8">
        <f t="shared" si="23"/>
        <v>1.6337076923076923</v>
      </c>
      <c r="R202" s="8">
        <f t="shared" si="24"/>
        <v>1.225280769230769</v>
      </c>
      <c r="S202" s="37">
        <v>8.1685384615384606</v>
      </c>
      <c r="T202" s="8">
        <v>105991.94</v>
      </c>
      <c r="U202" s="8">
        <v>15189.460324615384</v>
      </c>
      <c r="V202" s="8"/>
      <c r="W202" s="8"/>
      <c r="X202" s="8" t="s">
        <v>995</v>
      </c>
      <c r="Y202" s="8">
        <v>73030</v>
      </c>
      <c r="Z202" s="8">
        <v>6.18</v>
      </c>
      <c r="AA202" s="8" t="s">
        <v>996</v>
      </c>
      <c r="AB202" s="8">
        <v>5</v>
      </c>
      <c r="AC202" s="8">
        <v>5850</v>
      </c>
      <c r="AD202" s="8"/>
      <c r="AE202" s="319" t="s">
        <v>997</v>
      </c>
      <c r="AF202" s="141"/>
      <c r="AG202" s="163"/>
      <c r="AH202" s="163"/>
      <c r="AI202" s="164"/>
      <c r="AJ202" s="126"/>
      <c r="AK202" s="72"/>
      <c r="AL202" s="72"/>
      <c r="AM202" s="127"/>
      <c r="AN202" s="126"/>
      <c r="AO202" s="72"/>
      <c r="AP202" s="72"/>
      <c r="AQ202" s="127"/>
    </row>
    <row r="203" spans="1:43" hidden="1" x14ac:dyDescent="0.25">
      <c r="A203" s="8">
        <v>200</v>
      </c>
      <c r="B203" s="8" t="s">
        <v>28</v>
      </c>
      <c r="C203" s="8" t="s">
        <v>980</v>
      </c>
      <c r="D203" s="8" t="s">
        <v>981</v>
      </c>
      <c r="E203" s="8"/>
      <c r="F203" s="8" t="s">
        <v>992</v>
      </c>
      <c r="G203" s="8"/>
      <c r="H203" s="8" t="s">
        <v>31</v>
      </c>
      <c r="I203" s="8" t="s">
        <v>997</v>
      </c>
      <c r="J203" s="8"/>
      <c r="K203" s="8">
        <v>0.1433076923076923</v>
      </c>
      <c r="L203" s="8">
        <v>0.1433076923076923</v>
      </c>
      <c r="M203" s="8">
        <v>1</v>
      </c>
      <c r="N203" s="8" t="s">
        <v>33</v>
      </c>
      <c r="O203" s="8">
        <f t="shared" si="21"/>
        <v>2.450561538461538</v>
      </c>
      <c r="P203" s="8">
        <f t="shared" si="22"/>
        <v>2.8589884615384609</v>
      </c>
      <c r="Q203" s="8">
        <f t="shared" si="23"/>
        <v>1.6337076923076923</v>
      </c>
      <c r="R203" s="8">
        <f t="shared" si="24"/>
        <v>1.225280769230769</v>
      </c>
      <c r="S203" s="37">
        <v>8.1685384615384606</v>
      </c>
      <c r="T203" s="8">
        <v>105991.94</v>
      </c>
      <c r="U203" s="8">
        <v>15189.460324615384</v>
      </c>
      <c r="V203" s="8"/>
      <c r="W203" s="8"/>
      <c r="X203" s="8" t="s">
        <v>995</v>
      </c>
      <c r="Y203" s="8">
        <v>73030</v>
      </c>
      <c r="Z203" s="8">
        <v>6.18</v>
      </c>
      <c r="AA203" s="8" t="s">
        <v>996</v>
      </c>
      <c r="AB203" s="8">
        <v>6</v>
      </c>
      <c r="AC203" s="8">
        <v>5850</v>
      </c>
      <c r="AD203" s="8"/>
      <c r="AE203" s="319" t="s">
        <v>997</v>
      </c>
      <c r="AF203" s="141"/>
      <c r="AG203" s="163"/>
      <c r="AH203" s="163"/>
      <c r="AI203" s="164"/>
      <c r="AJ203" s="126"/>
      <c r="AK203" s="72"/>
      <c r="AL203" s="72"/>
      <c r="AM203" s="127"/>
      <c r="AN203" s="126"/>
      <c r="AO203" s="72"/>
      <c r="AP203" s="72"/>
      <c r="AQ203" s="127"/>
    </row>
    <row r="204" spans="1:43" hidden="1" x14ac:dyDescent="0.25">
      <c r="A204" s="8">
        <v>201</v>
      </c>
      <c r="B204" s="8" t="s">
        <v>28</v>
      </c>
      <c r="C204" s="8" t="s">
        <v>980</v>
      </c>
      <c r="D204" s="8" t="s">
        <v>981</v>
      </c>
      <c r="E204" s="8"/>
      <c r="F204" s="8" t="s">
        <v>992</v>
      </c>
      <c r="G204" s="8"/>
      <c r="H204" s="8" t="s">
        <v>31</v>
      </c>
      <c r="I204" s="8" t="s">
        <v>997</v>
      </c>
      <c r="J204" s="8"/>
      <c r="K204" s="8">
        <v>0.1433076923076923</v>
      </c>
      <c r="L204" s="8">
        <v>0.1433076923076923</v>
      </c>
      <c r="M204" s="8">
        <v>1</v>
      </c>
      <c r="N204" s="8" t="s">
        <v>33</v>
      </c>
      <c r="O204" s="8">
        <f t="shared" si="21"/>
        <v>2.450561538461538</v>
      </c>
      <c r="P204" s="8">
        <f t="shared" si="22"/>
        <v>2.8589884615384609</v>
      </c>
      <c r="Q204" s="8">
        <f t="shared" si="23"/>
        <v>1.6337076923076923</v>
      </c>
      <c r="R204" s="8">
        <f t="shared" si="24"/>
        <v>1.225280769230769</v>
      </c>
      <c r="S204" s="37">
        <v>8.1685384615384606</v>
      </c>
      <c r="T204" s="8">
        <v>105991.94</v>
      </c>
      <c r="U204" s="8">
        <v>15189.460324615384</v>
      </c>
      <c r="V204" s="8"/>
      <c r="W204" s="8"/>
      <c r="X204" s="8" t="s">
        <v>995</v>
      </c>
      <c r="Y204" s="8">
        <v>73030</v>
      </c>
      <c r="Z204" s="8">
        <v>6.18</v>
      </c>
      <c r="AA204" s="8" t="s">
        <v>996</v>
      </c>
      <c r="AB204" s="8">
        <v>7</v>
      </c>
      <c r="AC204" s="8">
        <v>5850</v>
      </c>
      <c r="AD204" s="8"/>
      <c r="AE204" s="319" t="s">
        <v>997</v>
      </c>
      <c r="AF204" s="141"/>
      <c r="AG204" s="163"/>
      <c r="AH204" s="163"/>
      <c r="AI204" s="164"/>
      <c r="AJ204" s="126"/>
      <c r="AK204" s="72"/>
      <c r="AL204" s="72"/>
      <c r="AM204" s="127"/>
      <c r="AN204" s="126"/>
      <c r="AO204" s="72"/>
      <c r="AP204" s="72"/>
      <c r="AQ204" s="127"/>
    </row>
    <row r="205" spans="1:43" hidden="1" x14ac:dyDescent="0.25">
      <c r="A205" s="8">
        <v>202</v>
      </c>
      <c r="B205" s="8" t="s">
        <v>28</v>
      </c>
      <c r="C205" s="8" t="s">
        <v>980</v>
      </c>
      <c r="D205" s="8" t="s">
        <v>981</v>
      </c>
      <c r="E205" s="8"/>
      <c r="F205" s="8" t="s">
        <v>992</v>
      </c>
      <c r="G205" s="8"/>
      <c r="H205" s="8" t="s">
        <v>31</v>
      </c>
      <c r="I205" s="8" t="s">
        <v>997</v>
      </c>
      <c r="J205" s="8"/>
      <c r="K205" s="8">
        <v>0.1433076923076923</v>
      </c>
      <c r="L205" s="8">
        <v>0.1433076923076923</v>
      </c>
      <c r="M205" s="8">
        <v>1</v>
      </c>
      <c r="N205" s="8" t="s">
        <v>33</v>
      </c>
      <c r="O205" s="8">
        <f t="shared" si="21"/>
        <v>2.450561538461538</v>
      </c>
      <c r="P205" s="8">
        <f t="shared" si="22"/>
        <v>2.8589884615384609</v>
      </c>
      <c r="Q205" s="8">
        <f t="shared" si="23"/>
        <v>1.6337076923076923</v>
      </c>
      <c r="R205" s="8">
        <f t="shared" si="24"/>
        <v>1.225280769230769</v>
      </c>
      <c r="S205" s="37">
        <v>8.1685384615384606</v>
      </c>
      <c r="T205" s="8">
        <v>105991.94</v>
      </c>
      <c r="U205" s="8">
        <v>15189.460324615384</v>
      </c>
      <c r="V205" s="8"/>
      <c r="W205" s="8"/>
      <c r="X205" s="8" t="s">
        <v>995</v>
      </c>
      <c r="Y205" s="8">
        <v>73030</v>
      </c>
      <c r="Z205" s="8">
        <v>6.18</v>
      </c>
      <c r="AA205" s="8" t="s">
        <v>996</v>
      </c>
      <c r="AB205" s="8">
        <v>8</v>
      </c>
      <c r="AC205" s="8">
        <v>5850</v>
      </c>
      <c r="AD205" s="8"/>
      <c r="AE205" s="319" t="s">
        <v>997</v>
      </c>
      <c r="AF205" s="141"/>
      <c r="AG205" s="163"/>
      <c r="AH205" s="163"/>
      <c r="AI205" s="164"/>
      <c r="AJ205" s="126"/>
      <c r="AK205" s="72"/>
      <c r="AL205" s="72"/>
      <c r="AM205" s="127"/>
      <c r="AN205" s="126"/>
      <c r="AO205" s="72"/>
      <c r="AP205" s="72"/>
      <c r="AQ205" s="127"/>
    </row>
    <row r="206" spans="1:43" hidden="1" x14ac:dyDescent="0.25">
      <c r="A206" s="8">
        <v>203</v>
      </c>
      <c r="B206" s="8" t="s">
        <v>28</v>
      </c>
      <c r="C206" s="8" t="s">
        <v>980</v>
      </c>
      <c r="D206" s="8" t="s">
        <v>981</v>
      </c>
      <c r="E206" s="8"/>
      <c r="F206" s="8" t="s">
        <v>992</v>
      </c>
      <c r="G206" s="8"/>
      <c r="H206" s="8" t="s">
        <v>31</v>
      </c>
      <c r="I206" s="8" t="s">
        <v>997</v>
      </c>
      <c r="J206" s="8"/>
      <c r="K206" s="8">
        <v>0.1433076923076923</v>
      </c>
      <c r="L206" s="8">
        <v>0.1433076923076923</v>
      </c>
      <c r="M206" s="8">
        <v>1</v>
      </c>
      <c r="N206" s="8" t="s">
        <v>33</v>
      </c>
      <c r="O206" s="8">
        <f t="shared" si="21"/>
        <v>2.450561538461538</v>
      </c>
      <c r="P206" s="8">
        <f t="shared" si="22"/>
        <v>2.8589884615384609</v>
      </c>
      <c r="Q206" s="8">
        <f t="shared" si="23"/>
        <v>1.6337076923076923</v>
      </c>
      <c r="R206" s="8">
        <f t="shared" si="24"/>
        <v>1.225280769230769</v>
      </c>
      <c r="S206" s="37">
        <v>8.1685384615384606</v>
      </c>
      <c r="T206" s="8">
        <v>105991.94</v>
      </c>
      <c r="U206" s="8">
        <v>15189.460324615384</v>
      </c>
      <c r="V206" s="8"/>
      <c r="W206" s="8"/>
      <c r="X206" s="8" t="s">
        <v>995</v>
      </c>
      <c r="Y206" s="8">
        <v>73030</v>
      </c>
      <c r="Z206" s="8">
        <v>6.18</v>
      </c>
      <c r="AA206" s="8" t="s">
        <v>996</v>
      </c>
      <c r="AB206" s="8">
        <v>9</v>
      </c>
      <c r="AC206" s="8">
        <v>5850</v>
      </c>
      <c r="AD206" s="8"/>
      <c r="AE206" s="319" t="s">
        <v>997</v>
      </c>
      <c r="AF206" s="141"/>
      <c r="AG206" s="163"/>
      <c r="AH206" s="163"/>
      <c r="AI206" s="164"/>
      <c r="AJ206" s="126"/>
      <c r="AK206" s="72"/>
      <c r="AL206" s="72"/>
      <c r="AM206" s="127"/>
      <c r="AN206" s="126"/>
      <c r="AO206" s="72"/>
      <c r="AP206" s="72"/>
      <c r="AQ206" s="127"/>
    </row>
    <row r="207" spans="1:43" hidden="1" x14ac:dyDescent="0.25">
      <c r="A207" s="8">
        <v>204</v>
      </c>
      <c r="B207" s="8" t="s">
        <v>28</v>
      </c>
      <c r="C207" s="8" t="s">
        <v>980</v>
      </c>
      <c r="D207" s="8" t="s">
        <v>981</v>
      </c>
      <c r="E207" s="8"/>
      <c r="F207" s="8" t="s">
        <v>992</v>
      </c>
      <c r="G207" s="8"/>
      <c r="H207" s="8" t="s">
        <v>31</v>
      </c>
      <c r="I207" s="8" t="s">
        <v>997</v>
      </c>
      <c r="J207" s="8"/>
      <c r="K207" s="8">
        <v>0.1433076923076923</v>
      </c>
      <c r="L207" s="8">
        <v>0.1433076923076923</v>
      </c>
      <c r="M207" s="8">
        <v>1</v>
      </c>
      <c r="N207" s="8" t="s">
        <v>33</v>
      </c>
      <c r="O207" s="8">
        <f t="shared" si="21"/>
        <v>2.450561538461538</v>
      </c>
      <c r="P207" s="8">
        <f t="shared" si="22"/>
        <v>2.8589884615384609</v>
      </c>
      <c r="Q207" s="8">
        <f t="shared" si="23"/>
        <v>1.6337076923076923</v>
      </c>
      <c r="R207" s="8">
        <f t="shared" si="24"/>
        <v>1.225280769230769</v>
      </c>
      <c r="S207" s="37">
        <v>8.1685384615384606</v>
      </c>
      <c r="T207" s="8">
        <v>105991.94</v>
      </c>
      <c r="U207" s="8">
        <v>15189.460324615384</v>
      </c>
      <c r="V207" s="8"/>
      <c r="W207" s="8"/>
      <c r="X207" s="8" t="s">
        <v>995</v>
      </c>
      <c r="Y207" s="8">
        <v>73030</v>
      </c>
      <c r="Z207" s="8">
        <v>6.18</v>
      </c>
      <c r="AA207" s="8" t="s">
        <v>996</v>
      </c>
      <c r="AB207" s="8">
        <v>10</v>
      </c>
      <c r="AC207" s="8">
        <v>5850</v>
      </c>
      <c r="AD207" s="8"/>
      <c r="AE207" s="319" t="s">
        <v>997</v>
      </c>
      <c r="AF207" s="141"/>
      <c r="AG207" s="163"/>
      <c r="AH207" s="163"/>
      <c r="AI207" s="164"/>
      <c r="AJ207" s="126"/>
      <c r="AK207" s="72"/>
      <c r="AL207" s="72"/>
      <c r="AM207" s="127"/>
      <c r="AN207" s="126"/>
      <c r="AO207" s="72"/>
      <c r="AP207" s="72"/>
      <c r="AQ207" s="127"/>
    </row>
    <row r="208" spans="1:43" hidden="1" x14ac:dyDescent="0.25">
      <c r="A208" s="8">
        <v>205</v>
      </c>
      <c r="B208" s="8" t="s">
        <v>28</v>
      </c>
      <c r="C208" s="8" t="s">
        <v>980</v>
      </c>
      <c r="D208" s="8" t="s">
        <v>981</v>
      </c>
      <c r="E208" s="8"/>
      <c r="F208" s="8" t="s">
        <v>992</v>
      </c>
      <c r="G208" s="8"/>
      <c r="H208" s="8" t="s">
        <v>31</v>
      </c>
      <c r="I208" s="8" t="s">
        <v>997</v>
      </c>
      <c r="J208" s="8"/>
      <c r="K208" s="8">
        <v>0.1433076923076923</v>
      </c>
      <c r="L208" s="8">
        <v>0.1433076923076923</v>
      </c>
      <c r="M208" s="8">
        <v>1</v>
      </c>
      <c r="N208" s="8" t="s">
        <v>33</v>
      </c>
      <c r="O208" s="8">
        <f t="shared" si="21"/>
        <v>2.450561538461538</v>
      </c>
      <c r="P208" s="8">
        <f t="shared" si="22"/>
        <v>2.8589884615384609</v>
      </c>
      <c r="Q208" s="8">
        <f t="shared" si="23"/>
        <v>1.6337076923076923</v>
      </c>
      <c r="R208" s="8">
        <f t="shared" si="24"/>
        <v>1.225280769230769</v>
      </c>
      <c r="S208" s="37">
        <v>8.1685384615384606</v>
      </c>
      <c r="T208" s="8">
        <v>105991.94</v>
      </c>
      <c r="U208" s="8">
        <v>15189.460324615384</v>
      </c>
      <c r="V208" s="8"/>
      <c r="W208" s="8"/>
      <c r="X208" s="8" t="s">
        <v>995</v>
      </c>
      <c r="Y208" s="8">
        <v>73030</v>
      </c>
      <c r="Z208" s="8">
        <v>6.18</v>
      </c>
      <c r="AA208" s="8" t="s">
        <v>996</v>
      </c>
      <c r="AB208" s="8">
        <v>11</v>
      </c>
      <c r="AC208" s="8">
        <v>5850</v>
      </c>
      <c r="AD208" s="8"/>
      <c r="AE208" s="319" t="s">
        <v>997</v>
      </c>
      <c r="AF208" s="141"/>
      <c r="AG208" s="163"/>
      <c r="AH208" s="163"/>
      <c r="AI208" s="164"/>
      <c r="AJ208" s="126"/>
      <c r="AK208" s="72"/>
      <c r="AL208" s="72"/>
      <c r="AM208" s="127"/>
      <c r="AN208" s="126"/>
      <c r="AO208" s="72"/>
      <c r="AP208" s="72"/>
      <c r="AQ208" s="127"/>
    </row>
    <row r="209" spans="1:43" hidden="1" x14ac:dyDescent="0.25">
      <c r="A209" s="8">
        <v>206</v>
      </c>
      <c r="B209" s="8" t="s">
        <v>28</v>
      </c>
      <c r="C209" s="8" t="s">
        <v>980</v>
      </c>
      <c r="D209" s="8" t="s">
        <v>981</v>
      </c>
      <c r="E209" s="8"/>
      <c r="F209" s="8" t="s">
        <v>992</v>
      </c>
      <c r="G209" s="8"/>
      <c r="H209" s="8" t="s">
        <v>31</v>
      </c>
      <c r="I209" s="8" t="s">
        <v>997</v>
      </c>
      <c r="J209" s="8"/>
      <c r="K209" s="8">
        <v>0.1433076923076923</v>
      </c>
      <c r="L209" s="8">
        <v>0.1433076923076923</v>
      </c>
      <c r="M209" s="8">
        <v>1</v>
      </c>
      <c r="N209" s="8" t="s">
        <v>33</v>
      </c>
      <c r="O209" s="8">
        <f t="shared" si="21"/>
        <v>2.450561538461538</v>
      </c>
      <c r="P209" s="8">
        <f t="shared" si="22"/>
        <v>2.8589884615384609</v>
      </c>
      <c r="Q209" s="8">
        <f t="shared" si="23"/>
        <v>1.6337076923076923</v>
      </c>
      <c r="R209" s="8">
        <f t="shared" si="24"/>
        <v>1.225280769230769</v>
      </c>
      <c r="S209" s="37">
        <v>8.1685384615384606</v>
      </c>
      <c r="T209" s="8">
        <v>105991.94</v>
      </c>
      <c r="U209" s="8">
        <v>15189.460324615384</v>
      </c>
      <c r="V209" s="8"/>
      <c r="W209" s="8"/>
      <c r="X209" s="8" t="s">
        <v>995</v>
      </c>
      <c r="Y209" s="8">
        <v>73030</v>
      </c>
      <c r="Z209" s="8">
        <v>6.18</v>
      </c>
      <c r="AA209" s="8" t="s">
        <v>996</v>
      </c>
      <c r="AB209" s="8">
        <v>12</v>
      </c>
      <c r="AC209" s="8">
        <v>5850</v>
      </c>
      <c r="AD209" s="8"/>
      <c r="AE209" s="319" t="s">
        <v>997</v>
      </c>
      <c r="AF209" s="141"/>
      <c r="AG209" s="163"/>
      <c r="AH209" s="163"/>
      <c r="AI209" s="164"/>
      <c r="AJ209" s="126"/>
      <c r="AK209" s="72"/>
      <c r="AL209" s="72"/>
      <c r="AM209" s="127"/>
      <c r="AN209" s="126"/>
      <c r="AO209" s="72"/>
      <c r="AP209" s="72"/>
      <c r="AQ209" s="127"/>
    </row>
    <row r="210" spans="1:43" hidden="1" x14ac:dyDescent="0.25">
      <c r="A210" s="8">
        <v>207</v>
      </c>
      <c r="B210" s="8" t="s">
        <v>28</v>
      </c>
      <c r="C210" s="8" t="s">
        <v>980</v>
      </c>
      <c r="D210" s="8" t="s">
        <v>981</v>
      </c>
      <c r="E210" s="8"/>
      <c r="F210" s="8" t="s">
        <v>992</v>
      </c>
      <c r="G210" s="8"/>
      <c r="H210" s="8" t="s">
        <v>31</v>
      </c>
      <c r="I210" s="8" t="s">
        <v>997</v>
      </c>
      <c r="J210" s="8"/>
      <c r="K210" s="8">
        <v>0.1433076923076923</v>
      </c>
      <c r="L210" s="8">
        <v>0.1433076923076923</v>
      </c>
      <c r="M210" s="8">
        <v>1</v>
      </c>
      <c r="N210" s="8" t="s">
        <v>33</v>
      </c>
      <c r="O210" s="8">
        <f t="shared" si="21"/>
        <v>2.450561538461538</v>
      </c>
      <c r="P210" s="8">
        <f t="shared" si="22"/>
        <v>2.8589884615384609</v>
      </c>
      <c r="Q210" s="8">
        <f t="shared" si="23"/>
        <v>1.6337076923076923</v>
      </c>
      <c r="R210" s="8">
        <f t="shared" si="24"/>
        <v>1.225280769230769</v>
      </c>
      <c r="S210" s="37">
        <v>8.1685384615384606</v>
      </c>
      <c r="T210" s="8">
        <v>105991.94</v>
      </c>
      <c r="U210" s="8">
        <v>15189.460324615384</v>
      </c>
      <c r="V210" s="8"/>
      <c r="W210" s="8"/>
      <c r="X210" s="8" t="s">
        <v>995</v>
      </c>
      <c r="Y210" s="8">
        <v>73030</v>
      </c>
      <c r="Z210" s="8">
        <v>6.18</v>
      </c>
      <c r="AA210" s="8" t="s">
        <v>996</v>
      </c>
      <c r="AB210" s="8">
        <v>13</v>
      </c>
      <c r="AC210" s="8">
        <v>5850</v>
      </c>
      <c r="AD210" s="8"/>
      <c r="AE210" s="319" t="s">
        <v>997</v>
      </c>
      <c r="AF210" s="141"/>
      <c r="AG210" s="163"/>
      <c r="AH210" s="163"/>
      <c r="AI210" s="164"/>
      <c r="AJ210" s="126"/>
      <c r="AK210" s="72"/>
      <c r="AL210" s="72"/>
      <c r="AM210" s="127"/>
      <c r="AN210" s="126"/>
      <c r="AO210" s="72"/>
      <c r="AP210" s="72"/>
      <c r="AQ210" s="127"/>
    </row>
    <row r="211" spans="1:43" hidden="1" x14ac:dyDescent="0.25">
      <c r="A211" s="8">
        <v>208</v>
      </c>
      <c r="B211" s="8" t="s">
        <v>28</v>
      </c>
      <c r="C211" s="8" t="s">
        <v>980</v>
      </c>
      <c r="D211" s="8" t="s">
        <v>981</v>
      </c>
      <c r="E211" s="8"/>
      <c r="F211" s="8" t="s">
        <v>992</v>
      </c>
      <c r="G211" s="8"/>
      <c r="H211" s="8" t="s">
        <v>31</v>
      </c>
      <c r="I211" s="8" t="s">
        <v>997</v>
      </c>
      <c r="J211" s="8"/>
      <c r="K211" s="8">
        <v>0.1433076923076923</v>
      </c>
      <c r="L211" s="8">
        <v>0.1433076923076923</v>
      </c>
      <c r="M211" s="8">
        <v>1</v>
      </c>
      <c r="N211" s="8" t="s">
        <v>33</v>
      </c>
      <c r="O211" s="8">
        <f t="shared" si="21"/>
        <v>2.450561538461538</v>
      </c>
      <c r="P211" s="8">
        <f t="shared" si="22"/>
        <v>2.8589884615384609</v>
      </c>
      <c r="Q211" s="8">
        <f t="shared" si="23"/>
        <v>1.6337076923076923</v>
      </c>
      <c r="R211" s="8">
        <f t="shared" si="24"/>
        <v>1.225280769230769</v>
      </c>
      <c r="S211" s="37">
        <v>8.1685384615384606</v>
      </c>
      <c r="T211" s="8">
        <v>105991.94</v>
      </c>
      <c r="U211" s="8">
        <v>15189.460324615384</v>
      </c>
      <c r="V211" s="8"/>
      <c r="W211" s="8"/>
      <c r="X211" s="8" t="s">
        <v>995</v>
      </c>
      <c r="Y211" s="8">
        <v>73030</v>
      </c>
      <c r="Z211" s="8">
        <v>6.18</v>
      </c>
      <c r="AA211" s="8" t="s">
        <v>996</v>
      </c>
      <c r="AB211" s="8">
        <v>14</v>
      </c>
      <c r="AC211" s="8">
        <v>5850</v>
      </c>
      <c r="AD211" s="8"/>
      <c r="AE211" s="319" t="s">
        <v>997</v>
      </c>
      <c r="AF211" s="141"/>
      <c r="AG211" s="163"/>
      <c r="AH211" s="163"/>
      <c r="AI211" s="164"/>
      <c r="AJ211" s="126"/>
      <c r="AK211" s="72"/>
      <c r="AL211" s="72"/>
      <c r="AM211" s="127"/>
      <c r="AN211" s="126"/>
      <c r="AO211" s="72"/>
      <c r="AP211" s="72"/>
      <c r="AQ211" s="127"/>
    </row>
    <row r="212" spans="1:43" hidden="1" x14ac:dyDescent="0.25">
      <c r="A212" s="8">
        <v>209</v>
      </c>
      <c r="B212" s="8" t="s">
        <v>28</v>
      </c>
      <c r="C212" s="8" t="s">
        <v>980</v>
      </c>
      <c r="D212" s="8" t="s">
        <v>981</v>
      </c>
      <c r="E212" s="8"/>
      <c r="F212" s="8" t="s">
        <v>998</v>
      </c>
      <c r="G212" s="8"/>
      <c r="H212" s="8" t="s">
        <v>31</v>
      </c>
      <c r="I212" s="8" t="s">
        <v>1000</v>
      </c>
      <c r="J212" s="8"/>
      <c r="K212" s="8">
        <v>4.1000000000000002E-2</v>
      </c>
      <c r="L212" s="8">
        <v>4.1000000000000002E-2</v>
      </c>
      <c r="M212" s="8">
        <v>1</v>
      </c>
      <c r="N212" s="8" t="s">
        <v>33</v>
      </c>
      <c r="O212" s="8">
        <f t="shared" si="21"/>
        <v>0.86099999999999999</v>
      </c>
      <c r="P212" s="8">
        <f t="shared" si="22"/>
        <v>1.0044999999999999</v>
      </c>
      <c r="Q212" s="8">
        <f t="shared" si="23"/>
        <v>0.57400000000000007</v>
      </c>
      <c r="R212" s="8">
        <f t="shared" si="24"/>
        <v>0.43049999999999999</v>
      </c>
      <c r="S212" s="37">
        <v>2.87</v>
      </c>
      <c r="T212" s="8">
        <v>105991.94</v>
      </c>
      <c r="U212" s="8">
        <v>4345.6695399999999</v>
      </c>
      <c r="V212" s="8"/>
      <c r="W212" s="8"/>
      <c r="X212" s="8" t="s">
        <v>999</v>
      </c>
      <c r="Y212" s="8">
        <v>73031</v>
      </c>
      <c r="Z212" s="8">
        <v>6.18</v>
      </c>
      <c r="AA212" s="8" t="s">
        <v>998</v>
      </c>
      <c r="AB212" s="8">
        <v>1</v>
      </c>
      <c r="AC212" s="8">
        <v>5852</v>
      </c>
      <c r="AD212" s="8"/>
      <c r="AE212" s="319" t="s">
        <v>1000</v>
      </c>
      <c r="AF212" s="141"/>
      <c r="AG212" s="163"/>
      <c r="AH212" s="163"/>
      <c r="AI212" s="164"/>
      <c r="AJ212" s="126"/>
      <c r="AK212" s="72"/>
      <c r="AL212" s="72"/>
      <c r="AM212" s="127"/>
      <c r="AN212" s="126"/>
      <c r="AO212" s="72"/>
      <c r="AP212" s="72"/>
      <c r="AQ212" s="127"/>
    </row>
    <row r="213" spans="1:43" hidden="1" x14ac:dyDescent="0.25">
      <c r="A213" s="8">
        <v>210</v>
      </c>
      <c r="B213" s="8" t="s">
        <v>28</v>
      </c>
      <c r="C213" s="8" t="s">
        <v>980</v>
      </c>
      <c r="D213" s="8" t="s">
        <v>981</v>
      </c>
      <c r="E213" s="8"/>
      <c r="F213" s="8" t="s">
        <v>998</v>
      </c>
      <c r="G213" s="8"/>
      <c r="H213" s="8" t="s">
        <v>31</v>
      </c>
      <c r="I213" s="8" t="s">
        <v>1000</v>
      </c>
      <c r="J213" s="8"/>
      <c r="K213" s="8">
        <v>4.1000000000000002E-2</v>
      </c>
      <c r="L213" s="8">
        <v>4.1000000000000002E-2</v>
      </c>
      <c r="M213" s="8">
        <v>1</v>
      </c>
      <c r="N213" s="8" t="s">
        <v>33</v>
      </c>
      <c r="O213" s="8">
        <f t="shared" si="21"/>
        <v>0.86099999999999999</v>
      </c>
      <c r="P213" s="8">
        <f t="shared" si="22"/>
        <v>1.0044999999999999</v>
      </c>
      <c r="Q213" s="8">
        <f t="shared" si="23"/>
        <v>0.57400000000000007</v>
      </c>
      <c r="R213" s="8">
        <f t="shared" si="24"/>
        <v>0.43049999999999999</v>
      </c>
      <c r="S213" s="37">
        <v>2.87</v>
      </c>
      <c r="T213" s="8">
        <v>105991.94</v>
      </c>
      <c r="U213" s="8">
        <v>4345.6695399999999</v>
      </c>
      <c r="V213" s="8"/>
      <c r="W213" s="8"/>
      <c r="X213" s="8" t="s">
        <v>999</v>
      </c>
      <c r="Y213" s="8">
        <v>73031</v>
      </c>
      <c r="Z213" s="8">
        <v>6.18</v>
      </c>
      <c r="AA213" s="8" t="s">
        <v>998</v>
      </c>
      <c r="AB213" s="8">
        <v>2</v>
      </c>
      <c r="AC213" s="8">
        <v>5852</v>
      </c>
      <c r="AD213" s="8"/>
      <c r="AE213" s="319" t="s">
        <v>1000</v>
      </c>
      <c r="AF213" s="141"/>
      <c r="AG213" s="163"/>
      <c r="AH213" s="163"/>
      <c r="AI213" s="164"/>
      <c r="AJ213" s="126"/>
      <c r="AK213" s="72"/>
      <c r="AL213" s="72"/>
      <c r="AM213" s="127"/>
      <c r="AN213" s="126"/>
      <c r="AO213" s="72"/>
      <c r="AP213" s="72"/>
      <c r="AQ213" s="127"/>
    </row>
    <row r="214" spans="1:43" hidden="1" x14ac:dyDescent="0.25">
      <c r="A214" s="8">
        <v>211</v>
      </c>
      <c r="B214" s="8" t="s">
        <v>28</v>
      </c>
      <c r="C214" s="8" t="s">
        <v>980</v>
      </c>
      <c r="D214" s="8" t="s">
        <v>981</v>
      </c>
      <c r="E214" s="8"/>
      <c r="F214" s="8" t="s">
        <v>998</v>
      </c>
      <c r="G214" s="8"/>
      <c r="H214" s="8" t="s">
        <v>31</v>
      </c>
      <c r="I214" s="8" t="s">
        <v>1000</v>
      </c>
      <c r="J214" s="8"/>
      <c r="K214" s="8">
        <v>4.1000000000000002E-2</v>
      </c>
      <c r="L214" s="8">
        <v>4.1000000000000002E-2</v>
      </c>
      <c r="M214" s="8">
        <v>1</v>
      </c>
      <c r="N214" s="8" t="s">
        <v>33</v>
      </c>
      <c r="O214" s="8">
        <f t="shared" si="21"/>
        <v>0.86099999999999999</v>
      </c>
      <c r="P214" s="8">
        <f t="shared" si="22"/>
        <v>1.0044999999999999</v>
      </c>
      <c r="Q214" s="8">
        <f t="shared" si="23"/>
        <v>0.57400000000000007</v>
      </c>
      <c r="R214" s="8">
        <f t="shared" si="24"/>
        <v>0.43049999999999999</v>
      </c>
      <c r="S214" s="37">
        <v>2.87</v>
      </c>
      <c r="T214" s="8">
        <v>105991.94</v>
      </c>
      <c r="U214" s="8">
        <v>4345.6695399999999</v>
      </c>
      <c r="V214" s="8"/>
      <c r="W214" s="8"/>
      <c r="X214" s="8" t="s">
        <v>999</v>
      </c>
      <c r="Y214" s="8">
        <v>73031</v>
      </c>
      <c r="Z214" s="8">
        <v>6.18</v>
      </c>
      <c r="AA214" s="8" t="s">
        <v>998</v>
      </c>
      <c r="AB214" s="8">
        <v>3</v>
      </c>
      <c r="AC214" s="8">
        <v>5852</v>
      </c>
      <c r="AD214" s="8"/>
      <c r="AE214" s="319" t="s">
        <v>1000</v>
      </c>
      <c r="AF214" s="141"/>
      <c r="AG214" s="163"/>
      <c r="AH214" s="163"/>
      <c r="AI214" s="164"/>
      <c r="AJ214" s="126"/>
      <c r="AK214" s="72"/>
      <c r="AL214" s="72"/>
      <c r="AM214" s="127"/>
      <c r="AN214" s="126"/>
      <c r="AO214" s="72"/>
      <c r="AP214" s="72"/>
      <c r="AQ214" s="127"/>
    </row>
    <row r="215" spans="1:43" hidden="1" x14ac:dyDescent="0.25">
      <c r="A215" s="8">
        <v>212</v>
      </c>
      <c r="B215" s="8" t="s">
        <v>28</v>
      </c>
      <c r="C215" s="8" t="s">
        <v>980</v>
      </c>
      <c r="D215" s="8" t="s">
        <v>981</v>
      </c>
      <c r="E215" s="8"/>
      <c r="F215" s="8" t="s">
        <v>998</v>
      </c>
      <c r="G215" s="8"/>
      <c r="H215" s="8" t="s">
        <v>31</v>
      </c>
      <c r="I215" s="8" t="s">
        <v>1000</v>
      </c>
      <c r="J215" s="8"/>
      <c r="K215" s="8">
        <v>4.1000000000000002E-2</v>
      </c>
      <c r="L215" s="8">
        <v>4.1000000000000002E-2</v>
      </c>
      <c r="M215" s="8">
        <v>1</v>
      </c>
      <c r="N215" s="8" t="s">
        <v>33</v>
      </c>
      <c r="O215" s="8">
        <f t="shared" si="21"/>
        <v>0.86099999999999999</v>
      </c>
      <c r="P215" s="8">
        <f t="shared" si="22"/>
        <v>1.0044999999999999</v>
      </c>
      <c r="Q215" s="8">
        <f t="shared" si="23"/>
        <v>0.57400000000000007</v>
      </c>
      <c r="R215" s="8">
        <f t="shared" si="24"/>
        <v>0.43049999999999999</v>
      </c>
      <c r="S215" s="37">
        <v>2.87</v>
      </c>
      <c r="T215" s="8">
        <v>105991.94</v>
      </c>
      <c r="U215" s="8">
        <v>4345.6695399999999</v>
      </c>
      <c r="V215" s="8"/>
      <c r="W215" s="8"/>
      <c r="X215" s="8" t="s">
        <v>999</v>
      </c>
      <c r="Y215" s="8">
        <v>73031</v>
      </c>
      <c r="Z215" s="8">
        <v>6.18</v>
      </c>
      <c r="AA215" s="8" t="s">
        <v>998</v>
      </c>
      <c r="AB215" s="8">
        <v>4</v>
      </c>
      <c r="AC215" s="8">
        <v>5852</v>
      </c>
      <c r="AD215" s="8"/>
      <c r="AE215" s="319" t="s">
        <v>1000</v>
      </c>
      <c r="AF215" s="141"/>
      <c r="AG215" s="163"/>
      <c r="AH215" s="163"/>
      <c r="AI215" s="164"/>
      <c r="AJ215" s="126"/>
      <c r="AK215" s="72"/>
      <c r="AL215" s="72"/>
      <c r="AM215" s="127"/>
      <c r="AN215" s="126"/>
      <c r="AO215" s="72"/>
      <c r="AP215" s="72"/>
      <c r="AQ215" s="127"/>
    </row>
    <row r="216" spans="1:43" hidden="1" x14ac:dyDescent="0.25">
      <c r="A216" s="8">
        <v>213</v>
      </c>
      <c r="B216" s="8" t="s">
        <v>28</v>
      </c>
      <c r="C216" s="8" t="s">
        <v>980</v>
      </c>
      <c r="D216" s="8" t="s">
        <v>981</v>
      </c>
      <c r="E216" s="8"/>
      <c r="F216" s="8" t="s">
        <v>998</v>
      </c>
      <c r="G216" s="8"/>
      <c r="H216" s="8" t="s">
        <v>31</v>
      </c>
      <c r="I216" s="8" t="s">
        <v>1000</v>
      </c>
      <c r="J216" s="8"/>
      <c r="K216" s="8">
        <v>4.1000000000000002E-2</v>
      </c>
      <c r="L216" s="8">
        <v>4.1000000000000002E-2</v>
      </c>
      <c r="M216" s="8">
        <v>1</v>
      </c>
      <c r="N216" s="8" t="s">
        <v>33</v>
      </c>
      <c r="O216" s="8">
        <f t="shared" si="21"/>
        <v>0.86099999999999999</v>
      </c>
      <c r="P216" s="8">
        <f t="shared" si="22"/>
        <v>1.0044999999999999</v>
      </c>
      <c r="Q216" s="8">
        <f t="shared" si="23"/>
        <v>0.57400000000000007</v>
      </c>
      <c r="R216" s="8">
        <f t="shared" si="24"/>
        <v>0.43049999999999999</v>
      </c>
      <c r="S216" s="37">
        <v>2.87</v>
      </c>
      <c r="T216" s="8">
        <v>105991.94</v>
      </c>
      <c r="U216" s="8">
        <v>4345.6695399999999</v>
      </c>
      <c r="V216" s="8"/>
      <c r="W216" s="8"/>
      <c r="X216" s="8" t="s">
        <v>999</v>
      </c>
      <c r="Y216" s="8">
        <v>73031</v>
      </c>
      <c r="Z216" s="8">
        <v>6.18</v>
      </c>
      <c r="AA216" s="8" t="s">
        <v>998</v>
      </c>
      <c r="AB216" s="8">
        <v>5</v>
      </c>
      <c r="AC216" s="8">
        <v>5852</v>
      </c>
      <c r="AD216" s="8"/>
      <c r="AE216" s="319" t="s">
        <v>1000</v>
      </c>
      <c r="AF216" s="141"/>
      <c r="AG216" s="163"/>
      <c r="AH216" s="163"/>
      <c r="AI216" s="164"/>
      <c r="AJ216" s="126"/>
      <c r="AK216" s="72"/>
      <c r="AL216" s="72"/>
      <c r="AM216" s="127"/>
      <c r="AN216" s="126"/>
      <c r="AO216" s="72"/>
      <c r="AP216" s="72"/>
      <c r="AQ216" s="127"/>
    </row>
    <row r="217" spans="1:43" hidden="1" x14ac:dyDescent="0.25">
      <c r="A217" s="8">
        <v>214</v>
      </c>
      <c r="B217" s="8" t="s">
        <v>28</v>
      </c>
      <c r="C217" s="8" t="s">
        <v>980</v>
      </c>
      <c r="D217" s="8" t="s">
        <v>981</v>
      </c>
      <c r="E217" s="8"/>
      <c r="F217" s="8" t="s">
        <v>998</v>
      </c>
      <c r="G217" s="8"/>
      <c r="H217" s="8" t="s">
        <v>31</v>
      </c>
      <c r="I217" s="8" t="s">
        <v>1000</v>
      </c>
      <c r="J217" s="8"/>
      <c r="K217" s="8">
        <v>4.1000000000000002E-2</v>
      </c>
      <c r="L217" s="8">
        <v>4.1000000000000002E-2</v>
      </c>
      <c r="M217" s="8">
        <v>1</v>
      </c>
      <c r="N217" s="8" t="s">
        <v>33</v>
      </c>
      <c r="O217" s="8">
        <f t="shared" si="21"/>
        <v>0.86099999999999999</v>
      </c>
      <c r="P217" s="8">
        <f t="shared" si="22"/>
        <v>1.0044999999999999</v>
      </c>
      <c r="Q217" s="8">
        <f t="shared" si="23"/>
        <v>0.57400000000000007</v>
      </c>
      <c r="R217" s="8">
        <f t="shared" si="24"/>
        <v>0.43049999999999999</v>
      </c>
      <c r="S217" s="37">
        <v>2.87</v>
      </c>
      <c r="T217" s="8">
        <v>105991.94</v>
      </c>
      <c r="U217" s="8">
        <v>4345.6695399999999</v>
      </c>
      <c r="V217" s="8"/>
      <c r="W217" s="8"/>
      <c r="X217" s="8" t="s">
        <v>999</v>
      </c>
      <c r="Y217" s="8">
        <v>73031</v>
      </c>
      <c r="Z217" s="8">
        <v>6.18</v>
      </c>
      <c r="AA217" s="8" t="s">
        <v>998</v>
      </c>
      <c r="AB217" s="8">
        <v>6</v>
      </c>
      <c r="AC217" s="8">
        <v>5852</v>
      </c>
      <c r="AD217" s="8"/>
      <c r="AE217" s="319" t="s">
        <v>1000</v>
      </c>
      <c r="AF217" s="141"/>
      <c r="AG217" s="163"/>
      <c r="AH217" s="163"/>
      <c r="AI217" s="164"/>
      <c r="AJ217" s="126"/>
      <c r="AK217" s="72"/>
      <c r="AL217" s="72"/>
      <c r="AM217" s="127"/>
      <c r="AN217" s="126"/>
      <c r="AO217" s="72"/>
      <c r="AP217" s="72"/>
      <c r="AQ217" s="127"/>
    </row>
    <row r="218" spans="1:43" hidden="1" x14ac:dyDescent="0.25">
      <c r="A218" s="8">
        <v>215</v>
      </c>
      <c r="B218" s="8" t="s">
        <v>28</v>
      </c>
      <c r="C218" s="8" t="s">
        <v>980</v>
      </c>
      <c r="D218" s="8" t="s">
        <v>981</v>
      </c>
      <c r="E218" s="8"/>
      <c r="F218" s="8" t="s">
        <v>998</v>
      </c>
      <c r="G218" s="8"/>
      <c r="H218" s="8" t="s">
        <v>31</v>
      </c>
      <c r="I218" s="8" t="s">
        <v>1000</v>
      </c>
      <c r="J218" s="8"/>
      <c r="K218" s="8">
        <v>4.1000000000000002E-2</v>
      </c>
      <c r="L218" s="8">
        <v>4.1000000000000002E-2</v>
      </c>
      <c r="M218" s="8">
        <v>1</v>
      </c>
      <c r="N218" s="8" t="s">
        <v>33</v>
      </c>
      <c r="O218" s="8">
        <f t="shared" si="21"/>
        <v>0.86099999999999999</v>
      </c>
      <c r="P218" s="8">
        <f t="shared" si="22"/>
        <v>1.0044999999999999</v>
      </c>
      <c r="Q218" s="8">
        <f t="shared" si="23"/>
        <v>0.57400000000000007</v>
      </c>
      <c r="R218" s="8">
        <f t="shared" si="24"/>
        <v>0.43049999999999999</v>
      </c>
      <c r="S218" s="37">
        <v>2.87</v>
      </c>
      <c r="T218" s="8">
        <v>105991.94</v>
      </c>
      <c r="U218" s="8">
        <v>4345.6695399999999</v>
      </c>
      <c r="V218" s="8"/>
      <c r="W218" s="8"/>
      <c r="X218" s="8" t="s">
        <v>999</v>
      </c>
      <c r="Y218" s="8">
        <v>73031</v>
      </c>
      <c r="Z218" s="8">
        <v>6.18</v>
      </c>
      <c r="AA218" s="8" t="s">
        <v>998</v>
      </c>
      <c r="AB218" s="8">
        <v>7</v>
      </c>
      <c r="AC218" s="8">
        <v>5852</v>
      </c>
      <c r="AD218" s="8"/>
      <c r="AE218" s="319" t="s">
        <v>1000</v>
      </c>
      <c r="AF218" s="141"/>
      <c r="AG218" s="163"/>
      <c r="AH218" s="163"/>
      <c r="AI218" s="164"/>
      <c r="AJ218" s="126"/>
      <c r="AK218" s="72"/>
      <c r="AL218" s="72"/>
      <c r="AM218" s="127"/>
      <c r="AN218" s="126"/>
      <c r="AO218" s="72"/>
      <c r="AP218" s="72"/>
      <c r="AQ218" s="127"/>
    </row>
    <row r="219" spans="1:43" hidden="1" x14ac:dyDescent="0.25">
      <c r="A219" s="8">
        <v>216</v>
      </c>
      <c r="B219" s="8" t="s">
        <v>28</v>
      </c>
      <c r="C219" s="8" t="s">
        <v>980</v>
      </c>
      <c r="D219" s="8" t="s">
        <v>981</v>
      </c>
      <c r="E219" s="8"/>
      <c r="F219" s="8" t="s">
        <v>998</v>
      </c>
      <c r="G219" s="8"/>
      <c r="H219" s="8" t="s">
        <v>31</v>
      </c>
      <c r="I219" s="8" t="s">
        <v>1000</v>
      </c>
      <c r="J219" s="8"/>
      <c r="K219" s="8">
        <v>4.1000000000000002E-2</v>
      </c>
      <c r="L219" s="8">
        <v>4.1000000000000002E-2</v>
      </c>
      <c r="M219" s="8">
        <v>1</v>
      </c>
      <c r="N219" s="8" t="s">
        <v>33</v>
      </c>
      <c r="O219" s="8">
        <f t="shared" si="21"/>
        <v>0.86099999999999999</v>
      </c>
      <c r="P219" s="8">
        <f t="shared" si="22"/>
        <v>1.0044999999999999</v>
      </c>
      <c r="Q219" s="8">
        <f t="shared" si="23"/>
        <v>0.57400000000000007</v>
      </c>
      <c r="R219" s="8">
        <f t="shared" si="24"/>
        <v>0.43049999999999999</v>
      </c>
      <c r="S219" s="37">
        <v>2.87</v>
      </c>
      <c r="T219" s="8">
        <v>105991.94</v>
      </c>
      <c r="U219" s="8">
        <v>4345.6695399999999</v>
      </c>
      <c r="V219" s="8"/>
      <c r="W219" s="8"/>
      <c r="X219" s="8" t="s">
        <v>999</v>
      </c>
      <c r="Y219" s="8">
        <v>73031</v>
      </c>
      <c r="Z219" s="8">
        <v>6.18</v>
      </c>
      <c r="AA219" s="8" t="s">
        <v>998</v>
      </c>
      <c r="AB219" s="8">
        <v>8</v>
      </c>
      <c r="AC219" s="8">
        <v>5852</v>
      </c>
      <c r="AD219" s="8"/>
      <c r="AE219" s="319" t="s">
        <v>1000</v>
      </c>
      <c r="AF219" s="141"/>
      <c r="AG219" s="163"/>
      <c r="AH219" s="163"/>
      <c r="AI219" s="164"/>
      <c r="AJ219" s="126"/>
      <c r="AK219" s="72"/>
      <c r="AL219" s="72"/>
      <c r="AM219" s="127"/>
      <c r="AN219" s="126"/>
      <c r="AO219" s="72"/>
      <c r="AP219" s="72"/>
      <c r="AQ219" s="127"/>
    </row>
    <row r="220" spans="1:43" hidden="1" x14ac:dyDescent="0.25">
      <c r="A220" s="8">
        <v>217</v>
      </c>
      <c r="B220" s="8" t="s">
        <v>28</v>
      </c>
      <c r="C220" s="8" t="s">
        <v>980</v>
      </c>
      <c r="D220" s="8" t="s">
        <v>981</v>
      </c>
      <c r="E220" s="8"/>
      <c r="F220" s="8" t="s">
        <v>998</v>
      </c>
      <c r="G220" s="8"/>
      <c r="H220" s="8" t="s">
        <v>31</v>
      </c>
      <c r="I220" s="8" t="s">
        <v>1000</v>
      </c>
      <c r="J220" s="8"/>
      <c r="K220" s="8">
        <v>4.1000000000000002E-2</v>
      </c>
      <c r="L220" s="8">
        <v>4.1000000000000002E-2</v>
      </c>
      <c r="M220" s="8">
        <v>1</v>
      </c>
      <c r="N220" s="8" t="s">
        <v>33</v>
      </c>
      <c r="O220" s="8">
        <f t="shared" si="21"/>
        <v>0.86099999999999999</v>
      </c>
      <c r="P220" s="8">
        <f t="shared" si="22"/>
        <v>1.0044999999999999</v>
      </c>
      <c r="Q220" s="8">
        <f t="shared" si="23"/>
        <v>0.57400000000000007</v>
      </c>
      <c r="R220" s="8">
        <f t="shared" si="24"/>
        <v>0.43049999999999999</v>
      </c>
      <c r="S220" s="37">
        <v>2.87</v>
      </c>
      <c r="T220" s="8">
        <v>105991.94</v>
      </c>
      <c r="U220" s="8">
        <v>4345.6695399999999</v>
      </c>
      <c r="V220" s="8"/>
      <c r="W220" s="8"/>
      <c r="X220" s="8" t="s">
        <v>999</v>
      </c>
      <c r="Y220" s="8">
        <v>73031</v>
      </c>
      <c r="Z220" s="8">
        <v>6.18</v>
      </c>
      <c r="AA220" s="8" t="s">
        <v>998</v>
      </c>
      <c r="AB220" s="8">
        <v>9</v>
      </c>
      <c r="AC220" s="8">
        <v>5852</v>
      </c>
      <c r="AD220" s="8"/>
      <c r="AE220" s="319" t="s">
        <v>1000</v>
      </c>
      <c r="AF220" s="141"/>
      <c r="AG220" s="163"/>
      <c r="AH220" s="163"/>
      <c r="AI220" s="164"/>
      <c r="AJ220" s="126"/>
      <c r="AK220" s="72"/>
      <c r="AL220" s="72"/>
      <c r="AM220" s="127"/>
      <c r="AN220" s="126"/>
      <c r="AO220" s="72"/>
      <c r="AP220" s="72"/>
      <c r="AQ220" s="127"/>
    </row>
    <row r="221" spans="1:43" hidden="1" x14ac:dyDescent="0.25">
      <c r="A221" s="8">
        <v>218</v>
      </c>
      <c r="B221" s="8" t="s">
        <v>28</v>
      </c>
      <c r="C221" s="8" t="s">
        <v>980</v>
      </c>
      <c r="D221" s="8" t="s">
        <v>981</v>
      </c>
      <c r="E221" s="8"/>
      <c r="F221" s="8" t="s">
        <v>998</v>
      </c>
      <c r="G221" s="8"/>
      <c r="H221" s="8" t="s">
        <v>31</v>
      </c>
      <c r="I221" s="8" t="s">
        <v>1000</v>
      </c>
      <c r="J221" s="8"/>
      <c r="K221" s="8">
        <v>4.1000000000000002E-2</v>
      </c>
      <c r="L221" s="8">
        <v>4.1000000000000002E-2</v>
      </c>
      <c r="M221" s="8">
        <v>1</v>
      </c>
      <c r="N221" s="8" t="s">
        <v>33</v>
      </c>
      <c r="O221" s="8">
        <f t="shared" si="21"/>
        <v>0.86099999999999999</v>
      </c>
      <c r="P221" s="8">
        <f t="shared" si="22"/>
        <v>1.0044999999999999</v>
      </c>
      <c r="Q221" s="8">
        <f t="shared" si="23"/>
        <v>0.57400000000000007</v>
      </c>
      <c r="R221" s="8">
        <f t="shared" si="24"/>
        <v>0.43049999999999999</v>
      </c>
      <c r="S221" s="37">
        <v>2.87</v>
      </c>
      <c r="T221" s="8">
        <v>105991.94</v>
      </c>
      <c r="U221" s="8">
        <v>4345.6695399999999</v>
      </c>
      <c r="V221" s="8"/>
      <c r="W221" s="8"/>
      <c r="X221" s="8" t="s">
        <v>999</v>
      </c>
      <c r="Y221" s="8">
        <v>73031</v>
      </c>
      <c r="Z221" s="8">
        <v>6.18</v>
      </c>
      <c r="AA221" s="8" t="s">
        <v>998</v>
      </c>
      <c r="AB221" s="8">
        <v>10</v>
      </c>
      <c r="AC221" s="8">
        <v>5852</v>
      </c>
      <c r="AD221" s="8"/>
      <c r="AE221" s="319" t="s">
        <v>1000</v>
      </c>
      <c r="AF221" s="141"/>
      <c r="AG221" s="163"/>
      <c r="AH221" s="163"/>
      <c r="AI221" s="164"/>
      <c r="AJ221" s="126"/>
      <c r="AK221" s="72"/>
      <c r="AL221" s="72"/>
      <c r="AM221" s="127"/>
      <c r="AN221" s="126"/>
      <c r="AO221" s="72"/>
      <c r="AP221" s="72"/>
      <c r="AQ221" s="127"/>
    </row>
    <row r="222" spans="1:43" hidden="1" x14ac:dyDescent="0.25">
      <c r="A222" s="8">
        <v>219</v>
      </c>
      <c r="B222" s="8" t="s">
        <v>28</v>
      </c>
      <c r="C222" s="8" t="s">
        <v>980</v>
      </c>
      <c r="D222" s="8" t="s">
        <v>981</v>
      </c>
      <c r="E222" s="8"/>
      <c r="F222" s="8" t="s">
        <v>998</v>
      </c>
      <c r="G222" s="8"/>
      <c r="H222" s="8" t="s">
        <v>31</v>
      </c>
      <c r="I222" s="8" t="s">
        <v>1000</v>
      </c>
      <c r="J222" s="8"/>
      <c r="K222" s="8">
        <v>4.1000000000000002E-2</v>
      </c>
      <c r="L222" s="8">
        <v>4.1000000000000002E-2</v>
      </c>
      <c r="M222" s="8">
        <v>1</v>
      </c>
      <c r="N222" s="8" t="s">
        <v>33</v>
      </c>
      <c r="O222" s="8">
        <f t="shared" si="21"/>
        <v>0.86099999999999999</v>
      </c>
      <c r="P222" s="8">
        <f t="shared" si="22"/>
        <v>1.0044999999999999</v>
      </c>
      <c r="Q222" s="8">
        <f t="shared" si="23"/>
        <v>0.57400000000000007</v>
      </c>
      <c r="R222" s="8">
        <f t="shared" si="24"/>
        <v>0.43049999999999999</v>
      </c>
      <c r="S222" s="37">
        <v>2.87</v>
      </c>
      <c r="T222" s="8">
        <v>105991.94</v>
      </c>
      <c r="U222" s="8">
        <v>4345.6695399999999</v>
      </c>
      <c r="V222" s="8"/>
      <c r="W222" s="8"/>
      <c r="X222" s="8" t="s">
        <v>999</v>
      </c>
      <c r="Y222" s="8">
        <v>73031</v>
      </c>
      <c r="Z222" s="8">
        <v>6.18</v>
      </c>
      <c r="AA222" s="8" t="s">
        <v>998</v>
      </c>
      <c r="AB222" s="8">
        <v>11</v>
      </c>
      <c r="AC222" s="8">
        <v>5852</v>
      </c>
      <c r="AD222" s="8"/>
      <c r="AE222" s="319" t="s">
        <v>1000</v>
      </c>
      <c r="AF222" s="141"/>
      <c r="AG222" s="163"/>
      <c r="AH222" s="163"/>
      <c r="AI222" s="164"/>
      <c r="AJ222" s="126"/>
      <c r="AK222" s="72"/>
      <c r="AL222" s="72"/>
      <c r="AM222" s="127"/>
      <c r="AN222" s="126"/>
      <c r="AO222" s="72"/>
      <c r="AP222" s="72"/>
      <c r="AQ222" s="127"/>
    </row>
    <row r="223" spans="1:43" hidden="1" x14ac:dyDescent="0.25">
      <c r="A223" s="8">
        <v>220</v>
      </c>
      <c r="B223" s="8" t="s">
        <v>28</v>
      </c>
      <c r="C223" s="8" t="s">
        <v>980</v>
      </c>
      <c r="D223" s="8" t="s">
        <v>981</v>
      </c>
      <c r="E223" s="8"/>
      <c r="F223" s="8" t="s">
        <v>998</v>
      </c>
      <c r="G223" s="8"/>
      <c r="H223" s="8" t="s">
        <v>31</v>
      </c>
      <c r="I223" s="8" t="s">
        <v>1000</v>
      </c>
      <c r="J223" s="8"/>
      <c r="K223" s="8">
        <v>4.1000000000000002E-2</v>
      </c>
      <c r="L223" s="8">
        <v>4.1000000000000002E-2</v>
      </c>
      <c r="M223" s="8">
        <v>1</v>
      </c>
      <c r="N223" s="8" t="s">
        <v>33</v>
      </c>
      <c r="O223" s="8">
        <f t="shared" si="21"/>
        <v>0.86099999999999999</v>
      </c>
      <c r="P223" s="8">
        <f t="shared" si="22"/>
        <v>1.0044999999999999</v>
      </c>
      <c r="Q223" s="8">
        <f t="shared" si="23"/>
        <v>0.57400000000000007</v>
      </c>
      <c r="R223" s="8">
        <f t="shared" si="24"/>
        <v>0.43049999999999999</v>
      </c>
      <c r="S223" s="37">
        <v>2.87</v>
      </c>
      <c r="T223" s="8">
        <v>105991.94</v>
      </c>
      <c r="U223" s="8">
        <v>4345.6695399999999</v>
      </c>
      <c r="V223" s="8"/>
      <c r="W223" s="8"/>
      <c r="X223" s="8" t="s">
        <v>999</v>
      </c>
      <c r="Y223" s="8">
        <v>73031</v>
      </c>
      <c r="Z223" s="8">
        <v>6.18</v>
      </c>
      <c r="AA223" s="8" t="s">
        <v>998</v>
      </c>
      <c r="AB223" s="8">
        <v>12</v>
      </c>
      <c r="AC223" s="8">
        <v>5852</v>
      </c>
      <c r="AD223" s="8"/>
      <c r="AE223" s="319" t="s">
        <v>1000</v>
      </c>
      <c r="AF223" s="141"/>
      <c r="AG223" s="163"/>
      <c r="AH223" s="163"/>
      <c r="AI223" s="164"/>
      <c r="AJ223" s="126"/>
      <c r="AK223" s="72"/>
      <c r="AL223" s="72"/>
      <c r="AM223" s="127"/>
      <c r="AN223" s="126"/>
      <c r="AO223" s="72"/>
      <c r="AP223" s="72"/>
      <c r="AQ223" s="127"/>
    </row>
    <row r="224" spans="1:43" hidden="1" x14ac:dyDescent="0.25">
      <c r="A224" s="8">
        <v>221</v>
      </c>
      <c r="B224" s="8" t="s">
        <v>28</v>
      </c>
      <c r="C224" s="8" t="s">
        <v>980</v>
      </c>
      <c r="D224" s="8" t="s">
        <v>981</v>
      </c>
      <c r="E224" s="8"/>
      <c r="F224" s="8" t="s">
        <v>998</v>
      </c>
      <c r="G224" s="8"/>
      <c r="H224" s="8" t="s">
        <v>31</v>
      </c>
      <c r="I224" s="8" t="s">
        <v>1000</v>
      </c>
      <c r="J224" s="8"/>
      <c r="K224" s="8">
        <v>4.1000000000000002E-2</v>
      </c>
      <c r="L224" s="8">
        <v>4.1000000000000002E-2</v>
      </c>
      <c r="M224" s="8">
        <v>1</v>
      </c>
      <c r="N224" s="8" t="s">
        <v>33</v>
      </c>
      <c r="O224" s="8">
        <f t="shared" si="21"/>
        <v>0.86099999999999999</v>
      </c>
      <c r="P224" s="8">
        <f t="shared" si="22"/>
        <v>1.0044999999999999</v>
      </c>
      <c r="Q224" s="8">
        <f t="shared" si="23"/>
        <v>0.57400000000000007</v>
      </c>
      <c r="R224" s="8">
        <f t="shared" si="24"/>
        <v>0.43049999999999999</v>
      </c>
      <c r="S224" s="37">
        <v>2.87</v>
      </c>
      <c r="T224" s="8">
        <v>105991.94</v>
      </c>
      <c r="U224" s="8">
        <v>4345.6695399999999</v>
      </c>
      <c r="V224" s="8"/>
      <c r="W224" s="8"/>
      <c r="X224" s="8" t="s">
        <v>999</v>
      </c>
      <c r="Y224" s="8">
        <v>73031</v>
      </c>
      <c r="Z224" s="8">
        <v>6.18</v>
      </c>
      <c r="AA224" s="8" t="s">
        <v>998</v>
      </c>
      <c r="AB224" s="8">
        <v>13</v>
      </c>
      <c r="AC224" s="8">
        <v>5852</v>
      </c>
      <c r="AD224" s="8"/>
      <c r="AE224" s="319" t="s">
        <v>1000</v>
      </c>
      <c r="AF224" s="141"/>
      <c r="AG224" s="163"/>
      <c r="AH224" s="163"/>
      <c r="AI224" s="164"/>
      <c r="AJ224" s="126"/>
      <c r="AK224" s="72"/>
      <c r="AL224" s="72"/>
      <c r="AM224" s="127"/>
      <c r="AN224" s="126"/>
      <c r="AO224" s="72"/>
      <c r="AP224" s="72"/>
      <c r="AQ224" s="127"/>
    </row>
    <row r="225" spans="1:43" hidden="1" x14ac:dyDescent="0.25">
      <c r="A225" s="8">
        <v>222</v>
      </c>
      <c r="B225" s="8" t="s">
        <v>28</v>
      </c>
      <c r="C225" s="8" t="s">
        <v>980</v>
      </c>
      <c r="D225" s="8" t="s">
        <v>981</v>
      </c>
      <c r="E225" s="8"/>
      <c r="F225" s="8" t="s">
        <v>998</v>
      </c>
      <c r="G225" s="8"/>
      <c r="H225" s="8" t="s">
        <v>31</v>
      </c>
      <c r="I225" s="8" t="s">
        <v>1000</v>
      </c>
      <c r="J225" s="8"/>
      <c r="K225" s="8">
        <v>4.1000000000000002E-2</v>
      </c>
      <c r="L225" s="8">
        <v>4.1000000000000002E-2</v>
      </c>
      <c r="M225" s="8">
        <v>1</v>
      </c>
      <c r="N225" s="8" t="s">
        <v>33</v>
      </c>
      <c r="O225" s="8">
        <f t="shared" si="21"/>
        <v>0.86099999999999999</v>
      </c>
      <c r="P225" s="8">
        <f t="shared" si="22"/>
        <v>1.0044999999999999</v>
      </c>
      <c r="Q225" s="8">
        <f t="shared" si="23"/>
        <v>0.57400000000000007</v>
      </c>
      <c r="R225" s="8">
        <f t="shared" si="24"/>
        <v>0.43049999999999999</v>
      </c>
      <c r="S225" s="37">
        <v>2.87</v>
      </c>
      <c r="T225" s="8">
        <v>105991.94</v>
      </c>
      <c r="U225" s="8">
        <v>4345.6695399999999</v>
      </c>
      <c r="V225" s="8"/>
      <c r="W225" s="8"/>
      <c r="X225" s="8" t="s">
        <v>999</v>
      </c>
      <c r="Y225" s="8">
        <v>73031</v>
      </c>
      <c r="Z225" s="8">
        <v>6.18</v>
      </c>
      <c r="AA225" s="8" t="s">
        <v>998</v>
      </c>
      <c r="AB225" s="8">
        <v>14</v>
      </c>
      <c r="AC225" s="8">
        <v>5852</v>
      </c>
      <c r="AD225" s="8"/>
      <c r="AE225" s="319" t="s">
        <v>1000</v>
      </c>
      <c r="AF225" s="141"/>
      <c r="AG225" s="163"/>
      <c r="AH225" s="163"/>
      <c r="AI225" s="164"/>
      <c r="AJ225" s="126"/>
      <c r="AK225" s="72"/>
      <c r="AL225" s="72"/>
      <c r="AM225" s="127"/>
      <c r="AN225" s="126"/>
      <c r="AO225" s="72"/>
      <c r="AP225" s="72"/>
      <c r="AQ225" s="127"/>
    </row>
    <row r="226" spans="1:43" hidden="1" x14ac:dyDescent="0.25">
      <c r="A226" s="8">
        <v>223</v>
      </c>
      <c r="B226" s="8" t="s">
        <v>28</v>
      </c>
      <c r="C226" s="8" t="s">
        <v>980</v>
      </c>
      <c r="D226" s="8" t="s">
        <v>981</v>
      </c>
      <c r="E226" s="8"/>
      <c r="F226" s="8" t="s">
        <v>998</v>
      </c>
      <c r="G226" s="8"/>
      <c r="H226" s="8" t="s">
        <v>31</v>
      </c>
      <c r="I226" s="8" t="s">
        <v>1000</v>
      </c>
      <c r="J226" s="8"/>
      <c r="K226" s="8">
        <v>4.1000000000000002E-2</v>
      </c>
      <c r="L226" s="8">
        <v>4.1000000000000002E-2</v>
      </c>
      <c r="M226" s="8">
        <v>1</v>
      </c>
      <c r="N226" s="8" t="s">
        <v>33</v>
      </c>
      <c r="O226" s="8">
        <f t="shared" si="21"/>
        <v>0.86099999999999999</v>
      </c>
      <c r="P226" s="8">
        <f t="shared" si="22"/>
        <v>1.0044999999999999</v>
      </c>
      <c r="Q226" s="8">
        <f t="shared" si="23"/>
        <v>0.57400000000000007</v>
      </c>
      <c r="R226" s="8">
        <f t="shared" si="24"/>
        <v>0.43049999999999999</v>
      </c>
      <c r="S226" s="37">
        <v>2.87</v>
      </c>
      <c r="T226" s="8">
        <v>105991.94</v>
      </c>
      <c r="U226" s="8">
        <v>4345.6695399999999</v>
      </c>
      <c r="V226" s="8"/>
      <c r="W226" s="8"/>
      <c r="X226" s="8" t="s">
        <v>999</v>
      </c>
      <c r="Y226" s="8">
        <v>73031</v>
      </c>
      <c r="Z226" s="8">
        <v>6.18</v>
      </c>
      <c r="AA226" s="8" t="s">
        <v>998</v>
      </c>
      <c r="AB226" s="8">
        <v>15</v>
      </c>
      <c r="AC226" s="8">
        <v>5852</v>
      </c>
      <c r="AD226" s="8"/>
      <c r="AE226" s="319" t="s">
        <v>1000</v>
      </c>
      <c r="AF226" s="141"/>
      <c r="AG226" s="163"/>
      <c r="AH226" s="163"/>
      <c r="AI226" s="164"/>
      <c r="AJ226" s="126"/>
      <c r="AK226" s="72"/>
      <c r="AL226" s="72"/>
      <c r="AM226" s="127"/>
      <c r="AN226" s="126"/>
      <c r="AO226" s="72"/>
      <c r="AP226" s="72"/>
      <c r="AQ226" s="127"/>
    </row>
    <row r="227" spans="1:43" hidden="1" x14ac:dyDescent="0.25">
      <c r="A227" s="8">
        <v>224</v>
      </c>
      <c r="B227" s="8" t="s">
        <v>28</v>
      </c>
      <c r="C227" s="8" t="s">
        <v>980</v>
      </c>
      <c r="D227" s="8" t="s">
        <v>981</v>
      </c>
      <c r="E227" s="8"/>
      <c r="F227" s="8" t="s">
        <v>998</v>
      </c>
      <c r="G227" s="8"/>
      <c r="H227" s="8" t="s">
        <v>31</v>
      </c>
      <c r="I227" s="8" t="s">
        <v>1000</v>
      </c>
      <c r="J227" s="8"/>
      <c r="K227" s="8">
        <v>4.1000000000000002E-2</v>
      </c>
      <c r="L227" s="8">
        <v>4.1000000000000002E-2</v>
      </c>
      <c r="M227" s="8">
        <v>1</v>
      </c>
      <c r="N227" s="8" t="s">
        <v>33</v>
      </c>
      <c r="O227" s="8">
        <f t="shared" si="21"/>
        <v>0.86099999999999999</v>
      </c>
      <c r="P227" s="8">
        <f t="shared" si="22"/>
        <v>1.0044999999999999</v>
      </c>
      <c r="Q227" s="8">
        <f t="shared" si="23"/>
        <v>0.57400000000000007</v>
      </c>
      <c r="R227" s="8">
        <f t="shared" si="24"/>
        <v>0.43049999999999999</v>
      </c>
      <c r="S227" s="37">
        <v>2.87</v>
      </c>
      <c r="T227" s="8">
        <v>105991.94</v>
      </c>
      <c r="U227" s="8">
        <v>4345.6695399999999</v>
      </c>
      <c r="V227" s="8"/>
      <c r="W227" s="8"/>
      <c r="X227" s="8" t="s">
        <v>999</v>
      </c>
      <c r="Y227" s="8">
        <v>73031</v>
      </c>
      <c r="Z227" s="8">
        <v>6.18</v>
      </c>
      <c r="AA227" s="8" t="s">
        <v>998</v>
      </c>
      <c r="AB227" s="8">
        <v>16</v>
      </c>
      <c r="AC227" s="8">
        <v>5852</v>
      </c>
      <c r="AD227" s="8"/>
      <c r="AE227" s="319" t="s">
        <v>1000</v>
      </c>
      <c r="AF227" s="141"/>
      <c r="AG227" s="163"/>
      <c r="AH227" s="163"/>
      <c r="AI227" s="164"/>
      <c r="AJ227" s="126"/>
      <c r="AK227" s="72"/>
      <c r="AL227" s="72"/>
      <c r="AM227" s="127"/>
      <c r="AN227" s="126"/>
      <c r="AO227" s="72"/>
      <c r="AP227" s="72"/>
      <c r="AQ227" s="127"/>
    </row>
    <row r="228" spans="1:43" hidden="1" x14ac:dyDescent="0.25">
      <c r="A228" s="8">
        <v>225</v>
      </c>
      <c r="B228" s="8" t="s">
        <v>28</v>
      </c>
      <c r="C228" s="8" t="s">
        <v>980</v>
      </c>
      <c r="D228" s="8" t="s">
        <v>981</v>
      </c>
      <c r="E228" s="8"/>
      <c r="F228" s="8" t="s">
        <v>998</v>
      </c>
      <c r="G228" s="8"/>
      <c r="H228" s="8" t="s">
        <v>31</v>
      </c>
      <c r="I228" s="8" t="s">
        <v>1000</v>
      </c>
      <c r="J228" s="8"/>
      <c r="K228" s="8">
        <v>4.1000000000000002E-2</v>
      </c>
      <c r="L228" s="8">
        <v>4.1000000000000002E-2</v>
      </c>
      <c r="M228" s="8">
        <v>1</v>
      </c>
      <c r="N228" s="8" t="s">
        <v>33</v>
      </c>
      <c r="O228" s="8">
        <f t="shared" si="21"/>
        <v>0.86099999999999999</v>
      </c>
      <c r="P228" s="8">
        <f t="shared" si="22"/>
        <v>1.0044999999999999</v>
      </c>
      <c r="Q228" s="8">
        <f t="shared" si="23"/>
        <v>0.57400000000000007</v>
      </c>
      <c r="R228" s="8">
        <f t="shared" si="24"/>
        <v>0.43049999999999999</v>
      </c>
      <c r="S228" s="37">
        <v>2.87</v>
      </c>
      <c r="T228" s="8">
        <v>105991.94</v>
      </c>
      <c r="U228" s="8">
        <v>4345.6695399999999</v>
      </c>
      <c r="V228" s="8"/>
      <c r="W228" s="8"/>
      <c r="X228" s="8" t="s">
        <v>999</v>
      </c>
      <c r="Y228" s="8">
        <v>73031</v>
      </c>
      <c r="Z228" s="8">
        <v>6.18</v>
      </c>
      <c r="AA228" s="8" t="s">
        <v>998</v>
      </c>
      <c r="AB228" s="8">
        <v>17</v>
      </c>
      <c r="AC228" s="8">
        <v>5852</v>
      </c>
      <c r="AD228" s="8"/>
      <c r="AE228" s="319" t="s">
        <v>1000</v>
      </c>
      <c r="AF228" s="141"/>
      <c r="AG228" s="163"/>
      <c r="AH228" s="163"/>
      <c r="AI228" s="164"/>
      <c r="AJ228" s="126"/>
      <c r="AK228" s="72"/>
      <c r="AL228" s="72"/>
      <c r="AM228" s="127"/>
      <c r="AN228" s="126"/>
      <c r="AO228" s="72"/>
      <c r="AP228" s="72"/>
      <c r="AQ228" s="127"/>
    </row>
    <row r="229" spans="1:43" hidden="1" x14ac:dyDescent="0.25">
      <c r="A229" s="8">
        <v>226</v>
      </c>
      <c r="B229" s="8" t="s">
        <v>28</v>
      </c>
      <c r="C229" s="8" t="s">
        <v>980</v>
      </c>
      <c r="D229" s="8" t="s">
        <v>981</v>
      </c>
      <c r="E229" s="8"/>
      <c r="F229" s="8" t="s">
        <v>998</v>
      </c>
      <c r="G229" s="8"/>
      <c r="H229" s="8" t="s">
        <v>31</v>
      </c>
      <c r="I229" s="8" t="s">
        <v>1000</v>
      </c>
      <c r="J229" s="8"/>
      <c r="K229" s="8">
        <v>4.1000000000000002E-2</v>
      </c>
      <c r="L229" s="8">
        <v>4.1000000000000002E-2</v>
      </c>
      <c r="M229" s="8">
        <v>1</v>
      </c>
      <c r="N229" s="8" t="s">
        <v>33</v>
      </c>
      <c r="O229" s="8">
        <f t="shared" si="21"/>
        <v>0.86099999999999999</v>
      </c>
      <c r="P229" s="8">
        <f t="shared" si="22"/>
        <v>1.0044999999999999</v>
      </c>
      <c r="Q229" s="8">
        <f t="shared" si="23"/>
        <v>0.57400000000000007</v>
      </c>
      <c r="R229" s="8">
        <f t="shared" si="24"/>
        <v>0.43049999999999999</v>
      </c>
      <c r="S229" s="37">
        <v>2.87</v>
      </c>
      <c r="T229" s="8">
        <v>105991.94</v>
      </c>
      <c r="U229" s="8">
        <v>4345.6695399999999</v>
      </c>
      <c r="V229" s="8"/>
      <c r="W229" s="8"/>
      <c r="X229" s="8" t="s">
        <v>999</v>
      </c>
      <c r="Y229" s="8">
        <v>73031</v>
      </c>
      <c r="Z229" s="8">
        <v>6.18</v>
      </c>
      <c r="AA229" s="8" t="s">
        <v>998</v>
      </c>
      <c r="AB229" s="8">
        <v>18</v>
      </c>
      <c r="AC229" s="8">
        <v>5852</v>
      </c>
      <c r="AD229" s="8"/>
      <c r="AE229" s="319" t="s">
        <v>1000</v>
      </c>
      <c r="AF229" s="141"/>
      <c r="AG229" s="163"/>
      <c r="AH229" s="163"/>
      <c r="AI229" s="164"/>
      <c r="AJ229" s="126"/>
      <c r="AK229" s="72"/>
      <c r="AL229" s="72"/>
      <c r="AM229" s="127"/>
      <c r="AN229" s="126"/>
      <c r="AO229" s="72"/>
      <c r="AP229" s="72"/>
      <c r="AQ229" s="127"/>
    </row>
    <row r="230" spans="1:43" hidden="1" x14ac:dyDescent="0.25">
      <c r="A230" s="8">
        <v>227</v>
      </c>
      <c r="B230" s="8" t="s">
        <v>28</v>
      </c>
      <c r="C230" s="8" t="s">
        <v>980</v>
      </c>
      <c r="D230" s="8" t="s">
        <v>981</v>
      </c>
      <c r="E230" s="8"/>
      <c r="F230" s="8" t="s">
        <v>998</v>
      </c>
      <c r="G230" s="8"/>
      <c r="H230" s="8" t="s">
        <v>31</v>
      </c>
      <c r="I230" s="8" t="s">
        <v>1000</v>
      </c>
      <c r="J230" s="8"/>
      <c r="K230" s="8">
        <v>4.1000000000000002E-2</v>
      </c>
      <c r="L230" s="8">
        <v>4.1000000000000002E-2</v>
      </c>
      <c r="M230" s="8">
        <v>1</v>
      </c>
      <c r="N230" s="8" t="s">
        <v>33</v>
      </c>
      <c r="O230" s="8">
        <f t="shared" si="21"/>
        <v>0.86099999999999999</v>
      </c>
      <c r="P230" s="8">
        <f t="shared" si="22"/>
        <v>1.0044999999999999</v>
      </c>
      <c r="Q230" s="8">
        <f t="shared" si="23"/>
        <v>0.57400000000000007</v>
      </c>
      <c r="R230" s="8">
        <f t="shared" si="24"/>
        <v>0.43049999999999999</v>
      </c>
      <c r="S230" s="37">
        <v>2.87</v>
      </c>
      <c r="T230" s="8">
        <v>105991.94</v>
      </c>
      <c r="U230" s="8">
        <v>4345.6695399999999</v>
      </c>
      <c r="V230" s="8"/>
      <c r="W230" s="8"/>
      <c r="X230" s="8" t="s">
        <v>999</v>
      </c>
      <c r="Y230" s="8">
        <v>73031</v>
      </c>
      <c r="Z230" s="8">
        <v>6.18</v>
      </c>
      <c r="AA230" s="8" t="s">
        <v>998</v>
      </c>
      <c r="AB230" s="8">
        <v>19</v>
      </c>
      <c r="AC230" s="8">
        <v>5852</v>
      </c>
      <c r="AD230" s="8"/>
      <c r="AE230" s="319" t="s">
        <v>1000</v>
      </c>
      <c r="AF230" s="141"/>
      <c r="AG230" s="163"/>
      <c r="AH230" s="163"/>
      <c r="AI230" s="164"/>
      <c r="AJ230" s="126"/>
      <c r="AK230" s="72"/>
      <c r="AL230" s="72"/>
      <c r="AM230" s="127"/>
      <c r="AN230" s="126"/>
      <c r="AO230" s="72"/>
      <c r="AP230" s="72"/>
      <c r="AQ230" s="127"/>
    </row>
    <row r="231" spans="1:43" hidden="1" x14ac:dyDescent="0.25">
      <c r="A231" s="8">
        <v>228</v>
      </c>
      <c r="B231" s="8" t="s">
        <v>28</v>
      </c>
      <c r="C231" s="8" t="s">
        <v>980</v>
      </c>
      <c r="D231" s="8" t="s">
        <v>981</v>
      </c>
      <c r="E231" s="8"/>
      <c r="F231" s="8" t="s">
        <v>998</v>
      </c>
      <c r="G231" s="8"/>
      <c r="H231" s="8" t="s">
        <v>31</v>
      </c>
      <c r="I231" s="8" t="s">
        <v>1000</v>
      </c>
      <c r="J231" s="8"/>
      <c r="K231" s="8">
        <v>4.1000000000000002E-2</v>
      </c>
      <c r="L231" s="8">
        <v>4.1000000000000002E-2</v>
      </c>
      <c r="M231" s="8">
        <v>1</v>
      </c>
      <c r="N231" s="8" t="s">
        <v>33</v>
      </c>
      <c r="O231" s="8">
        <f t="shared" si="21"/>
        <v>0.86099999999999999</v>
      </c>
      <c r="P231" s="8">
        <f t="shared" si="22"/>
        <v>1.0044999999999999</v>
      </c>
      <c r="Q231" s="8">
        <f t="shared" si="23"/>
        <v>0.57400000000000007</v>
      </c>
      <c r="R231" s="8">
        <f t="shared" si="24"/>
        <v>0.43049999999999999</v>
      </c>
      <c r="S231" s="37">
        <v>2.87</v>
      </c>
      <c r="T231" s="8">
        <v>105991.94</v>
      </c>
      <c r="U231" s="8">
        <v>4345.6695399999999</v>
      </c>
      <c r="V231" s="8"/>
      <c r="W231" s="8"/>
      <c r="X231" s="8" t="s">
        <v>999</v>
      </c>
      <c r="Y231" s="8">
        <v>73031</v>
      </c>
      <c r="Z231" s="8">
        <v>6.18</v>
      </c>
      <c r="AA231" s="8" t="s">
        <v>998</v>
      </c>
      <c r="AB231" s="8">
        <v>20</v>
      </c>
      <c r="AC231" s="8">
        <v>5852</v>
      </c>
      <c r="AD231" s="8"/>
      <c r="AE231" s="319" t="s">
        <v>1000</v>
      </c>
      <c r="AF231" s="141"/>
      <c r="AG231" s="163"/>
      <c r="AH231" s="163"/>
      <c r="AI231" s="164"/>
      <c r="AJ231" s="126"/>
      <c r="AK231" s="72"/>
      <c r="AL231" s="72"/>
      <c r="AM231" s="127"/>
      <c r="AN231" s="126"/>
      <c r="AO231" s="72"/>
      <c r="AP231" s="72"/>
      <c r="AQ231" s="127"/>
    </row>
    <row r="232" spans="1:43" hidden="1" x14ac:dyDescent="0.25">
      <c r="A232" s="8">
        <v>229</v>
      </c>
      <c r="B232" s="8" t="s">
        <v>28</v>
      </c>
      <c r="C232" s="8" t="s">
        <v>980</v>
      </c>
      <c r="D232" s="8" t="s">
        <v>981</v>
      </c>
      <c r="E232" s="8"/>
      <c r="F232" s="8" t="s">
        <v>998</v>
      </c>
      <c r="G232" s="8"/>
      <c r="H232" s="8" t="s">
        <v>31</v>
      </c>
      <c r="I232" s="8" t="s">
        <v>1000</v>
      </c>
      <c r="J232" s="8"/>
      <c r="K232" s="8">
        <v>4.1000000000000002E-2</v>
      </c>
      <c r="L232" s="8">
        <v>4.1000000000000002E-2</v>
      </c>
      <c r="M232" s="8">
        <v>1</v>
      </c>
      <c r="N232" s="8" t="s">
        <v>33</v>
      </c>
      <c r="O232" s="8">
        <f t="shared" si="21"/>
        <v>0.86099999999999999</v>
      </c>
      <c r="P232" s="8">
        <f t="shared" si="22"/>
        <v>1.0044999999999999</v>
      </c>
      <c r="Q232" s="8">
        <f t="shared" si="23"/>
        <v>0.57400000000000007</v>
      </c>
      <c r="R232" s="8">
        <f t="shared" si="24"/>
        <v>0.43049999999999999</v>
      </c>
      <c r="S232" s="37">
        <v>2.87</v>
      </c>
      <c r="T232" s="8">
        <v>105991.94</v>
      </c>
      <c r="U232" s="8">
        <v>4345.6695399999999</v>
      </c>
      <c r="V232" s="8"/>
      <c r="W232" s="8"/>
      <c r="X232" s="8" t="s">
        <v>999</v>
      </c>
      <c r="Y232" s="8">
        <v>73031</v>
      </c>
      <c r="Z232" s="8">
        <v>6.18</v>
      </c>
      <c r="AA232" s="8" t="s">
        <v>998</v>
      </c>
      <c r="AB232" s="8">
        <v>21</v>
      </c>
      <c r="AC232" s="8">
        <v>5852</v>
      </c>
      <c r="AD232" s="8"/>
      <c r="AE232" s="319" t="s">
        <v>1000</v>
      </c>
      <c r="AF232" s="141"/>
      <c r="AG232" s="163"/>
      <c r="AH232" s="163"/>
      <c r="AI232" s="164"/>
      <c r="AJ232" s="126"/>
      <c r="AK232" s="72"/>
      <c r="AL232" s="72"/>
      <c r="AM232" s="127"/>
      <c r="AN232" s="126"/>
      <c r="AO232" s="72"/>
      <c r="AP232" s="72"/>
      <c r="AQ232" s="127"/>
    </row>
    <row r="233" spans="1:43" hidden="1" x14ac:dyDescent="0.25">
      <c r="A233" s="8">
        <v>230</v>
      </c>
      <c r="B233" s="8" t="s">
        <v>28</v>
      </c>
      <c r="C233" s="8" t="s">
        <v>980</v>
      </c>
      <c r="D233" s="8" t="s">
        <v>981</v>
      </c>
      <c r="E233" s="8"/>
      <c r="F233" s="8" t="s">
        <v>998</v>
      </c>
      <c r="G233" s="8"/>
      <c r="H233" s="8" t="s">
        <v>31</v>
      </c>
      <c r="I233" s="8" t="s">
        <v>1000</v>
      </c>
      <c r="J233" s="8"/>
      <c r="K233" s="8">
        <v>4.1000000000000002E-2</v>
      </c>
      <c r="L233" s="8">
        <v>4.1000000000000002E-2</v>
      </c>
      <c r="M233" s="8">
        <v>1</v>
      </c>
      <c r="N233" s="8" t="s">
        <v>33</v>
      </c>
      <c r="O233" s="8">
        <f t="shared" si="21"/>
        <v>0.86099999999999999</v>
      </c>
      <c r="P233" s="8">
        <f t="shared" si="22"/>
        <v>1.0044999999999999</v>
      </c>
      <c r="Q233" s="8">
        <f t="shared" si="23"/>
        <v>0.57400000000000007</v>
      </c>
      <c r="R233" s="8">
        <f t="shared" si="24"/>
        <v>0.43049999999999999</v>
      </c>
      <c r="S233" s="37">
        <v>2.87</v>
      </c>
      <c r="T233" s="8">
        <v>105991.94</v>
      </c>
      <c r="U233" s="8">
        <v>4345.6695399999999</v>
      </c>
      <c r="V233" s="8"/>
      <c r="W233" s="8"/>
      <c r="X233" s="8" t="s">
        <v>999</v>
      </c>
      <c r="Y233" s="8">
        <v>73031</v>
      </c>
      <c r="Z233" s="8">
        <v>6.18</v>
      </c>
      <c r="AA233" s="8" t="s">
        <v>998</v>
      </c>
      <c r="AB233" s="8">
        <v>22</v>
      </c>
      <c r="AC233" s="8">
        <v>5852</v>
      </c>
      <c r="AD233" s="8"/>
      <c r="AE233" s="319" t="s">
        <v>1000</v>
      </c>
      <c r="AF233" s="141"/>
      <c r="AG233" s="163"/>
      <c r="AH233" s="163"/>
      <c r="AI233" s="164"/>
      <c r="AJ233" s="126"/>
      <c r="AK233" s="72"/>
      <c r="AL233" s="72"/>
      <c r="AM233" s="127"/>
      <c r="AN233" s="126"/>
      <c r="AO233" s="72"/>
      <c r="AP233" s="72"/>
      <c r="AQ233" s="127"/>
    </row>
    <row r="234" spans="1:43" hidden="1" x14ac:dyDescent="0.25">
      <c r="A234" s="8">
        <v>231</v>
      </c>
      <c r="B234" s="8" t="s">
        <v>28</v>
      </c>
      <c r="C234" s="8" t="s">
        <v>980</v>
      </c>
      <c r="D234" s="8" t="s">
        <v>981</v>
      </c>
      <c r="E234" s="8"/>
      <c r="F234" s="8" t="s">
        <v>1001</v>
      </c>
      <c r="G234" s="8"/>
      <c r="H234" s="8" t="s">
        <v>31</v>
      </c>
      <c r="I234" s="8" t="s">
        <v>984</v>
      </c>
      <c r="J234" s="8"/>
      <c r="K234" s="8">
        <v>0.126</v>
      </c>
      <c r="L234" s="8">
        <v>0.126</v>
      </c>
      <c r="M234" s="8">
        <v>1</v>
      </c>
      <c r="N234" s="8" t="s">
        <v>33</v>
      </c>
      <c r="O234" s="8">
        <f t="shared" si="21"/>
        <v>2.1545999999999998</v>
      </c>
      <c r="P234" s="8">
        <f t="shared" si="22"/>
        <v>2.5137</v>
      </c>
      <c r="Q234" s="8">
        <f t="shared" si="23"/>
        <v>1.4364000000000001</v>
      </c>
      <c r="R234" s="8">
        <f t="shared" si="24"/>
        <v>1.0772999999999999</v>
      </c>
      <c r="S234" s="37">
        <v>7.1820000000000004</v>
      </c>
      <c r="T234" s="8">
        <v>105991.94</v>
      </c>
      <c r="U234" s="8">
        <v>13354.98444</v>
      </c>
      <c r="V234" s="8"/>
      <c r="W234" s="8"/>
      <c r="X234" s="8" t="s">
        <v>983</v>
      </c>
      <c r="Y234" s="8">
        <v>73032</v>
      </c>
      <c r="Z234" s="8">
        <v>6.18</v>
      </c>
      <c r="AA234" s="8" t="s">
        <v>1001</v>
      </c>
      <c r="AB234" s="8">
        <v>1</v>
      </c>
      <c r="AC234" s="109">
        <v>5839</v>
      </c>
      <c r="AD234" s="8"/>
      <c r="AE234" s="319" t="s">
        <v>984</v>
      </c>
      <c r="AF234" s="141"/>
      <c r="AG234" s="163"/>
      <c r="AH234" s="163"/>
      <c r="AI234" s="164"/>
      <c r="AJ234" s="126"/>
      <c r="AK234" s="72"/>
      <c r="AL234" s="72"/>
      <c r="AM234" s="127"/>
      <c r="AN234" s="126"/>
      <c r="AO234" s="72"/>
      <c r="AP234" s="72"/>
      <c r="AQ234" s="127"/>
    </row>
    <row r="235" spans="1:43" hidden="1" x14ac:dyDescent="0.25">
      <c r="A235" s="8">
        <v>232</v>
      </c>
      <c r="B235" s="8" t="s">
        <v>28</v>
      </c>
      <c r="C235" s="8" t="s">
        <v>980</v>
      </c>
      <c r="D235" s="8" t="s">
        <v>981</v>
      </c>
      <c r="E235" s="8"/>
      <c r="F235" s="8" t="s">
        <v>1001</v>
      </c>
      <c r="G235" s="8"/>
      <c r="H235" s="8" t="s">
        <v>31</v>
      </c>
      <c r="I235" s="8" t="s">
        <v>984</v>
      </c>
      <c r="J235" s="8"/>
      <c r="K235" s="8">
        <v>0.126</v>
      </c>
      <c r="L235" s="8">
        <v>0.126</v>
      </c>
      <c r="M235" s="8">
        <v>1</v>
      </c>
      <c r="N235" s="8" t="s">
        <v>33</v>
      </c>
      <c r="O235" s="8">
        <f t="shared" si="21"/>
        <v>2.1545999999999998</v>
      </c>
      <c r="P235" s="8">
        <f t="shared" si="22"/>
        <v>2.5137</v>
      </c>
      <c r="Q235" s="8">
        <f t="shared" si="23"/>
        <v>1.4364000000000001</v>
      </c>
      <c r="R235" s="8">
        <f t="shared" si="24"/>
        <v>1.0772999999999999</v>
      </c>
      <c r="S235" s="37">
        <v>7.1820000000000004</v>
      </c>
      <c r="T235" s="8">
        <v>105991.94</v>
      </c>
      <c r="U235" s="8">
        <v>13354.98444</v>
      </c>
      <c r="V235" s="8"/>
      <c r="W235" s="8"/>
      <c r="X235" s="8" t="s">
        <v>983</v>
      </c>
      <c r="Y235" s="8">
        <v>73032</v>
      </c>
      <c r="Z235" s="8">
        <v>6.18</v>
      </c>
      <c r="AA235" s="8" t="s">
        <v>1001</v>
      </c>
      <c r="AB235" s="8">
        <v>2</v>
      </c>
      <c r="AC235" s="109">
        <v>5839</v>
      </c>
      <c r="AD235" s="8"/>
      <c r="AE235" s="319" t="s">
        <v>984</v>
      </c>
      <c r="AF235" s="141"/>
      <c r="AG235" s="163"/>
      <c r="AH235" s="163"/>
      <c r="AI235" s="164"/>
      <c r="AJ235" s="126"/>
      <c r="AK235" s="72"/>
      <c r="AL235" s="72"/>
      <c r="AM235" s="127"/>
      <c r="AN235" s="126"/>
      <c r="AO235" s="72"/>
      <c r="AP235" s="72"/>
      <c r="AQ235" s="127"/>
    </row>
    <row r="236" spans="1:43" hidden="1" x14ac:dyDescent="0.25">
      <c r="A236" s="8">
        <v>233</v>
      </c>
      <c r="B236" s="8" t="s">
        <v>28</v>
      </c>
      <c r="C236" s="8" t="s">
        <v>980</v>
      </c>
      <c r="D236" s="8" t="s">
        <v>981</v>
      </c>
      <c r="E236" s="8"/>
      <c r="F236" s="8" t="s">
        <v>1001</v>
      </c>
      <c r="G236" s="8"/>
      <c r="H236" s="8" t="s">
        <v>31</v>
      </c>
      <c r="I236" s="8" t="s">
        <v>984</v>
      </c>
      <c r="J236" s="8"/>
      <c r="K236" s="8">
        <v>0.126</v>
      </c>
      <c r="L236" s="8">
        <v>0.126</v>
      </c>
      <c r="M236" s="8">
        <v>1</v>
      </c>
      <c r="N236" s="8" t="s">
        <v>33</v>
      </c>
      <c r="O236" s="8">
        <f t="shared" si="21"/>
        <v>2.1545999999999998</v>
      </c>
      <c r="P236" s="8">
        <f t="shared" si="22"/>
        <v>2.5137</v>
      </c>
      <c r="Q236" s="8">
        <f t="shared" si="23"/>
        <v>1.4364000000000001</v>
      </c>
      <c r="R236" s="8">
        <f t="shared" si="24"/>
        <v>1.0772999999999999</v>
      </c>
      <c r="S236" s="37">
        <v>7.1820000000000004</v>
      </c>
      <c r="T236" s="8">
        <v>105991.94</v>
      </c>
      <c r="U236" s="8">
        <v>13354.98444</v>
      </c>
      <c r="V236" s="8"/>
      <c r="W236" s="8"/>
      <c r="X236" s="8" t="s">
        <v>983</v>
      </c>
      <c r="Y236" s="8">
        <v>73032</v>
      </c>
      <c r="Z236" s="8">
        <v>6.18</v>
      </c>
      <c r="AA236" s="8" t="s">
        <v>1001</v>
      </c>
      <c r="AB236" s="8">
        <v>3</v>
      </c>
      <c r="AC236" s="109">
        <v>5839</v>
      </c>
      <c r="AD236" s="8"/>
      <c r="AE236" s="319" t="s">
        <v>984</v>
      </c>
      <c r="AF236" s="141"/>
      <c r="AG236" s="163"/>
      <c r="AH236" s="163"/>
      <c r="AI236" s="164"/>
      <c r="AJ236" s="126"/>
      <c r="AK236" s="72"/>
      <c r="AL236" s="72"/>
      <c r="AM236" s="127"/>
      <c r="AN236" s="126"/>
      <c r="AO236" s="72"/>
      <c r="AP236" s="72"/>
      <c r="AQ236" s="127"/>
    </row>
    <row r="237" spans="1:43" hidden="1" x14ac:dyDescent="0.25">
      <c r="A237" s="8">
        <v>234</v>
      </c>
      <c r="B237" s="8" t="s">
        <v>28</v>
      </c>
      <c r="C237" s="8" t="s">
        <v>980</v>
      </c>
      <c r="D237" s="8" t="s">
        <v>981</v>
      </c>
      <c r="E237" s="8"/>
      <c r="F237" s="8" t="s">
        <v>1001</v>
      </c>
      <c r="G237" s="8"/>
      <c r="H237" s="8" t="s">
        <v>31</v>
      </c>
      <c r="I237" s="8" t="s">
        <v>984</v>
      </c>
      <c r="J237" s="8"/>
      <c r="K237" s="8">
        <v>0.126</v>
      </c>
      <c r="L237" s="8">
        <v>0.126</v>
      </c>
      <c r="M237" s="8">
        <v>1</v>
      </c>
      <c r="N237" s="8" t="s">
        <v>33</v>
      </c>
      <c r="O237" s="8">
        <f t="shared" si="21"/>
        <v>2.1545999999999998</v>
      </c>
      <c r="P237" s="8">
        <f t="shared" si="22"/>
        <v>2.5137</v>
      </c>
      <c r="Q237" s="8">
        <f t="shared" si="23"/>
        <v>1.4364000000000001</v>
      </c>
      <c r="R237" s="8">
        <f t="shared" si="24"/>
        <v>1.0772999999999999</v>
      </c>
      <c r="S237" s="37">
        <v>7.1820000000000004</v>
      </c>
      <c r="T237" s="8">
        <v>105991.94</v>
      </c>
      <c r="U237" s="8">
        <v>13354.98444</v>
      </c>
      <c r="V237" s="8"/>
      <c r="W237" s="8"/>
      <c r="X237" s="8" t="s">
        <v>983</v>
      </c>
      <c r="Y237" s="8">
        <v>73032</v>
      </c>
      <c r="Z237" s="8">
        <v>6.18</v>
      </c>
      <c r="AA237" s="8" t="s">
        <v>1001</v>
      </c>
      <c r="AB237" s="8">
        <v>4</v>
      </c>
      <c r="AC237" s="109">
        <v>5839</v>
      </c>
      <c r="AD237" s="8"/>
      <c r="AE237" s="319" t="s">
        <v>984</v>
      </c>
      <c r="AF237" s="141"/>
      <c r="AG237" s="163"/>
      <c r="AH237" s="163"/>
      <c r="AI237" s="164"/>
      <c r="AJ237" s="126"/>
      <c r="AK237" s="72"/>
      <c r="AL237" s="72"/>
      <c r="AM237" s="127"/>
      <c r="AN237" s="126"/>
      <c r="AO237" s="72"/>
      <c r="AP237" s="72"/>
      <c r="AQ237" s="127"/>
    </row>
    <row r="238" spans="1:43" hidden="1" x14ac:dyDescent="0.25">
      <c r="A238" s="8">
        <v>235</v>
      </c>
      <c r="B238" s="8" t="s">
        <v>28</v>
      </c>
      <c r="C238" s="8" t="s">
        <v>980</v>
      </c>
      <c r="D238" s="8" t="s">
        <v>981</v>
      </c>
      <c r="E238" s="8"/>
      <c r="F238" s="8" t="s">
        <v>1001</v>
      </c>
      <c r="G238" s="8"/>
      <c r="H238" s="8" t="s">
        <v>31</v>
      </c>
      <c r="I238" s="8" t="s">
        <v>984</v>
      </c>
      <c r="J238" s="8"/>
      <c r="K238" s="8">
        <v>0.126</v>
      </c>
      <c r="L238" s="8">
        <v>0.126</v>
      </c>
      <c r="M238" s="8">
        <v>1</v>
      </c>
      <c r="N238" s="8" t="s">
        <v>33</v>
      </c>
      <c r="O238" s="8">
        <f t="shared" si="21"/>
        <v>2.1545999999999998</v>
      </c>
      <c r="P238" s="8">
        <f t="shared" si="22"/>
        <v>2.5137</v>
      </c>
      <c r="Q238" s="8">
        <f t="shared" si="23"/>
        <v>1.4364000000000001</v>
      </c>
      <c r="R238" s="8">
        <f t="shared" si="24"/>
        <v>1.0772999999999999</v>
      </c>
      <c r="S238" s="37">
        <v>7.1820000000000004</v>
      </c>
      <c r="T238" s="8">
        <v>105991.94</v>
      </c>
      <c r="U238" s="8">
        <v>13354.98444</v>
      </c>
      <c r="V238" s="8"/>
      <c r="W238" s="8"/>
      <c r="X238" s="8" t="s">
        <v>983</v>
      </c>
      <c r="Y238" s="8">
        <v>73032</v>
      </c>
      <c r="Z238" s="8">
        <v>6.18</v>
      </c>
      <c r="AA238" s="8" t="s">
        <v>1001</v>
      </c>
      <c r="AB238" s="8">
        <v>5</v>
      </c>
      <c r="AC238" s="109">
        <v>5839</v>
      </c>
      <c r="AD238" s="8"/>
      <c r="AE238" s="319" t="s">
        <v>984</v>
      </c>
      <c r="AF238" s="141"/>
      <c r="AG238" s="163"/>
      <c r="AH238" s="163"/>
      <c r="AI238" s="164"/>
      <c r="AJ238" s="126"/>
      <c r="AK238" s="72"/>
      <c r="AL238" s="72"/>
      <c r="AM238" s="127"/>
      <c r="AN238" s="126"/>
      <c r="AO238" s="72"/>
      <c r="AP238" s="72"/>
      <c r="AQ238" s="127"/>
    </row>
    <row r="239" spans="1:43" hidden="1" x14ac:dyDescent="0.25">
      <c r="A239" s="8">
        <v>236</v>
      </c>
      <c r="B239" s="8" t="s">
        <v>28</v>
      </c>
      <c r="C239" s="8" t="s">
        <v>980</v>
      </c>
      <c r="D239" s="8" t="s">
        <v>981</v>
      </c>
      <c r="E239" s="8"/>
      <c r="F239" s="8" t="s">
        <v>1001</v>
      </c>
      <c r="G239" s="8"/>
      <c r="H239" s="8" t="s">
        <v>31</v>
      </c>
      <c r="I239" s="8" t="s">
        <v>984</v>
      </c>
      <c r="J239" s="8"/>
      <c r="K239" s="8">
        <v>0.126</v>
      </c>
      <c r="L239" s="8">
        <v>0.126</v>
      </c>
      <c r="M239" s="8">
        <v>1</v>
      </c>
      <c r="N239" s="8" t="s">
        <v>33</v>
      </c>
      <c r="O239" s="8">
        <f t="shared" si="21"/>
        <v>2.1545999999999998</v>
      </c>
      <c r="P239" s="8">
        <f t="shared" si="22"/>
        <v>2.5137</v>
      </c>
      <c r="Q239" s="8">
        <f t="shared" si="23"/>
        <v>1.4364000000000001</v>
      </c>
      <c r="R239" s="8">
        <f t="shared" si="24"/>
        <v>1.0772999999999999</v>
      </c>
      <c r="S239" s="37">
        <v>7.1820000000000004</v>
      </c>
      <c r="T239" s="8">
        <v>105991.94</v>
      </c>
      <c r="U239" s="8">
        <v>13354.98444</v>
      </c>
      <c r="V239" s="8"/>
      <c r="W239" s="8"/>
      <c r="X239" s="8" t="s">
        <v>983</v>
      </c>
      <c r="Y239" s="8">
        <v>73032</v>
      </c>
      <c r="Z239" s="8">
        <v>6.18</v>
      </c>
      <c r="AA239" s="8" t="s">
        <v>1001</v>
      </c>
      <c r="AB239" s="8">
        <v>6</v>
      </c>
      <c r="AC239" s="109">
        <v>5839</v>
      </c>
      <c r="AD239" s="8"/>
      <c r="AE239" s="319" t="s">
        <v>984</v>
      </c>
      <c r="AF239" s="141"/>
      <c r="AG239" s="163"/>
      <c r="AH239" s="163"/>
      <c r="AI239" s="164"/>
      <c r="AJ239" s="126"/>
      <c r="AK239" s="72"/>
      <c r="AL239" s="72"/>
      <c r="AM239" s="127"/>
      <c r="AN239" s="126"/>
      <c r="AO239" s="72"/>
      <c r="AP239" s="72"/>
      <c r="AQ239" s="127"/>
    </row>
    <row r="240" spans="1:43" hidden="1" x14ac:dyDescent="0.25">
      <c r="A240" s="8">
        <v>237</v>
      </c>
      <c r="B240" s="8" t="s">
        <v>28</v>
      </c>
      <c r="C240" s="8" t="s">
        <v>980</v>
      </c>
      <c r="D240" s="8" t="s">
        <v>981</v>
      </c>
      <c r="E240" s="8"/>
      <c r="F240" s="8" t="s">
        <v>1001</v>
      </c>
      <c r="G240" s="8"/>
      <c r="H240" s="8" t="s">
        <v>31</v>
      </c>
      <c r="I240" s="8" t="s">
        <v>984</v>
      </c>
      <c r="J240" s="8"/>
      <c r="K240" s="8">
        <v>0.126</v>
      </c>
      <c r="L240" s="8">
        <v>0.126</v>
      </c>
      <c r="M240" s="8">
        <v>1</v>
      </c>
      <c r="N240" s="8" t="s">
        <v>33</v>
      </c>
      <c r="O240" s="8">
        <f t="shared" si="21"/>
        <v>2.1545999999999998</v>
      </c>
      <c r="P240" s="8">
        <f t="shared" si="22"/>
        <v>2.5137</v>
      </c>
      <c r="Q240" s="8">
        <f t="shared" si="23"/>
        <v>1.4364000000000001</v>
      </c>
      <c r="R240" s="8">
        <f t="shared" si="24"/>
        <v>1.0772999999999999</v>
      </c>
      <c r="S240" s="37">
        <v>7.1820000000000004</v>
      </c>
      <c r="T240" s="8">
        <v>105991.94</v>
      </c>
      <c r="U240" s="8">
        <v>13354.98444</v>
      </c>
      <c r="V240" s="8"/>
      <c r="W240" s="8"/>
      <c r="X240" s="8" t="s">
        <v>983</v>
      </c>
      <c r="Y240" s="8">
        <v>73032</v>
      </c>
      <c r="Z240" s="8">
        <v>6.18</v>
      </c>
      <c r="AA240" s="8" t="s">
        <v>1001</v>
      </c>
      <c r="AB240" s="8">
        <v>7</v>
      </c>
      <c r="AC240" s="109">
        <v>5839</v>
      </c>
      <c r="AD240" s="8"/>
      <c r="AE240" s="319" t="s">
        <v>984</v>
      </c>
      <c r="AF240" s="141"/>
      <c r="AG240" s="163"/>
      <c r="AH240" s="163"/>
      <c r="AI240" s="164"/>
      <c r="AJ240" s="126"/>
      <c r="AK240" s="72"/>
      <c r="AL240" s="72"/>
      <c r="AM240" s="127"/>
      <c r="AN240" s="126"/>
      <c r="AO240" s="72"/>
      <c r="AP240" s="72"/>
      <c r="AQ240" s="127"/>
    </row>
    <row r="241" spans="1:43" hidden="1" x14ac:dyDescent="0.25">
      <c r="A241" s="8">
        <v>238</v>
      </c>
      <c r="B241" s="8" t="s">
        <v>28</v>
      </c>
      <c r="C241" s="8" t="s">
        <v>980</v>
      </c>
      <c r="D241" s="8" t="s">
        <v>981</v>
      </c>
      <c r="E241" s="8"/>
      <c r="F241" s="8" t="s">
        <v>1001</v>
      </c>
      <c r="G241" s="8"/>
      <c r="H241" s="8" t="s">
        <v>31</v>
      </c>
      <c r="I241" s="8" t="s">
        <v>984</v>
      </c>
      <c r="J241" s="8"/>
      <c r="K241" s="8">
        <v>0.126</v>
      </c>
      <c r="L241" s="8">
        <v>0.126</v>
      </c>
      <c r="M241" s="8">
        <v>1</v>
      </c>
      <c r="N241" s="8" t="s">
        <v>33</v>
      </c>
      <c r="O241" s="8">
        <f t="shared" si="21"/>
        <v>2.1545999999999998</v>
      </c>
      <c r="P241" s="8">
        <f t="shared" si="22"/>
        <v>2.5137</v>
      </c>
      <c r="Q241" s="8">
        <f t="shared" si="23"/>
        <v>1.4364000000000001</v>
      </c>
      <c r="R241" s="8">
        <f t="shared" si="24"/>
        <v>1.0772999999999999</v>
      </c>
      <c r="S241" s="37">
        <v>7.1820000000000004</v>
      </c>
      <c r="T241" s="8">
        <v>105991.94</v>
      </c>
      <c r="U241" s="8">
        <v>13354.98444</v>
      </c>
      <c r="V241" s="8"/>
      <c r="W241" s="8"/>
      <c r="X241" s="8" t="s">
        <v>983</v>
      </c>
      <c r="Y241" s="8">
        <v>73032</v>
      </c>
      <c r="Z241" s="8">
        <v>6.18</v>
      </c>
      <c r="AA241" s="8" t="s">
        <v>1001</v>
      </c>
      <c r="AB241" s="8">
        <v>8</v>
      </c>
      <c r="AC241" s="109">
        <v>5839</v>
      </c>
      <c r="AD241" s="8"/>
      <c r="AE241" s="319" t="s">
        <v>984</v>
      </c>
      <c r="AF241" s="141"/>
      <c r="AG241" s="163"/>
      <c r="AH241" s="163"/>
      <c r="AI241" s="164"/>
      <c r="AJ241" s="126"/>
      <c r="AK241" s="72"/>
      <c r="AL241" s="72"/>
      <c r="AM241" s="127"/>
      <c r="AN241" s="126"/>
      <c r="AO241" s="72"/>
      <c r="AP241" s="72"/>
      <c r="AQ241" s="127"/>
    </row>
    <row r="242" spans="1:43" hidden="1" x14ac:dyDescent="0.25">
      <c r="A242" s="8">
        <v>239</v>
      </c>
      <c r="B242" s="8" t="s">
        <v>28</v>
      </c>
      <c r="C242" s="8" t="s">
        <v>980</v>
      </c>
      <c r="D242" s="8" t="s">
        <v>981</v>
      </c>
      <c r="E242" s="8"/>
      <c r="F242" s="8" t="s">
        <v>1001</v>
      </c>
      <c r="G242" s="8"/>
      <c r="H242" s="8" t="s">
        <v>31</v>
      </c>
      <c r="I242" s="8" t="s">
        <v>984</v>
      </c>
      <c r="J242" s="8"/>
      <c r="K242" s="8">
        <v>0.126</v>
      </c>
      <c r="L242" s="8">
        <v>0.126</v>
      </c>
      <c r="M242" s="8">
        <v>1</v>
      </c>
      <c r="N242" s="8" t="s">
        <v>33</v>
      </c>
      <c r="O242" s="8">
        <f t="shared" si="21"/>
        <v>2.1545999999999998</v>
      </c>
      <c r="P242" s="8">
        <f t="shared" si="22"/>
        <v>2.5137</v>
      </c>
      <c r="Q242" s="8">
        <f t="shared" si="23"/>
        <v>1.4364000000000001</v>
      </c>
      <c r="R242" s="8">
        <f t="shared" si="24"/>
        <v>1.0772999999999999</v>
      </c>
      <c r="S242" s="37">
        <v>7.1820000000000004</v>
      </c>
      <c r="T242" s="8">
        <v>105991.94</v>
      </c>
      <c r="U242" s="8">
        <v>13354.98444</v>
      </c>
      <c r="V242" s="8"/>
      <c r="W242" s="8"/>
      <c r="X242" s="8" t="s">
        <v>983</v>
      </c>
      <c r="Y242" s="8">
        <v>73032</v>
      </c>
      <c r="Z242" s="8">
        <v>6.18</v>
      </c>
      <c r="AA242" s="8" t="s">
        <v>1001</v>
      </c>
      <c r="AB242" s="8">
        <v>9</v>
      </c>
      <c r="AC242" s="109">
        <v>5839</v>
      </c>
      <c r="AD242" s="8"/>
      <c r="AE242" s="319" t="s">
        <v>984</v>
      </c>
      <c r="AF242" s="141"/>
      <c r="AG242" s="163"/>
      <c r="AH242" s="163"/>
      <c r="AI242" s="164"/>
      <c r="AJ242" s="126"/>
      <c r="AK242" s="72"/>
      <c r="AL242" s="72"/>
      <c r="AM242" s="127"/>
      <c r="AN242" s="126"/>
      <c r="AO242" s="72"/>
      <c r="AP242" s="72"/>
      <c r="AQ242" s="127"/>
    </row>
    <row r="243" spans="1:43" hidden="1" x14ac:dyDescent="0.25">
      <c r="A243" s="8">
        <v>240</v>
      </c>
      <c r="B243" s="8" t="s">
        <v>28</v>
      </c>
      <c r="C243" s="8" t="s">
        <v>980</v>
      </c>
      <c r="D243" s="8" t="s">
        <v>981</v>
      </c>
      <c r="E243" s="8"/>
      <c r="F243" s="8" t="s">
        <v>1001</v>
      </c>
      <c r="G243" s="8"/>
      <c r="H243" s="8" t="s">
        <v>31</v>
      </c>
      <c r="I243" s="8" t="s">
        <v>984</v>
      </c>
      <c r="J243" s="8"/>
      <c r="K243" s="8">
        <v>0.126</v>
      </c>
      <c r="L243" s="8">
        <v>0.126</v>
      </c>
      <c r="M243" s="8">
        <v>1</v>
      </c>
      <c r="N243" s="8" t="s">
        <v>33</v>
      </c>
      <c r="O243" s="8">
        <f t="shared" si="21"/>
        <v>2.1545999999999998</v>
      </c>
      <c r="P243" s="8">
        <f t="shared" si="22"/>
        <v>2.5137</v>
      </c>
      <c r="Q243" s="8">
        <f t="shared" si="23"/>
        <v>1.4364000000000001</v>
      </c>
      <c r="R243" s="8">
        <f t="shared" si="24"/>
        <v>1.0772999999999999</v>
      </c>
      <c r="S243" s="37">
        <v>7.1820000000000004</v>
      </c>
      <c r="T243" s="8">
        <v>105991.94</v>
      </c>
      <c r="U243" s="8">
        <v>13354.98444</v>
      </c>
      <c r="V243" s="8"/>
      <c r="W243" s="8"/>
      <c r="X243" s="8" t="s">
        <v>983</v>
      </c>
      <c r="Y243" s="8">
        <v>73032</v>
      </c>
      <c r="Z243" s="8">
        <v>6.18</v>
      </c>
      <c r="AA243" s="8" t="s">
        <v>1001</v>
      </c>
      <c r="AB243" s="8">
        <v>10</v>
      </c>
      <c r="AC243" s="109">
        <v>5839</v>
      </c>
      <c r="AD243" s="8"/>
      <c r="AE243" s="319" t="s">
        <v>984</v>
      </c>
      <c r="AF243" s="141"/>
      <c r="AG243" s="163"/>
      <c r="AH243" s="163"/>
      <c r="AI243" s="164"/>
      <c r="AJ243" s="126"/>
      <c r="AK243" s="72"/>
      <c r="AL243" s="72"/>
      <c r="AM243" s="127"/>
      <c r="AN243" s="126"/>
      <c r="AO243" s="72"/>
      <c r="AP243" s="72"/>
      <c r="AQ243" s="127"/>
    </row>
    <row r="244" spans="1:43" hidden="1" x14ac:dyDescent="0.25">
      <c r="A244" s="8">
        <v>241</v>
      </c>
      <c r="B244" s="8" t="s">
        <v>28</v>
      </c>
      <c r="C244" s="8" t="s">
        <v>980</v>
      </c>
      <c r="D244" s="8" t="s">
        <v>981</v>
      </c>
      <c r="E244" s="8"/>
      <c r="F244" s="8" t="s">
        <v>1001</v>
      </c>
      <c r="G244" s="8"/>
      <c r="H244" s="8" t="s">
        <v>31</v>
      </c>
      <c r="I244" s="8" t="s">
        <v>984</v>
      </c>
      <c r="J244" s="8"/>
      <c r="K244" s="8">
        <v>0.126</v>
      </c>
      <c r="L244" s="8">
        <v>0.126</v>
      </c>
      <c r="M244" s="8">
        <v>1</v>
      </c>
      <c r="N244" s="8" t="s">
        <v>33</v>
      </c>
      <c r="O244" s="8">
        <f t="shared" si="21"/>
        <v>2.1545999999999998</v>
      </c>
      <c r="P244" s="8">
        <f t="shared" si="22"/>
        <v>2.5137</v>
      </c>
      <c r="Q244" s="8">
        <f t="shared" si="23"/>
        <v>1.4364000000000001</v>
      </c>
      <c r="R244" s="8">
        <f t="shared" si="24"/>
        <v>1.0772999999999999</v>
      </c>
      <c r="S244" s="37">
        <v>7.1820000000000004</v>
      </c>
      <c r="T244" s="8">
        <v>105991.94</v>
      </c>
      <c r="U244" s="8">
        <v>13354.98444</v>
      </c>
      <c r="V244" s="8"/>
      <c r="W244" s="8"/>
      <c r="X244" s="8" t="s">
        <v>983</v>
      </c>
      <c r="Y244" s="8">
        <v>73033</v>
      </c>
      <c r="Z244" s="8">
        <v>6.18</v>
      </c>
      <c r="AA244" s="8" t="s">
        <v>1001</v>
      </c>
      <c r="AB244" s="8">
        <v>1</v>
      </c>
      <c r="AC244" s="109">
        <v>5839</v>
      </c>
      <c r="AD244" s="8"/>
      <c r="AE244" s="319" t="s">
        <v>984</v>
      </c>
      <c r="AF244" s="141"/>
      <c r="AG244" s="163"/>
      <c r="AH244" s="163"/>
      <c r="AI244" s="164"/>
      <c r="AJ244" s="126"/>
      <c r="AK244" s="72"/>
      <c r="AL244" s="72"/>
      <c r="AM244" s="127"/>
      <c r="AN244" s="126"/>
      <c r="AO244" s="72"/>
      <c r="AP244" s="72"/>
      <c r="AQ244" s="127"/>
    </row>
    <row r="245" spans="1:43" hidden="1" x14ac:dyDescent="0.25">
      <c r="A245" s="8">
        <v>242</v>
      </c>
      <c r="B245" s="8" t="s">
        <v>28</v>
      </c>
      <c r="C245" s="8" t="s">
        <v>980</v>
      </c>
      <c r="D245" s="8" t="s">
        <v>981</v>
      </c>
      <c r="E245" s="8"/>
      <c r="F245" s="8" t="s">
        <v>1001</v>
      </c>
      <c r="G245" s="8"/>
      <c r="H245" s="8" t="s">
        <v>31</v>
      </c>
      <c r="I245" s="8" t="s">
        <v>984</v>
      </c>
      <c r="J245" s="8"/>
      <c r="K245" s="8">
        <v>0.126</v>
      </c>
      <c r="L245" s="8">
        <v>0.126</v>
      </c>
      <c r="M245" s="8">
        <v>1</v>
      </c>
      <c r="N245" s="8" t="s">
        <v>33</v>
      </c>
      <c r="O245" s="8">
        <f t="shared" si="21"/>
        <v>2.1545999999999998</v>
      </c>
      <c r="P245" s="8">
        <f t="shared" si="22"/>
        <v>2.5137</v>
      </c>
      <c r="Q245" s="8">
        <f t="shared" si="23"/>
        <v>1.4364000000000001</v>
      </c>
      <c r="R245" s="8">
        <f t="shared" si="24"/>
        <v>1.0772999999999999</v>
      </c>
      <c r="S245" s="37">
        <v>7.1820000000000004</v>
      </c>
      <c r="T245" s="8">
        <v>105991.94</v>
      </c>
      <c r="U245" s="8">
        <v>13354.98444</v>
      </c>
      <c r="V245" s="8"/>
      <c r="W245" s="8"/>
      <c r="X245" s="8" t="s">
        <v>983</v>
      </c>
      <c r="Y245" s="8">
        <v>73033</v>
      </c>
      <c r="Z245" s="8">
        <v>6.18</v>
      </c>
      <c r="AA245" s="8" t="s">
        <v>1001</v>
      </c>
      <c r="AB245" s="8">
        <v>2</v>
      </c>
      <c r="AC245" s="109">
        <v>5839</v>
      </c>
      <c r="AD245" s="8"/>
      <c r="AE245" s="319" t="s">
        <v>984</v>
      </c>
      <c r="AF245" s="141"/>
      <c r="AG245" s="163"/>
      <c r="AH245" s="163"/>
      <c r="AI245" s="164"/>
      <c r="AJ245" s="126"/>
      <c r="AK245" s="72"/>
      <c r="AL245" s="72"/>
      <c r="AM245" s="127"/>
      <c r="AN245" s="126"/>
      <c r="AO245" s="72"/>
      <c r="AP245" s="72"/>
      <c r="AQ245" s="127"/>
    </row>
    <row r="246" spans="1:43" hidden="1" x14ac:dyDescent="0.25">
      <c r="A246" s="8">
        <v>243</v>
      </c>
      <c r="B246" s="8" t="s">
        <v>28</v>
      </c>
      <c r="C246" s="8" t="s">
        <v>980</v>
      </c>
      <c r="D246" s="8" t="s">
        <v>981</v>
      </c>
      <c r="E246" s="8"/>
      <c r="F246" s="8" t="s">
        <v>1001</v>
      </c>
      <c r="G246" s="8"/>
      <c r="H246" s="8" t="s">
        <v>31</v>
      </c>
      <c r="I246" s="8" t="s">
        <v>984</v>
      </c>
      <c r="J246" s="8"/>
      <c r="K246" s="8">
        <v>0.126</v>
      </c>
      <c r="L246" s="8">
        <v>0.126</v>
      </c>
      <c r="M246" s="8">
        <v>1</v>
      </c>
      <c r="N246" s="8" t="s">
        <v>33</v>
      </c>
      <c r="O246" s="8">
        <f t="shared" si="21"/>
        <v>2.1545999999999998</v>
      </c>
      <c r="P246" s="8">
        <f t="shared" si="22"/>
        <v>2.5137</v>
      </c>
      <c r="Q246" s="8">
        <f t="shared" si="23"/>
        <v>1.4364000000000001</v>
      </c>
      <c r="R246" s="8">
        <f t="shared" si="24"/>
        <v>1.0772999999999999</v>
      </c>
      <c r="S246" s="37">
        <v>7.1820000000000004</v>
      </c>
      <c r="T246" s="8">
        <v>105991.94</v>
      </c>
      <c r="U246" s="8">
        <v>13354.98444</v>
      </c>
      <c r="V246" s="8"/>
      <c r="W246" s="8"/>
      <c r="X246" s="8" t="s">
        <v>983</v>
      </c>
      <c r="Y246" s="8">
        <v>73033</v>
      </c>
      <c r="Z246" s="8">
        <v>6.18</v>
      </c>
      <c r="AA246" s="8" t="s">
        <v>1001</v>
      </c>
      <c r="AB246" s="8">
        <v>3</v>
      </c>
      <c r="AC246" s="109">
        <v>5839</v>
      </c>
      <c r="AD246" s="8"/>
      <c r="AE246" s="319" t="s">
        <v>984</v>
      </c>
      <c r="AF246" s="141"/>
      <c r="AG246" s="163"/>
      <c r="AH246" s="163"/>
      <c r="AI246" s="164"/>
      <c r="AJ246" s="126"/>
      <c r="AK246" s="72"/>
      <c r="AL246" s="72"/>
      <c r="AM246" s="127"/>
      <c r="AN246" s="126"/>
      <c r="AO246" s="72"/>
      <c r="AP246" s="72"/>
      <c r="AQ246" s="127"/>
    </row>
    <row r="247" spans="1:43" hidden="1" x14ac:dyDescent="0.25">
      <c r="A247" s="8">
        <v>244</v>
      </c>
      <c r="B247" s="8" t="s">
        <v>28</v>
      </c>
      <c r="C247" s="8" t="s">
        <v>980</v>
      </c>
      <c r="D247" s="8" t="s">
        <v>981</v>
      </c>
      <c r="E247" s="8"/>
      <c r="F247" s="8" t="s">
        <v>1001</v>
      </c>
      <c r="G247" s="8"/>
      <c r="H247" s="8" t="s">
        <v>31</v>
      </c>
      <c r="I247" s="8" t="s">
        <v>984</v>
      </c>
      <c r="J247" s="8"/>
      <c r="K247" s="8">
        <v>0.126</v>
      </c>
      <c r="L247" s="8">
        <v>0.126</v>
      </c>
      <c r="M247" s="8">
        <v>1</v>
      </c>
      <c r="N247" s="8" t="s">
        <v>33</v>
      </c>
      <c r="O247" s="8">
        <f t="shared" si="21"/>
        <v>2.1545999999999998</v>
      </c>
      <c r="P247" s="8">
        <f t="shared" si="22"/>
        <v>2.5137</v>
      </c>
      <c r="Q247" s="8">
        <f t="shared" si="23"/>
        <v>1.4364000000000001</v>
      </c>
      <c r="R247" s="8">
        <f t="shared" si="24"/>
        <v>1.0772999999999999</v>
      </c>
      <c r="S247" s="37">
        <v>7.1820000000000004</v>
      </c>
      <c r="T247" s="8">
        <v>105991.94</v>
      </c>
      <c r="U247" s="8">
        <v>13354.98444</v>
      </c>
      <c r="V247" s="8"/>
      <c r="W247" s="8"/>
      <c r="X247" s="8" t="s">
        <v>983</v>
      </c>
      <c r="Y247" s="8">
        <v>73033</v>
      </c>
      <c r="Z247" s="8">
        <v>6.18</v>
      </c>
      <c r="AA247" s="8" t="s">
        <v>1001</v>
      </c>
      <c r="AB247" s="8">
        <v>4</v>
      </c>
      <c r="AC247" s="109">
        <v>5839</v>
      </c>
      <c r="AD247" s="8"/>
      <c r="AE247" s="319" t="s">
        <v>984</v>
      </c>
      <c r="AF247" s="141"/>
      <c r="AG247" s="163"/>
      <c r="AH247" s="163"/>
      <c r="AI247" s="164"/>
      <c r="AJ247" s="126"/>
      <c r="AK247" s="72"/>
      <c r="AL247" s="72"/>
      <c r="AM247" s="127"/>
      <c r="AN247" s="126"/>
      <c r="AO247" s="72"/>
      <c r="AP247" s="72"/>
      <c r="AQ247" s="127"/>
    </row>
    <row r="248" spans="1:43" hidden="1" x14ac:dyDescent="0.25">
      <c r="A248" s="8">
        <v>245</v>
      </c>
      <c r="B248" s="8" t="s">
        <v>28</v>
      </c>
      <c r="C248" s="8" t="s">
        <v>980</v>
      </c>
      <c r="D248" s="8" t="s">
        <v>981</v>
      </c>
      <c r="E248" s="8"/>
      <c r="F248" s="8" t="s">
        <v>1001</v>
      </c>
      <c r="G248" s="8"/>
      <c r="H248" s="8" t="s">
        <v>31</v>
      </c>
      <c r="I248" s="8" t="s">
        <v>984</v>
      </c>
      <c r="J248" s="8"/>
      <c r="K248" s="8">
        <v>0.126</v>
      </c>
      <c r="L248" s="8">
        <v>0.126</v>
      </c>
      <c r="M248" s="8">
        <v>1</v>
      </c>
      <c r="N248" s="8" t="s">
        <v>33</v>
      </c>
      <c r="O248" s="8">
        <f t="shared" si="21"/>
        <v>2.1545999999999998</v>
      </c>
      <c r="P248" s="8">
        <f t="shared" si="22"/>
        <v>2.5137</v>
      </c>
      <c r="Q248" s="8">
        <f t="shared" si="23"/>
        <v>1.4364000000000001</v>
      </c>
      <c r="R248" s="8">
        <f t="shared" si="24"/>
        <v>1.0772999999999999</v>
      </c>
      <c r="S248" s="37">
        <v>7.1820000000000004</v>
      </c>
      <c r="T248" s="8">
        <v>105991.94</v>
      </c>
      <c r="U248" s="8">
        <v>13354.98444</v>
      </c>
      <c r="V248" s="8"/>
      <c r="W248" s="8"/>
      <c r="X248" s="8" t="s">
        <v>983</v>
      </c>
      <c r="Y248" s="8">
        <v>73033</v>
      </c>
      <c r="Z248" s="8">
        <v>6.18</v>
      </c>
      <c r="AA248" s="8" t="s">
        <v>1001</v>
      </c>
      <c r="AB248" s="8">
        <v>5</v>
      </c>
      <c r="AC248" s="109">
        <v>5839</v>
      </c>
      <c r="AD248" s="8"/>
      <c r="AE248" s="319" t="s">
        <v>984</v>
      </c>
      <c r="AF248" s="141"/>
      <c r="AG248" s="163"/>
      <c r="AH248" s="163"/>
      <c r="AI248" s="164"/>
      <c r="AJ248" s="126"/>
      <c r="AK248" s="72"/>
      <c r="AL248" s="72"/>
      <c r="AM248" s="127"/>
      <c r="AN248" s="126"/>
      <c r="AO248" s="72"/>
      <c r="AP248" s="72"/>
      <c r="AQ248" s="127"/>
    </row>
    <row r="249" spans="1:43" hidden="1" x14ac:dyDescent="0.25">
      <c r="A249" s="8">
        <v>246</v>
      </c>
      <c r="B249" s="8" t="s">
        <v>28</v>
      </c>
      <c r="C249" s="8" t="s">
        <v>980</v>
      </c>
      <c r="D249" s="8" t="s">
        <v>981</v>
      </c>
      <c r="E249" s="8"/>
      <c r="F249" s="8" t="s">
        <v>1001</v>
      </c>
      <c r="G249" s="8"/>
      <c r="H249" s="8" t="s">
        <v>31</v>
      </c>
      <c r="I249" s="8" t="s">
        <v>984</v>
      </c>
      <c r="J249" s="8"/>
      <c r="K249" s="8">
        <v>0.126</v>
      </c>
      <c r="L249" s="8">
        <v>0.126</v>
      </c>
      <c r="M249" s="8">
        <v>1</v>
      </c>
      <c r="N249" s="8" t="s">
        <v>33</v>
      </c>
      <c r="O249" s="8">
        <f t="shared" si="21"/>
        <v>2.1545999999999998</v>
      </c>
      <c r="P249" s="8">
        <f t="shared" si="22"/>
        <v>2.5137</v>
      </c>
      <c r="Q249" s="8">
        <f t="shared" si="23"/>
        <v>1.4364000000000001</v>
      </c>
      <c r="R249" s="8">
        <f t="shared" si="24"/>
        <v>1.0772999999999999</v>
      </c>
      <c r="S249" s="37">
        <v>7.1820000000000004</v>
      </c>
      <c r="T249" s="8">
        <v>105991.94</v>
      </c>
      <c r="U249" s="8">
        <v>13354.98444</v>
      </c>
      <c r="V249" s="8"/>
      <c r="W249" s="8"/>
      <c r="X249" s="8" t="s">
        <v>983</v>
      </c>
      <c r="Y249" s="8">
        <v>73033</v>
      </c>
      <c r="Z249" s="8">
        <v>6.18</v>
      </c>
      <c r="AA249" s="8" t="s">
        <v>1001</v>
      </c>
      <c r="AB249" s="8">
        <v>6</v>
      </c>
      <c r="AC249" s="109">
        <v>5839</v>
      </c>
      <c r="AD249" s="8"/>
      <c r="AE249" s="319" t="s">
        <v>984</v>
      </c>
      <c r="AF249" s="141"/>
      <c r="AG249" s="163"/>
      <c r="AH249" s="163"/>
      <c r="AI249" s="164"/>
      <c r="AJ249" s="126"/>
      <c r="AK249" s="72"/>
      <c r="AL249" s="72"/>
      <c r="AM249" s="127"/>
      <c r="AN249" s="126"/>
      <c r="AO249" s="72"/>
      <c r="AP249" s="72"/>
      <c r="AQ249" s="127"/>
    </row>
    <row r="250" spans="1:43" hidden="1" x14ac:dyDescent="0.25">
      <c r="A250" s="8">
        <v>247</v>
      </c>
      <c r="B250" s="8" t="s">
        <v>28</v>
      </c>
      <c r="C250" s="8" t="s">
        <v>980</v>
      </c>
      <c r="D250" s="8" t="s">
        <v>981</v>
      </c>
      <c r="E250" s="8"/>
      <c r="F250" s="8" t="s">
        <v>1001</v>
      </c>
      <c r="G250" s="8"/>
      <c r="H250" s="8" t="s">
        <v>31</v>
      </c>
      <c r="I250" s="8" t="s">
        <v>984</v>
      </c>
      <c r="J250" s="8"/>
      <c r="K250" s="8">
        <v>0.126</v>
      </c>
      <c r="L250" s="8">
        <v>0.126</v>
      </c>
      <c r="M250" s="8">
        <v>1</v>
      </c>
      <c r="N250" s="8" t="s">
        <v>33</v>
      </c>
      <c r="O250" s="8">
        <f t="shared" si="21"/>
        <v>2.1545999999999998</v>
      </c>
      <c r="P250" s="8">
        <f t="shared" si="22"/>
        <v>2.5137</v>
      </c>
      <c r="Q250" s="8">
        <f t="shared" si="23"/>
        <v>1.4364000000000001</v>
      </c>
      <c r="R250" s="8">
        <f t="shared" si="24"/>
        <v>1.0772999999999999</v>
      </c>
      <c r="S250" s="37">
        <v>7.1820000000000004</v>
      </c>
      <c r="T250" s="8">
        <v>105991.94</v>
      </c>
      <c r="U250" s="8">
        <v>13354.98444</v>
      </c>
      <c r="V250" s="8"/>
      <c r="W250" s="8"/>
      <c r="X250" s="8" t="s">
        <v>983</v>
      </c>
      <c r="Y250" s="8">
        <v>73033</v>
      </c>
      <c r="Z250" s="8">
        <v>6.18</v>
      </c>
      <c r="AA250" s="8" t="s">
        <v>1001</v>
      </c>
      <c r="AB250" s="8">
        <v>7</v>
      </c>
      <c r="AC250" s="109">
        <v>5839</v>
      </c>
      <c r="AD250" s="8"/>
      <c r="AE250" s="319" t="s">
        <v>984</v>
      </c>
      <c r="AF250" s="141"/>
      <c r="AG250" s="163"/>
      <c r="AH250" s="163"/>
      <c r="AI250" s="164"/>
      <c r="AJ250" s="126"/>
      <c r="AK250" s="72"/>
      <c r="AL250" s="72"/>
      <c r="AM250" s="127"/>
      <c r="AN250" s="126"/>
      <c r="AO250" s="72"/>
      <c r="AP250" s="72"/>
      <c r="AQ250" s="127"/>
    </row>
    <row r="251" spans="1:43" hidden="1" x14ac:dyDescent="0.25">
      <c r="A251" s="8">
        <v>248</v>
      </c>
      <c r="B251" s="8" t="s">
        <v>28</v>
      </c>
      <c r="C251" s="8" t="s">
        <v>980</v>
      </c>
      <c r="D251" s="8" t="s">
        <v>981</v>
      </c>
      <c r="E251" s="8"/>
      <c r="F251" s="8" t="s">
        <v>1001</v>
      </c>
      <c r="G251" s="8"/>
      <c r="H251" s="8" t="s">
        <v>31</v>
      </c>
      <c r="I251" s="8" t="s">
        <v>984</v>
      </c>
      <c r="J251" s="8"/>
      <c r="K251" s="8">
        <v>0.126</v>
      </c>
      <c r="L251" s="8">
        <v>0.126</v>
      </c>
      <c r="M251" s="8">
        <v>1</v>
      </c>
      <c r="N251" s="8" t="s">
        <v>33</v>
      </c>
      <c r="O251" s="8">
        <f t="shared" si="21"/>
        <v>2.1545999999999998</v>
      </c>
      <c r="P251" s="8">
        <f t="shared" si="22"/>
        <v>2.5137</v>
      </c>
      <c r="Q251" s="8">
        <f t="shared" si="23"/>
        <v>1.4364000000000001</v>
      </c>
      <c r="R251" s="8">
        <f t="shared" si="24"/>
        <v>1.0772999999999999</v>
      </c>
      <c r="S251" s="37">
        <v>7.1820000000000004</v>
      </c>
      <c r="T251" s="8">
        <v>105991.94</v>
      </c>
      <c r="U251" s="8">
        <v>13354.98444</v>
      </c>
      <c r="V251" s="8"/>
      <c r="W251" s="8"/>
      <c r="X251" s="8" t="s">
        <v>983</v>
      </c>
      <c r="Y251" s="8">
        <v>73033</v>
      </c>
      <c r="Z251" s="8">
        <v>6.18</v>
      </c>
      <c r="AA251" s="8" t="s">
        <v>1001</v>
      </c>
      <c r="AB251" s="8">
        <v>8</v>
      </c>
      <c r="AC251" s="109">
        <v>5839</v>
      </c>
      <c r="AD251" s="8"/>
      <c r="AE251" s="319" t="s">
        <v>984</v>
      </c>
      <c r="AF251" s="141"/>
      <c r="AG251" s="163"/>
      <c r="AH251" s="163"/>
      <c r="AI251" s="164"/>
      <c r="AJ251" s="126"/>
      <c r="AK251" s="72"/>
      <c r="AL251" s="72"/>
      <c r="AM251" s="127"/>
      <c r="AN251" s="126"/>
      <c r="AO251" s="72"/>
      <c r="AP251" s="72"/>
      <c r="AQ251" s="127"/>
    </row>
    <row r="252" spans="1:43" hidden="1" x14ac:dyDescent="0.25">
      <c r="A252" s="8">
        <v>249</v>
      </c>
      <c r="B252" s="8" t="s">
        <v>28</v>
      </c>
      <c r="C252" s="8" t="s">
        <v>980</v>
      </c>
      <c r="D252" s="8" t="s">
        <v>981</v>
      </c>
      <c r="E252" s="8"/>
      <c r="F252" s="8" t="s">
        <v>1001</v>
      </c>
      <c r="G252" s="8"/>
      <c r="H252" s="8" t="s">
        <v>31</v>
      </c>
      <c r="I252" s="8" t="s">
        <v>984</v>
      </c>
      <c r="J252" s="8"/>
      <c r="K252" s="8">
        <v>0.126</v>
      </c>
      <c r="L252" s="8">
        <v>0.126</v>
      </c>
      <c r="M252" s="8">
        <v>1</v>
      </c>
      <c r="N252" s="8" t="s">
        <v>33</v>
      </c>
      <c r="O252" s="8">
        <f t="shared" si="21"/>
        <v>2.1545999999999998</v>
      </c>
      <c r="P252" s="8">
        <f t="shared" si="22"/>
        <v>2.5137</v>
      </c>
      <c r="Q252" s="8">
        <f t="shared" si="23"/>
        <v>1.4364000000000001</v>
      </c>
      <c r="R252" s="8">
        <f t="shared" si="24"/>
        <v>1.0772999999999999</v>
      </c>
      <c r="S252" s="37">
        <v>7.1820000000000004</v>
      </c>
      <c r="T252" s="8">
        <v>105991.94</v>
      </c>
      <c r="U252" s="8">
        <v>13354.98444</v>
      </c>
      <c r="V252" s="8"/>
      <c r="W252" s="8"/>
      <c r="X252" s="8" t="s">
        <v>983</v>
      </c>
      <c r="Y252" s="8">
        <v>73033</v>
      </c>
      <c r="Z252" s="8">
        <v>6.18</v>
      </c>
      <c r="AA252" s="8" t="s">
        <v>1001</v>
      </c>
      <c r="AB252" s="8">
        <v>9</v>
      </c>
      <c r="AC252" s="109">
        <v>5839</v>
      </c>
      <c r="AD252" s="8"/>
      <c r="AE252" s="319" t="s">
        <v>984</v>
      </c>
      <c r="AF252" s="141"/>
      <c r="AG252" s="163"/>
      <c r="AH252" s="163"/>
      <c r="AI252" s="164"/>
      <c r="AJ252" s="126"/>
      <c r="AK252" s="72"/>
      <c r="AL252" s="72"/>
      <c r="AM252" s="127"/>
      <c r="AN252" s="126"/>
      <c r="AO252" s="72"/>
      <c r="AP252" s="72"/>
      <c r="AQ252" s="127"/>
    </row>
    <row r="253" spans="1:43" hidden="1" x14ac:dyDescent="0.25">
      <c r="A253" s="8">
        <v>250</v>
      </c>
      <c r="B253" s="8" t="s">
        <v>28</v>
      </c>
      <c r="C253" s="8" t="s">
        <v>980</v>
      </c>
      <c r="D253" s="8" t="s">
        <v>981</v>
      </c>
      <c r="E253" s="8"/>
      <c r="F253" s="8" t="s">
        <v>1001</v>
      </c>
      <c r="G253" s="8"/>
      <c r="H253" s="8" t="s">
        <v>31</v>
      </c>
      <c r="I253" s="8" t="s">
        <v>984</v>
      </c>
      <c r="J253" s="8"/>
      <c r="K253" s="8">
        <v>0.126</v>
      </c>
      <c r="L253" s="8">
        <v>0.126</v>
      </c>
      <c r="M253" s="8">
        <v>1</v>
      </c>
      <c r="N253" s="8" t="s">
        <v>33</v>
      </c>
      <c r="O253" s="8">
        <f t="shared" si="21"/>
        <v>2.1545999999999998</v>
      </c>
      <c r="P253" s="8">
        <f t="shared" si="22"/>
        <v>2.5137</v>
      </c>
      <c r="Q253" s="8">
        <f t="shared" si="23"/>
        <v>1.4364000000000001</v>
      </c>
      <c r="R253" s="8">
        <f t="shared" si="24"/>
        <v>1.0772999999999999</v>
      </c>
      <c r="S253" s="37">
        <v>7.1820000000000004</v>
      </c>
      <c r="T253" s="8">
        <v>105991.94</v>
      </c>
      <c r="U253" s="8">
        <v>13354.98444</v>
      </c>
      <c r="V253" s="8"/>
      <c r="W253" s="8"/>
      <c r="X253" s="8" t="s">
        <v>983</v>
      </c>
      <c r="Y253" s="8">
        <v>73033</v>
      </c>
      <c r="Z253" s="8">
        <v>6.18</v>
      </c>
      <c r="AA253" s="8" t="s">
        <v>1001</v>
      </c>
      <c r="AB253" s="8">
        <v>10</v>
      </c>
      <c r="AC253" s="109">
        <v>5839</v>
      </c>
      <c r="AD253" s="8"/>
      <c r="AE253" s="319" t="s">
        <v>984</v>
      </c>
      <c r="AF253" s="141"/>
      <c r="AG253" s="163"/>
      <c r="AH253" s="163"/>
      <c r="AI253" s="164"/>
      <c r="AJ253" s="126"/>
      <c r="AK253" s="72"/>
      <c r="AL253" s="72"/>
      <c r="AM253" s="127"/>
      <c r="AN253" s="126"/>
      <c r="AO253" s="72"/>
      <c r="AP253" s="72"/>
      <c r="AQ253" s="127"/>
    </row>
    <row r="254" spans="1:43" hidden="1" x14ac:dyDescent="0.25">
      <c r="A254" s="8">
        <v>251</v>
      </c>
      <c r="B254" s="8" t="s">
        <v>28</v>
      </c>
      <c r="C254" s="8" t="s">
        <v>980</v>
      </c>
      <c r="D254" s="8" t="s">
        <v>981</v>
      </c>
      <c r="E254" s="8"/>
      <c r="F254" s="8" t="s">
        <v>1001</v>
      </c>
      <c r="G254" s="8"/>
      <c r="H254" s="8" t="s">
        <v>31</v>
      </c>
      <c r="I254" s="8" t="s">
        <v>985</v>
      </c>
      <c r="J254" s="8"/>
      <c r="K254" s="8">
        <v>0.126</v>
      </c>
      <c r="L254" s="8">
        <v>0.126</v>
      </c>
      <c r="M254" s="8">
        <v>1</v>
      </c>
      <c r="N254" s="8" t="s">
        <v>33</v>
      </c>
      <c r="O254" s="8">
        <f t="shared" si="21"/>
        <v>2.1545999999999998</v>
      </c>
      <c r="P254" s="8">
        <f t="shared" si="22"/>
        <v>2.5137</v>
      </c>
      <c r="Q254" s="8">
        <f t="shared" si="23"/>
        <v>1.4364000000000001</v>
      </c>
      <c r="R254" s="8">
        <f t="shared" si="24"/>
        <v>1.0772999999999999</v>
      </c>
      <c r="S254" s="37">
        <v>7.1820000000000004</v>
      </c>
      <c r="T254" s="8">
        <v>105991.94</v>
      </c>
      <c r="U254" s="8">
        <v>13354.98444</v>
      </c>
      <c r="V254" s="8"/>
      <c r="W254" s="8"/>
      <c r="X254" s="8" t="s">
        <v>983</v>
      </c>
      <c r="Y254" s="8">
        <v>73034</v>
      </c>
      <c r="Z254" s="8">
        <v>6.18</v>
      </c>
      <c r="AA254" s="8" t="s">
        <v>1001</v>
      </c>
      <c r="AB254" s="8">
        <v>1</v>
      </c>
      <c r="AC254" s="109">
        <v>5841</v>
      </c>
      <c r="AD254" s="8"/>
      <c r="AE254" s="319" t="s">
        <v>985</v>
      </c>
      <c r="AF254" s="141"/>
      <c r="AG254" s="163"/>
      <c r="AH254" s="163"/>
      <c r="AI254" s="164"/>
      <c r="AJ254" s="126"/>
      <c r="AK254" s="72"/>
      <c r="AL254" s="72"/>
      <c r="AM254" s="127"/>
      <c r="AN254" s="126"/>
      <c r="AO254" s="72"/>
      <c r="AP254" s="72"/>
      <c r="AQ254" s="127"/>
    </row>
    <row r="255" spans="1:43" hidden="1" x14ac:dyDescent="0.25">
      <c r="A255" s="8">
        <v>252</v>
      </c>
      <c r="B255" s="8" t="s">
        <v>28</v>
      </c>
      <c r="C255" s="8" t="s">
        <v>980</v>
      </c>
      <c r="D255" s="8" t="s">
        <v>981</v>
      </c>
      <c r="E255" s="8"/>
      <c r="F255" s="8" t="s">
        <v>1001</v>
      </c>
      <c r="G255" s="8"/>
      <c r="H255" s="8" t="s">
        <v>31</v>
      </c>
      <c r="I255" s="8" t="s">
        <v>985</v>
      </c>
      <c r="J255" s="8"/>
      <c r="K255" s="8">
        <v>0.126</v>
      </c>
      <c r="L255" s="8">
        <v>0.126</v>
      </c>
      <c r="M255" s="8">
        <v>1</v>
      </c>
      <c r="N255" s="8" t="s">
        <v>33</v>
      </c>
      <c r="O255" s="8">
        <f t="shared" si="21"/>
        <v>2.1545999999999998</v>
      </c>
      <c r="P255" s="8">
        <f t="shared" si="22"/>
        <v>2.5137</v>
      </c>
      <c r="Q255" s="8">
        <f t="shared" si="23"/>
        <v>1.4364000000000001</v>
      </c>
      <c r="R255" s="8">
        <f t="shared" si="24"/>
        <v>1.0772999999999999</v>
      </c>
      <c r="S255" s="37">
        <v>7.1820000000000004</v>
      </c>
      <c r="T255" s="8">
        <v>105991.94</v>
      </c>
      <c r="U255" s="8">
        <v>13354.98444</v>
      </c>
      <c r="V255" s="8"/>
      <c r="W255" s="8"/>
      <c r="X255" s="8" t="s">
        <v>983</v>
      </c>
      <c r="Y255" s="8">
        <v>73034</v>
      </c>
      <c r="Z255" s="8">
        <v>6.18</v>
      </c>
      <c r="AA255" s="8" t="s">
        <v>1001</v>
      </c>
      <c r="AB255" s="8">
        <v>2</v>
      </c>
      <c r="AC255" s="109">
        <v>5841</v>
      </c>
      <c r="AD255" s="8"/>
      <c r="AE255" s="319" t="s">
        <v>985</v>
      </c>
      <c r="AF255" s="141"/>
      <c r="AG255" s="163"/>
      <c r="AH255" s="163"/>
      <c r="AI255" s="164"/>
      <c r="AJ255" s="126"/>
      <c r="AK255" s="72"/>
      <c r="AL255" s="72"/>
      <c r="AM255" s="127"/>
      <c r="AN255" s="126"/>
      <c r="AO255" s="72"/>
      <c r="AP255" s="72"/>
      <c r="AQ255" s="127"/>
    </row>
    <row r="256" spans="1:43" hidden="1" x14ac:dyDescent="0.25">
      <c r="A256" s="8">
        <v>253</v>
      </c>
      <c r="B256" s="8" t="s">
        <v>28</v>
      </c>
      <c r="C256" s="8" t="s">
        <v>980</v>
      </c>
      <c r="D256" s="8" t="s">
        <v>981</v>
      </c>
      <c r="E256" s="8"/>
      <c r="F256" s="8" t="s">
        <v>1001</v>
      </c>
      <c r="G256" s="8"/>
      <c r="H256" s="8" t="s">
        <v>31</v>
      </c>
      <c r="I256" s="8" t="s">
        <v>985</v>
      </c>
      <c r="J256" s="8"/>
      <c r="K256" s="8">
        <v>0.126</v>
      </c>
      <c r="L256" s="8">
        <v>0.126</v>
      </c>
      <c r="M256" s="8">
        <v>1</v>
      </c>
      <c r="N256" s="8" t="s">
        <v>33</v>
      </c>
      <c r="O256" s="8">
        <f t="shared" si="21"/>
        <v>2.1545999999999998</v>
      </c>
      <c r="P256" s="8">
        <f t="shared" si="22"/>
        <v>2.5137</v>
      </c>
      <c r="Q256" s="8">
        <f t="shared" si="23"/>
        <v>1.4364000000000001</v>
      </c>
      <c r="R256" s="8">
        <f t="shared" si="24"/>
        <v>1.0772999999999999</v>
      </c>
      <c r="S256" s="37">
        <v>7.1820000000000004</v>
      </c>
      <c r="T256" s="8">
        <v>105991.94</v>
      </c>
      <c r="U256" s="8">
        <v>13354.98444</v>
      </c>
      <c r="V256" s="8"/>
      <c r="W256" s="8"/>
      <c r="X256" s="8" t="s">
        <v>983</v>
      </c>
      <c r="Y256" s="8">
        <v>73034</v>
      </c>
      <c r="Z256" s="8">
        <v>6.18</v>
      </c>
      <c r="AA256" s="8" t="s">
        <v>1001</v>
      </c>
      <c r="AB256" s="8">
        <v>3</v>
      </c>
      <c r="AC256" s="109">
        <v>5841</v>
      </c>
      <c r="AD256" s="8"/>
      <c r="AE256" s="319" t="s">
        <v>985</v>
      </c>
      <c r="AF256" s="141"/>
      <c r="AG256" s="163"/>
      <c r="AH256" s="163"/>
      <c r="AI256" s="164"/>
      <c r="AJ256" s="126"/>
      <c r="AK256" s="72"/>
      <c r="AL256" s="72"/>
      <c r="AM256" s="127"/>
      <c r="AN256" s="126"/>
      <c r="AO256" s="72"/>
      <c r="AP256" s="72"/>
      <c r="AQ256" s="127"/>
    </row>
    <row r="257" spans="1:43" hidden="1" x14ac:dyDescent="0.25">
      <c r="A257" s="8">
        <v>254</v>
      </c>
      <c r="B257" s="8" t="s">
        <v>28</v>
      </c>
      <c r="C257" s="8" t="s">
        <v>980</v>
      </c>
      <c r="D257" s="8" t="s">
        <v>981</v>
      </c>
      <c r="E257" s="8"/>
      <c r="F257" s="8" t="s">
        <v>1001</v>
      </c>
      <c r="G257" s="8"/>
      <c r="H257" s="8" t="s">
        <v>31</v>
      </c>
      <c r="I257" s="8" t="s">
        <v>985</v>
      </c>
      <c r="J257" s="8"/>
      <c r="K257" s="8">
        <v>0.126</v>
      </c>
      <c r="L257" s="8">
        <v>0.126</v>
      </c>
      <c r="M257" s="8">
        <v>1</v>
      </c>
      <c r="N257" s="8" t="s">
        <v>33</v>
      </c>
      <c r="O257" s="8">
        <f t="shared" si="21"/>
        <v>2.1545999999999998</v>
      </c>
      <c r="P257" s="8">
        <f t="shared" si="22"/>
        <v>2.5137</v>
      </c>
      <c r="Q257" s="8">
        <f t="shared" si="23"/>
        <v>1.4364000000000001</v>
      </c>
      <c r="R257" s="8">
        <f t="shared" si="24"/>
        <v>1.0772999999999999</v>
      </c>
      <c r="S257" s="37">
        <v>7.1820000000000004</v>
      </c>
      <c r="T257" s="8">
        <v>105991.94</v>
      </c>
      <c r="U257" s="8">
        <v>13354.98444</v>
      </c>
      <c r="V257" s="8"/>
      <c r="W257" s="8"/>
      <c r="X257" s="8" t="s">
        <v>983</v>
      </c>
      <c r="Y257" s="8">
        <v>73034</v>
      </c>
      <c r="Z257" s="8">
        <v>6.18</v>
      </c>
      <c r="AA257" s="8" t="s">
        <v>1001</v>
      </c>
      <c r="AB257" s="8">
        <v>4</v>
      </c>
      <c r="AC257" s="109">
        <v>5841</v>
      </c>
      <c r="AD257" s="8"/>
      <c r="AE257" s="319" t="s">
        <v>985</v>
      </c>
      <c r="AF257" s="141"/>
      <c r="AG257" s="163"/>
      <c r="AH257" s="163"/>
      <c r="AI257" s="164"/>
      <c r="AJ257" s="126"/>
      <c r="AK257" s="72"/>
      <c r="AL257" s="72"/>
      <c r="AM257" s="127"/>
      <c r="AN257" s="126"/>
      <c r="AO257" s="72"/>
      <c r="AP257" s="72"/>
      <c r="AQ257" s="127"/>
    </row>
    <row r="258" spans="1:43" hidden="1" x14ac:dyDescent="0.25">
      <c r="A258" s="8">
        <v>255</v>
      </c>
      <c r="B258" s="8" t="s">
        <v>28</v>
      </c>
      <c r="C258" s="8" t="s">
        <v>980</v>
      </c>
      <c r="D258" s="8" t="s">
        <v>981</v>
      </c>
      <c r="E258" s="8"/>
      <c r="F258" s="8" t="s">
        <v>1001</v>
      </c>
      <c r="G258" s="8"/>
      <c r="H258" s="8" t="s">
        <v>31</v>
      </c>
      <c r="I258" s="8" t="s">
        <v>985</v>
      </c>
      <c r="J258" s="8"/>
      <c r="K258" s="8">
        <v>0.126</v>
      </c>
      <c r="L258" s="8">
        <v>0.126</v>
      </c>
      <c r="M258" s="8">
        <v>1</v>
      </c>
      <c r="N258" s="8" t="s">
        <v>33</v>
      </c>
      <c r="O258" s="8">
        <f t="shared" si="21"/>
        <v>2.1545999999999998</v>
      </c>
      <c r="P258" s="8">
        <f t="shared" si="22"/>
        <v>2.5137</v>
      </c>
      <c r="Q258" s="8">
        <f t="shared" si="23"/>
        <v>1.4364000000000001</v>
      </c>
      <c r="R258" s="8">
        <f t="shared" si="24"/>
        <v>1.0772999999999999</v>
      </c>
      <c r="S258" s="37">
        <v>7.1820000000000004</v>
      </c>
      <c r="T258" s="8">
        <v>105991.94</v>
      </c>
      <c r="U258" s="8">
        <v>13354.98444</v>
      </c>
      <c r="V258" s="8"/>
      <c r="W258" s="8"/>
      <c r="X258" s="8" t="s">
        <v>983</v>
      </c>
      <c r="Y258" s="8">
        <v>73034</v>
      </c>
      <c r="Z258" s="8">
        <v>6.18</v>
      </c>
      <c r="AA258" s="8" t="s">
        <v>1001</v>
      </c>
      <c r="AB258" s="8">
        <v>5</v>
      </c>
      <c r="AC258" s="109">
        <v>5841</v>
      </c>
      <c r="AD258" s="8"/>
      <c r="AE258" s="319" t="s">
        <v>985</v>
      </c>
      <c r="AF258" s="141"/>
      <c r="AG258" s="163"/>
      <c r="AH258" s="163"/>
      <c r="AI258" s="164"/>
      <c r="AJ258" s="126"/>
      <c r="AK258" s="72"/>
      <c r="AL258" s="72"/>
      <c r="AM258" s="127"/>
      <c r="AN258" s="126"/>
      <c r="AO258" s="72"/>
      <c r="AP258" s="72"/>
      <c r="AQ258" s="127"/>
    </row>
    <row r="259" spans="1:43" hidden="1" x14ac:dyDescent="0.25">
      <c r="A259" s="8">
        <v>256</v>
      </c>
      <c r="B259" s="8" t="s">
        <v>28</v>
      </c>
      <c r="C259" s="8" t="s">
        <v>980</v>
      </c>
      <c r="D259" s="8" t="s">
        <v>981</v>
      </c>
      <c r="E259" s="8"/>
      <c r="F259" s="8" t="s">
        <v>1001</v>
      </c>
      <c r="G259" s="8"/>
      <c r="H259" s="8" t="s">
        <v>31</v>
      </c>
      <c r="I259" s="8" t="s">
        <v>985</v>
      </c>
      <c r="J259" s="8"/>
      <c r="K259" s="8">
        <v>0.126</v>
      </c>
      <c r="L259" s="8">
        <v>0.126</v>
      </c>
      <c r="M259" s="8">
        <v>1</v>
      </c>
      <c r="N259" s="8" t="s">
        <v>33</v>
      </c>
      <c r="O259" s="8">
        <f t="shared" si="21"/>
        <v>2.1545999999999998</v>
      </c>
      <c r="P259" s="8">
        <f t="shared" si="22"/>
        <v>2.5137</v>
      </c>
      <c r="Q259" s="8">
        <f t="shared" si="23"/>
        <v>1.4364000000000001</v>
      </c>
      <c r="R259" s="8">
        <f t="shared" si="24"/>
        <v>1.0772999999999999</v>
      </c>
      <c r="S259" s="37">
        <v>7.1820000000000004</v>
      </c>
      <c r="T259" s="8">
        <v>105991.94</v>
      </c>
      <c r="U259" s="8">
        <v>13354.98444</v>
      </c>
      <c r="V259" s="8"/>
      <c r="W259" s="8"/>
      <c r="X259" s="8" t="s">
        <v>983</v>
      </c>
      <c r="Y259" s="8">
        <v>73034</v>
      </c>
      <c r="Z259" s="8">
        <v>6.18</v>
      </c>
      <c r="AA259" s="8" t="s">
        <v>1001</v>
      </c>
      <c r="AB259" s="8">
        <v>6</v>
      </c>
      <c r="AC259" s="109">
        <v>5841</v>
      </c>
      <c r="AD259" s="8"/>
      <c r="AE259" s="319" t="s">
        <v>985</v>
      </c>
      <c r="AF259" s="141"/>
      <c r="AG259" s="163"/>
      <c r="AH259" s="163"/>
      <c r="AI259" s="164"/>
      <c r="AJ259" s="126"/>
      <c r="AK259" s="72"/>
      <c r="AL259" s="72"/>
      <c r="AM259" s="127"/>
      <c r="AN259" s="126"/>
      <c r="AO259" s="72"/>
      <c r="AP259" s="72"/>
      <c r="AQ259" s="127"/>
    </row>
    <row r="260" spans="1:43" hidden="1" x14ac:dyDescent="0.25">
      <c r="A260" s="8">
        <v>257</v>
      </c>
      <c r="B260" s="8" t="s">
        <v>28</v>
      </c>
      <c r="C260" s="8" t="s">
        <v>980</v>
      </c>
      <c r="D260" s="8" t="s">
        <v>981</v>
      </c>
      <c r="E260" s="8"/>
      <c r="F260" s="8" t="s">
        <v>1001</v>
      </c>
      <c r="G260" s="8"/>
      <c r="H260" s="8" t="s">
        <v>31</v>
      </c>
      <c r="I260" s="8" t="s">
        <v>985</v>
      </c>
      <c r="J260" s="8"/>
      <c r="K260" s="8">
        <v>0.126</v>
      </c>
      <c r="L260" s="8">
        <v>0.126</v>
      </c>
      <c r="M260" s="8">
        <v>1</v>
      </c>
      <c r="N260" s="8" t="s">
        <v>33</v>
      </c>
      <c r="O260" s="8">
        <f t="shared" si="21"/>
        <v>2.1545999999999998</v>
      </c>
      <c r="P260" s="8">
        <f t="shared" si="22"/>
        <v>2.5137</v>
      </c>
      <c r="Q260" s="8">
        <f t="shared" si="23"/>
        <v>1.4364000000000001</v>
      </c>
      <c r="R260" s="8">
        <f t="shared" si="24"/>
        <v>1.0772999999999999</v>
      </c>
      <c r="S260" s="37">
        <v>7.1820000000000004</v>
      </c>
      <c r="T260" s="8">
        <v>105991.94</v>
      </c>
      <c r="U260" s="8">
        <v>13354.98444</v>
      </c>
      <c r="V260" s="8"/>
      <c r="W260" s="8"/>
      <c r="X260" s="8" t="s">
        <v>983</v>
      </c>
      <c r="Y260" s="8">
        <v>73034</v>
      </c>
      <c r="Z260" s="8">
        <v>6.18</v>
      </c>
      <c r="AA260" s="8" t="s">
        <v>1001</v>
      </c>
      <c r="AB260" s="8">
        <v>7</v>
      </c>
      <c r="AC260" s="109">
        <v>5848</v>
      </c>
      <c r="AD260" s="8"/>
      <c r="AE260" s="319" t="s">
        <v>985</v>
      </c>
      <c r="AF260" s="141"/>
      <c r="AG260" s="163"/>
      <c r="AH260" s="163"/>
      <c r="AI260" s="164"/>
      <c r="AJ260" s="126"/>
      <c r="AK260" s="72"/>
      <c r="AL260" s="72"/>
      <c r="AM260" s="127"/>
      <c r="AN260" s="126"/>
      <c r="AO260" s="72"/>
      <c r="AP260" s="72"/>
      <c r="AQ260" s="127"/>
    </row>
    <row r="261" spans="1:43" hidden="1" x14ac:dyDescent="0.25">
      <c r="A261" s="8">
        <v>258</v>
      </c>
      <c r="B261" s="8" t="s">
        <v>28</v>
      </c>
      <c r="C261" s="8" t="s">
        <v>980</v>
      </c>
      <c r="D261" s="8" t="s">
        <v>981</v>
      </c>
      <c r="E261" s="8"/>
      <c r="F261" s="8" t="s">
        <v>1001</v>
      </c>
      <c r="G261" s="8"/>
      <c r="H261" s="8" t="s">
        <v>31</v>
      </c>
      <c r="I261" s="8" t="s">
        <v>985</v>
      </c>
      <c r="J261" s="8"/>
      <c r="K261" s="8">
        <v>0.126</v>
      </c>
      <c r="L261" s="8">
        <v>0.126</v>
      </c>
      <c r="M261" s="8">
        <v>1</v>
      </c>
      <c r="N261" s="8" t="s">
        <v>33</v>
      </c>
      <c r="O261" s="8">
        <f t="shared" si="21"/>
        <v>2.1545999999999998</v>
      </c>
      <c r="P261" s="8">
        <f t="shared" si="22"/>
        <v>2.5137</v>
      </c>
      <c r="Q261" s="8">
        <f t="shared" si="23"/>
        <v>1.4364000000000001</v>
      </c>
      <c r="R261" s="8">
        <f t="shared" si="24"/>
        <v>1.0772999999999999</v>
      </c>
      <c r="S261" s="37">
        <v>7.1820000000000004</v>
      </c>
      <c r="T261" s="8">
        <v>105991.94</v>
      </c>
      <c r="U261" s="8">
        <v>13354.98444</v>
      </c>
      <c r="V261" s="8"/>
      <c r="W261" s="8"/>
      <c r="X261" s="8" t="s">
        <v>983</v>
      </c>
      <c r="Y261" s="8">
        <v>73034</v>
      </c>
      <c r="Z261" s="8">
        <v>6.18</v>
      </c>
      <c r="AA261" s="8" t="s">
        <v>1001</v>
      </c>
      <c r="AB261" s="8">
        <v>8</v>
      </c>
      <c r="AC261" s="109">
        <v>5848</v>
      </c>
      <c r="AD261" s="8"/>
      <c r="AE261" s="319" t="s">
        <v>985</v>
      </c>
      <c r="AF261" s="141"/>
      <c r="AG261" s="163"/>
      <c r="AH261" s="163"/>
      <c r="AI261" s="164"/>
      <c r="AJ261" s="126"/>
      <c r="AK261" s="72"/>
      <c r="AL261" s="72"/>
      <c r="AM261" s="127"/>
      <c r="AN261" s="126"/>
      <c r="AO261" s="72"/>
      <c r="AP261" s="72"/>
      <c r="AQ261" s="127"/>
    </row>
    <row r="262" spans="1:43" hidden="1" x14ac:dyDescent="0.25">
      <c r="A262" s="8">
        <v>259</v>
      </c>
      <c r="B262" s="8" t="s">
        <v>28</v>
      </c>
      <c r="C262" s="8" t="s">
        <v>980</v>
      </c>
      <c r="D262" s="8" t="s">
        <v>981</v>
      </c>
      <c r="E262" s="8"/>
      <c r="F262" s="8" t="s">
        <v>1001</v>
      </c>
      <c r="G262" s="8"/>
      <c r="H262" s="8" t="s">
        <v>31</v>
      </c>
      <c r="I262" s="8" t="s">
        <v>985</v>
      </c>
      <c r="J262" s="8"/>
      <c r="K262" s="8">
        <v>0.126</v>
      </c>
      <c r="L262" s="8">
        <v>0.126</v>
      </c>
      <c r="M262" s="8">
        <v>1</v>
      </c>
      <c r="N262" s="8" t="s">
        <v>33</v>
      </c>
      <c r="O262" s="8">
        <f t="shared" ref="O262:O325" si="25">S262*0.3</f>
        <v>2.1545999999999998</v>
      </c>
      <c r="P262" s="8">
        <f t="shared" ref="P262:P325" si="26">S262*0.35</f>
        <v>2.5137</v>
      </c>
      <c r="Q262" s="8">
        <f t="shared" ref="Q262:Q325" si="27">S262*0.2</f>
        <v>1.4364000000000001</v>
      </c>
      <c r="R262" s="8">
        <f t="shared" ref="R262:R325" si="28">S262*0.15</f>
        <v>1.0772999999999999</v>
      </c>
      <c r="S262" s="37">
        <v>7.1820000000000004</v>
      </c>
      <c r="T262" s="8">
        <v>105991.94</v>
      </c>
      <c r="U262" s="8">
        <v>13354.98444</v>
      </c>
      <c r="V262" s="8"/>
      <c r="W262" s="8"/>
      <c r="X262" s="8" t="s">
        <v>983</v>
      </c>
      <c r="Y262" s="8">
        <v>73034</v>
      </c>
      <c r="Z262" s="8">
        <v>6.18</v>
      </c>
      <c r="AA262" s="8" t="s">
        <v>1001</v>
      </c>
      <c r="AB262" s="8">
        <v>9</v>
      </c>
      <c r="AC262" s="109">
        <v>5848</v>
      </c>
      <c r="AD262" s="8"/>
      <c r="AE262" s="319" t="s">
        <v>985</v>
      </c>
      <c r="AF262" s="141"/>
      <c r="AG262" s="163"/>
      <c r="AH262" s="163"/>
      <c r="AI262" s="164"/>
      <c r="AJ262" s="126"/>
      <c r="AK262" s="72"/>
      <c r="AL262" s="72"/>
      <c r="AM262" s="127"/>
      <c r="AN262" s="126"/>
      <c r="AO262" s="72"/>
      <c r="AP262" s="72"/>
      <c r="AQ262" s="127"/>
    </row>
    <row r="263" spans="1:43" hidden="1" x14ac:dyDescent="0.25">
      <c r="A263" s="8">
        <v>260</v>
      </c>
      <c r="B263" s="8" t="s">
        <v>28</v>
      </c>
      <c r="C263" s="8" t="s">
        <v>980</v>
      </c>
      <c r="D263" s="8" t="s">
        <v>981</v>
      </c>
      <c r="E263" s="8"/>
      <c r="F263" s="8" t="s">
        <v>1001</v>
      </c>
      <c r="G263" s="8"/>
      <c r="H263" s="8" t="s">
        <v>31</v>
      </c>
      <c r="I263" s="8" t="s">
        <v>985</v>
      </c>
      <c r="J263" s="8"/>
      <c r="K263" s="8">
        <v>0.126</v>
      </c>
      <c r="L263" s="8">
        <v>0.126</v>
      </c>
      <c r="M263" s="8">
        <v>1</v>
      </c>
      <c r="N263" s="8" t="s">
        <v>33</v>
      </c>
      <c r="O263" s="8">
        <f t="shared" si="25"/>
        <v>2.1545999999999998</v>
      </c>
      <c r="P263" s="8">
        <f t="shared" si="26"/>
        <v>2.5137</v>
      </c>
      <c r="Q263" s="8">
        <f t="shared" si="27"/>
        <v>1.4364000000000001</v>
      </c>
      <c r="R263" s="8">
        <f t="shared" si="28"/>
        <v>1.0772999999999999</v>
      </c>
      <c r="S263" s="37">
        <v>7.1820000000000004</v>
      </c>
      <c r="T263" s="8">
        <v>105991.94</v>
      </c>
      <c r="U263" s="8">
        <v>13354.98444</v>
      </c>
      <c r="V263" s="8"/>
      <c r="W263" s="8"/>
      <c r="X263" s="8" t="s">
        <v>983</v>
      </c>
      <c r="Y263" s="8">
        <v>73034</v>
      </c>
      <c r="Z263" s="8">
        <v>6.18</v>
      </c>
      <c r="AA263" s="8" t="s">
        <v>1001</v>
      </c>
      <c r="AB263" s="8">
        <v>10</v>
      </c>
      <c r="AC263" s="109">
        <v>5848</v>
      </c>
      <c r="AD263" s="8"/>
      <c r="AE263" s="319" t="s">
        <v>985</v>
      </c>
      <c r="AF263" s="141"/>
      <c r="AG263" s="163"/>
      <c r="AH263" s="163"/>
      <c r="AI263" s="164"/>
      <c r="AJ263" s="126"/>
      <c r="AK263" s="72"/>
      <c r="AL263" s="72"/>
      <c r="AM263" s="127"/>
      <c r="AN263" s="126"/>
      <c r="AO263" s="72"/>
      <c r="AP263" s="72"/>
      <c r="AQ263" s="127"/>
    </row>
    <row r="264" spans="1:43" hidden="1" x14ac:dyDescent="0.25">
      <c r="A264" s="8">
        <v>261</v>
      </c>
      <c r="B264" s="8" t="s">
        <v>28</v>
      </c>
      <c r="C264" s="8" t="s">
        <v>980</v>
      </c>
      <c r="D264" s="8" t="s">
        <v>981</v>
      </c>
      <c r="E264" s="8"/>
      <c r="F264" s="8" t="s">
        <v>1001</v>
      </c>
      <c r="G264" s="8"/>
      <c r="H264" s="8" t="s">
        <v>31</v>
      </c>
      <c r="I264" s="8" t="s">
        <v>985</v>
      </c>
      <c r="J264" s="8"/>
      <c r="K264" s="8">
        <v>0.126</v>
      </c>
      <c r="L264" s="8">
        <v>0.126</v>
      </c>
      <c r="M264" s="8">
        <v>1</v>
      </c>
      <c r="N264" s="8" t="s">
        <v>33</v>
      </c>
      <c r="O264" s="8">
        <f t="shared" si="25"/>
        <v>2.1545999999999998</v>
      </c>
      <c r="P264" s="8">
        <f t="shared" si="26"/>
        <v>2.5137</v>
      </c>
      <c r="Q264" s="8">
        <f t="shared" si="27"/>
        <v>1.4364000000000001</v>
      </c>
      <c r="R264" s="8">
        <f t="shared" si="28"/>
        <v>1.0772999999999999</v>
      </c>
      <c r="S264" s="37">
        <v>7.1820000000000004</v>
      </c>
      <c r="T264" s="8">
        <v>105991.94</v>
      </c>
      <c r="U264" s="8">
        <v>13354.98444</v>
      </c>
      <c r="V264" s="8"/>
      <c r="W264" s="8"/>
      <c r="X264" s="8" t="s">
        <v>983</v>
      </c>
      <c r="Y264" s="8">
        <v>73035</v>
      </c>
      <c r="Z264" s="8">
        <v>6.18</v>
      </c>
      <c r="AA264" s="8" t="s">
        <v>1001</v>
      </c>
      <c r="AB264" s="8">
        <v>1</v>
      </c>
      <c r="AC264" s="109">
        <v>5841</v>
      </c>
      <c r="AD264" s="8"/>
      <c r="AE264" s="319" t="s">
        <v>985</v>
      </c>
      <c r="AF264" s="141"/>
      <c r="AG264" s="163"/>
      <c r="AH264" s="163"/>
      <c r="AI264" s="164"/>
      <c r="AJ264" s="126"/>
      <c r="AK264" s="72"/>
      <c r="AL264" s="72"/>
      <c r="AM264" s="127"/>
      <c r="AN264" s="126"/>
      <c r="AO264" s="72"/>
      <c r="AP264" s="72"/>
      <c r="AQ264" s="127"/>
    </row>
    <row r="265" spans="1:43" hidden="1" x14ac:dyDescent="0.25">
      <c r="A265" s="8">
        <v>262</v>
      </c>
      <c r="B265" s="8" t="s">
        <v>28</v>
      </c>
      <c r="C265" s="8" t="s">
        <v>980</v>
      </c>
      <c r="D265" s="8" t="s">
        <v>981</v>
      </c>
      <c r="E265" s="8"/>
      <c r="F265" s="8" t="s">
        <v>1001</v>
      </c>
      <c r="G265" s="8"/>
      <c r="H265" s="8" t="s">
        <v>31</v>
      </c>
      <c r="I265" s="8" t="s">
        <v>985</v>
      </c>
      <c r="J265" s="8"/>
      <c r="K265" s="8">
        <v>0.126</v>
      </c>
      <c r="L265" s="8">
        <v>0.126</v>
      </c>
      <c r="M265" s="8">
        <v>1</v>
      </c>
      <c r="N265" s="8" t="s">
        <v>33</v>
      </c>
      <c r="O265" s="8">
        <f t="shared" si="25"/>
        <v>2.1545999999999998</v>
      </c>
      <c r="P265" s="8">
        <f t="shared" si="26"/>
        <v>2.5137</v>
      </c>
      <c r="Q265" s="8">
        <f t="shared" si="27"/>
        <v>1.4364000000000001</v>
      </c>
      <c r="R265" s="8">
        <f t="shared" si="28"/>
        <v>1.0772999999999999</v>
      </c>
      <c r="S265" s="37">
        <v>7.1820000000000004</v>
      </c>
      <c r="T265" s="8">
        <v>105991.94</v>
      </c>
      <c r="U265" s="8">
        <v>13354.98444</v>
      </c>
      <c r="V265" s="8"/>
      <c r="W265" s="8"/>
      <c r="X265" s="8" t="s">
        <v>983</v>
      </c>
      <c r="Y265" s="8">
        <v>73035</v>
      </c>
      <c r="Z265" s="8">
        <v>6.18</v>
      </c>
      <c r="AA265" s="8" t="s">
        <v>1001</v>
      </c>
      <c r="AB265" s="8">
        <v>2</v>
      </c>
      <c r="AC265" s="109">
        <v>5841</v>
      </c>
      <c r="AD265" s="8"/>
      <c r="AE265" s="319" t="s">
        <v>985</v>
      </c>
      <c r="AF265" s="141"/>
      <c r="AG265" s="163"/>
      <c r="AH265" s="163"/>
      <c r="AI265" s="164"/>
      <c r="AJ265" s="126"/>
      <c r="AK265" s="72"/>
      <c r="AL265" s="72"/>
      <c r="AM265" s="127"/>
      <c r="AN265" s="126"/>
      <c r="AO265" s="72"/>
      <c r="AP265" s="72"/>
      <c r="AQ265" s="127"/>
    </row>
    <row r="266" spans="1:43" hidden="1" x14ac:dyDescent="0.25">
      <c r="A266" s="8">
        <v>263</v>
      </c>
      <c r="B266" s="8" t="s">
        <v>28</v>
      </c>
      <c r="C266" s="8" t="s">
        <v>980</v>
      </c>
      <c r="D266" s="8" t="s">
        <v>981</v>
      </c>
      <c r="E266" s="8"/>
      <c r="F266" s="8" t="s">
        <v>1001</v>
      </c>
      <c r="G266" s="8"/>
      <c r="H266" s="8" t="s">
        <v>31</v>
      </c>
      <c r="I266" s="8" t="s">
        <v>985</v>
      </c>
      <c r="J266" s="8"/>
      <c r="K266" s="8">
        <v>0.126</v>
      </c>
      <c r="L266" s="8">
        <v>0.126</v>
      </c>
      <c r="M266" s="8">
        <v>1</v>
      </c>
      <c r="N266" s="8" t="s">
        <v>33</v>
      </c>
      <c r="O266" s="8">
        <f t="shared" si="25"/>
        <v>2.1545999999999998</v>
      </c>
      <c r="P266" s="8">
        <f t="shared" si="26"/>
        <v>2.5137</v>
      </c>
      <c r="Q266" s="8">
        <f t="shared" si="27"/>
        <v>1.4364000000000001</v>
      </c>
      <c r="R266" s="8">
        <f t="shared" si="28"/>
        <v>1.0772999999999999</v>
      </c>
      <c r="S266" s="37">
        <v>7.1820000000000004</v>
      </c>
      <c r="T266" s="8">
        <v>105991.94</v>
      </c>
      <c r="U266" s="8">
        <v>13354.98444</v>
      </c>
      <c r="V266" s="8"/>
      <c r="W266" s="8"/>
      <c r="X266" s="8" t="s">
        <v>983</v>
      </c>
      <c r="Y266" s="8">
        <v>73035</v>
      </c>
      <c r="Z266" s="8">
        <v>6.18</v>
      </c>
      <c r="AA266" s="8" t="s">
        <v>1001</v>
      </c>
      <c r="AB266" s="8">
        <v>3</v>
      </c>
      <c r="AC266" s="109">
        <v>5848</v>
      </c>
      <c r="AD266" s="8"/>
      <c r="AE266" s="319" t="s">
        <v>985</v>
      </c>
      <c r="AF266" s="141"/>
      <c r="AG266" s="163"/>
      <c r="AH266" s="163"/>
      <c r="AI266" s="164"/>
      <c r="AJ266" s="126"/>
      <c r="AK266" s="72"/>
      <c r="AL266" s="72"/>
      <c r="AM266" s="127"/>
      <c r="AN266" s="126"/>
      <c r="AO266" s="72"/>
      <c r="AP266" s="72"/>
      <c r="AQ266" s="127"/>
    </row>
    <row r="267" spans="1:43" hidden="1" x14ac:dyDescent="0.25">
      <c r="A267" s="8">
        <v>264</v>
      </c>
      <c r="B267" s="8" t="s">
        <v>28</v>
      </c>
      <c r="C267" s="8" t="s">
        <v>980</v>
      </c>
      <c r="D267" s="8" t="s">
        <v>981</v>
      </c>
      <c r="E267" s="8"/>
      <c r="F267" s="8" t="s">
        <v>1001</v>
      </c>
      <c r="G267" s="8"/>
      <c r="H267" s="8" t="s">
        <v>31</v>
      </c>
      <c r="I267" s="8" t="s">
        <v>985</v>
      </c>
      <c r="J267" s="8"/>
      <c r="K267" s="8">
        <v>0.126</v>
      </c>
      <c r="L267" s="8">
        <v>0.126</v>
      </c>
      <c r="M267" s="8">
        <v>1</v>
      </c>
      <c r="N267" s="8" t="s">
        <v>33</v>
      </c>
      <c r="O267" s="8">
        <f t="shared" si="25"/>
        <v>2.1545999999999998</v>
      </c>
      <c r="P267" s="8">
        <f t="shared" si="26"/>
        <v>2.5137</v>
      </c>
      <c r="Q267" s="8">
        <f t="shared" si="27"/>
        <v>1.4364000000000001</v>
      </c>
      <c r="R267" s="8">
        <f t="shared" si="28"/>
        <v>1.0772999999999999</v>
      </c>
      <c r="S267" s="37">
        <v>7.1820000000000004</v>
      </c>
      <c r="T267" s="8">
        <v>105991.94</v>
      </c>
      <c r="U267" s="8">
        <v>13354.98444</v>
      </c>
      <c r="V267" s="8"/>
      <c r="W267" s="8"/>
      <c r="X267" s="8" t="s">
        <v>983</v>
      </c>
      <c r="Y267" s="8">
        <v>73035</v>
      </c>
      <c r="Z267" s="8">
        <v>6.18</v>
      </c>
      <c r="AA267" s="8" t="s">
        <v>1001</v>
      </c>
      <c r="AB267" s="8">
        <v>4</v>
      </c>
      <c r="AC267" s="109">
        <v>5848</v>
      </c>
      <c r="AD267" s="8"/>
      <c r="AE267" s="319" t="s">
        <v>985</v>
      </c>
      <c r="AF267" s="141"/>
      <c r="AG267" s="163"/>
      <c r="AH267" s="163"/>
      <c r="AI267" s="164"/>
      <c r="AJ267" s="126"/>
      <c r="AK267" s="72"/>
      <c r="AL267" s="72"/>
      <c r="AM267" s="127"/>
      <c r="AN267" s="126"/>
      <c r="AO267" s="72"/>
      <c r="AP267" s="72"/>
      <c r="AQ267" s="127"/>
    </row>
    <row r="268" spans="1:43" hidden="1" x14ac:dyDescent="0.25">
      <c r="A268" s="8">
        <v>265</v>
      </c>
      <c r="B268" s="8" t="s">
        <v>28</v>
      </c>
      <c r="C268" s="8" t="s">
        <v>980</v>
      </c>
      <c r="D268" s="8" t="s">
        <v>981</v>
      </c>
      <c r="E268" s="8"/>
      <c r="F268" s="8" t="s">
        <v>1001</v>
      </c>
      <c r="G268" s="8"/>
      <c r="H268" s="8" t="s">
        <v>31</v>
      </c>
      <c r="I268" s="8" t="s">
        <v>985</v>
      </c>
      <c r="J268" s="8"/>
      <c r="K268" s="8">
        <v>0.126</v>
      </c>
      <c r="L268" s="8">
        <v>0.126</v>
      </c>
      <c r="M268" s="8">
        <v>1</v>
      </c>
      <c r="N268" s="8" t="s">
        <v>33</v>
      </c>
      <c r="O268" s="8">
        <f t="shared" si="25"/>
        <v>2.1545999999999998</v>
      </c>
      <c r="P268" s="8">
        <f t="shared" si="26"/>
        <v>2.5137</v>
      </c>
      <c r="Q268" s="8">
        <f t="shared" si="27"/>
        <v>1.4364000000000001</v>
      </c>
      <c r="R268" s="8">
        <f t="shared" si="28"/>
        <v>1.0772999999999999</v>
      </c>
      <c r="S268" s="37">
        <v>7.1820000000000004</v>
      </c>
      <c r="T268" s="8">
        <v>105991.94</v>
      </c>
      <c r="U268" s="8">
        <v>13354.98444</v>
      </c>
      <c r="V268" s="8"/>
      <c r="W268" s="8"/>
      <c r="X268" s="8" t="s">
        <v>983</v>
      </c>
      <c r="Y268" s="8">
        <v>73035</v>
      </c>
      <c r="Z268" s="8">
        <v>6.18</v>
      </c>
      <c r="AA268" s="8" t="s">
        <v>1001</v>
      </c>
      <c r="AB268" s="8">
        <v>5</v>
      </c>
      <c r="AC268" s="109">
        <v>5848</v>
      </c>
      <c r="AD268" s="8"/>
      <c r="AE268" s="319" t="s">
        <v>985</v>
      </c>
      <c r="AF268" s="141"/>
      <c r="AG268" s="163"/>
      <c r="AH268" s="163"/>
      <c r="AI268" s="164"/>
      <c r="AJ268" s="126"/>
      <c r="AK268" s="72"/>
      <c r="AL268" s="72"/>
      <c r="AM268" s="127"/>
      <c r="AN268" s="126"/>
      <c r="AO268" s="72"/>
      <c r="AP268" s="72"/>
      <c r="AQ268" s="127"/>
    </row>
    <row r="269" spans="1:43" hidden="1" x14ac:dyDescent="0.25">
      <c r="A269" s="8">
        <v>266</v>
      </c>
      <c r="B269" s="8" t="s">
        <v>28</v>
      </c>
      <c r="C269" s="8" t="s">
        <v>980</v>
      </c>
      <c r="D269" s="8" t="s">
        <v>981</v>
      </c>
      <c r="E269" s="8"/>
      <c r="F269" s="8" t="s">
        <v>1001</v>
      </c>
      <c r="G269" s="8"/>
      <c r="H269" s="8" t="s">
        <v>31</v>
      </c>
      <c r="I269" s="8" t="s">
        <v>985</v>
      </c>
      <c r="J269" s="8"/>
      <c r="K269" s="8">
        <v>0.126</v>
      </c>
      <c r="L269" s="8">
        <v>0.126</v>
      </c>
      <c r="M269" s="8">
        <v>1</v>
      </c>
      <c r="N269" s="8" t="s">
        <v>33</v>
      </c>
      <c r="O269" s="8">
        <f t="shared" si="25"/>
        <v>2.1545999999999998</v>
      </c>
      <c r="P269" s="8">
        <f t="shared" si="26"/>
        <v>2.5137</v>
      </c>
      <c r="Q269" s="8">
        <f t="shared" si="27"/>
        <v>1.4364000000000001</v>
      </c>
      <c r="R269" s="8">
        <f t="shared" si="28"/>
        <v>1.0772999999999999</v>
      </c>
      <c r="S269" s="37">
        <v>7.1820000000000004</v>
      </c>
      <c r="T269" s="8">
        <v>105991.94</v>
      </c>
      <c r="U269" s="8">
        <v>13354.98444</v>
      </c>
      <c r="V269" s="8"/>
      <c r="W269" s="8"/>
      <c r="X269" s="8" t="s">
        <v>983</v>
      </c>
      <c r="Y269" s="8">
        <v>73035</v>
      </c>
      <c r="Z269" s="8">
        <v>6.18</v>
      </c>
      <c r="AA269" s="8" t="s">
        <v>1001</v>
      </c>
      <c r="AB269" s="8">
        <v>6</v>
      </c>
      <c r="AC269" s="109">
        <v>5848</v>
      </c>
      <c r="AD269" s="8"/>
      <c r="AE269" s="319" t="s">
        <v>985</v>
      </c>
      <c r="AF269" s="141"/>
      <c r="AG269" s="163"/>
      <c r="AH269" s="163"/>
      <c r="AI269" s="164"/>
      <c r="AJ269" s="126"/>
      <c r="AK269" s="72"/>
      <c r="AL269" s="72"/>
      <c r="AM269" s="127"/>
      <c r="AN269" s="126"/>
      <c r="AO269" s="72"/>
      <c r="AP269" s="72"/>
      <c r="AQ269" s="127"/>
    </row>
    <row r="270" spans="1:43" hidden="1" x14ac:dyDescent="0.25">
      <c r="A270" s="8">
        <v>267</v>
      </c>
      <c r="B270" s="8" t="s">
        <v>28</v>
      </c>
      <c r="C270" s="8" t="s">
        <v>980</v>
      </c>
      <c r="D270" s="8" t="s">
        <v>981</v>
      </c>
      <c r="E270" s="8"/>
      <c r="F270" s="8" t="s">
        <v>1001</v>
      </c>
      <c r="G270" s="8"/>
      <c r="H270" s="8" t="s">
        <v>31</v>
      </c>
      <c r="I270" s="8" t="s">
        <v>985</v>
      </c>
      <c r="J270" s="8"/>
      <c r="K270" s="8">
        <v>0.126</v>
      </c>
      <c r="L270" s="8">
        <v>0.126</v>
      </c>
      <c r="M270" s="8">
        <v>1</v>
      </c>
      <c r="N270" s="8" t="s">
        <v>33</v>
      </c>
      <c r="O270" s="8">
        <f t="shared" si="25"/>
        <v>2.1545999999999998</v>
      </c>
      <c r="P270" s="8">
        <f t="shared" si="26"/>
        <v>2.5137</v>
      </c>
      <c r="Q270" s="8">
        <f t="shared" si="27"/>
        <v>1.4364000000000001</v>
      </c>
      <c r="R270" s="8">
        <f t="shared" si="28"/>
        <v>1.0772999999999999</v>
      </c>
      <c r="S270" s="37">
        <v>7.1820000000000004</v>
      </c>
      <c r="T270" s="8">
        <v>105991.94</v>
      </c>
      <c r="U270" s="8">
        <v>13354.98444</v>
      </c>
      <c r="V270" s="8"/>
      <c r="W270" s="8"/>
      <c r="X270" s="8" t="s">
        <v>983</v>
      </c>
      <c r="Y270" s="8">
        <v>73035</v>
      </c>
      <c r="Z270" s="8">
        <v>6.18</v>
      </c>
      <c r="AA270" s="8" t="s">
        <v>1001</v>
      </c>
      <c r="AB270" s="8">
        <v>7</v>
      </c>
      <c r="AC270" s="109">
        <v>5848</v>
      </c>
      <c r="AD270" s="8"/>
      <c r="AE270" s="319" t="s">
        <v>985</v>
      </c>
      <c r="AF270" s="141"/>
      <c r="AG270" s="163"/>
      <c r="AH270" s="163"/>
      <c r="AI270" s="164"/>
      <c r="AJ270" s="126"/>
      <c r="AK270" s="72"/>
      <c r="AL270" s="72"/>
      <c r="AM270" s="127"/>
      <c r="AN270" s="126"/>
      <c r="AO270" s="72"/>
      <c r="AP270" s="72"/>
      <c r="AQ270" s="127"/>
    </row>
    <row r="271" spans="1:43" hidden="1" x14ac:dyDescent="0.25">
      <c r="A271" s="8">
        <v>268</v>
      </c>
      <c r="B271" s="8" t="s">
        <v>28</v>
      </c>
      <c r="C271" s="8" t="s">
        <v>980</v>
      </c>
      <c r="D271" s="8" t="s">
        <v>981</v>
      </c>
      <c r="E271" s="8"/>
      <c r="F271" s="8" t="s">
        <v>1001</v>
      </c>
      <c r="G271" s="8"/>
      <c r="H271" s="8" t="s">
        <v>31</v>
      </c>
      <c r="I271" s="8" t="s">
        <v>985</v>
      </c>
      <c r="J271" s="8"/>
      <c r="K271" s="8">
        <v>0.126</v>
      </c>
      <c r="L271" s="8">
        <v>0.126</v>
      </c>
      <c r="M271" s="8">
        <v>1</v>
      </c>
      <c r="N271" s="8" t="s">
        <v>33</v>
      </c>
      <c r="O271" s="8">
        <f t="shared" si="25"/>
        <v>2.1545999999999998</v>
      </c>
      <c r="P271" s="8">
        <f t="shared" si="26"/>
        <v>2.5137</v>
      </c>
      <c r="Q271" s="8">
        <f t="shared" si="27"/>
        <v>1.4364000000000001</v>
      </c>
      <c r="R271" s="8">
        <f t="shared" si="28"/>
        <v>1.0772999999999999</v>
      </c>
      <c r="S271" s="37">
        <v>7.1820000000000004</v>
      </c>
      <c r="T271" s="8">
        <v>105991.94</v>
      </c>
      <c r="U271" s="8">
        <v>13354.98444</v>
      </c>
      <c r="V271" s="8"/>
      <c r="W271" s="8"/>
      <c r="X271" s="8" t="s">
        <v>983</v>
      </c>
      <c r="Y271" s="8">
        <v>73035</v>
      </c>
      <c r="Z271" s="8">
        <v>6.18</v>
      </c>
      <c r="AA271" s="8" t="s">
        <v>1001</v>
      </c>
      <c r="AB271" s="8">
        <v>8</v>
      </c>
      <c r="AC271" s="109">
        <v>5848</v>
      </c>
      <c r="AD271" s="8"/>
      <c r="AE271" s="319" t="s">
        <v>985</v>
      </c>
      <c r="AF271" s="141"/>
      <c r="AG271" s="163"/>
      <c r="AH271" s="163"/>
      <c r="AI271" s="164"/>
      <c r="AJ271" s="126"/>
      <c r="AK271" s="72"/>
      <c r="AL271" s="72"/>
      <c r="AM271" s="127"/>
      <c r="AN271" s="126"/>
      <c r="AO271" s="72"/>
      <c r="AP271" s="72"/>
      <c r="AQ271" s="127"/>
    </row>
    <row r="272" spans="1:43" hidden="1" x14ac:dyDescent="0.25">
      <c r="A272" s="8">
        <v>269</v>
      </c>
      <c r="B272" s="8" t="s">
        <v>28</v>
      </c>
      <c r="C272" s="8" t="s">
        <v>980</v>
      </c>
      <c r="D272" s="8" t="s">
        <v>981</v>
      </c>
      <c r="E272" s="8"/>
      <c r="F272" s="8" t="s">
        <v>1001</v>
      </c>
      <c r="G272" s="8"/>
      <c r="H272" s="8" t="s">
        <v>31</v>
      </c>
      <c r="I272" s="8" t="s">
        <v>985</v>
      </c>
      <c r="J272" s="8"/>
      <c r="K272" s="8">
        <v>0.126</v>
      </c>
      <c r="L272" s="8">
        <v>0.126</v>
      </c>
      <c r="M272" s="8">
        <v>1</v>
      </c>
      <c r="N272" s="8" t="s">
        <v>33</v>
      </c>
      <c r="O272" s="8">
        <f t="shared" si="25"/>
        <v>2.1545999999999998</v>
      </c>
      <c r="P272" s="8">
        <f t="shared" si="26"/>
        <v>2.5137</v>
      </c>
      <c r="Q272" s="8">
        <f t="shared" si="27"/>
        <v>1.4364000000000001</v>
      </c>
      <c r="R272" s="8">
        <f t="shared" si="28"/>
        <v>1.0772999999999999</v>
      </c>
      <c r="S272" s="37">
        <v>7.1820000000000004</v>
      </c>
      <c r="T272" s="8">
        <v>105991.94</v>
      </c>
      <c r="U272" s="8">
        <v>13354.98444</v>
      </c>
      <c r="V272" s="8"/>
      <c r="W272" s="8"/>
      <c r="X272" s="8" t="s">
        <v>983</v>
      </c>
      <c r="Y272" s="8">
        <v>73035</v>
      </c>
      <c r="Z272" s="8">
        <v>6.18</v>
      </c>
      <c r="AA272" s="8" t="s">
        <v>1001</v>
      </c>
      <c r="AB272" s="8">
        <v>9</v>
      </c>
      <c r="AC272" s="109">
        <v>5848</v>
      </c>
      <c r="AD272" s="8"/>
      <c r="AE272" s="319" t="s">
        <v>985</v>
      </c>
      <c r="AF272" s="141"/>
      <c r="AG272" s="163"/>
      <c r="AH272" s="163"/>
      <c r="AI272" s="164"/>
      <c r="AJ272" s="126"/>
      <c r="AK272" s="72"/>
      <c r="AL272" s="72"/>
      <c r="AM272" s="127"/>
      <c r="AN272" s="126"/>
      <c r="AO272" s="72"/>
      <c r="AP272" s="72"/>
      <c r="AQ272" s="127"/>
    </row>
    <row r="273" spans="1:43" hidden="1" x14ac:dyDescent="0.25">
      <c r="A273" s="8">
        <v>270</v>
      </c>
      <c r="B273" s="8" t="s">
        <v>28</v>
      </c>
      <c r="C273" s="8" t="s">
        <v>980</v>
      </c>
      <c r="D273" s="8" t="s">
        <v>981</v>
      </c>
      <c r="E273" s="8"/>
      <c r="F273" s="8" t="s">
        <v>1001</v>
      </c>
      <c r="G273" s="8"/>
      <c r="H273" s="8" t="s">
        <v>31</v>
      </c>
      <c r="I273" s="8" t="s">
        <v>985</v>
      </c>
      <c r="J273" s="8"/>
      <c r="K273" s="8">
        <v>0.126</v>
      </c>
      <c r="L273" s="8">
        <v>0.126</v>
      </c>
      <c r="M273" s="8">
        <v>1</v>
      </c>
      <c r="N273" s="8" t="s">
        <v>33</v>
      </c>
      <c r="O273" s="8">
        <f t="shared" si="25"/>
        <v>2.1545999999999998</v>
      </c>
      <c r="P273" s="8">
        <f t="shared" si="26"/>
        <v>2.5137</v>
      </c>
      <c r="Q273" s="8">
        <f t="shared" si="27"/>
        <v>1.4364000000000001</v>
      </c>
      <c r="R273" s="8">
        <f t="shared" si="28"/>
        <v>1.0772999999999999</v>
      </c>
      <c r="S273" s="37">
        <v>7.1820000000000004</v>
      </c>
      <c r="T273" s="8">
        <v>105991.94</v>
      </c>
      <c r="U273" s="8">
        <v>13354.98444</v>
      </c>
      <c r="V273" s="8"/>
      <c r="W273" s="8"/>
      <c r="X273" s="8" t="s">
        <v>983</v>
      </c>
      <c r="Y273" s="8">
        <v>73035</v>
      </c>
      <c r="Z273" s="8">
        <v>6.18</v>
      </c>
      <c r="AA273" s="8" t="s">
        <v>1001</v>
      </c>
      <c r="AB273" s="8">
        <v>10</v>
      </c>
      <c r="AC273" s="109">
        <v>5848</v>
      </c>
      <c r="AD273" s="8"/>
      <c r="AE273" s="319" t="s">
        <v>985</v>
      </c>
      <c r="AF273" s="141"/>
      <c r="AG273" s="163"/>
      <c r="AH273" s="163"/>
      <c r="AI273" s="164"/>
      <c r="AJ273" s="126"/>
      <c r="AK273" s="72"/>
      <c r="AL273" s="72"/>
      <c r="AM273" s="127"/>
      <c r="AN273" s="126"/>
      <c r="AO273" s="72"/>
      <c r="AP273" s="72"/>
      <c r="AQ273" s="127"/>
    </row>
    <row r="274" spans="1:43" hidden="1" x14ac:dyDescent="0.25">
      <c r="A274" s="8">
        <v>271</v>
      </c>
      <c r="B274" s="8" t="s">
        <v>28</v>
      </c>
      <c r="C274" s="8" t="s">
        <v>980</v>
      </c>
      <c r="D274" s="8" t="s">
        <v>981</v>
      </c>
      <c r="E274" s="8"/>
      <c r="F274" s="8" t="s">
        <v>1001</v>
      </c>
      <c r="G274" s="8"/>
      <c r="H274" s="8" t="s">
        <v>31</v>
      </c>
      <c r="I274" s="8" t="s">
        <v>985</v>
      </c>
      <c r="J274" s="8"/>
      <c r="K274" s="8">
        <v>0.126</v>
      </c>
      <c r="L274" s="8">
        <v>0.126</v>
      </c>
      <c r="M274" s="8">
        <v>1</v>
      </c>
      <c r="N274" s="8" t="s">
        <v>33</v>
      </c>
      <c r="O274" s="8">
        <f t="shared" si="25"/>
        <v>2.1545999999999998</v>
      </c>
      <c r="P274" s="8">
        <f t="shared" si="26"/>
        <v>2.5137</v>
      </c>
      <c r="Q274" s="8">
        <f t="shared" si="27"/>
        <v>1.4364000000000001</v>
      </c>
      <c r="R274" s="8">
        <f t="shared" si="28"/>
        <v>1.0772999999999999</v>
      </c>
      <c r="S274" s="37">
        <v>7.1820000000000004</v>
      </c>
      <c r="T274" s="8">
        <v>105991.94</v>
      </c>
      <c r="U274" s="8">
        <v>13354.98444</v>
      </c>
      <c r="V274" s="8"/>
      <c r="W274" s="8"/>
      <c r="X274" s="8" t="s">
        <v>983</v>
      </c>
      <c r="Y274" s="8">
        <v>73036</v>
      </c>
      <c r="Z274" s="8">
        <v>6.18</v>
      </c>
      <c r="AA274" s="8" t="s">
        <v>1001</v>
      </c>
      <c r="AB274" s="8">
        <v>1</v>
      </c>
      <c r="AC274" s="109">
        <v>5841</v>
      </c>
      <c r="AD274" s="8"/>
      <c r="AE274" s="319" t="s">
        <v>985</v>
      </c>
      <c r="AF274" s="141"/>
      <c r="AG274" s="163"/>
      <c r="AH274" s="163"/>
      <c r="AI274" s="164"/>
      <c r="AJ274" s="126"/>
      <c r="AK274" s="72"/>
      <c r="AL274" s="72"/>
      <c r="AM274" s="127"/>
      <c r="AN274" s="126"/>
      <c r="AO274" s="72"/>
      <c r="AP274" s="72"/>
      <c r="AQ274" s="127"/>
    </row>
    <row r="275" spans="1:43" hidden="1" x14ac:dyDescent="0.25">
      <c r="A275" s="8">
        <v>272</v>
      </c>
      <c r="B275" s="8" t="s">
        <v>28</v>
      </c>
      <c r="C275" s="8" t="s">
        <v>980</v>
      </c>
      <c r="D275" s="8" t="s">
        <v>981</v>
      </c>
      <c r="E275" s="8"/>
      <c r="F275" s="8" t="s">
        <v>1001</v>
      </c>
      <c r="G275" s="8"/>
      <c r="H275" s="8" t="s">
        <v>31</v>
      </c>
      <c r="I275" s="8" t="s">
        <v>985</v>
      </c>
      <c r="J275" s="8"/>
      <c r="K275" s="8">
        <v>0.126</v>
      </c>
      <c r="L275" s="8">
        <v>0.126</v>
      </c>
      <c r="M275" s="8">
        <v>1</v>
      </c>
      <c r="N275" s="8" t="s">
        <v>33</v>
      </c>
      <c r="O275" s="8">
        <f t="shared" si="25"/>
        <v>2.1545999999999998</v>
      </c>
      <c r="P275" s="8">
        <f t="shared" si="26"/>
        <v>2.5137</v>
      </c>
      <c r="Q275" s="8">
        <f t="shared" si="27"/>
        <v>1.4364000000000001</v>
      </c>
      <c r="R275" s="8">
        <f t="shared" si="28"/>
        <v>1.0772999999999999</v>
      </c>
      <c r="S275" s="37">
        <v>7.1820000000000004</v>
      </c>
      <c r="T275" s="8">
        <v>105991.94</v>
      </c>
      <c r="U275" s="8">
        <v>13354.98444</v>
      </c>
      <c r="V275" s="8"/>
      <c r="W275" s="8"/>
      <c r="X275" s="8" t="s">
        <v>983</v>
      </c>
      <c r="Y275" s="8">
        <v>73036</v>
      </c>
      <c r="Z275" s="8">
        <v>6.18</v>
      </c>
      <c r="AA275" s="8" t="s">
        <v>1001</v>
      </c>
      <c r="AB275" s="8">
        <v>2</v>
      </c>
      <c r="AC275" s="109">
        <v>5841</v>
      </c>
      <c r="AD275" s="8"/>
      <c r="AE275" s="319" t="s">
        <v>985</v>
      </c>
      <c r="AF275" s="141"/>
      <c r="AG275" s="163"/>
      <c r="AH275" s="163"/>
      <c r="AI275" s="164"/>
      <c r="AJ275" s="126"/>
      <c r="AK275" s="72"/>
      <c r="AL275" s="72"/>
      <c r="AM275" s="127"/>
      <c r="AN275" s="126"/>
      <c r="AO275" s="72"/>
      <c r="AP275" s="72"/>
      <c r="AQ275" s="127"/>
    </row>
    <row r="276" spans="1:43" hidden="1" x14ac:dyDescent="0.25">
      <c r="A276" s="8">
        <v>273</v>
      </c>
      <c r="B276" s="8" t="s">
        <v>28</v>
      </c>
      <c r="C276" s="8" t="s">
        <v>980</v>
      </c>
      <c r="D276" s="8" t="s">
        <v>981</v>
      </c>
      <c r="E276" s="8"/>
      <c r="F276" s="8" t="s">
        <v>1001</v>
      </c>
      <c r="G276" s="8"/>
      <c r="H276" s="8" t="s">
        <v>31</v>
      </c>
      <c r="I276" s="8" t="s">
        <v>985</v>
      </c>
      <c r="J276" s="8"/>
      <c r="K276" s="8">
        <v>0.126</v>
      </c>
      <c r="L276" s="8">
        <v>0.126</v>
      </c>
      <c r="M276" s="8">
        <v>1</v>
      </c>
      <c r="N276" s="8" t="s">
        <v>33</v>
      </c>
      <c r="O276" s="8">
        <f t="shared" si="25"/>
        <v>2.1545999999999998</v>
      </c>
      <c r="P276" s="8">
        <f t="shared" si="26"/>
        <v>2.5137</v>
      </c>
      <c r="Q276" s="8">
        <f t="shared" si="27"/>
        <v>1.4364000000000001</v>
      </c>
      <c r="R276" s="8">
        <f t="shared" si="28"/>
        <v>1.0772999999999999</v>
      </c>
      <c r="S276" s="37">
        <v>7.1820000000000004</v>
      </c>
      <c r="T276" s="8">
        <v>105991.94</v>
      </c>
      <c r="U276" s="8">
        <v>13354.98444</v>
      </c>
      <c r="V276" s="8"/>
      <c r="W276" s="8"/>
      <c r="X276" s="8" t="s">
        <v>983</v>
      </c>
      <c r="Y276" s="8">
        <v>73036</v>
      </c>
      <c r="Z276" s="8">
        <v>6.18</v>
      </c>
      <c r="AA276" s="8" t="s">
        <v>1001</v>
      </c>
      <c r="AB276" s="8">
        <v>3</v>
      </c>
      <c r="AC276" s="109">
        <v>5841</v>
      </c>
      <c r="AD276" s="8"/>
      <c r="AE276" s="319" t="s">
        <v>985</v>
      </c>
      <c r="AF276" s="141"/>
      <c r="AG276" s="163"/>
      <c r="AH276" s="163"/>
      <c r="AI276" s="164"/>
      <c r="AJ276" s="126"/>
      <c r="AK276" s="72"/>
      <c r="AL276" s="72"/>
      <c r="AM276" s="127"/>
      <c r="AN276" s="126"/>
      <c r="AO276" s="72"/>
      <c r="AP276" s="72"/>
      <c r="AQ276" s="127"/>
    </row>
    <row r="277" spans="1:43" hidden="1" x14ac:dyDescent="0.25">
      <c r="A277" s="8">
        <v>274</v>
      </c>
      <c r="B277" s="8" t="s">
        <v>28</v>
      </c>
      <c r="C277" s="8" t="s">
        <v>980</v>
      </c>
      <c r="D277" s="8" t="s">
        <v>981</v>
      </c>
      <c r="E277" s="8"/>
      <c r="F277" s="8" t="s">
        <v>1001</v>
      </c>
      <c r="G277" s="8"/>
      <c r="H277" s="8" t="s">
        <v>31</v>
      </c>
      <c r="I277" s="8" t="s">
        <v>985</v>
      </c>
      <c r="J277" s="8"/>
      <c r="K277" s="8">
        <v>0.126</v>
      </c>
      <c r="L277" s="8">
        <v>0.126</v>
      </c>
      <c r="M277" s="8">
        <v>1</v>
      </c>
      <c r="N277" s="8" t="s">
        <v>33</v>
      </c>
      <c r="O277" s="8">
        <f t="shared" si="25"/>
        <v>2.1545999999999998</v>
      </c>
      <c r="P277" s="8">
        <f t="shared" si="26"/>
        <v>2.5137</v>
      </c>
      <c r="Q277" s="8">
        <f t="shared" si="27"/>
        <v>1.4364000000000001</v>
      </c>
      <c r="R277" s="8">
        <f t="shared" si="28"/>
        <v>1.0772999999999999</v>
      </c>
      <c r="S277" s="37">
        <v>7.1820000000000004</v>
      </c>
      <c r="T277" s="8">
        <v>105991.94</v>
      </c>
      <c r="U277" s="8">
        <v>13354.98444</v>
      </c>
      <c r="V277" s="8"/>
      <c r="W277" s="8"/>
      <c r="X277" s="8" t="s">
        <v>983</v>
      </c>
      <c r="Y277" s="8">
        <v>73036</v>
      </c>
      <c r="Z277" s="8">
        <v>6.18</v>
      </c>
      <c r="AA277" s="8" t="s">
        <v>1001</v>
      </c>
      <c r="AB277" s="8">
        <v>4</v>
      </c>
      <c r="AC277" s="109">
        <v>5841</v>
      </c>
      <c r="AD277" s="8"/>
      <c r="AE277" s="319" t="s">
        <v>985</v>
      </c>
      <c r="AF277" s="141"/>
      <c r="AG277" s="163"/>
      <c r="AH277" s="163"/>
      <c r="AI277" s="164"/>
      <c r="AJ277" s="126"/>
      <c r="AK277" s="72"/>
      <c r="AL277" s="72"/>
      <c r="AM277" s="127"/>
      <c r="AN277" s="126"/>
      <c r="AO277" s="72"/>
      <c r="AP277" s="72"/>
      <c r="AQ277" s="127"/>
    </row>
    <row r="278" spans="1:43" hidden="1" x14ac:dyDescent="0.25">
      <c r="A278" s="8">
        <v>275</v>
      </c>
      <c r="B278" s="8" t="s">
        <v>28</v>
      </c>
      <c r="C278" s="8" t="s">
        <v>980</v>
      </c>
      <c r="D278" s="8" t="s">
        <v>981</v>
      </c>
      <c r="E278" s="8"/>
      <c r="F278" s="8" t="s">
        <v>1001</v>
      </c>
      <c r="G278" s="8"/>
      <c r="H278" s="8" t="s">
        <v>31</v>
      </c>
      <c r="I278" s="8" t="s">
        <v>985</v>
      </c>
      <c r="J278" s="8"/>
      <c r="K278" s="8">
        <v>0.126</v>
      </c>
      <c r="L278" s="8">
        <v>0.126</v>
      </c>
      <c r="M278" s="8">
        <v>1</v>
      </c>
      <c r="N278" s="8" t="s">
        <v>33</v>
      </c>
      <c r="O278" s="8">
        <f t="shared" si="25"/>
        <v>2.1545999999999998</v>
      </c>
      <c r="P278" s="8">
        <f t="shared" si="26"/>
        <v>2.5137</v>
      </c>
      <c r="Q278" s="8">
        <f t="shared" si="27"/>
        <v>1.4364000000000001</v>
      </c>
      <c r="R278" s="8">
        <f t="shared" si="28"/>
        <v>1.0772999999999999</v>
      </c>
      <c r="S278" s="37">
        <v>7.1820000000000004</v>
      </c>
      <c r="T278" s="8">
        <v>105991.94</v>
      </c>
      <c r="U278" s="8">
        <v>13354.98444</v>
      </c>
      <c r="V278" s="8"/>
      <c r="W278" s="8"/>
      <c r="X278" s="8" t="s">
        <v>983</v>
      </c>
      <c r="Y278" s="8">
        <v>73036</v>
      </c>
      <c r="Z278" s="8">
        <v>6.18</v>
      </c>
      <c r="AA278" s="8" t="s">
        <v>1001</v>
      </c>
      <c r="AB278" s="8">
        <v>5</v>
      </c>
      <c r="AC278" s="109">
        <v>5841</v>
      </c>
      <c r="AD278" s="8"/>
      <c r="AE278" s="319" t="s">
        <v>985</v>
      </c>
      <c r="AF278" s="141"/>
      <c r="AG278" s="163"/>
      <c r="AH278" s="163"/>
      <c r="AI278" s="164"/>
      <c r="AJ278" s="126"/>
      <c r="AK278" s="72"/>
      <c r="AL278" s="72"/>
      <c r="AM278" s="127"/>
      <c r="AN278" s="126"/>
      <c r="AO278" s="72"/>
      <c r="AP278" s="72"/>
      <c r="AQ278" s="127"/>
    </row>
    <row r="279" spans="1:43" hidden="1" x14ac:dyDescent="0.25">
      <c r="A279" s="8">
        <v>276</v>
      </c>
      <c r="B279" s="8" t="s">
        <v>28</v>
      </c>
      <c r="C279" s="8" t="s">
        <v>980</v>
      </c>
      <c r="D279" s="8" t="s">
        <v>981</v>
      </c>
      <c r="E279" s="8"/>
      <c r="F279" s="8" t="s">
        <v>1001</v>
      </c>
      <c r="G279" s="8"/>
      <c r="H279" s="8" t="s">
        <v>31</v>
      </c>
      <c r="I279" s="8" t="s">
        <v>985</v>
      </c>
      <c r="J279" s="8"/>
      <c r="K279" s="8">
        <v>0.126</v>
      </c>
      <c r="L279" s="8">
        <v>0.126</v>
      </c>
      <c r="M279" s="8">
        <v>1</v>
      </c>
      <c r="N279" s="8" t="s">
        <v>33</v>
      </c>
      <c r="O279" s="8">
        <f t="shared" si="25"/>
        <v>2.1545999999999998</v>
      </c>
      <c r="P279" s="8">
        <f t="shared" si="26"/>
        <v>2.5137</v>
      </c>
      <c r="Q279" s="8">
        <f t="shared" si="27"/>
        <v>1.4364000000000001</v>
      </c>
      <c r="R279" s="8">
        <f t="shared" si="28"/>
        <v>1.0772999999999999</v>
      </c>
      <c r="S279" s="37">
        <v>7.1820000000000004</v>
      </c>
      <c r="T279" s="8">
        <v>105991.94</v>
      </c>
      <c r="U279" s="8">
        <v>13354.98444</v>
      </c>
      <c r="V279" s="8"/>
      <c r="W279" s="8"/>
      <c r="X279" s="8" t="s">
        <v>983</v>
      </c>
      <c r="Y279" s="8">
        <v>73036</v>
      </c>
      <c r="Z279" s="8">
        <v>6.18</v>
      </c>
      <c r="AA279" s="8" t="s">
        <v>1001</v>
      </c>
      <c r="AB279" s="8">
        <v>6</v>
      </c>
      <c r="AC279" s="109">
        <v>5841</v>
      </c>
      <c r="AD279" s="8"/>
      <c r="AE279" s="319" t="s">
        <v>985</v>
      </c>
      <c r="AF279" s="141"/>
      <c r="AG279" s="163"/>
      <c r="AH279" s="163"/>
      <c r="AI279" s="164"/>
      <c r="AJ279" s="126"/>
      <c r="AK279" s="72"/>
      <c r="AL279" s="72"/>
      <c r="AM279" s="127"/>
      <c r="AN279" s="126"/>
      <c r="AO279" s="72"/>
      <c r="AP279" s="72"/>
      <c r="AQ279" s="127"/>
    </row>
    <row r="280" spans="1:43" hidden="1" x14ac:dyDescent="0.25">
      <c r="A280" s="8">
        <v>277</v>
      </c>
      <c r="B280" s="8" t="s">
        <v>28</v>
      </c>
      <c r="C280" s="8" t="s">
        <v>980</v>
      </c>
      <c r="D280" s="8" t="s">
        <v>981</v>
      </c>
      <c r="E280" s="8"/>
      <c r="F280" s="8" t="s">
        <v>1001</v>
      </c>
      <c r="G280" s="8"/>
      <c r="H280" s="8" t="s">
        <v>31</v>
      </c>
      <c r="I280" s="8" t="s">
        <v>985</v>
      </c>
      <c r="J280" s="8"/>
      <c r="K280" s="8">
        <v>0.126</v>
      </c>
      <c r="L280" s="8">
        <v>0.126</v>
      </c>
      <c r="M280" s="8">
        <v>1</v>
      </c>
      <c r="N280" s="8" t="s">
        <v>33</v>
      </c>
      <c r="O280" s="8">
        <f t="shared" si="25"/>
        <v>2.1545999999999998</v>
      </c>
      <c r="P280" s="8">
        <f t="shared" si="26"/>
        <v>2.5137</v>
      </c>
      <c r="Q280" s="8">
        <f t="shared" si="27"/>
        <v>1.4364000000000001</v>
      </c>
      <c r="R280" s="8">
        <f t="shared" si="28"/>
        <v>1.0772999999999999</v>
      </c>
      <c r="S280" s="37">
        <v>7.1820000000000004</v>
      </c>
      <c r="T280" s="8">
        <v>105991.94</v>
      </c>
      <c r="U280" s="8">
        <v>13354.98444</v>
      </c>
      <c r="V280" s="8"/>
      <c r="W280" s="8"/>
      <c r="X280" s="8" t="s">
        <v>983</v>
      </c>
      <c r="Y280" s="8">
        <v>73036</v>
      </c>
      <c r="Z280" s="8">
        <v>6.18</v>
      </c>
      <c r="AA280" s="8" t="s">
        <v>1001</v>
      </c>
      <c r="AB280" s="8">
        <v>7</v>
      </c>
      <c r="AC280" s="109">
        <v>5848</v>
      </c>
      <c r="AD280" s="8"/>
      <c r="AE280" s="319" t="s">
        <v>985</v>
      </c>
      <c r="AF280" s="141"/>
      <c r="AG280" s="163"/>
      <c r="AH280" s="163"/>
      <c r="AI280" s="164"/>
      <c r="AJ280" s="126"/>
      <c r="AK280" s="72"/>
      <c r="AL280" s="72"/>
      <c r="AM280" s="127"/>
      <c r="AN280" s="126"/>
      <c r="AO280" s="72"/>
      <c r="AP280" s="72"/>
      <c r="AQ280" s="127"/>
    </row>
    <row r="281" spans="1:43" hidden="1" x14ac:dyDescent="0.25">
      <c r="A281" s="8">
        <v>278</v>
      </c>
      <c r="B281" s="8" t="s">
        <v>28</v>
      </c>
      <c r="C281" s="8" t="s">
        <v>980</v>
      </c>
      <c r="D281" s="8" t="s">
        <v>981</v>
      </c>
      <c r="E281" s="8"/>
      <c r="F281" s="8" t="s">
        <v>1001</v>
      </c>
      <c r="G281" s="8"/>
      <c r="H281" s="8" t="s">
        <v>31</v>
      </c>
      <c r="I281" s="8" t="s">
        <v>985</v>
      </c>
      <c r="J281" s="8"/>
      <c r="K281" s="8">
        <v>0.126</v>
      </c>
      <c r="L281" s="8">
        <v>0.126</v>
      </c>
      <c r="M281" s="8">
        <v>1</v>
      </c>
      <c r="N281" s="8" t="s">
        <v>33</v>
      </c>
      <c r="O281" s="8">
        <f t="shared" si="25"/>
        <v>2.1545999999999998</v>
      </c>
      <c r="P281" s="8">
        <f t="shared" si="26"/>
        <v>2.5137</v>
      </c>
      <c r="Q281" s="8">
        <f t="shared" si="27"/>
        <v>1.4364000000000001</v>
      </c>
      <c r="R281" s="8">
        <f t="shared" si="28"/>
        <v>1.0772999999999999</v>
      </c>
      <c r="S281" s="37">
        <v>7.1820000000000004</v>
      </c>
      <c r="T281" s="8">
        <v>105991.94</v>
      </c>
      <c r="U281" s="8">
        <v>13354.98444</v>
      </c>
      <c r="V281" s="8"/>
      <c r="W281" s="8"/>
      <c r="X281" s="8" t="s">
        <v>983</v>
      </c>
      <c r="Y281" s="8">
        <v>73036</v>
      </c>
      <c r="Z281" s="8">
        <v>6.18</v>
      </c>
      <c r="AA281" s="8" t="s">
        <v>1001</v>
      </c>
      <c r="AB281" s="8">
        <v>8</v>
      </c>
      <c r="AC281" s="109">
        <v>5848</v>
      </c>
      <c r="AD281" s="8"/>
      <c r="AE281" s="319" t="s">
        <v>985</v>
      </c>
      <c r="AF281" s="141"/>
      <c r="AG281" s="163"/>
      <c r="AH281" s="163"/>
      <c r="AI281" s="164"/>
      <c r="AJ281" s="126"/>
      <c r="AK281" s="72"/>
      <c r="AL281" s="72"/>
      <c r="AM281" s="127"/>
      <c r="AN281" s="126"/>
      <c r="AO281" s="72"/>
      <c r="AP281" s="72"/>
      <c r="AQ281" s="127"/>
    </row>
    <row r="282" spans="1:43" hidden="1" x14ac:dyDescent="0.25">
      <c r="A282" s="8">
        <v>279</v>
      </c>
      <c r="B282" s="8" t="s">
        <v>28</v>
      </c>
      <c r="C282" s="8" t="s">
        <v>980</v>
      </c>
      <c r="D282" s="8" t="s">
        <v>981</v>
      </c>
      <c r="E282" s="8"/>
      <c r="F282" s="8" t="s">
        <v>1001</v>
      </c>
      <c r="G282" s="8"/>
      <c r="H282" s="8" t="s">
        <v>31</v>
      </c>
      <c r="I282" s="8" t="s">
        <v>985</v>
      </c>
      <c r="J282" s="8"/>
      <c r="K282" s="8">
        <v>0.126</v>
      </c>
      <c r="L282" s="8">
        <v>0.126</v>
      </c>
      <c r="M282" s="8">
        <v>1</v>
      </c>
      <c r="N282" s="8" t="s">
        <v>33</v>
      </c>
      <c r="O282" s="8">
        <f t="shared" si="25"/>
        <v>2.1545999999999998</v>
      </c>
      <c r="P282" s="8">
        <f t="shared" si="26"/>
        <v>2.5137</v>
      </c>
      <c r="Q282" s="8">
        <f t="shared" si="27"/>
        <v>1.4364000000000001</v>
      </c>
      <c r="R282" s="8">
        <f t="shared" si="28"/>
        <v>1.0772999999999999</v>
      </c>
      <c r="S282" s="37">
        <v>7.1820000000000004</v>
      </c>
      <c r="T282" s="8">
        <v>105991.94</v>
      </c>
      <c r="U282" s="8">
        <v>13354.98444</v>
      </c>
      <c r="V282" s="8"/>
      <c r="W282" s="8"/>
      <c r="X282" s="8" t="s">
        <v>983</v>
      </c>
      <c r="Y282" s="8">
        <v>73036</v>
      </c>
      <c r="Z282" s="8">
        <v>6.18</v>
      </c>
      <c r="AA282" s="8" t="s">
        <v>1001</v>
      </c>
      <c r="AB282" s="8">
        <v>9</v>
      </c>
      <c r="AC282" s="109">
        <v>5848</v>
      </c>
      <c r="AD282" s="8"/>
      <c r="AE282" s="319" t="s">
        <v>985</v>
      </c>
      <c r="AF282" s="141"/>
      <c r="AG282" s="163"/>
      <c r="AH282" s="163"/>
      <c r="AI282" s="164"/>
      <c r="AJ282" s="126"/>
      <c r="AK282" s="72"/>
      <c r="AL282" s="72"/>
      <c r="AM282" s="127"/>
      <c r="AN282" s="126"/>
      <c r="AO282" s="72"/>
      <c r="AP282" s="72"/>
      <c r="AQ282" s="127"/>
    </row>
    <row r="283" spans="1:43" hidden="1" x14ac:dyDescent="0.25">
      <c r="A283" s="8">
        <v>280</v>
      </c>
      <c r="B283" s="8" t="s">
        <v>28</v>
      </c>
      <c r="C283" s="8" t="s">
        <v>980</v>
      </c>
      <c r="D283" s="8" t="s">
        <v>981</v>
      </c>
      <c r="E283" s="8"/>
      <c r="F283" s="8" t="s">
        <v>1001</v>
      </c>
      <c r="G283" s="8"/>
      <c r="H283" s="8" t="s">
        <v>31</v>
      </c>
      <c r="I283" s="8" t="s">
        <v>985</v>
      </c>
      <c r="J283" s="8"/>
      <c r="K283" s="8">
        <v>0.126</v>
      </c>
      <c r="L283" s="8">
        <v>0.126</v>
      </c>
      <c r="M283" s="8">
        <v>1</v>
      </c>
      <c r="N283" s="8" t="s">
        <v>33</v>
      </c>
      <c r="O283" s="8">
        <f t="shared" si="25"/>
        <v>2.1545999999999998</v>
      </c>
      <c r="P283" s="8">
        <f t="shared" si="26"/>
        <v>2.5137</v>
      </c>
      <c r="Q283" s="8">
        <f t="shared" si="27"/>
        <v>1.4364000000000001</v>
      </c>
      <c r="R283" s="8">
        <f t="shared" si="28"/>
        <v>1.0772999999999999</v>
      </c>
      <c r="S283" s="37">
        <v>7.1820000000000004</v>
      </c>
      <c r="T283" s="8">
        <v>105991.94</v>
      </c>
      <c r="U283" s="8">
        <v>13354.98444</v>
      </c>
      <c r="V283" s="8"/>
      <c r="W283" s="8"/>
      <c r="X283" s="8" t="s">
        <v>983</v>
      </c>
      <c r="Y283" s="8">
        <v>73036</v>
      </c>
      <c r="Z283" s="8">
        <v>6.18</v>
      </c>
      <c r="AA283" s="8" t="s">
        <v>1001</v>
      </c>
      <c r="AB283" s="8">
        <v>10</v>
      </c>
      <c r="AC283" s="109">
        <v>5848</v>
      </c>
      <c r="AD283" s="8"/>
      <c r="AE283" s="319" t="s">
        <v>985</v>
      </c>
      <c r="AF283" s="141"/>
      <c r="AG283" s="163"/>
      <c r="AH283" s="163"/>
      <c r="AI283" s="164"/>
      <c r="AJ283" s="126"/>
      <c r="AK283" s="72"/>
      <c r="AL283" s="72"/>
      <c r="AM283" s="127"/>
      <c r="AN283" s="126"/>
      <c r="AO283" s="72"/>
      <c r="AP283" s="72"/>
      <c r="AQ283" s="127"/>
    </row>
    <row r="284" spans="1:43" x14ac:dyDescent="0.25">
      <c r="A284" s="24">
        <v>281</v>
      </c>
      <c r="B284" s="24" t="s">
        <v>28</v>
      </c>
      <c r="C284" s="24" t="s">
        <v>980</v>
      </c>
      <c r="D284" s="24" t="s">
        <v>981</v>
      </c>
      <c r="E284" s="24"/>
      <c r="F284" s="24" t="s">
        <v>1002</v>
      </c>
      <c r="G284" s="24"/>
      <c r="H284" s="24" t="s">
        <v>31</v>
      </c>
      <c r="I284" s="24" t="s">
        <v>994</v>
      </c>
      <c r="J284" s="24"/>
      <c r="K284" s="24">
        <v>0.126</v>
      </c>
      <c r="L284" s="24">
        <v>0.126</v>
      </c>
      <c r="M284" s="24">
        <v>1</v>
      </c>
      <c r="N284" s="24" t="s">
        <v>33</v>
      </c>
      <c r="O284" s="24">
        <f t="shared" si="25"/>
        <v>2.1545999999999998</v>
      </c>
      <c r="P284" s="24">
        <f t="shared" si="26"/>
        <v>2.5137</v>
      </c>
      <c r="Q284" s="24">
        <f t="shared" si="27"/>
        <v>1.4364000000000001</v>
      </c>
      <c r="R284" s="24">
        <f t="shared" si="28"/>
        <v>1.0772999999999999</v>
      </c>
      <c r="S284" s="37">
        <v>7.1820000000000004</v>
      </c>
      <c r="T284" s="8">
        <v>105991.94</v>
      </c>
      <c r="U284" s="8">
        <v>13354.98444</v>
      </c>
      <c r="V284" s="8"/>
      <c r="W284" s="8"/>
      <c r="X284" s="24" t="s">
        <v>1003</v>
      </c>
      <c r="Y284" s="24">
        <v>73037</v>
      </c>
      <c r="Z284" s="8">
        <v>6.18</v>
      </c>
      <c r="AA284" s="8" t="s">
        <v>1002</v>
      </c>
      <c r="AB284" s="8">
        <v>1</v>
      </c>
      <c r="AC284" s="24">
        <v>5834</v>
      </c>
      <c r="AD284" s="8"/>
      <c r="AE284" s="319" t="s">
        <v>994</v>
      </c>
      <c r="AF284" s="141"/>
      <c r="AG284" s="163"/>
      <c r="AH284" s="163"/>
      <c r="AI284" s="164"/>
      <c r="AJ284" s="126"/>
      <c r="AK284" s="72"/>
      <c r="AL284" s="72"/>
      <c r="AM284" s="127"/>
      <c r="AN284" s="126"/>
      <c r="AO284" s="72"/>
      <c r="AP284" s="72"/>
      <c r="AQ284" s="127"/>
    </row>
    <row r="285" spans="1:43" x14ac:dyDescent="0.25">
      <c r="A285" s="24">
        <v>282</v>
      </c>
      <c r="B285" s="24" t="s">
        <v>28</v>
      </c>
      <c r="C285" s="24" t="s">
        <v>980</v>
      </c>
      <c r="D285" s="24" t="s">
        <v>981</v>
      </c>
      <c r="E285" s="24"/>
      <c r="F285" s="24" t="s">
        <v>1001</v>
      </c>
      <c r="G285" s="24"/>
      <c r="H285" s="24" t="s">
        <v>31</v>
      </c>
      <c r="I285" s="24" t="s">
        <v>994</v>
      </c>
      <c r="J285" s="24"/>
      <c r="K285" s="24">
        <v>0.126</v>
      </c>
      <c r="L285" s="24">
        <v>0.126</v>
      </c>
      <c r="M285" s="24">
        <v>1</v>
      </c>
      <c r="N285" s="24" t="s">
        <v>33</v>
      </c>
      <c r="O285" s="24">
        <f t="shared" si="25"/>
        <v>2.1545999999999998</v>
      </c>
      <c r="P285" s="24">
        <f t="shared" si="26"/>
        <v>2.5137</v>
      </c>
      <c r="Q285" s="24">
        <f t="shared" si="27"/>
        <v>1.4364000000000001</v>
      </c>
      <c r="R285" s="24">
        <f t="shared" si="28"/>
        <v>1.0772999999999999</v>
      </c>
      <c r="S285" s="37">
        <v>7.1820000000000004</v>
      </c>
      <c r="T285" s="8">
        <v>105991.94</v>
      </c>
      <c r="U285" s="8">
        <v>13354.98444</v>
      </c>
      <c r="V285" s="8"/>
      <c r="W285" s="8"/>
      <c r="X285" s="24" t="s">
        <v>1003</v>
      </c>
      <c r="Y285" s="24">
        <v>73037</v>
      </c>
      <c r="Z285" s="8">
        <v>6.18</v>
      </c>
      <c r="AA285" s="8" t="s">
        <v>1001</v>
      </c>
      <c r="AB285" s="8">
        <v>2</v>
      </c>
      <c r="AC285" s="24">
        <v>5834</v>
      </c>
      <c r="AD285" s="8"/>
      <c r="AE285" s="319" t="s">
        <v>994</v>
      </c>
      <c r="AF285" s="141"/>
      <c r="AG285" s="163"/>
      <c r="AH285" s="163"/>
      <c r="AI285" s="164"/>
      <c r="AJ285" s="126"/>
      <c r="AK285" s="72"/>
      <c r="AL285" s="72"/>
      <c r="AM285" s="127"/>
      <c r="AN285" s="126"/>
      <c r="AO285" s="72"/>
      <c r="AP285" s="72"/>
      <c r="AQ285" s="127"/>
    </row>
    <row r="286" spans="1:43" x14ac:dyDescent="0.25">
      <c r="A286" s="24">
        <v>283</v>
      </c>
      <c r="B286" s="24" t="s">
        <v>28</v>
      </c>
      <c r="C286" s="24" t="s">
        <v>980</v>
      </c>
      <c r="D286" s="24" t="s">
        <v>981</v>
      </c>
      <c r="E286" s="24"/>
      <c r="F286" s="24" t="s">
        <v>1001</v>
      </c>
      <c r="G286" s="24"/>
      <c r="H286" s="24" t="s">
        <v>31</v>
      </c>
      <c r="I286" s="24" t="s">
        <v>985</v>
      </c>
      <c r="J286" s="24"/>
      <c r="K286" s="24">
        <v>0.126</v>
      </c>
      <c r="L286" s="24">
        <v>0.126</v>
      </c>
      <c r="M286" s="24">
        <v>1</v>
      </c>
      <c r="N286" s="24" t="s">
        <v>33</v>
      </c>
      <c r="O286" s="24">
        <f t="shared" si="25"/>
        <v>2.1545999999999998</v>
      </c>
      <c r="P286" s="24">
        <f t="shared" si="26"/>
        <v>2.5137</v>
      </c>
      <c r="Q286" s="24">
        <f t="shared" si="27"/>
        <v>1.4364000000000001</v>
      </c>
      <c r="R286" s="24">
        <f t="shared" si="28"/>
        <v>1.0772999999999999</v>
      </c>
      <c r="S286" s="37">
        <v>7.1820000000000004</v>
      </c>
      <c r="T286" s="8">
        <v>105991.94</v>
      </c>
      <c r="U286" s="8">
        <v>13354.98444</v>
      </c>
      <c r="V286" s="8"/>
      <c r="W286" s="8"/>
      <c r="X286" s="24" t="s">
        <v>983</v>
      </c>
      <c r="Y286" s="24">
        <v>73037</v>
      </c>
      <c r="Z286" s="8">
        <v>6.18</v>
      </c>
      <c r="AA286" s="8" t="s">
        <v>1001</v>
      </c>
      <c r="AB286" s="8">
        <v>3</v>
      </c>
      <c r="AC286" s="24">
        <v>5841</v>
      </c>
      <c r="AD286" s="8"/>
      <c r="AE286" s="319" t="s">
        <v>985</v>
      </c>
      <c r="AF286" s="141"/>
      <c r="AG286" s="163"/>
      <c r="AH286" s="163"/>
      <c r="AI286" s="164"/>
      <c r="AJ286" s="260"/>
      <c r="AK286" s="265"/>
      <c r="AL286" s="265"/>
      <c r="AM286" s="267"/>
      <c r="AN286" s="126"/>
      <c r="AO286" s="72"/>
      <c r="AP286" s="72"/>
      <c r="AQ286" s="127"/>
    </row>
    <row r="287" spans="1:43" x14ac:dyDescent="0.25">
      <c r="A287" s="24">
        <v>284</v>
      </c>
      <c r="B287" s="24" t="s">
        <v>28</v>
      </c>
      <c r="C287" s="24" t="s">
        <v>980</v>
      </c>
      <c r="D287" s="24" t="s">
        <v>981</v>
      </c>
      <c r="E287" s="24"/>
      <c r="F287" s="24" t="s">
        <v>1001</v>
      </c>
      <c r="G287" s="24"/>
      <c r="H287" s="24" t="s">
        <v>31</v>
      </c>
      <c r="I287" s="24" t="s">
        <v>985</v>
      </c>
      <c r="J287" s="24"/>
      <c r="K287" s="24">
        <v>0.126</v>
      </c>
      <c r="L287" s="24">
        <v>0.126</v>
      </c>
      <c r="M287" s="24">
        <v>1</v>
      </c>
      <c r="N287" s="24" t="s">
        <v>33</v>
      </c>
      <c r="O287" s="24">
        <f t="shared" si="25"/>
        <v>2.1545999999999998</v>
      </c>
      <c r="P287" s="24">
        <f t="shared" si="26"/>
        <v>2.5137</v>
      </c>
      <c r="Q287" s="24">
        <f t="shared" si="27"/>
        <v>1.4364000000000001</v>
      </c>
      <c r="R287" s="24">
        <f t="shared" si="28"/>
        <v>1.0772999999999999</v>
      </c>
      <c r="S287" s="37">
        <v>7.1820000000000004</v>
      </c>
      <c r="T287" s="8">
        <v>105991.94</v>
      </c>
      <c r="U287" s="8">
        <v>13354.98444</v>
      </c>
      <c r="V287" s="8"/>
      <c r="W287" s="8"/>
      <c r="X287" s="24" t="s">
        <v>983</v>
      </c>
      <c r="Y287" s="24">
        <v>73037</v>
      </c>
      <c r="Z287" s="8">
        <v>6.18</v>
      </c>
      <c r="AA287" s="8" t="s">
        <v>1001</v>
      </c>
      <c r="AB287" s="8">
        <v>4</v>
      </c>
      <c r="AC287" s="24">
        <v>5841</v>
      </c>
      <c r="AD287" s="8"/>
      <c r="AE287" s="319" t="s">
        <v>985</v>
      </c>
      <c r="AF287" s="141"/>
      <c r="AG287" s="163"/>
      <c r="AH287" s="163"/>
      <c r="AI287" s="164"/>
      <c r="AJ287" s="260"/>
      <c r="AK287" s="265"/>
      <c r="AL287" s="265"/>
      <c r="AM287" s="267"/>
      <c r="AN287" s="126"/>
      <c r="AO287" s="72"/>
      <c r="AP287" s="72"/>
      <c r="AQ287" s="127"/>
    </row>
    <row r="288" spans="1:43" x14ac:dyDescent="0.25">
      <c r="A288" s="24">
        <v>285</v>
      </c>
      <c r="B288" s="24" t="s">
        <v>28</v>
      </c>
      <c r="C288" s="24" t="s">
        <v>980</v>
      </c>
      <c r="D288" s="24" t="s">
        <v>981</v>
      </c>
      <c r="E288" s="24"/>
      <c r="F288" s="24" t="s">
        <v>1001</v>
      </c>
      <c r="G288" s="24"/>
      <c r="H288" s="24" t="s">
        <v>31</v>
      </c>
      <c r="I288" s="24" t="s">
        <v>985</v>
      </c>
      <c r="J288" s="24"/>
      <c r="K288" s="24">
        <v>0.126</v>
      </c>
      <c r="L288" s="24">
        <v>0.126</v>
      </c>
      <c r="M288" s="24">
        <v>1</v>
      </c>
      <c r="N288" s="24" t="s">
        <v>33</v>
      </c>
      <c r="O288" s="24">
        <f t="shared" si="25"/>
        <v>2.1545999999999998</v>
      </c>
      <c r="P288" s="24">
        <f t="shared" si="26"/>
        <v>2.5137</v>
      </c>
      <c r="Q288" s="24">
        <f t="shared" si="27"/>
        <v>1.4364000000000001</v>
      </c>
      <c r="R288" s="24">
        <f t="shared" si="28"/>
        <v>1.0772999999999999</v>
      </c>
      <c r="S288" s="37">
        <v>7.1820000000000004</v>
      </c>
      <c r="T288" s="8">
        <v>105991.94</v>
      </c>
      <c r="U288" s="8">
        <v>13354.98444</v>
      </c>
      <c r="V288" s="8"/>
      <c r="W288" s="8"/>
      <c r="X288" s="24" t="s">
        <v>983</v>
      </c>
      <c r="Y288" s="24">
        <v>73037</v>
      </c>
      <c r="Z288" s="8">
        <v>6.18</v>
      </c>
      <c r="AA288" s="8" t="s">
        <v>1001</v>
      </c>
      <c r="AB288" s="8">
        <v>5</v>
      </c>
      <c r="AC288" s="24">
        <v>5841</v>
      </c>
      <c r="AD288" s="8"/>
      <c r="AE288" s="319" t="s">
        <v>985</v>
      </c>
      <c r="AF288" s="141"/>
      <c r="AG288" s="163"/>
      <c r="AH288" s="163"/>
      <c r="AI288" s="164"/>
      <c r="AJ288" s="260"/>
      <c r="AK288" s="265"/>
      <c r="AL288" s="265"/>
      <c r="AM288" s="267"/>
      <c r="AN288" s="126"/>
      <c r="AO288" s="72"/>
      <c r="AP288" s="72"/>
      <c r="AQ288" s="127"/>
    </row>
    <row r="289" spans="1:43" x14ac:dyDescent="0.25">
      <c r="A289" s="24">
        <v>286</v>
      </c>
      <c r="B289" s="24" t="s">
        <v>28</v>
      </c>
      <c r="C289" s="24" t="s">
        <v>980</v>
      </c>
      <c r="D289" s="24" t="s">
        <v>981</v>
      </c>
      <c r="E289" s="24"/>
      <c r="F289" s="24" t="s">
        <v>1001</v>
      </c>
      <c r="G289" s="24"/>
      <c r="H289" s="24" t="s">
        <v>31</v>
      </c>
      <c r="I289" s="24" t="s">
        <v>985</v>
      </c>
      <c r="J289" s="24"/>
      <c r="K289" s="24">
        <v>0.126</v>
      </c>
      <c r="L289" s="24">
        <v>0.126</v>
      </c>
      <c r="M289" s="24">
        <v>1</v>
      </c>
      <c r="N289" s="24" t="s">
        <v>33</v>
      </c>
      <c r="O289" s="24">
        <f t="shared" si="25"/>
        <v>2.1545999999999998</v>
      </c>
      <c r="P289" s="24">
        <f t="shared" si="26"/>
        <v>2.5137</v>
      </c>
      <c r="Q289" s="24">
        <f t="shared" si="27"/>
        <v>1.4364000000000001</v>
      </c>
      <c r="R289" s="24">
        <f t="shared" si="28"/>
        <v>1.0772999999999999</v>
      </c>
      <c r="S289" s="37">
        <v>7.1820000000000004</v>
      </c>
      <c r="T289" s="8">
        <v>105991.94</v>
      </c>
      <c r="U289" s="8">
        <v>13354.98444</v>
      </c>
      <c r="V289" s="8"/>
      <c r="W289" s="8"/>
      <c r="X289" s="24" t="s">
        <v>983</v>
      </c>
      <c r="Y289" s="24">
        <v>73037</v>
      </c>
      <c r="Z289" s="8">
        <v>6.18</v>
      </c>
      <c r="AA289" s="8" t="s">
        <v>1001</v>
      </c>
      <c r="AB289" s="8">
        <v>6</v>
      </c>
      <c r="AC289" s="24">
        <v>5841</v>
      </c>
      <c r="AD289" s="8"/>
      <c r="AE289" s="319" t="s">
        <v>985</v>
      </c>
      <c r="AF289" s="141"/>
      <c r="AG289" s="163"/>
      <c r="AH289" s="163"/>
      <c r="AI289" s="164"/>
      <c r="AJ289" s="260"/>
      <c r="AK289" s="265"/>
      <c r="AL289" s="265"/>
      <c r="AM289" s="267"/>
      <c r="AN289" s="126"/>
      <c r="AO289" s="72"/>
      <c r="AP289" s="72"/>
      <c r="AQ289" s="127"/>
    </row>
    <row r="290" spans="1:43" x14ac:dyDescent="0.25">
      <c r="A290" s="24">
        <v>287</v>
      </c>
      <c r="B290" s="24" t="s">
        <v>28</v>
      </c>
      <c r="C290" s="24" t="s">
        <v>980</v>
      </c>
      <c r="D290" s="24" t="s">
        <v>981</v>
      </c>
      <c r="E290" s="24"/>
      <c r="F290" s="24" t="s">
        <v>1001</v>
      </c>
      <c r="G290" s="24"/>
      <c r="H290" s="24" t="s">
        <v>31</v>
      </c>
      <c r="I290" s="24" t="s">
        <v>985</v>
      </c>
      <c r="J290" s="24"/>
      <c r="K290" s="24">
        <v>0.126</v>
      </c>
      <c r="L290" s="24">
        <v>0.126</v>
      </c>
      <c r="M290" s="24">
        <v>1</v>
      </c>
      <c r="N290" s="24" t="s">
        <v>33</v>
      </c>
      <c r="O290" s="24">
        <f t="shared" si="25"/>
        <v>2.1545999999999998</v>
      </c>
      <c r="P290" s="24">
        <f t="shared" si="26"/>
        <v>2.5137</v>
      </c>
      <c r="Q290" s="24">
        <f t="shared" si="27"/>
        <v>1.4364000000000001</v>
      </c>
      <c r="R290" s="24">
        <f t="shared" si="28"/>
        <v>1.0772999999999999</v>
      </c>
      <c r="S290" s="37">
        <v>7.1820000000000004</v>
      </c>
      <c r="T290" s="8">
        <v>105991.94</v>
      </c>
      <c r="U290" s="8">
        <v>13354.98444</v>
      </c>
      <c r="V290" s="8"/>
      <c r="W290" s="8"/>
      <c r="X290" s="24" t="s">
        <v>983</v>
      </c>
      <c r="Y290" s="24">
        <v>73037</v>
      </c>
      <c r="Z290" s="8">
        <v>6.18</v>
      </c>
      <c r="AA290" s="8" t="s">
        <v>1001</v>
      </c>
      <c r="AB290" s="8">
        <v>7</v>
      </c>
      <c r="AC290" s="24">
        <v>5841</v>
      </c>
      <c r="AD290" s="8"/>
      <c r="AE290" s="319" t="s">
        <v>985</v>
      </c>
      <c r="AF290" s="141"/>
      <c r="AG290" s="163"/>
      <c r="AH290" s="163"/>
      <c r="AI290" s="164"/>
      <c r="AJ290" s="260"/>
      <c r="AK290" s="265"/>
      <c r="AL290" s="265"/>
      <c r="AM290" s="267"/>
      <c r="AN290" s="126"/>
      <c r="AO290" s="72"/>
      <c r="AP290" s="72"/>
      <c r="AQ290" s="127"/>
    </row>
    <row r="291" spans="1:43" x14ac:dyDescent="0.25">
      <c r="A291" s="24">
        <v>288</v>
      </c>
      <c r="B291" s="24" t="s">
        <v>28</v>
      </c>
      <c r="C291" s="24" t="s">
        <v>980</v>
      </c>
      <c r="D291" s="24" t="s">
        <v>981</v>
      </c>
      <c r="E291" s="24"/>
      <c r="F291" s="24" t="s">
        <v>1001</v>
      </c>
      <c r="G291" s="24"/>
      <c r="H291" s="24" t="s">
        <v>31</v>
      </c>
      <c r="I291" s="24" t="s">
        <v>985</v>
      </c>
      <c r="J291" s="24"/>
      <c r="K291" s="24">
        <v>0.126</v>
      </c>
      <c r="L291" s="24">
        <v>0.126</v>
      </c>
      <c r="M291" s="24">
        <v>1</v>
      </c>
      <c r="N291" s="24" t="s">
        <v>33</v>
      </c>
      <c r="O291" s="24">
        <f t="shared" si="25"/>
        <v>2.1545999999999998</v>
      </c>
      <c r="P291" s="24">
        <f t="shared" si="26"/>
        <v>2.5137</v>
      </c>
      <c r="Q291" s="24">
        <f t="shared" si="27"/>
        <v>1.4364000000000001</v>
      </c>
      <c r="R291" s="24">
        <f t="shared" si="28"/>
        <v>1.0772999999999999</v>
      </c>
      <c r="S291" s="37">
        <v>7.1820000000000004</v>
      </c>
      <c r="T291" s="8">
        <v>105991.94</v>
      </c>
      <c r="U291" s="8">
        <v>13354.98444</v>
      </c>
      <c r="V291" s="8"/>
      <c r="W291" s="8"/>
      <c r="X291" s="24" t="s">
        <v>983</v>
      </c>
      <c r="Y291" s="24">
        <v>73037</v>
      </c>
      <c r="Z291" s="8">
        <v>6.18</v>
      </c>
      <c r="AA291" s="8" t="s">
        <v>1001</v>
      </c>
      <c r="AB291" s="8">
        <v>8</v>
      </c>
      <c r="AC291" s="24">
        <v>5841</v>
      </c>
      <c r="AD291" s="8"/>
      <c r="AE291" s="319" t="s">
        <v>985</v>
      </c>
      <c r="AF291" s="141"/>
      <c r="AG291" s="163"/>
      <c r="AH291" s="163"/>
      <c r="AI291" s="164"/>
      <c r="AJ291" s="260"/>
      <c r="AK291" s="265"/>
      <c r="AL291" s="265"/>
      <c r="AM291" s="267"/>
      <c r="AN291" s="126"/>
      <c r="AO291" s="72"/>
      <c r="AP291" s="72"/>
      <c r="AQ291" s="127"/>
    </row>
    <row r="292" spans="1:43" x14ac:dyDescent="0.25">
      <c r="A292" s="24">
        <v>289</v>
      </c>
      <c r="B292" s="24" t="s">
        <v>28</v>
      </c>
      <c r="C292" s="24" t="s">
        <v>980</v>
      </c>
      <c r="D292" s="24" t="s">
        <v>981</v>
      </c>
      <c r="E292" s="24"/>
      <c r="F292" s="24" t="s">
        <v>1001</v>
      </c>
      <c r="G292" s="24"/>
      <c r="H292" s="24" t="s">
        <v>31</v>
      </c>
      <c r="I292" s="24" t="s">
        <v>985</v>
      </c>
      <c r="J292" s="24"/>
      <c r="K292" s="24">
        <v>0.126</v>
      </c>
      <c r="L292" s="24">
        <v>0.126</v>
      </c>
      <c r="M292" s="24">
        <v>1</v>
      </c>
      <c r="N292" s="24" t="s">
        <v>33</v>
      </c>
      <c r="O292" s="24">
        <f t="shared" si="25"/>
        <v>2.1545999999999998</v>
      </c>
      <c r="P292" s="24">
        <f t="shared" si="26"/>
        <v>2.5137</v>
      </c>
      <c r="Q292" s="24">
        <f t="shared" si="27"/>
        <v>1.4364000000000001</v>
      </c>
      <c r="R292" s="24">
        <f t="shared" si="28"/>
        <v>1.0772999999999999</v>
      </c>
      <c r="S292" s="37">
        <v>7.1820000000000004</v>
      </c>
      <c r="T292" s="8">
        <v>105991.94</v>
      </c>
      <c r="U292" s="8">
        <v>13354.98444</v>
      </c>
      <c r="V292" s="8"/>
      <c r="W292" s="8"/>
      <c r="X292" s="24" t="s">
        <v>983</v>
      </c>
      <c r="Y292" s="24">
        <v>73037</v>
      </c>
      <c r="Z292" s="8">
        <v>6.18</v>
      </c>
      <c r="AA292" s="8" t="s">
        <v>1001</v>
      </c>
      <c r="AB292" s="8">
        <v>9</v>
      </c>
      <c r="AC292" s="24">
        <v>5841</v>
      </c>
      <c r="AD292" s="8"/>
      <c r="AE292" s="319" t="s">
        <v>985</v>
      </c>
      <c r="AF292" s="141"/>
      <c r="AG292" s="163"/>
      <c r="AH292" s="163"/>
      <c r="AI292" s="164"/>
      <c r="AJ292" s="260"/>
      <c r="AK292" s="265"/>
      <c r="AL292" s="265"/>
      <c r="AM292" s="267"/>
      <c r="AN292" s="126"/>
      <c r="AO292" s="72"/>
      <c r="AP292" s="72"/>
      <c r="AQ292" s="127"/>
    </row>
    <row r="293" spans="1:43" x14ac:dyDescent="0.25">
      <c r="A293" s="24">
        <v>290</v>
      </c>
      <c r="B293" s="24" t="s">
        <v>28</v>
      </c>
      <c r="C293" s="24" t="s">
        <v>980</v>
      </c>
      <c r="D293" s="24" t="s">
        <v>981</v>
      </c>
      <c r="E293" s="24"/>
      <c r="F293" s="24" t="s">
        <v>1002</v>
      </c>
      <c r="G293" s="24"/>
      <c r="H293" s="24" t="s">
        <v>31</v>
      </c>
      <c r="I293" s="24" t="s">
        <v>985</v>
      </c>
      <c r="J293" s="24"/>
      <c r="K293" s="24">
        <v>0.126</v>
      </c>
      <c r="L293" s="24">
        <v>0.126</v>
      </c>
      <c r="M293" s="24">
        <v>1</v>
      </c>
      <c r="N293" s="24" t="s">
        <v>33</v>
      </c>
      <c r="O293" s="24">
        <f t="shared" si="25"/>
        <v>2.1545999999999998</v>
      </c>
      <c r="P293" s="24">
        <f t="shared" si="26"/>
        <v>2.5137</v>
      </c>
      <c r="Q293" s="24">
        <f t="shared" si="27"/>
        <v>1.4364000000000001</v>
      </c>
      <c r="R293" s="24">
        <f t="shared" si="28"/>
        <v>1.0772999999999999</v>
      </c>
      <c r="S293" s="37">
        <v>7.1820000000000004</v>
      </c>
      <c r="T293" s="8">
        <v>105991.94</v>
      </c>
      <c r="U293" s="8">
        <v>13354.98444</v>
      </c>
      <c r="V293" s="8"/>
      <c r="W293" s="8"/>
      <c r="X293" s="24" t="s">
        <v>1003</v>
      </c>
      <c r="Y293" s="24">
        <v>73037</v>
      </c>
      <c r="Z293" s="8">
        <v>6.18</v>
      </c>
      <c r="AA293" s="8" t="s">
        <v>1002</v>
      </c>
      <c r="AB293" s="8">
        <v>10</v>
      </c>
      <c r="AC293" s="24">
        <v>5843</v>
      </c>
      <c r="AD293" s="8"/>
      <c r="AE293" s="319" t="s">
        <v>985</v>
      </c>
      <c r="AF293" s="141"/>
      <c r="AG293" s="163"/>
      <c r="AH293" s="163"/>
      <c r="AI293" s="164"/>
      <c r="AJ293" s="126"/>
      <c r="AK293" s="72"/>
      <c r="AL293" s="72"/>
      <c r="AM293" s="127"/>
      <c r="AN293" s="126"/>
      <c r="AO293" s="72"/>
      <c r="AP293" s="72"/>
      <c r="AQ293" s="127"/>
    </row>
    <row r="294" spans="1:43" x14ac:dyDescent="0.25">
      <c r="A294" s="24">
        <v>291</v>
      </c>
      <c r="B294" s="24" t="s">
        <v>28</v>
      </c>
      <c r="C294" s="8" t="s">
        <v>980</v>
      </c>
      <c r="D294" s="8" t="s">
        <v>981</v>
      </c>
      <c r="E294" s="8"/>
      <c r="F294" s="24" t="s">
        <v>1001</v>
      </c>
      <c r="G294" s="8"/>
      <c r="H294" s="8" t="s">
        <v>31</v>
      </c>
      <c r="I294" s="24" t="s">
        <v>984</v>
      </c>
      <c r="J294" s="8"/>
      <c r="K294" s="24">
        <v>0.126</v>
      </c>
      <c r="L294" s="24">
        <v>0.126</v>
      </c>
      <c r="M294" s="24">
        <v>1</v>
      </c>
      <c r="N294" s="24" t="s">
        <v>33</v>
      </c>
      <c r="O294" s="24">
        <f t="shared" si="25"/>
        <v>2.1545999999999998</v>
      </c>
      <c r="P294" s="24">
        <f t="shared" si="26"/>
        <v>2.5137</v>
      </c>
      <c r="Q294" s="24">
        <f t="shared" si="27"/>
        <v>1.4364000000000001</v>
      </c>
      <c r="R294" s="24">
        <f t="shared" si="28"/>
        <v>1.0772999999999999</v>
      </c>
      <c r="S294" s="37">
        <v>7.1820000000000004</v>
      </c>
      <c r="T294" s="8">
        <v>105991.94</v>
      </c>
      <c r="U294" s="8">
        <v>13354.98444</v>
      </c>
      <c r="V294" s="8"/>
      <c r="W294" s="8"/>
      <c r="X294" s="24" t="s">
        <v>983</v>
      </c>
      <c r="Y294" s="24">
        <v>73038</v>
      </c>
      <c r="Z294" s="8">
        <v>6.18</v>
      </c>
      <c r="AA294" s="8" t="s">
        <v>1001</v>
      </c>
      <c r="AB294" s="8">
        <v>1</v>
      </c>
      <c r="AC294" s="109">
        <v>5839</v>
      </c>
      <c r="AD294" s="8"/>
      <c r="AE294" s="319" t="s">
        <v>984</v>
      </c>
      <c r="AF294" s="198">
        <f t="shared" ref="AF294:AF313" si="29">L294*0.3</f>
        <v>3.78E-2</v>
      </c>
      <c r="AG294" s="163"/>
      <c r="AH294" s="163"/>
      <c r="AI294" s="164"/>
      <c r="AJ294" s="141"/>
      <c r="AK294" s="184">
        <f>L294*0.35</f>
        <v>4.41E-2</v>
      </c>
      <c r="AL294" s="265"/>
      <c r="AM294" s="267"/>
      <c r="AN294" s="141"/>
      <c r="AO294" s="141"/>
      <c r="AP294" s="72"/>
      <c r="AQ294" s="127"/>
    </row>
    <row r="295" spans="1:43" x14ac:dyDescent="0.25">
      <c r="A295" s="24">
        <v>292</v>
      </c>
      <c r="B295" s="24" t="s">
        <v>28</v>
      </c>
      <c r="C295" s="8" t="s">
        <v>980</v>
      </c>
      <c r="D295" s="8" t="s">
        <v>981</v>
      </c>
      <c r="E295" s="8"/>
      <c r="F295" s="24" t="s">
        <v>1001</v>
      </c>
      <c r="G295" s="8"/>
      <c r="H295" s="8" t="s">
        <v>31</v>
      </c>
      <c r="I295" s="24" t="s">
        <v>984</v>
      </c>
      <c r="J295" s="8"/>
      <c r="K295" s="24">
        <v>0.126</v>
      </c>
      <c r="L295" s="24">
        <v>0.126</v>
      </c>
      <c r="M295" s="24">
        <v>1</v>
      </c>
      <c r="N295" s="24" t="s">
        <v>33</v>
      </c>
      <c r="O295" s="24">
        <f t="shared" si="25"/>
        <v>2.1545999999999998</v>
      </c>
      <c r="P295" s="24">
        <f t="shared" si="26"/>
        <v>2.5137</v>
      </c>
      <c r="Q295" s="24">
        <f t="shared" si="27"/>
        <v>1.4364000000000001</v>
      </c>
      <c r="R295" s="24">
        <f t="shared" si="28"/>
        <v>1.0772999999999999</v>
      </c>
      <c r="S295" s="37">
        <v>7.1820000000000004</v>
      </c>
      <c r="T295" s="8">
        <v>105991.94</v>
      </c>
      <c r="U295" s="8">
        <v>13354.98444</v>
      </c>
      <c r="V295" s="8"/>
      <c r="W295" s="8"/>
      <c r="X295" s="24" t="s">
        <v>983</v>
      </c>
      <c r="Y295" s="24">
        <v>73038</v>
      </c>
      <c r="Z295" s="8">
        <v>6.18</v>
      </c>
      <c r="AA295" s="8" t="s">
        <v>1001</v>
      </c>
      <c r="AB295" s="8">
        <v>2</v>
      </c>
      <c r="AC295" s="109">
        <v>5839</v>
      </c>
      <c r="AD295" s="8"/>
      <c r="AE295" s="319" t="s">
        <v>984</v>
      </c>
      <c r="AF295" s="198">
        <f t="shared" si="29"/>
        <v>3.78E-2</v>
      </c>
      <c r="AG295" s="163"/>
      <c r="AH295" s="163"/>
      <c r="AI295" s="164"/>
      <c r="AJ295" s="141"/>
      <c r="AK295" s="184">
        <f t="shared" ref="AK295:AK303" si="30">L295*0.35</f>
        <v>4.41E-2</v>
      </c>
      <c r="AL295" s="265"/>
      <c r="AM295" s="267"/>
      <c r="AN295" s="141"/>
      <c r="AO295" s="141"/>
      <c r="AP295" s="72"/>
      <c r="AQ295" s="127"/>
    </row>
    <row r="296" spans="1:43" x14ac:dyDescent="0.25">
      <c r="A296" s="24">
        <v>293</v>
      </c>
      <c r="B296" s="24" t="s">
        <v>28</v>
      </c>
      <c r="C296" s="8" t="s">
        <v>980</v>
      </c>
      <c r="D296" s="8" t="s">
        <v>981</v>
      </c>
      <c r="E296" s="8"/>
      <c r="F296" s="24" t="s">
        <v>1001</v>
      </c>
      <c r="G296" s="8"/>
      <c r="H296" s="8" t="s">
        <v>31</v>
      </c>
      <c r="I296" s="24" t="s">
        <v>984</v>
      </c>
      <c r="J296" s="8"/>
      <c r="K296" s="24">
        <v>0.126</v>
      </c>
      <c r="L296" s="24">
        <v>0.126</v>
      </c>
      <c r="M296" s="24">
        <v>1</v>
      </c>
      <c r="N296" s="24" t="s">
        <v>33</v>
      </c>
      <c r="O296" s="24">
        <f t="shared" si="25"/>
        <v>2.1545999999999998</v>
      </c>
      <c r="P296" s="24">
        <f t="shared" si="26"/>
        <v>2.5137</v>
      </c>
      <c r="Q296" s="24">
        <f t="shared" si="27"/>
        <v>1.4364000000000001</v>
      </c>
      <c r="R296" s="24">
        <f t="shared" si="28"/>
        <v>1.0772999999999999</v>
      </c>
      <c r="S296" s="37">
        <v>7.1820000000000004</v>
      </c>
      <c r="T296" s="8">
        <v>105991.94</v>
      </c>
      <c r="U296" s="8">
        <v>13354.98444</v>
      </c>
      <c r="V296" s="8"/>
      <c r="W296" s="8"/>
      <c r="X296" s="24" t="s">
        <v>983</v>
      </c>
      <c r="Y296" s="24">
        <v>73038</v>
      </c>
      <c r="Z296" s="8">
        <v>6.18</v>
      </c>
      <c r="AA296" s="8" t="s">
        <v>1001</v>
      </c>
      <c r="AB296" s="8">
        <v>3</v>
      </c>
      <c r="AC296" s="109">
        <v>5839</v>
      </c>
      <c r="AD296" s="8"/>
      <c r="AE296" s="319" t="s">
        <v>984</v>
      </c>
      <c r="AF296" s="198">
        <f t="shared" si="29"/>
        <v>3.78E-2</v>
      </c>
      <c r="AG296" s="163"/>
      <c r="AH296" s="163"/>
      <c r="AI296" s="164"/>
      <c r="AJ296" s="141"/>
      <c r="AK296" s="184">
        <f t="shared" si="30"/>
        <v>4.41E-2</v>
      </c>
      <c r="AL296" s="265"/>
      <c r="AM296" s="267"/>
      <c r="AN296" s="141"/>
      <c r="AO296" s="141"/>
      <c r="AP296" s="72"/>
      <c r="AQ296" s="127"/>
    </row>
    <row r="297" spans="1:43" x14ac:dyDescent="0.25">
      <c r="A297" s="24">
        <v>294</v>
      </c>
      <c r="B297" s="24" t="s">
        <v>28</v>
      </c>
      <c r="C297" s="8" t="s">
        <v>980</v>
      </c>
      <c r="D297" s="8" t="s">
        <v>981</v>
      </c>
      <c r="E297" s="8"/>
      <c r="F297" s="24" t="s">
        <v>1001</v>
      </c>
      <c r="G297" s="8"/>
      <c r="H297" s="8" t="s">
        <v>31</v>
      </c>
      <c r="I297" s="24" t="s">
        <v>984</v>
      </c>
      <c r="J297" s="8"/>
      <c r="K297" s="24">
        <v>0.126</v>
      </c>
      <c r="L297" s="24">
        <v>0.126</v>
      </c>
      <c r="M297" s="24">
        <v>1</v>
      </c>
      <c r="N297" s="24" t="s">
        <v>33</v>
      </c>
      <c r="O297" s="24">
        <f t="shared" si="25"/>
        <v>2.1545999999999998</v>
      </c>
      <c r="P297" s="24">
        <f t="shared" si="26"/>
        <v>2.5137</v>
      </c>
      <c r="Q297" s="24">
        <f t="shared" si="27"/>
        <v>1.4364000000000001</v>
      </c>
      <c r="R297" s="24">
        <f t="shared" si="28"/>
        <v>1.0772999999999999</v>
      </c>
      <c r="S297" s="37">
        <v>7.1820000000000004</v>
      </c>
      <c r="T297" s="8">
        <v>105991.94</v>
      </c>
      <c r="U297" s="8">
        <v>13354.98444</v>
      </c>
      <c r="V297" s="8"/>
      <c r="W297" s="8"/>
      <c r="X297" s="24" t="s">
        <v>983</v>
      </c>
      <c r="Y297" s="24">
        <v>73038</v>
      </c>
      <c r="Z297" s="8">
        <v>6.18</v>
      </c>
      <c r="AA297" s="8" t="s">
        <v>1001</v>
      </c>
      <c r="AB297" s="8">
        <v>4</v>
      </c>
      <c r="AC297" s="109">
        <v>5839</v>
      </c>
      <c r="AD297" s="8"/>
      <c r="AE297" s="319" t="s">
        <v>984</v>
      </c>
      <c r="AF297" s="198">
        <f t="shared" si="29"/>
        <v>3.78E-2</v>
      </c>
      <c r="AG297" s="163"/>
      <c r="AH297" s="163"/>
      <c r="AI297" s="164"/>
      <c r="AJ297" s="141"/>
      <c r="AK297" s="184">
        <f t="shared" si="30"/>
        <v>4.41E-2</v>
      </c>
      <c r="AL297" s="265"/>
      <c r="AM297" s="267"/>
      <c r="AN297" s="141"/>
      <c r="AO297" s="141"/>
      <c r="AP297" s="72"/>
      <c r="AQ297" s="127"/>
    </row>
    <row r="298" spans="1:43" x14ac:dyDescent="0.25">
      <c r="A298" s="24">
        <v>295</v>
      </c>
      <c r="B298" s="24" t="s">
        <v>28</v>
      </c>
      <c r="C298" s="8" t="s">
        <v>980</v>
      </c>
      <c r="D298" s="8" t="s">
        <v>981</v>
      </c>
      <c r="E298" s="8"/>
      <c r="F298" s="24" t="s">
        <v>1001</v>
      </c>
      <c r="G298" s="8"/>
      <c r="H298" s="8" t="s">
        <v>31</v>
      </c>
      <c r="I298" s="24" t="s">
        <v>984</v>
      </c>
      <c r="J298" s="8"/>
      <c r="K298" s="24">
        <v>0.126</v>
      </c>
      <c r="L298" s="24">
        <v>0.126</v>
      </c>
      <c r="M298" s="24">
        <v>1</v>
      </c>
      <c r="N298" s="24" t="s">
        <v>33</v>
      </c>
      <c r="O298" s="24">
        <f t="shared" si="25"/>
        <v>2.1545999999999998</v>
      </c>
      <c r="P298" s="24">
        <f t="shared" si="26"/>
        <v>2.5137</v>
      </c>
      <c r="Q298" s="24">
        <f t="shared" si="27"/>
        <v>1.4364000000000001</v>
      </c>
      <c r="R298" s="24">
        <f t="shared" si="28"/>
        <v>1.0772999999999999</v>
      </c>
      <c r="S298" s="37">
        <v>7.1820000000000004</v>
      </c>
      <c r="T298" s="8">
        <v>105991.94</v>
      </c>
      <c r="U298" s="8">
        <v>13354.98444</v>
      </c>
      <c r="V298" s="8"/>
      <c r="W298" s="8"/>
      <c r="X298" s="24" t="s">
        <v>983</v>
      </c>
      <c r="Y298" s="24">
        <v>73038</v>
      </c>
      <c r="Z298" s="8">
        <v>6.18</v>
      </c>
      <c r="AA298" s="8" t="s">
        <v>1001</v>
      </c>
      <c r="AB298" s="8">
        <v>5</v>
      </c>
      <c r="AC298" s="109">
        <v>5839</v>
      </c>
      <c r="AD298" s="8"/>
      <c r="AE298" s="319" t="s">
        <v>984</v>
      </c>
      <c r="AF298" s="198">
        <f t="shared" si="29"/>
        <v>3.78E-2</v>
      </c>
      <c r="AG298" s="163"/>
      <c r="AH298" s="163"/>
      <c r="AI298" s="164"/>
      <c r="AJ298" s="141"/>
      <c r="AK298" s="184">
        <f t="shared" si="30"/>
        <v>4.41E-2</v>
      </c>
      <c r="AL298" s="265"/>
      <c r="AM298" s="267"/>
      <c r="AN298" s="141"/>
      <c r="AO298" s="141"/>
      <c r="AP298" s="72"/>
      <c r="AQ298" s="127"/>
    </row>
    <row r="299" spans="1:43" x14ac:dyDescent="0.25">
      <c r="A299" s="24">
        <v>296</v>
      </c>
      <c r="B299" s="24" t="s">
        <v>28</v>
      </c>
      <c r="C299" s="8" t="s">
        <v>980</v>
      </c>
      <c r="D299" s="8" t="s">
        <v>981</v>
      </c>
      <c r="E299" s="8"/>
      <c r="F299" s="24" t="s">
        <v>1001</v>
      </c>
      <c r="G299" s="8"/>
      <c r="H299" s="8" t="s">
        <v>31</v>
      </c>
      <c r="I299" s="24" t="s">
        <v>984</v>
      </c>
      <c r="J299" s="8"/>
      <c r="K299" s="24">
        <v>0.126</v>
      </c>
      <c r="L299" s="24">
        <v>0.126</v>
      </c>
      <c r="M299" s="24">
        <v>1</v>
      </c>
      <c r="N299" s="24" t="s">
        <v>33</v>
      </c>
      <c r="O299" s="24">
        <f t="shared" si="25"/>
        <v>2.1545999999999998</v>
      </c>
      <c r="P299" s="24">
        <f t="shared" si="26"/>
        <v>2.5137</v>
      </c>
      <c r="Q299" s="24">
        <f t="shared" si="27"/>
        <v>1.4364000000000001</v>
      </c>
      <c r="R299" s="24">
        <f t="shared" si="28"/>
        <v>1.0772999999999999</v>
      </c>
      <c r="S299" s="37">
        <v>7.1820000000000004</v>
      </c>
      <c r="T299" s="8">
        <v>105991.94</v>
      </c>
      <c r="U299" s="8">
        <v>13354.98444</v>
      </c>
      <c r="V299" s="8"/>
      <c r="W299" s="8"/>
      <c r="X299" s="24" t="s">
        <v>983</v>
      </c>
      <c r="Y299" s="24">
        <v>73038</v>
      </c>
      <c r="Z299" s="8">
        <v>6.18</v>
      </c>
      <c r="AA299" s="8" t="s">
        <v>1001</v>
      </c>
      <c r="AB299" s="8">
        <v>6</v>
      </c>
      <c r="AC299" s="109">
        <v>5839</v>
      </c>
      <c r="AD299" s="8"/>
      <c r="AE299" s="319" t="s">
        <v>984</v>
      </c>
      <c r="AF299" s="198">
        <f t="shared" si="29"/>
        <v>3.78E-2</v>
      </c>
      <c r="AG299" s="163"/>
      <c r="AH299" s="163"/>
      <c r="AI299" s="164"/>
      <c r="AJ299" s="141"/>
      <c r="AK299" s="184">
        <f t="shared" si="30"/>
        <v>4.41E-2</v>
      </c>
      <c r="AL299" s="265"/>
      <c r="AM299" s="267"/>
      <c r="AN299" s="141"/>
      <c r="AO299" s="141"/>
      <c r="AP299" s="72"/>
      <c r="AQ299" s="127"/>
    </row>
    <row r="300" spans="1:43" x14ac:dyDescent="0.25">
      <c r="A300" s="24">
        <v>297</v>
      </c>
      <c r="B300" s="24" t="s">
        <v>28</v>
      </c>
      <c r="C300" s="8" t="s">
        <v>980</v>
      </c>
      <c r="D300" s="8" t="s">
        <v>981</v>
      </c>
      <c r="E300" s="8"/>
      <c r="F300" s="24" t="s">
        <v>1001</v>
      </c>
      <c r="G300" s="8"/>
      <c r="H300" s="8" t="s">
        <v>31</v>
      </c>
      <c r="I300" s="24" t="s">
        <v>984</v>
      </c>
      <c r="J300" s="8"/>
      <c r="K300" s="24">
        <v>0.126</v>
      </c>
      <c r="L300" s="24">
        <v>0.126</v>
      </c>
      <c r="M300" s="24">
        <v>1</v>
      </c>
      <c r="N300" s="24" t="s">
        <v>33</v>
      </c>
      <c r="O300" s="24">
        <f t="shared" si="25"/>
        <v>2.1545999999999998</v>
      </c>
      <c r="P300" s="24">
        <f t="shared" si="26"/>
        <v>2.5137</v>
      </c>
      <c r="Q300" s="24">
        <f t="shared" si="27"/>
        <v>1.4364000000000001</v>
      </c>
      <c r="R300" s="24">
        <f t="shared" si="28"/>
        <v>1.0772999999999999</v>
      </c>
      <c r="S300" s="37">
        <v>7.1820000000000004</v>
      </c>
      <c r="T300" s="8">
        <v>105991.94</v>
      </c>
      <c r="U300" s="8">
        <v>13354.98444</v>
      </c>
      <c r="V300" s="8"/>
      <c r="W300" s="8"/>
      <c r="X300" s="24" t="s">
        <v>983</v>
      </c>
      <c r="Y300" s="24">
        <v>73038</v>
      </c>
      <c r="Z300" s="8">
        <v>6.18</v>
      </c>
      <c r="AA300" s="8" t="s">
        <v>1001</v>
      </c>
      <c r="AB300" s="8">
        <v>7</v>
      </c>
      <c r="AC300" s="109">
        <v>5839</v>
      </c>
      <c r="AD300" s="8"/>
      <c r="AE300" s="319" t="s">
        <v>984</v>
      </c>
      <c r="AF300" s="198">
        <f t="shared" si="29"/>
        <v>3.78E-2</v>
      </c>
      <c r="AG300" s="163"/>
      <c r="AH300" s="163"/>
      <c r="AI300" s="164"/>
      <c r="AJ300" s="141"/>
      <c r="AK300" s="184">
        <f t="shared" si="30"/>
        <v>4.41E-2</v>
      </c>
      <c r="AL300" s="265"/>
      <c r="AM300" s="267"/>
      <c r="AN300" s="141"/>
      <c r="AO300" s="141"/>
      <c r="AP300" s="72"/>
      <c r="AQ300" s="127"/>
    </row>
    <row r="301" spans="1:43" x14ac:dyDescent="0.25">
      <c r="A301" s="24">
        <v>298</v>
      </c>
      <c r="B301" s="24" t="s">
        <v>28</v>
      </c>
      <c r="C301" s="8" t="s">
        <v>980</v>
      </c>
      <c r="D301" s="8" t="s">
        <v>981</v>
      </c>
      <c r="E301" s="8"/>
      <c r="F301" s="24" t="s">
        <v>1001</v>
      </c>
      <c r="G301" s="8"/>
      <c r="H301" s="8" t="s">
        <v>31</v>
      </c>
      <c r="I301" s="24" t="s">
        <v>984</v>
      </c>
      <c r="J301" s="8"/>
      <c r="K301" s="24">
        <v>0.126</v>
      </c>
      <c r="L301" s="24">
        <v>0.126</v>
      </c>
      <c r="M301" s="24">
        <v>1</v>
      </c>
      <c r="N301" s="24" t="s">
        <v>33</v>
      </c>
      <c r="O301" s="24">
        <f t="shared" si="25"/>
        <v>2.1545999999999998</v>
      </c>
      <c r="P301" s="24">
        <f t="shared" si="26"/>
        <v>2.5137</v>
      </c>
      <c r="Q301" s="24">
        <f t="shared" si="27"/>
        <v>1.4364000000000001</v>
      </c>
      <c r="R301" s="24">
        <f t="shared" si="28"/>
        <v>1.0772999999999999</v>
      </c>
      <c r="S301" s="37">
        <v>7.1820000000000004</v>
      </c>
      <c r="T301" s="8">
        <v>105991.94</v>
      </c>
      <c r="U301" s="8">
        <v>13354.98444</v>
      </c>
      <c r="V301" s="8"/>
      <c r="W301" s="8"/>
      <c r="X301" s="24" t="s">
        <v>983</v>
      </c>
      <c r="Y301" s="24">
        <v>73038</v>
      </c>
      <c r="Z301" s="8">
        <v>6.18</v>
      </c>
      <c r="AA301" s="8" t="s">
        <v>1001</v>
      </c>
      <c r="AB301" s="8">
        <v>8</v>
      </c>
      <c r="AC301" s="109">
        <v>5839</v>
      </c>
      <c r="AD301" s="8"/>
      <c r="AE301" s="319" t="s">
        <v>984</v>
      </c>
      <c r="AF301" s="198">
        <f t="shared" si="29"/>
        <v>3.78E-2</v>
      </c>
      <c r="AG301" s="163"/>
      <c r="AH301" s="163"/>
      <c r="AI301" s="164"/>
      <c r="AJ301" s="141"/>
      <c r="AK301" s="184">
        <f t="shared" si="30"/>
        <v>4.41E-2</v>
      </c>
      <c r="AL301" s="265"/>
      <c r="AM301" s="267"/>
      <c r="AN301" s="141"/>
      <c r="AO301" s="141"/>
      <c r="AP301" s="72"/>
      <c r="AQ301" s="127"/>
    </row>
    <row r="302" spans="1:43" x14ac:dyDescent="0.25">
      <c r="A302" s="24">
        <v>299</v>
      </c>
      <c r="B302" s="24" t="s">
        <v>28</v>
      </c>
      <c r="C302" s="8" t="s">
        <v>980</v>
      </c>
      <c r="D302" s="8" t="s">
        <v>981</v>
      </c>
      <c r="E302" s="8"/>
      <c r="F302" s="24" t="s">
        <v>1001</v>
      </c>
      <c r="G302" s="8"/>
      <c r="H302" s="8" t="s">
        <v>31</v>
      </c>
      <c r="I302" s="24" t="s">
        <v>985</v>
      </c>
      <c r="J302" s="8"/>
      <c r="K302" s="24">
        <v>0.126</v>
      </c>
      <c r="L302" s="24">
        <v>0.126</v>
      </c>
      <c r="M302" s="24">
        <v>1</v>
      </c>
      <c r="N302" s="24" t="s">
        <v>33</v>
      </c>
      <c r="O302" s="24">
        <f t="shared" si="25"/>
        <v>2.1545999999999998</v>
      </c>
      <c r="P302" s="24">
        <f t="shared" si="26"/>
        <v>2.5137</v>
      </c>
      <c r="Q302" s="24">
        <f t="shared" si="27"/>
        <v>1.4364000000000001</v>
      </c>
      <c r="R302" s="24">
        <f t="shared" si="28"/>
        <v>1.0772999999999999</v>
      </c>
      <c r="S302" s="37">
        <v>7.1820000000000004</v>
      </c>
      <c r="T302" s="8">
        <v>105991.94</v>
      </c>
      <c r="U302" s="8">
        <v>13354.98444</v>
      </c>
      <c r="V302" s="8"/>
      <c r="W302" s="8"/>
      <c r="X302" s="24" t="s">
        <v>983</v>
      </c>
      <c r="Y302" s="24">
        <v>73038</v>
      </c>
      <c r="Z302" s="8">
        <v>6.18</v>
      </c>
      <c r="AA302" s="8" t="s">
        <v>1001</v>
      </c>
      <c r="AB302" s="8">
        <v>9</v>
      </c>
      <c r="AC302" s="109">
        <v>5841</v>
      </c>
      <c r="AD302" s="8"/>
      <c r="AE302" s="319" t="s">
        <v>985</v>
      </c>
      <c r="AF302" s="198">
        <f t="shared" si="29"/>
        <v>3.78E-2</v>
      </c>
      <c r="AG302" s="163"/>
      <c r="AH302" s="163"/>
      <c r="AI302" s="164"/>
      <c r="AJ302" s="141"/>
      <c r="AK302" s="184">
        <f t="shared" si="30"/>
        <v>4.41E-2</v>
      </c>
      <c r="AL302" s="265"/>
      <c r="AM302" s="267"/>
      <c r="AN302" s="141"/>
      <c r="AO302" s="141"/>
      <c r="AP302" s="72"/>
      <c r="AQ302" s="127"/>
    </row>
    <row r="303" spans="1:43" x14ac:dyDescent="0.25">
      <c r="A303" s="24">
        <v>300</v>
      </c>
      <c r="B303" s="24" t="s">
        <v>28</v>
      </c>
      <c r="C303" s="8" t="s">
        <v>980</v>
      </c>
      <c r="D303" s="8" t="s">
        <v>981</v>
      </c>
      <c r="E303" s="8"/>
      <c r="F303" s="24" t="s">
        <v>1001</v>
      </c>
      <c r="G303" s="8"/>
      <c r="H303" s="8" t="s">
        <v>31</v>
      </c>
      <c r="I303" s="24" t="s">
        <v>985</v>
      </c>
      <c r="J303" s="8"/>
      <c r="K303" s="24">
        <v>0.126</v>
      </c>
      <c r="L303" s="24">
        <v>0.126</v>
      </c>
      <c r="M303" s="24">
        <v>1</v>
      </c>
      <c r="N303" s="24" t="s">
        <v>33</v>
      </c>
      <c r="O303" s="24">
        <f t="shared" si="25"/>
        <v>2.1545999999999998</v>
      </c>
      <c r="P303" s="24">
        <f t="shared" si="26"/>
        <v>2.5137</v>
      </c>
      <c r="Q303" s="24">
        <f t="shared" si="27"/>
        <v>1.4364000000000001</v>
      </c>
      <c r="R303" s="24">
        <f t="shared" si="28"/>
        <v>1.0772999999999999</v>
      </c>
      <c r="S303" s="37">
        <v>7.1820000000000004</v>
      </c>
      <c r="T303" s="8">
        <v>105991.94</v>
      </c>
      <c r="U303" s="8">
        <v>13354.98444</v>
      </c>
      <c r="V303" s="8"/>
      <c r="W303" s="8"/>
      <c r="X303" s="24" t="s">
        <v>983</v>
      </c>
      <c r="Y303" s="24">
        <v>73038</v>
      </c>
      <c r="Z303" s="8">
        <v>6.18</v>
      </c>
      <c r="AA303" s="8" t="s">
        <v>1001</v>
      </c>
      <c r="AB303" s="8">
        <v>10</v>
      </c>
      <c r="AC303" s="109">
        <v>5841</v>
      </c>
      <c r="AD303" s="8"/>
      <c r="AE303" s="319" t="s">
        <v>985</v>
      </c>
      <c r="AF303" s="198">
        <f t="shared" si="29"/>
        <v>3.78E-2</v>
      </c>
      <c r="AG303" s="163"/>
      <c r="AH303" s="163"/>
      <c r="AI303" s="164"/>
      <c r="AJ303" s="141"/>
      <c r="AK303" s="184">
        <f t="shared" si="30"/>
        <v>4.41E-2</v>
      </c>
      <c r="AL303" s="265"/>
      <c r="AM303" s="267"/>
      <c r="AN303" s="141"/>
      <c r="AO303" s="141"/>
      <c r="AP303" s="72"/>
      <c r="AQ303" s="127"/>
    </row>
    <row r="304" spans="1:43" x14ac:dyDescent="0.25">
      <c r="A304" s="24">
        <v>301</v>
      </c>
      <c r="B304" s="24" t="s">
        <v>28</v>
      </c>
      <c r="C304" s="8" t="s">
        <v>980</v>
      </c>
      <c r="D304" s="8" t="s">
        <v>981</v>
      </c>
      <c r="E304" s="8"/>
      <c r="F304" s="24" t="s">
        <v>1001</v>
      </c>
      <c r="G304" s="8"/>
      <c r="H304" s="8" t="s">
        <v>31</v>
      </c>
      <c r="I304" s="24" t="s">
        <v>985</v>
      </c>
      <c r="J304" s="8"/>
      <c r="K304" s="24">
        <v>0.126</v>
      </c>
      <c r="L304" s="24">
        <v>0.126</v>
      </c>
      <c r="M304" s="24">
        <v>1</v>
      </c>
      <c r="N304" s="24" t="s">
        <v>33</v>
      </c>
      <c r="O304" s="24">
        <f t="shared" si="25"/>
        <v>2.1545999999999998</v>
      </c>
      <c r="P304" s="24">
        <f t="shared" si="26"/>
        <v>2.5137</v>
      </c>
      <c r="Q304" s="24">
        <f t="shared" si="27"/>
        <v>1.4364000000000001</v>
      </c>
      <c r="R304" s="24">
        <f t="shared" si="28"/>
        <v>1.0772999999999999</v>
      </c>
      <c r="S304" s="37">
        <v>7.1820000000000004</v>
      </c>
      <c r="T304" s="8">
        <v>105991.94</v>
      </c>
      <c r="U304" s="8">
        <v>13354.98444</v>
      </c>
      <c r="V304" s="8"/>
      <c r="W304" s="8"/>
      <c r="X304" s="24" t="s">
        <v>983</v>
      </c>
      <c r="Y304" s="24">
        <v>73039</v>
      </c>
      <c r="Z304" s="8">
        <v>6.18</v>
      </c>
      <c r="AA304" s="8" t="s">
        <v>1001</v>
      </c>
      <c r="AB304" s="8">
        <v>1</v>
      </c>
      <c r="AC304" s="109">
        <v>5841</v>
      </c>
      <c r="AD304" s="8"/>
      <c r="AE304" s="319" t="s">
        <v>985</v>
      </c>
      <c r="AF304" s="198">
        <f t="shared" si="29"/>
        <v>3.78E-2</v>
      </c>
      <c r="AG304" s="163"/>
      <c r="AH304" s="163"/>
      <c r="AI304" s="164"/>
      <c r="AJ304" s="141"/>
      <c r="AK304" s="265"/>
      <c r="AL304" s="265"/>
      <c r="AM304" s="267"/>
      <c r="AN304" s="126"/>
      <c r="AO304" s="72"/>
      <c r="AP304" s="72"/>
      <c r="AQ304" s="127"/>
    </row>
    <row r="305" spans="1:43" x14ac:dyDescent="0.25">
      <c r="A305" s="24">
        <v>302</v>
      </c>
      <c r="B305" s="24" t="s">
        <v>28</v>
      </c>
      <c r="C305" s="8" t="s">
        <v>980</v>
      </c>
      <c r="D305" s="8" t="s">
        <v>981</v>
      </c>
      <c r="E305" s="8"/>
      <c r="F305" s="24" t="s">
        <v>1001</v>
      </c>
      <c r="G305" s="8"/>
      <c r="H305" s="8" t="s">
        <v>31</v>
      </c>
      <c r="I305" s="24" t="s">
        <v>985</v>
      </c>
      <c r="J305" s="8"/>
      <c r="K305" s="24">
        <v>0.126</v>
      </c>
      <c r="L305" s="24">
        <v>0.126</v>
      </c>
      <c r="M305" s="24">
        <v>1</v>
      </c>
      <c r="N305" s="24" t="s">
        <v>33</v>
      </c>
      <c r="O305" s="24">
        <f t="shared" si="25"/>
        <v>2.1545999999999998</v>
      </c>
      <c r="P305" s="24">
        <f t="shared" si="26"/>
        <v>2.5137</v>
      </c>
      <c r="Q305" s="24">
        <f t="shared" si="27"/>
        <v>1.4364000000000001</v>
      </c>
      <c r="R305" s="24">
        <f t="shared" si="28"/>
        <v>1.0772999999999999</v>
      </c>
      <c r="S305" s="37">
        <v>7.1820000000000004</v>
      </c>
      <c r="T305" s="8">
        <v>105991.94</v>
      </c>
      <c r="U305" s="8">
        <v>13354.98444</v>
      </c>
      <c r="V305" s="8"/>
      <c r="W305" s="8"/>
      <c r="X305" s="24" t="s">
        <v>983</v>
      </c>
      <c r="Y305" s="24">
        <v>73039</v>
      </c>
      <c r="Z305" s="8">
        <v>6.18</v>
      </c>
      <c r="AA305" s="8" t="s">
        <v>1001</v>
      </c>
      <c r="AB305" s="8">
        <v>2</v>
      </c>
      <c r="AC305" s="109">
        <v>5841</v>
      </c>
      <c r="AD305" s="8"/>
      <c r="AE305" s="319" t="s">
        <v>985</v>
      </c>
      <c r="AF305" s="198">
        <f t="shared" si="29"/>
        <v>3.78E-2</v>
      </c>
      <c r="AG305" s="163"/>
      <c r="AH305" s="163"/>
      <c r="AI305" s="164"/>
      <c r="AJ305" s="141"/>
      <c r="AK305" s="265"/>
      <c r="AL305" s="265"/>
      <c r="AM305" s="267"/>
      <c r="AN305" s="126"/>
      <c r="AO305" s="72"/>
      <c r="AP305" s="72"/>
      <c r="AQ305" s="127"/>
    </row>
    <row r="306" spans="1:43" x14ac:dyDescent="0.25">
      <c r="A306" s="24">
        <v>303</v>
      </c>
      <c r="B306" s="24" t="s">
        <v>28</v>
      </c>
      <c r="C306" s="8" t="s">
        <v>980</v>
      </c>
      <c r="D306" s="8" t="s">
        <v>981</v>
      </c>
      <c r="E306" s="8"/>
      <c r="F306" s="24" t="s">
        <v>1001</v>
      </c>
      <c r="G306" s="8"/>
      <c r="H306" s="8" t="s">
        <v>31</v>
      </c>
      <c r="I306" s="24" t="s">
        <v>985</v>
      </c>
      <c r="J306" s="8"/>
      <c r="K306" s="24">
        <v>0.126</v>
      </c>
      <c r="L306" s="24">
        <v>0.126</v>
      </c>
      <c r="M306" s="24">
        <v>1</v>
      </c>
      <c r="N306" s="24" t="s">
        <v>33</v>
      </c>
      <c r="O306" s="24">
        <f t="shared" si="25"/>
        <v>2.1545999999999998</v>
      </c>
      <c r="P306" s="24">
        <f t="shared" si="26"/>
        <v>2.5137</v>
      </c>
      <c r="Q306" s="24">
        <f t="shared" si="27"/>
        <v>1.4364000000000001</v>
      </c>
      <c r="R306" s="24">
        <f t="shared" si="28"/>
        <v>1.0772999999999999</v>
      </c>
      <c r="S306" s="37">
        <v>7.1820000000000004</v>
      </c>
      <c r="T306" s="8">
        <v>105991.94</v>
      </c>
      <c r="U306" s="8">
        <v>13354.98444</v>
      </c>
      <c r="V306" s="8"/>
      <c r="W306" s="8"/>
      <c r="X306" s="24" t="s">
        <v>983</v>
      </c>
      <c r="Y306" s="24">
        <v>73039</v>
      </c>
      <c r="Z306" s="8">
        <v>6.18</v>
      </c>
      <c r="AA306" s="8" t="s">
        <v>1001</v>
      </c>
      <c r="AB306" s="8">
        <v>3</v>
      </c>
      <c r="AC306" s="109">
        <v>5841</v>
      </c>
      <c r="AD306" s="8"/>
      <c r="AE306" s="319" t="s">
        <v>985</v>
      </c>
      <c r="AF306" s="198">
        <f t="shared" si="29"/>
        <v>3.78E-2</v>
      </c>
      <c r="AG306" s="163"/>
      <c r="AH306" s="163"/>
      <c r="AI306" s="164"/>
      <c r="AJ306" s="141"/>
      <c r="AK306" s="265"/>
      <c r="AL306" s="265"/>
      <c r="AM306" s="267"/>
      <c r="AN306" s="126"/>
      <c r="AO306" s="72"/>
      <c r="AP306" s="72"/>
      <c r="AQ306" s="127"/>
    </row>
    <row r="307" spans="1:43" x14ac:dyDescent="0.25">
      <c r="A307" s="24">
        <v>304</v>
      </c>
      <c r="B307" s="24" t="s">
        <v>28</v>
      </c>
      <c r="C307" s="8" t="s">
        <v>980</v>
      </c>
      <c r="D307" s="8" t="s">
        <v>981</v>
      </c>
      <c r="E307" s="8"/>
      <c r="F307" s="24" t="s">
        <v>1001</v>
      </c>
      <c r="G307" s="8"/>
      <c r="H307" s="8" t="s">
        <v>31</v>
      </c>
      <c r="I307" s="24" t="s">
        <v>985</v>
      </c>
      <c r="J307" s="8"/>
      <c r="K307" s="24">
        <v>0.126</v>
      </c>
      <c r="L307" s="24">
        <v>0.126</v>
      </c>
      <c r="M307" s="24">
        <v>1</v>
      </c>
      <c r="N307" s="24" t="s">
        <v>33</v>
      </c>
      <c r="O307" s="24">
        <f t="shared" si="25"/>
        <v>2.1545999999999998</v>
      </c>
      <c r="P307" s="24">
        <f t="shared" si="26"/>
        <v>2.5137</v>
      </c>
      <c r="Q307" s="24">
        <f t="shared" si="27"/>
        <v>1.4364000000000001</v>
      </c>
      <c r="R307" s="24">
        <f t="shared" si="28"/>
        <v>1.0772999999999999</v>
      </c>
      <c r="S307" s="37">
        <v>7.1820000000000004</v>
      </c>
      <c r="T307" s="8">
        <v>105991.94</v>
      </c>
      <c r="U307" s="8">
        <v>13354.98444</v>
      </c>
      <c r="V307" s="8"/>
      <c r="W307" s="8"/>
      <c r="X307" s="24" t="s">
        <v>983</v>
      </c>
      <c r="Y307" s="24">
        <v>73039</v>
      </c>
      <c r="Z307" s="8">
        <v>6.18</v>
      </c>
      <c r="AA307" s="8" t="s">
        <v>1001</v>
      </c>
      <c r="AB307" s="8">
        <v>4</v>
      </c>
      <c r="AC307" s="109">
        <v>5841</v>
      </c>
      <c r="AD307" s="8"/>
      <c r="AE307" s="319" t="s">
        <v>985</v>
      </c>
      <c r="AF307" s="198">
        <f t="shared" si="29"/>
        <v>3.78E-2</v>
      </c>
      <c r="AG307" s="163"/>
      <c r="AH307" s="163"/>
      <c r="AI307" s="164"/>
      <c r="AJ307" s="141"/>
      <c r="AK307" s="265"/>
      <c r="AL307" s="265"/>
      <c r="AM307" s="267"/>
      <c r="AN307" s="126"/>
      <c r="AO307" s="72"/>
      <c r="AP307" s="72"/>
      <c r="AQ307" s="127"/>
    </row>
    <row r="308" spans="1:43" x14ac:dyDescent="0.25">
      <c r="A308" s="24">
        <v>305</v>
      </c>
      <c r="B308" s="24" t="s">
        <v>28</v>
      </c>
      <c r="C308" s="8" t="s">
        <v>980</v>
      </c>
      <c r="D308" s="8" t="s">
        <v>981</v>
      </c>
      <c r="E308" s="8"/>
      <c r="F308" s="24" t="s">
        <v>1001</v>
      </c>
      <c r="G308" s="8"/>
      <c r="H308" s="8" t="s">
        <v>31</v>
      </c>
      <c r="I308" s="24" t="s">
        <v>985</v>
      </c>
      <c r="J308" s="8"/>
      <c r="K308" s="24">
        <v>0.126</v>
      </c>
      <c r="L308" s="24">
        <v>0.126</v>
      </c>
      <c r="M308" s="24">
        <v>1</v>
      </c>
      <c r="N308" s="24" t="s">
        <v>33</v>
      </c>
      <c r="O308" s="24">
        <f t="shared" si="25"/>
        <v>2.1545999999999998</v>
      </c>
      <c r="P308" s="24">
        <f t="shared" si="26"/>
        <v>2.5137</v>
      </c>
      <c r="Q308" s="24">
        <f t="shared" si="27"/>
        <v>1.4364000000000001</v>
      </c>
      <c r="R308" s="24">
        <f t="shared" si="28"/>
        <v>1.0772999999999999</v>
      </c>
      <c r="S308" s="37">
        <v>7.1820000000000004</v>
      </c>
      <c r="T308" s="8">
        <v>105991.94</v>
      </c>
      <c r="U308" s="8">
        <v>13354.98444</v>
      </c>
      <c r="V308" s="8"/>
      <c r="W308" s="8"/>
      <c r="X308" s="24" t="s">
        <v>983</v>
      </c>
      <c r="Y308" s="24">
        <v>73039</v>
      </c>
      <c r="Z308" s="8">
        <v>6.18</v>
      </c>
      <c r="AA308" s="8" t="s">
        <v>1001</v>
      </c>
      <c r="AB308" s="8">
        <v>5</v>
      </c>
      <c r="AC308" s="109">
        <v>5841</v>
      </c>
      <c r="AD308" s="8"/>
      <c r="AE308" s="319" t="s">
        <v>985</v>
      </c>
      <c r="AF308" s="198">
        <f t="shared" si="29"/>
        <v>3.78E-2</v>
      </c>
      <c r="AG308" s="163"/>
      <c r="AH308" s="163"/>
      <c r="AI308" s="164"/>
      <c r="AJ308" s="141"/>
      <c r="AK308" s="265"/>
      <c r="AL308" s="265"/>
      <c r="AM308" s="267"/>
      <c r="AN308" s="126"/>
      <c r="AO308" s="72"/>
      <c r="AP308" s="72"/>
      <c r="AQ308" s="127"/>
    </row>
    <row r="309" spans="1:43" x14ac:dyDescent="0.25">
      <c r="A309" s="24">
        <v>306</v>
      </c>
      <c r="B309" s="24" t="s">
        <v>28</v>
      </c>
      <c r="C309" s="8" t="s">
        <v>980</v>
      </c>
      <c r="D309" s="8" t="s">
        <v>981</v>
      </c>
      <c r="E309" s="8"/>
      <c r="F309" s="24" t="s">
        <v>1001</v>
      </c>
      <c r="G309" s="8"/>
      <c r="H309" s="8" t="s">
        <v>31</v>
      </c>
      <c r="I309" s="24" t="s">
        <v>985</v>
      </c>
      <c r="J309" s="8"/>
      <c r="K309" s="24">
        <v>0.126</v>
      </c>
      <c r="L309" s="24">
        <v>0.126</v>
      </c>
      <c r="M309" s="24">
        <v>1</v>
      </c>
      <c r="N309" s="24" t="s">
        <v>33</v>
      </c>
      <c r="O309" s="24">
        <f t="shared" si="25"/>
        <v>2.1545999999999998</v>
      </c>
      <c r="P309" s="24">
        <f t="shared" si="26"/>
        <v>2.5137</v>
      </c>
      <c r="Q309" s="24">
        <f t="shared" si="27"/>
        <v>1.4364000000000001</v>
      </c>
      <c r="R309" s="24">
        <f t="shared" si="28"/>
        <v>1.0772999999999999</v>
      </c>
      <c r="S309" s="37">
        <v>7.1820000000000004</v>
      </c>
      <c r="T309" s="8">
        <v>105991.94</v>
      </c>
      <c r="U309" s="8">
        <v>13354.98444</v>
      </c>
      <c r="V309" s="8"/>
      <c r="W309" s="8"/>
      <c r="X309" s="24" t="s">
        <v>983</v>
      </c>
      <c r="Y309" s="24">
        <v>73039</v>
      </c>
      <c r="Z309" s="8">
        <v>6.18</v>
      </c>
      <c r="AA309" s="8" t="s">
        <v>1001</v>
      </c>
      <c r="AB309" s="8">
        <v>6</v>
      </c>
      <c r="AC309" s="109">
        <v>5841</v>
      </c>
      <c r="AD309" s="8"/>
      <c r="AE309" s="319" t="s">
        <v>985</v>
      </c>
      <c r="AF309" s="198">
        <f t="shared" si="29"/>
        <v>3.78E-2</v>
      </c>
      <c r="AG309" s="163"/>
      <c r="AH309" s="163"/>
      <c r="AI309" s="164"/>
      <c r="AJ309" s="141"/>
      <c r="AK309" s="265"/>
      <c r="AL309" s="265"/>
      <c r="AM309" s="267"/>
      <c r="AN309" s="126"/>
      <c r="AO309" s="72"/>
      <c r="AP309" s="72"/>
      <c r="AQ309" s="127"/>
    </row>
    <row r="310" spans="1:43" x14ac:dyDescent="0.25">
      <c r="A310" s="24">
        <v>307</v>
      </c>
      <c r="B310" s="24" t="s">
        <v>28</v>
      </c>
      <c r="C310" s="8" t="s">
        <v>980</v>
      </c>
      <c r="D310" s="8" t="s">
        <v>981</v>
      </c>
      <c r="E310" s="8"/>
      <c r="F310" s="24" t="s">
        <v>1001</v>
      </c>
      <c r="G310" s="8"/>
      <c r="H310" s="8" t="s">
        <v>31</v>
      </c>
      <c r="I310" s="24" t="s">
        <v>985</v>
      </c>
      <c r="J310" s="8"/>
      <c r="K310" s="24">
        <v>0.126</v>
      </c>
      <c r="L310" s="24">
        <v>0.126</v>
      </c>
      <c r="M310" s="24">
        <v>1</v>
      </c>
      <c r="N310" s="24" t="s">
        <v>33</v>
      </c>
      <c r="O310" s="24">
        <f t="shared" si="25"/>
        <v>2.1545999999999998</v>
      </c>
      <c r="P310" s="24">
        <f t="shared" si="26"/>
        <v>2.5137</v>
      </c>
      <c r="Q310" s="24">
        <f t="shared" si="27"/>
        <v>1.4364000000000001</v>
      </c>
      <c r="R310" s="24">
        <f t="shared" si="28"/>
        <v>1.0772999999999999</v>
      </c>
      <c r="S310" s="37">
        <v>7.1820000000000004</v>
      </c>
      <c r="T310" s="8">
        <v>105991.94</v>
      </c>
      <c r="U310" s="8">
        <v>13354.98444</v>
      </c>
      <c r="V310" s="8"/>
      <c r="W310" s="8"/>
      <c r="X310" s="24" t="s">
        <v>983</v>
      </c>
      <c r="Y310" s="24">
        <v>73039</v>
      </c>
      <c r="Z310" s="8">
        <v>6.18</v>
      </c>
      <c r="AA310" s="8" t="s">
        <v>1001</v>
      </c>
      <c r="AB310" s="8">
        <v>7</v>
      </c>
      <c r="AC310" s="109">
        <v>5841</v>
      </c>
      <c r="AD310" s="8"/>
      <c r="AE310" s="319" t="s">
        <v>985</v>
      </c>
      <c r="AF310" s="198">
        <f t="shared" si="29"/>
        <v>3.78E-2</v>
      </c>
      <c r="AG310" s="163"/>
      <c r="AH310" s="163"/>
      <c r="AI310" s="164"/>
      <c r="AJ310" s="141"/>
      <c r="AK310" s="265"/>
      <c r="AL310" s="265"/>
      <c r="AM310" s="267"/>
      <c r="AN310" s="126"/>
      <c r="AO310" s="72"/>
      <c r="AP310" s="72"/>
      <c r="AQ310" s="127"/>
    </row>
    <row r="311" spans="1:43" x14ac:dyDescent="0.25">
      <c r="A311" s="24">
        <v>308</v>
      </c>
      <c r="B311" s="24" t="s">
        <v>28</v>
      </c>
      <c r="C311" s="8" t="s">
        <v>980</v>
      </c>
      <c r="D311" s="8" t="s">
        <v>981</v>
      </c>
      <c r="E311" s="8"/>
      <c r="F311" s="24" t="s">
        <v>1001</v>
      </c>
      <c r="G311" s="8"/>
      <c r="H311" s="8" t="s">
        <v>31</v>
      </c>
      <c r="I311" s="24" t="s">
        <v>985</v>
      </c>
      <c r="J311" s="8"/>
      <c r="K311" s="24">
        <v>0.126</v>
      </c>
      <c r="L311" s="24">
        <v>0.126</v>
      </c>
      <c r="M311" s="24">
        <v>1</v>
      </c>
      <c r="N311" s="24" t="s">
        <v>33</v>
      </c>
      <c r="O311" s="24">
        <f t="shared" si="25"/>
        <v>2.1545999999999998</v>
      </c>
      <c r="P311" s="24">
        <f t="shared" si="26"/>
        <v>2.5137</v>
      </c>
      <c r="Q311" s="24">
        <f t="shared" si="27"/>
        <v>1.4364000000000001</v>
      </c>
      <c r="R311" s="24">
        <f t="shared" si="28"/>
        <v>1.0772999999999999</v>
      </c>
      <c r="S311" s="37">
        <v>7.1820000000000004</v>
      </c>
      <c r="T311" s="8">
        <v>105991.94</v>
      </c>
      <c r="U311" s="8">
        <v>13354.98444</v>
      </c>
      <c r="V311" s="8"/>
      <c r="W311" s="8"/>
      <c r="X311" s="24" t="s">
        <v>983</v>
      </c>
      <c r="Y311" s="24">
        <v>73039</v>
      </c>
      <c r="Z311" s="8">
        <v>6.18</v>
      </c>
      <c r="AA311" s="8" t="s">
        <v>1001</v>
      </c>
      <c r="AB311" s="8">
        <v>8</v>
      </c>
      <c r="AC311" s="109">
        <v>5841</v>
      </c>
      <c r="AD311" s="8"/>
      <c r="AE311" s="319" t="s">
        <v>985</v>
      </c>
      <c r="AF311" s="198">
        <f t="shared" si="29"/>
        <v>3.78E-2</v>
      </c>
      <c r="AG311" s="163"/>
      <c r="AH311" s="163"/>
      <c r="AI311" s="164"/>
      <c r="AJ311" s="141"/>
      <c r="AK311" s="265"/>
      <c r="AL311" s="265"/>
      <c r="AM311" s="267"/>
      <c r="AN311" s="126"/>
      <c r="AO311" s="72"/>
      <c r="AP311" s="72"/>
      <c r="AQ311" s="127"/>
    </row>
    <row r="312" spans="1:43" x14ac:dyDescent="0.25">
      <c r="A312" s="24">
        <v>309</v>
      </c>
      <c r="B312" s="24" t="s">
        <v>28</v>
      </c>
      <c r="C312" s="8" t="s">
        <v>980</v>
      </c>
      <c r="D312" s="8" t="s">
        <v>981</v>
      </c>
      <c r="E312" s="8"/>
      <c r="F312" s="24" t="s">
        <v>1001</v>
      </c>
      <c r="G312" s="8"/>
      <c r="H312" s="8" t="s">
        <v>31</v>
      </c>
      <c r="I312" s="24" t="s">
        <v>985</v>
      </c>
      <c r="J312" s="8"/>
      <c r="K312" s="24">
        <v>0.126</v>
      </c>
      <c r="L312" s="24">
        <v>0.126</v>
      </c>
      <c r="M312" s="24">
        <v>1</v>
      </c>
      <c r="N312" s="24" t="s">
        <v>33</v>
      </c>
      <c r="O312" s="24">
        <f t="shared" si="25"/>
        <v>2.1545999999999998</v>
      </c>
      <c r="P312" s="24">
        <f t="shared" si="26"/>
        <v>2.5137</v>
      </c>
      <c r="Q312" s="24">
        <f t="shared" si="27"/>
        <v>1.4364000000000001</v>
      </c>
      <c r="R312" s="24">
        <f t="shared" si="28"/>
        <v>1.0772999999999999</v>
      </c>
      <c r="S312" s="37">
        <v>7.1820000000000004</v>
      </c>
      <c r="T312" s="8">
        <v>105991.94</v>
      </c>
      <c r="U312" s="8">
        <v>13354.98444</v>
      </c>
      <c r="V312" s="8"/>
      <c r="W312" s="8"/>
      <c r="X312" s="24" t="s">
        <v>983</v>
      </c>
      <c r="Y312" s="24">
        <v>73039</v>
      </c>
      <c r="Z312" s="8">
        <v>6.18</v>
      </c>
      <c r="AA312" s="8" t="s">
        <v>1001</v>
      </c>
      <c r="AB312" s="8">
        <v>9</v>
      </c>
      <c r="AC312" s="109">
        <v>5846</v>
      </c>
      <c r="AD312" s="8"/>
      <c r="AE312" s="319" t="s">
        <v>985</v>
      </c>
      <c r="AF312" s="198">
        <f t="shared" si="29"/>
        <v>3.78E-2</v>
      </c>
      <c r="AG312" s="163"/>
      <c r="AH312" s="163"/>
      <c r="AI312" s="164"/>
      <c r="AJ312" s="141"/>
      <c r="AK312" s="265"/>
      <c r="AL312" s="265"/>
      <c r="AM312" s="267"/>
      <c r="AN312" s="126"/>
      <c r="AO312" s="72"/>
      <c r="AP312" s="72"/>
      <c r="AQ312" s="127"/>
    </row>
    <row r="313" spans="1:43" x14ac:dyDescent="0.25">
      <c r="A313" s="24">
        <v>310</v>
      </c>
      <c r="B313" s="24" t="s">
        <v>28</v>
      </c>
      <c r="C313" s="8" t="s">
        <v>980</v>
      </c>
      <c r="D313" s="8" t="s">
        <v>981</v>
      </c>
      <c r="E313" s="8"/>
      <c r="F313" s="24" t="s">
        <v>1001</v>
      </c>
      <c r="G313" s="8"/>
      <c r="H313" s="8" t="s">
        <v>31</v>
      </c>
      <c r="I313" s="24" t="s">
        <v>985</v>
      </c>
      <c r="J313" s="8"/>
      <c r="K313" s="24">
        <v>0.126</v>
      </c>
      <c r="L313" s="24">
        <v>0.126</v>
      </c>
      <c r="M313" s="24">
        <v>1</v>
      </c>
      <c r="N313" s="24" t="s">
        <v>33</v>
      </c>
      <c r="O313" s="24">
        <f t="shared" si="25"/>
        <v>2.1545999999999998</v>
      </c>
      <c r="P313" s="24">
        <f t="shared" si="26"/>
        <v>2.5137</v>
      </c>
      <c r="Q313" s="24">
        <f t="shared" si="27"/>
        <v>1.4364000000000001</v>
      </c>
      <c r="R313" s="24">
        <f t="shared" si="28"/>
        <v>1.0772999999999999</v>
      </c>
      <c r="S313" s="37">
        <v>7.1820000000000004</v>
      </c>
      <c r="T313" s="8">
        <v>105991.94</v>
      </c>
      <c r="U313" s="8">
        <v>13354.98444</v>
      </c>
      <c r="V313" s="8"/>
      <c r="W313" s="8"/>
      <c r="X313" s="24" t="s">
        <v>983</v>
      </c>
      <c r="Y313" s="24">
        <v>73039</v>
      </c>
      <c r="Z313" s="8">
        <v>6.18</v>
      </c>
      <c r="AA313" s="8" t="s">
        <v>1001</v>
      </c>
      <c r="AB313" s="8">
        <v>10</v>
      </c>
      <c r="AC313" s="109">
        <v>5846</v>
      </c>
      <c r="AD313" s="8"/>
      <c r="AE313" s="319" t="s">
        <v>985</v>
      </c>
      <c r="AF313" s="198">
        <f t="shared" si="29"/>
        <v>3.78E-2</v>
      </c>
      <c r="AG313" s="163"/>
      <c r="AH313" s="163"/>
      <c r="AI313" s="164"/>
      <c r="AJ313" s="141"/>
      <c r="AK313" s="265"/>
      <c r="AL313" s="265"/>
      <c r="AM313" s="267"/>
      <c r="AN313" s="126"/>
      <c r="AO313" s="72"/>
      <c r="AP313" s="72"/>
      <c r="AQ313" s="127"/>
    </row>
    <row r="314" spans="1:43" hidden="1" x14ac:dyDescent="0.25">
      <c r="A314" s="8">
        <v>311</v>
      </c>
      <c r="B314" s="8" t="s">
        <v>28</v>
      </c>
      <c r="C314" s="8" t="s">
        <v>980</v>
      </c>
      <c r="D314" s="8" t="s">
        <v>981</v>
      </c>
      <c r="E314" s="8"/>
      <c r="F314" s="8" t="s">
        <v>1001</v>
      </c>
      <c r="G314" s="8"/>
      <c r="H314" s="8" t="s">
        <v>31</v>
      </c>
      <c r="I314" s="8" t="s">
        <v>984</v>
      </c>
      <c r="J314" s="8"/>
      <c r="K314" s="8">
        <v>0.126</v>
      </c>
      <c r="L314" s="8">
        <v>0.126</v>
      </c>
      <c r="M314" s="8">
        <v>1</v>
      </c>
      <c r="N314" s="8" t="s">
        <v>33</v>
      </c>
      <c r="O314" s="8">
        <f t="shared" si="25"/>
        <v>2.1545999999999998</v>
      </c>
      <c r="P314" s="8">
        <f t="shared" si="26"/>
        <v>2.5137</v>
      </c>
      <c r="Q314" s="8">
        <f t="shared" si="27"/>
        <v>1.4364000000000001</v>
      </c>
      <c r="R314" s="8">
        <f t="shared" si="28"/>
        <v>1.0772999999999999</v>
      </c>
      <c r="S314" s="37">
        <v>7.1820000000000004</v>
      </c>
      <c r="T314" s="8">
        <v>105991.94</v>
      </c>
      <c r="U314" s="8">
        <v>13354.98444</v>
      </c>
      <c r="V314" s="8"/>
      <c r="W314" s="8"/>
      <c r="X314" s="8" t="s">
        <v>983</v>
      </c>
      <c r="Y314" s="8">
        <v>73040</v>
      </c>
      <c r="Z314" s="8">
        <v>6.18</v>
      </c>
      <c r="AA314" s="8" t="s">
        <v>1001</v>
      </c>
      <c r="AB314" s="8">
        <v>1</v>
      </c>
      <c r="AC314" s="8">
        <v>5839</v>
      </c>
      <c r="AD314" s="8"/>
      <c r="AE314" s="319" t="s">
        <v>984</v>
      </c>
      <c r="AF314" s="141"/>
      <c r="AG314" s="163"/>
      <c r="AH314" s="163"/>
      <c r="AI314" s="164"/>
      <c r="AJ314" s="126"/>
      <c r="AK314" s="72"/>
      <c r="AL314" s="72"/>
      <c r="AM314" s="127"/>
      <c r="AN314" s="126"/>
      <c r="AO314" s="72"/>
      <c r="AP314" s="72"/>
      <c r="AQ314" s="127"/>
    </row>
    <row r="315" spans="1:43" hidden="1" x14ac:dyDescent="0.25">
      <c r="A315" s="8">
        <v>312</v>
      </c>
      <c r="B315" s="8" t="s">
        <v>28</v>
      </c>
      <c r="C315" s="8" t="s">
        <v>980</v>
      </c>
      <c r="D315" s="8" t="s">
        <v>981</v>
      </c>
      <c r="E315" s="8"/>
      <c r="F315" s="8" t="s">
        <v>1001</v>
      </c>
      <c r="G315" s="8"/>
      <c r="H315" s="8" t="s">
        <v>31</v>
      </c>
      <c r="I315" s="8" t="s">
        <v>984</v>
      </c>
      <c r="J315" s="8"/>
      <c r="K315" s="8">
        <v>0.126</v>
      </c>
      <c r="L315" s="8">
        <v>0.126</v>
      </c>
      <c r="M315" s="8">
        <v>1</v>
      </c>
      <c r="N315" s="8" t="s">
        <v>33</v>
      </c>
      <c r="O315" s="8">
        <f t="shared" si="25"/>
        <v>2.1545999999999998</v>
      </c>
      <c r="P315" s="8">
        <f t="shared" si="26"/>
        <v>2.5137</v>
      </c>
      <c r="Q315" s="8">
        <f t="shared" si="27"/>
        <v>1.4364000000000001</v>
      </c>
      <c r="R315" s="8">
        <f t="shared" si="28"/>
        <v>1.0772999999999999</v>
      </c>
      <c r="S315" s="37">
        <v>7.1820000000000004</v>
      </c>
      <c r="T315" s="8">
        <v>105991.94</v>
      </c>
      <c r="U315" s="8">
        <v>13354.98444</v>
      </c>
      <c r="V315" s="8"/>
      <c r="W315" s="8"/>
      <c r="X315" s="8" t="s">
        <v>983</v>
      </c>
      <c r="Y315" s="8">
        <v>73040</v>
      </c>
      <c r="Z315" s="8">
        <v>6.18</v>
      </c>
      <c r="AA315" s="8" t="s">
        <v>1001</v>
      </c>
      <c r="AB315" s="8">
        <v>2</v>
      </c>
      <c r="AC315" s="8">
        <v>5839</v>
      </c>
      <c r="AD315" s="8"/>
      <c r="AE315" s="319" t="s">
        <v>984</v>
      </c>
      <c r="AF315" s="141"/>
      <c r="AG315" s="163"/>
      <c r="AH315" s="163"/>
      <c r="AI315" s="164"/>
      <c r="AJ315" s="126"/>
      <c r="AK315" s="72"/>
      <c r="AL315" s="72"/>
      <c r="AM315" s="127"/>
      <c r="AN315" s="126"/>
      <c r="AO315" s="72"/>
      <c r="AP315" s="72"/>
      <c r="AQ315" s="127"/>
    </row>
    <row r="316" spans="1:43" hidden="1" x14ac:dyDescent="0.25">
      <c r="A316" s="8">
        <v>313</v>
      </c>
      <c r="B316" s="8" t="s">
        <v>28</v>
      </c>
      <c r="C316" s="8" t="s">
        <v>980</v>
      </c>
      <c r="D316" s="8" t="s">
        <v>981</v>
      </c>
      <c r="E316" s="8"/>
      <c r="F316" s="8" t="s">
        <v>1001</v>
      </c>
      <c r="G316" s="8"/>
      <c r="H316" s="8" t="s">
        <v>31</v>
      </c>
      <c r="I316" s="8" t="s">
        <v>984</v>
      </c>
      <c r="J316" s="8"/>
      <c r="K316" s="8">
        <v>0.126</v>
      </c>
      <c r="L316" s="8">
        <v>0.126</v>
      </c>
      <c r="M316" s="8">
        <v>1</v>
      </c>
      <c r="N316" s="8" t="s">
        <v>33</v>
      </c>
      <c r="O316" s="8">
        <f t="shared" si="25"/>
        <v>2.1545999999999998</v>
      </c>
      <c r="P316" s="8">
        <f t="shared" si="26"/>
        <v>2.5137</v>
      </c>
      <c r="Q316" s="8">
        <f t="shared" si="27"/>
        <v>1.4364000000000001</v>
      </c>
      <c r="R316" s="8">
        <f t="shared" si="28"/>
        <v>1.0772999999999999</v>
      </c>
      <c r="S316" s="37">
        <v>7.1820000000000004</v>
      </c>
      <c r="T316" s="8">
        <v>105991.94</v>
      </c>
      <c r="U316" s="8">
        <v>13354.98444</v>
      </c>
      <c r="V316" s="8"/>
      <c r="W316" s="8"/>
      <c r="X316" s="8" t="s">
        <v>983</v>
      </c>
      <c r="Y316" s="8">
        <v>73040</v>
      </c>
      <c r="Z316" s="8">
        <v>6.18</v>
      </c>
      <c r="AA316" s="8" t="s">
        <v>1001</v>
      </c>
      <c r="AB316" s="8">
        <v>3</v>
      </c>
      <c r="AC316" s="8">
        <v>5839</v>
      </c>
      <c r="AD316" s="8"/>
      <c r="AE316" s="319" t="s">
        <v>984</v>
      </c>
      <c r="AF316" s="141"/>
      <c r="AG316" s="163"/>
      <c r="AH316" s="163"/>
      <c r="AI316" s="164"/>
      <c r="AJ316" s="126"/>
      <c r="AK316" s="72"/>
      <c r="AL316" s="72"/>
      <c r="AM316" s="127"/>
      <c r="AN316" s="126"/>
      <c r="AO316" s="72"/>
      <c r="AP316" s="72"/>
      <c r="AQ316" s="127"/>
    </row>
    <row r="317" spans="1:43" hidden="1" x14ac:dyDescent="0.25">
      <c r="A317" s="8">
        <v>314</v>
      </c>
      <c r="B317" s="8" t="s">
        <v>28</v>
      </c>
      <c r="C317" s="8" t="s">
        <v>980</v>
      </c>
      <c r="D317" s="8" t="s">
        <v>981</v>
      </c>
      <c r="E317" s="8"/>
      <c r="F317" s="8" t="s">
        <v>1001</v>
      </c>
      <c r="G317" s="8"/>
      <c r="H317" s="8" t="s">
        <v>31</v>
      </c>
      <c r="I317" s="8" t="s">
        <v>984</v>
      </c>
      <c r="J317" s="8"/>
      <c r="K317" s="8">
        <v>0.126</v>
      </c>
      <c r="L317" s="8">
        <v>0.126</v>
      </c>
      <c r="M317" s="8">
        <v>1</v>
      </c>
      <c r="N317" s="8" t="s">
        <v>33</v>
      </c>
      <c r="O317" s="8">
        <f t="shared" si="25"/>
        <v>2.1545999999999998</v>
      </c>
      <c r="P317" s="8">
        <f t="shared" si="26"/>
        <v>2.5137</v>
      </c>
      <c r="Q317" s="8">
        <f t="shared" si="27"/>
        <v>1.4364000000000001</v>
      </c>
      <c r="R317" s="8">
        <f t="shared" si="28"/>
        <v>1.0772999999999999</v>
      </c>
      <c r="S317" s="37">
        <v>7.1820000000000004</v>
      </c>
      <c r="T317" s="8">
        <v>105991.94</v>
      </c>
      <c r="U317" s="8">
        <v>13354.98444</v>
      </c>
      <c r="V317" s="8"/>
      <c r="W317" s="8"/>
      <c r="X317" s="8" t="s">
        <v>983</v>
      </c>
      <c r="Y317" s="8">
        <v>73040</v>
      </c>
      <c r="Z317" s="8">
        <v>6.18</v>
      </c>
      <c r="AA317" s="8" t="s">
        <v>1001</v>
      </c>
      <c r="AB317" s="8">
        <v>4</v>
      </c>
      <c r="AC317" s="8">
        <v>5839</v>
      </c>
      <c r="AD317" s="8"/>
      <c r="AE317" s="319" t="s">
        <v>984</v>
      </c>
      <c r="AF317" s="141"/>
      <c r="AG317" s="163"/>
      <c r="AH317" s="163"/>
      <c r="AI317" s="164"/>
      <c r="AJ317" s="126"/>
      <c r="AK317" s="72"/>
      <c r="AL317" s="72"/>
      <c r="AM317" s="127"/>
      <c r="AN317" s="126"/>
      <c r="AO317" s="72"/>
      <c r="AP317" s="72"/>
      <c r="AQ317" s="127"/>
    </row>
    <row r="318" spans="1:43" hidden="1" x14ac:dyDescent="0.25">
      <c r="A318" s="8">
        <v>315</v>
      </c>
      <c r="B318" s="8" t="s">
        <v>28</v>
      </c>
      <c r="C318" s="8" t="s">
        <v>980</v>
      </c>
      <c r="D318" s="8" t="s">
        <v>981</v>
      </c>
      <c r="E318" s="8"/>
      <c r="F318" s="8" t="s">
        <v>1001</v>
      </c>
      <c r="G318" s="8"/>
      <c r="H318" s="8" t="s">
        <v>31</v>
      </c>
      <c r="I318" s="8" t="s">
        <v>984</v>
      </c>
      <c r="J318" s="8"/>
      <c r="K318" s="8">
        <v>0.126</v>
      </c>
      <c r="L318" s="8">
        <v>0.126</v>
      </c>
      <c r="M318" s="8">
        <v>1</v>
      </c>
      <c r="N318" s="8" t="s">
        <v>33</v>
      </c>
      <c r="O318" s="8">
        <f t="shared" si="25"/>
        <v>2.1545999999999998</v>
      </c>
      <c r="P318" s="8">
        <f t="shared" si="26"/>
        <v>2.5137</v>
      </c>
      <c r="Q318" s="8">
        <f t="shared" si="27"/>
        <v>1.4364000000000001</v>
      </c>
      <c r="R318" s="8">
        <f t="shared" si="28"/>
        <v>1.0772999999999999</v>
      </c>
      <c r="S318" s="37">
        <v>7.1820000000000004</v>
      </c>
      <c r="T318" s="8">
        <v>105991.94</v>
      </c>
      <c r="U318" s="8">
        <v>13354.98444</v>
      </c>
      <c r="V318" s="8"/>
      <c r="W318" s="8"/>
      <c r="X318" s="8" t="s">
        <v>983</v>
      </c>
      <c r="Y318" s="8">
        <v>73040</v>
      </c>
      <c r="Z318" s="8">
        <v>6.18</v>
      </c>
      <c r="AA318" s="8" t="s">
        <v>1001</v>
      </c>
      <c r="AB318" s="8">
        <v>5</v>
      </c>
      <c r="AC318" s="8">
        <v>5839</v>
      </c>
      <c r="AD318" s="8"/>
      <c r="AE318" s="319" t="s">
        <v>984</v>
      </c>
      <c r="AF318" s="141"/>
      <c r="AG318" s="163"/>
      <c r="AH318" s="163"/>
      <c r="AI318" s="164"/>
      <c r="AJ318" s="126"/>
      <c r="AK318" s="72"/>
      <c r="AL318" s="72"/>
      <c r="AM318" s="127"/>
      <c r="AN318" s="126"/>
      <c r="AO318" s="72"/>
      <c r="AP318" s="72"/>
      <c r="AQ318" s="127"/>
    </row>
    <row r="319" spans="1:43" hidden="1" x14ac:dyDescent="0.25">
      <c r="A319" s="8">
        <v>316</v>
      </c>
      <c r="B319" s="8" t="s">
        <v>28</v>
      </c>
      <c r="C319" s="8" t="s">
        <v>980</v>
      </c>
      <c r="D319" s="8" t="s">
        <v>981</v>
      </c>
      <c r="E319" s="8"/>
      <c r="F319" s="8" t="s">
        <v>1001</v>
      </c>
      <c r="G319" s="8"/>
      <c r="H319" s="8" t="s">
        <v>31</v>
      </c>
      <c r="I319" s="8" t="s">
        <v>984</v>
      </c>
      <c r="J319" s="8"/>
      <c r="K319" s="8">
        <v>0.126</v>
      </c>
      <c r="L319" s="8">
        <v>0.126</v>
      </c>
      <c r="M319" s="8">
        <v>1</v>
      </c>
      <c r="N319" s="8" t="s">
        <v>33</v>
      </c>
      <c r="O319" s="8">
        <f t="shared" si="25"/>
        <v>2.1545999999999998</v>
      </c>
      <c r="P319" s="8">
        <f t="shared" si="26"/>
        <v>2.5137</v>
      </c>
      <c r="Q319" s="8">
        <f t="shared" si="27"/>
        <v>1.4364000000000001</v>
      </c>
      <c r="R319" s="8">
        <f t="shared" si="28"/>
        <v>1.0772999999999999</v>
      </c>
      <c r="S319" s="37">
        <v>7.1820000000000004</v>
      </c>
      <c r="T319" s="8">
        <v>105991.94</v>
      </c>
      <c r="U319" s="8">
        <v>13354.98444</v>
      </c>
      <c r="V319" s="8"/>
      <c r="W319" s="8"/>
      <c r="X319" s="8" t="s">
        <v>983</v>
      </c>
      <c r="Y319" s="8">
        <v>73040</v>
      </c>
      <c r="Z319" s="8">
        <v>6.18</v>
      </c>
      <c r="AA319" s="8" t="s">
        <v>1001</v>
      </c>
      <c r="AB319" s="8">
        <v>6</v>
      </c>
      <c r="AC319" s="8">
        <v>5839</v>
      </c>
      <c r="AD319" s="8"/>
      <c r="AE319" s="319" t="s">
        <v>984</v>
      </c>
      <c r="AF319" s="141"/>
      <c r="AG319" s="163"/>
      <c r="AH319" s="163"/>
      <c r="AI319" s="164"/>
      <c r="AJ319" s="126"/>
      <c r="AK319" s="72"/>
      <c r="AL319" s="72"/>
      <c r="AM319" s="127"/>
      <c r="AN319" s="126"/>
      <c r="AO319" s="72"/>
      <c r="AP319" s="72"/>
      <c r="AQ319" s="127"/>
    </row>
    <row r="320" spans="1:43" hidden="1" x14ac:dyDescent="0.25">
      <c r="A320" s="8">
        <v>317</v>
      </c>
      <c r="B320" s="8" t="s">
        <v>28</v>
      </c>
      <c r="C320" s="8" t="s">
        <v>980</v>
      </c>
      <c r="D320" s="8" t="s">
        <v>981</v>
      </c>
      <c r="E320" s="8"/>
      <c r="F320" s="8" t="s">
        <v>1001</v>
      </c>
      <c r="G320" s="8"/>
      <c r="H320" s="8" t="s">
        <v>31</v>
      </c>
      <c r="I320" s="8" t="s">
        <v>985</v>
      </c>
      <c r="J320" s="8"/>
      <c r="K320" s="8">
        <v>0.126</v>
      </c>
      <c r="L320" s="8">
        <v>0.126</v>
      </c>
      <c r="M320" s="8">
        <v>1</v>
      </c>
      <c r="N320" s="8" t="s">
        <v>33</v>
      </c>
      <c r="O320" s="8">
        <f t="shared" si="25"/>
        <v>2.1545999999999998</v>
      </c>
      <c r="P320" s="8">
        <f t="shared" si="26"/>
        <v>2.5137</v>
      </c>
      <c r="Q320" s="8">
        <f t="shared" si="27"/>
        <v>1.4364000000000001</v>
      </c>
      <c r="R320" s="8">
        <f t="shared" si="28"/>
        <v>1.0772999999999999</v>
      </c>
      <c r="S320" s="37">
        <v>7.1820000000000004</v>
      </c>
      <c r="T320" s="8">
        <v>105991.94</v>
      </c>
      <c r="U320" s="8">
        <v>13354.98444</v>
      </c>
      <c r="V320" s="8"/>
      <c r="W320" s="8"/>
      <c r="X320" s="8" t="s">
        <v>983</v>
      </c>
      <c r="Y320" s="8">
        <v>73040</v>
      </c>
      <c r="Z320" s="8">
        <v>6.18</v>
      </c>
      <c r="AA320" s="8" t="s">
        <v>1001</v>
      </c>
      <c r="AB320" s="8">
        <v>7</v>
      </c>
      <c r="AC320" s="8">
        <v>5841</v>
      </c>
      <c r="AD320" s="8"/>
      <c r="AE320" s="319" t="s">
        <v>985</v>
      </c>
      <c r="AF320" s="141"/>
      <c r="AG320" s="163"/>
      <c r="AH320" s="163"/>
      <c r="AI320" s="164"/>
      <c r="AJ320" s="126"/>
      <c r="AK320" s="72"/>
      <c r="AL320" s="72"/>
      <c r="AM320" s="127"/>
      <c r="AN320" s="126"/>
      <c r="AO320" s="72"/>
      <c r="AP320" s="72"/>
      <c r="AQ320" s="127"/>
    </row>
    <row r="321" spans="1:43" hidden="1" x14ac:dyDescent="0.25">
      <c r="A321" s="8">
        <v>318</v>
      </c>
      <c r="B321" s="8" t="s">
        <v>28</v>
      </c>
      <c r="C321" s="8" t="s">
        <v>980</v>
      </c>
      <c r="D321" s="8" t="s">
        <v>981</v>
      </c>
      <c r="E321" s="8"/>
      <c r="F321" s="8" t="s">
        <v>1001</v>
      </c>
      <c r="G321" s="8"/>
      <c r="H321" s="8" t="s">
        <v>31</v>
      </c>
      <c r="I321" s="8" t="s">
        <v>985</v>
      </c>
      <c r="J321" s="8"/>
      <c r="K321" s="8">
        <v>0.126</v>
      </c>
      <c r="L321" s="8">
        <v>0.126</v>
      </c>
      <c r="M321" s="8">
        <v>1</v>
      </c>
      <c r="N321" s="8" t="s">
        <v>33</v>
      </c>
      <c r="O321" s="8">
        <f t="shared" si="25"/>
        <v>2.1545999999999998</v>
      </c>
      <c r="P321" s="8">
        <f t="shared" si="26"/>
        <v>2.5137</v>
      </c>
      <c r="Q321" s="8">
        <f t="shared" si="27"/>
        <v>1.4364000000000001</v>
      </c>
      <c r="R321" s="8">
        <f t="shared" si="28"/>
        <v>1.0772999999999999</v>
      </c>
      <c r="S321" s="37">
        <v>7.1820000000000004</v>
      </c>
      <c r="T321" s="8">
        <v>105991.94</v>
      </c>
      <c r="U321" s="8">
        <v>13354.98444</v>
      </c>
      <c r="V321" s="8"/>
      <c r="W321" s="8"/>
      <c r="X321" s="8" t="s">
        <v>983</v>
      </c>
      <c r="Y321" s="8">
        <v>73040</v>
      </c>
      <c r="Z321" s="8">
        <v>6.18</v>
      </c>
      <c r="AA321" s="8" t="s">
        <v>1001</v>
      </c>
      <c r="AB321" s="8">
        <v>8</v>
      </c>
      <c r="AC321" s="8">
        <v>5841</v>
      </c>
      <c r="AD321" s="8"/>
      <c r="AE321" s="319" t="s">
        <v>985</v>
      </c>
      <c r="AF321" s="141"/>
      <c r="AG321" s="163"/>
      <c r="AH321" s="163"/>
      <c r="AI321" s="164"/>
      <c r="AJ321" s="126"/>
      <c r="AK321" s="72"/>
      <c r="AL321" s="72"/>
      <c r="AM321" s="127"/>
      <c r="AN321" s="126"/>
      <c r="AO321" s="72"/>
      <c r="AP321" s="72"/>
      <c r="AQ321" s="127"/>
    </row>
    <row r="322" spans="1:43" hidden="1" x14ac:dyDescent="0.25">
      <c r="A322" s="8">
        <v>319</v>
      </c>
      <c r="B322" s="8" t="s">
        <v>28</v>
      </c>
      <c r="C322" s="8" t="s">
        <v>980</v>
      </c>
      <c r="D322" s="8" t="s">
        <v>981</v>
      </c>
      <c r="E322" s="8"/>
      <c r="F322" s="8" t="s">
        <v>1001</v>
      </c>
      <c r="G322" s="8"/>
      <c r="H322" s="8" t="s">
        <v>31</v>
      </c>
      <c r="I322" s="8" t="s">
        <v>985</v>
      </c>
      <c r="J322" s="8"/>
      <c r="K322" s="8">
        <v>0.126</v>
      </c>
      <c r="L322" s="8">
        <v>0.126</v>
      </c>
      <c r="M322" s="8">
        <v>1</v>
      </c>
      <c r="N322" s="8" t="s">
        <v>33</v>
      </c>
      <c r="O322" s="8">
        <f t="shared" si="25"/>
        <v>2.1545999999999998</v>
      </c>
      <c r="P322" s="8">
        <f t="shared" si="26"/>
        <v>2.5137</v>
      </c>
      <c r="Q322" s="8">
        <f t="shared" si="27"/>
        <v>1.4364000000000001</v>
      </c>
      <c r="R322" s="8">
        <f t="shared" si="28"/>
        <v>1.0772999999999999</v>
      </c>
      <c r="S322" s="37">
        <v>7.1820000000000004</v>
      </c>
      <c r="T322" s="8">
        <v>105991.94</v>
      </c>
      <c r="U322" s="8">
        <v>13354.98444</v>
      </c>
      <c r="V322" s="8"/>
      <c r="W322" s="8"/>
      <c r="X322" s="8" t="s">
        <v>983</v>
      </c>
      <c r="Y322" s="8">
        <v>73040</v>
      </c>
      <c r="Z322" s="8">
        <v>6.18</v>
      </c>
      <c r="AA322" s="8" t="s">
        <v>1001</v>
      </c>
      <c r="AB322" s="8">
        <v>9</v>
      </c>
      <c r="AC322" s="8">
        <v>5841</v>
      </c>
      <c r="AD322" s="8"/>
      <c r="AE322" s="319" t="s">
        <v>985</v>
      </c>
      <c r="AF322" s="141"/>
      <c r="AG322" s="163"/>
      <c r="AH322" s="163"/>
      <c r="AI322" s="164"/>
      <c r="AJ322" s="126"/>
      <c r="AK322" s="72"/>
      <c r="AL322" s="72"/>
      <c r="AM322" s="127"/>
      <c r="AN322" s="126"/>
      <c r="AO322" s="72"/>
      <c r="AP322" s="72"/>
      <c r="AQ322" s="127"/>
    </row>
    <row r="323" spans="1:43" hidden="1" x14ac:dyDescent="0.25">
      <c r="A323" s="8">
        <v>320</v>
      </c>
      <c r="B323" s="8" t="s">
        <v>28</v>
      </c>
      <c r="C323" s="8" t="s">
        <v>980</v>
      </c>
      <c r="D323" s="8" t="s">
        <v>981</v>
      </c>
      <c r="E323" s="8"/>
      <c r="F323" s="8" t="s">
        <v>1001</v>
      </c>
      <c r="G323" s="8"/>
      <c r="H323" s="8" t="s">
        <v>31</v>
      </c>
      <c r="I323" s="8" t="s">
        <v>985</v>
      </c>
      <c r="J323" s="8"/>
      <c r="K323" s="8">
        <v>0.126</v>
      </c>
      <c r="L323" s="8">
        <v>0.126</v>
      </c>
      <c r="M323" s="8">
        <v>1</v>
      </c>
      <c r="N323" s="8" t="s">
        <v>33</v>
      </c>
      <c r="O323" s="8">
        <f t="shared" si="25"/>
        <v>2.1545999999999998</v>
      </c>
      <c r="P323" s="8">
        <f t="shared" si="26"/>
        <v>2.5137</v>
      </c>
      <c r="Q323" s="8">
        <f t="shared" si="27"/>
        <v>1.4364000000000001</v>
      </c>
      <c r="R323" s="8">
        <f t="shared" si="28"/>
        <v>1.0772999999999999</v>
      </c>
      <c r="S323" s="37">
        <v>7.1820000000000004</v>
      </c>
      <c r="T323" s="8">
        <v>105991.94</v>
      </c>
      <c r="U323" s="8">
        <v>13354.98444</v>
      </c>
      <c r="V323" s="8"/>
      <c r="W323" s="8"/>
      <c r="X323" s="8" t="s">
        <v>983</v>
      </c>
      <c r="Y323" s="8">
        <v>73040</v>
      </c>
      <c r="Z323" s="8">
        <v>6.18</v>
      </c>
      <c r="AA323" s="8" t="s">
        <v>1001</v>
      </c>
      <c r="AB323" s="8">
        <v>10</v>
      </c>
      <c r="AC323" s="8">
        <v>5841</v>
      </c>
      <c r="AD323" s="8"/>
      <c r="AE323" s="319" t="s">
        <v>985</v>
      </c>
      <c r="AF323" s="141"/>
      <c r="AG323" s="163"/>
      <c r="AH323" s="163"/>
      <c r="AI323" s="164"/>
      <c r="AJ323" s="126"/>
      <c r="AK323" s="72"/>
      <c r="AL323" s="72"/>
      <c r="AM323" s="127"/>
      <c r="AN323" s="126"/>
      <c r="AO323" s="72"/>
      <c r="AP323" s="72"/>
      <c r="AQ323" s="127"/>
    </row>
    <row r="324" spans="1:43" hidden="1" x14ac:dyDescent="0.25">
      <c r="A324" s="8">
        <v>321</v>
      </c>
      <c r="B324" s="8" t="s">
        <v>28</v>
      </c>
      <c r="C324" s="8" t="s">
        <v>980</v>
      </c>
      <c r="D324" s="8" t="s">
        <v>981</v>
      </c>
      <c r="E324" s="8"/>
      <c r="F324" s="8" t="s">
        <v>1001</v>
      </c>
      <c r="G324" s="8"/>
      <c r="H324" s="8" t="s">
        <v>31</v>
      </c>
      <c r="I324" s="8" t="s">
        <v>984</v>
      </c>
      <c r="J324" s="8"/>
      <c r="K324" s="8">
        <v>0.126</v>
      </c>
      <c r="L324" s="8">
        <v>0.126</v>
      </c>
      <c r="M324" s="8">
        <v>1</v>
      </c>
      <c r="N324" s="8" t="s">
        <v>33</v>
      </c>
      <c r="O324" s="8">
        <f t="shared" si="25"/>
        <v>2.1545999999999998</v>
      </c>
      <c r="P324" s="8">
        <f t="shared" si="26"/>
        <v>2.5137</v>
      </c>
      <c r="Q324" s="8">
        <f t="shared" si="27"/>
        <v>1.4364000000000001</v>
      </c>
      <c r="R324" s="8">
        <f t="shared" si="28"/>
        <v>1.0772999999999999</v>
      </c>
      <c r="S324" s="37">
        <v>7.1820000000000004</v>
      </c>
      <c r="T324" s="8">
        <v>105991.94</v>
      </c>
      <c r="U324" s="8">
        <v>13354.98444</v>
      </c>
      <c r="V324" s="8"/>
      <c r="W324" s="8"/>
      <c r="X324" s="8" t="s">
        <v>983</v>
      </c>
      <c r="Y324" s="8">
        <v>73041</v>
      </c>
      <c r="Z324" s="8">
        <v>6.18</v>
      </c>
      <c r="AA324" s="8" t="s">
        <v>1001</v>
      </c>
      <c r="AB324" s="8">
        <v>1</v>
      </c>
      <c r="AC324" s="8">
        <v>5839</v>
      </c>
      <c r="AD324" s="8"/>
      <c r="AE324" s="319" t="s">
        <v>984</v>
      </c>
      <c r="AF324" s="141"/>
      <c r="AG324" s="163"/>
      <c r="AH324" s="163"/>
      <c r="AI324" s="164"/>
      <c r="AJ324" s="58"/>
      <c r="AK324" s="72"/>
      <c r="AL324" s="72"/>
      <c r="AM324" s="127"/>
      <c r="AN324" s="126"/>
      <c r="AO324" s="72"/>
      <c r="AP324" s="72"/>
      <c r="AQ324" s="127"/>
    </row>
    <row r="325" spans="1:43" hidden="1" x14ac:dyDescent="0.25">
      <c r="A325" s="8">
        <v>322</v>
      </c>
      <c r="B325" s="8" t="s">
        <v>28</v>
      </c>
      <c r="C325" s="8" t="s">
        <v>980</v>
      </c>
      <c r="D325" s="8" t="s">
        <v>981</v>
      </c>
      <c r="E325" s="8"/>
      <c r="F325" s="8" t="s">
        <v>1001</v>
      </c>
      <c r="G325" s="8"/>
      <c r="H325" s="8" t="s">
        <v>31</v>
      </c>
      <c r="I325" s="8" t="s">
        <v>984</v>
      </c>
      <c r="J325" s="8"/>
      <c r="K325" s="8">
        <v>0.126</v>
      </c>
      <c r="L325" s="8">
        <v>0.126</v>
      </c>
      <c r="M325" s="8">
        <v>1</v>
      </c>
      <c r="N325" s="8" t="s">
        <v>33</v>
      </c>
      <c r="O325" s="8">
        <f t="shared" si="25"/>
        <v>2.1545999999999998</v>
      </c>
      <c r="P325" s="8">
        <f t="shared" si="26"/>
        <v>2.5137</v>
      </c>
      <c r="Q325" s="8">
        <f t="shared" si="27"/>
        <v>1.4364000000000001</v>
      </c>
      <c r="R325" s="8">
        <f t="shared" si="28"/>
        <v>1.0772999999999999</v>
      </c>
      <c r="S325" s="37">
        <v>7.1820000000000004</v>
      </c>
      <c r="T325" s="8">
        <v>105991.94</v>
      </c>
      <c r="U325" s="8">
        <v>13354.98444</v>
      </c>
      <c r="V325" s="8"/>
      <c r="W325" s="8"/>
      <c r="X325" s="8" t="s">
        <v>983</v>
      </c>
      <c r="Y325" s="8">
        <v>73041</v>
      </c>
      <c r="Z325" s="8">
        <v>6.18</v>
      </c>
      <c r="AA325" s="8" t="s">
        <v>1001</v>
      </c>
      <c r="AB325" s="8">
        <v>2</v>
      </c>
      <c r="AC325" s="8">
        <v>5839</v>
      </c>
      <c r="AD325" s="8"/>
      <c r="AE325" s="319" t="s">
        <v>984</v>
      </c>
      <c r="AF325" s="141"/>
      <c r="AG325" s="163"/>
      <c r="AH325" s="163"/>
      <c r="AI325" s="164"/>
      <c r="AJ325" s="58"/>
      <c r="AK325" s="72"/>
      <c r="AL325" s="72"/>
      <c r="AM325" s="127"/>
      <c r="AN325" s="126"/>
      <c r="AO325" s="72"/>
      <c r="AP325" s="72"/>
      <c r="AQ325" s="127"/>
    </row>
    <row r="326" spans="1:43" hidden="1" x14ac:dyDescent="0.25">
      <c r="A326" s="8">
        <v>323</v>
      </c>
      <c r="B326" s="8" t="s">
        <v>28</v>
      </c>
      <c r="C326" s="8" t="s">
        <v>980</v>
      </c>
      <c r="D326" s="8" t="s">
        <v>981</v>
      </c>
      <c r="E326" s="8"/>
      <c r="F326" s="8" t="s">
        <v>1001</v>
      </c>
      <c r="G326" s="8"/>
      <c r="H326" s="8" t="s">
        <v>31</v>
      </c>
      <c r="I326" s="8" t="s">
        <v>985</v>
      </c>
      <c r="J326" s="8"/>
      <c r="K326" s="8">
        <v>0.126</v>
      </c>
      <c r="L326" s="8">
        <v>0.126</v>
      </c>
      <c r="M326" s="8">
        <v>1</v>
      </c>
      <c r="N326" s="8" t="s">
        <v>33</v>
      </c>
      <c r="O326" s="8">
        <f t="shared" ref="O326:O361" si="31">S326*0.3</f>
        <v>2.1545999999999998</v>
      </c>
      <c r="P326" s="8">
        <f t="shared" ref="P326:P361" si="32">S326*0.35</f>
        <v>2.5137</v>
      </c>
      <c r="Q326" s="8">
        <f t="shared" ref="Q326:Q361" si="33">S326*0.2</f>
        <v>1.4364000000000001</v>
      </c>
      <c r="R326" s="8">
        <f t="shared" ref="R326:R361" si="34">S326*0.15</f>
        <v>1.0772999999999999</v>
      </c>
      <c r="S326" s="37">
        <v>7.1820000000000004</v>
      </c>
      <c r="T326" s="8">
        <v>105991.94</v>
      </c>
      <c r="U326" s="8">
        <v>13354.98444</v>
      </c>
      <c r="V326" s="8"/>
      <c r="W326" s="8"/>
      <c r="X326" s="8" t="s">
        <v>983</v>
      </c>
      <c r="Y326" s="8">
        <v>73041</v>
      </c>
      <c r="Z326" s="8">
        <v>6.18</v>
      </c>
      <c r="AA326" s="8" t="s">
        <v>1001</v>
      </c>
      <c r="AB326" s="8">
        <v>3</v>
      </c>
      <c r="AC326" s="8">
        <v>5846</v>
      </c>
      <c r="AD326" s="8"/>
      <c r="AE326" s="319" t="s">
        <v>985</v>
      </c>
      <c r="AF326" s="141"/>
      <c r="AG326" s="163"/>
      <c r="AH326" s="163"/>
      <c r="AI326" s="164"/>
      <c r="AJ326" s="58"/>
      <c r="AK326" s="72"/>
      <c r="AL326" s="72"/>
      <c r="AM326" s="127"/>
      <c r="AN326" s="126"/>
      <c r="AO326" s="72"/>
      <c r="AP326" s="72"/>
      <c r="AQ326" s="127"/>
    </row>
    <row r="327" spans="1:43" hidden="1" x14ac:dyDescent="0.25">
      <c r="A327" s="8">
        <v>324</v>
      </c>
      <c r="B327" s="8" t="s">
        <v>28</v>
      </c>
      <c r="C327" s="8" t="s">
        <v>980</v>
      </c>
      <c r="D327" s="8" t="s">
        <v>981</v>
      </c>
      <c r="E327" s="8"/>
      <c r="F327" s="8" t="s">
        <v>1001</v>
      </c>
      <c r="G327" s="8"/>
      <c r="H327" s="8" t="s">
        <v>31</v>
      </c>
      <c r="I327" s="8" t="s">
        <v>985</v>
      </c>
      <c r="J327" s="8"/>
      <c r="K327" s="8">
        <v>0.126</v>
      </c>
      <c r="L327" s="8">
        <v>0.126</v>
      </c>
      <c r="M327" s="8">
        <v>1</v>
      </c>
      <c r="N327" s="8" t="s">
        <v>33</v>
      </c>
      <c r="O327" s="8">
        <f t="shared" si="31"/>
        <v>2.1545999999999998</v>
      </c>
      <c r="P327" s="8">
        <f t="shared" si="32"/>
        <v>2.5137</v>
      </c>
      <c r="Q327" s="8">
        <f t="shared" si="33"/>
        <v>1.4364000000000001</v>
      </c>
      <c r="R327" s="8">
        <f t="shared" si="34"/>
        <v>1.0772999999999999</v>
      </c>
      <c r="S327" s="37">
        <v>7.1820000000000004</v>
      </c>
      <c r="T327" s="8">
        <v>105991.94</v>
      </c>
      <c r="U327" s="8">
        <v>13354.98444</v>
      </c>
      <c r="V327" s="8"/>
      <c r="W327" s="8"/>
      <c r="X327" s="8" t="s">
        <v>983</v>
      </c>
      <c r="Y327" s="8">
        <v>73041</v>
      </c>
      <c r="Z327" s="8">
        <v>6.18</v>
      </c>
      <c r="AA327" s="8" t="s">
        <v>1001</v>
      </c>
      <c r="AB327" s="8">
        <v>4</v>
      </c>
      <c r="AC327" s="8">
        <v>5846</v>
      </c>
      <c r="AD327" s="8"/>
      <c r="AE327" s="319" t="s">
        <v>985</v>
      </c>
      <c r="AF327" s="141"/>
      <c r="AG327" s="163"/>
      <c r="AH327" s="163"/>
      <c r="AI327" s="164"/>
      <c r="AJ327" s="58"/>
      <c r="AK327" s="72"/>
      <c r="AL327" s="72"/>
      <c r="AM327" s="127"/>
      <c r="AN327" s="126"/>
      <c r="AO327" s="72"/>
      <c r="AP327" s="72"/>
      <c r="AQ327" s="127"/>
    </row>
    <row r="328" spans="1:43" hidden="1" x14ac:dyDescent="0.25">
      <c r="A328" s="8">
        <v>325</v>
      </c>
      <c r="B328" s="8" t="s">
        <v>28</v>
      </c>
      <c r="C328" s="8" t="s">
        <v>980</v>
      </c>
      <c r="D328" s="8" t="s">
        <v>981</v>
      </c>
      <c r="E328" s="8"/>
      <c r="F328" s="8" t="s">
        <v>1001</v>
      </c>
      <c r="G328" s="8"/>
      <c r="H328" s="8" t="s">
        <v>31</v>
      </c>
      <c r="I328" s="8" t="s">
        <v>985</v>
      </c>
      <c r="J328" s="8"/>
      <c r="K328" s="8">
        <v>0.126</v>
      </c>
      <c r="L328" s="8">
        <v>0.126</v>
      </c>
      <c r="M328" s="8">
        <v>1</v>
      </c>
      <c r="N328" s="8" t="s">
        <v>33</v>
      </c>
      <c r="O328" s="8">
        <f t="shared" si="31"/>
        <v>2.1545999999999998</v>
      </c>
      <c r="P328" s="8">
        <f t="shared" si="32"/>
        <v>2.5137</v>
      </c>
      <c r="Q328" s="8">
        <f t="shared" si="33"/>
        <v>1.4364000000000001</v>
      </c>
      <c r="R328" s="8">
        <f t="shared" si="34"/>
        <v>1.0772999999999999</v>
      </c>
      <c r="S328" s="37">
        <v>7.1820000000000004</v>
      </c>
      <c r="T328" s="8">
        <v>105991.94</v>
      </c>
      <c r="U328" s="8">
        <v>13354.98444</v>
      </c>
      <c r="V328" s="8"/>
      <c r="W328" s="8"/>
      <c r="X328" s="8" t="s">
        <v>983</v>
      </c>
      <c r="Y328" s="8">
        <v>73041</v>
      </c>
      <c r="Z328" s="8">
        <v>6.18</v>
      </c>
      <c r="AA328" s="8" t="s">
        <v>1001</v>
      </c>
      <c r="AB328" s="8">
        <v>5</v>
      </c>
      <c r="AC328" s="8">
        <v>5846</v>
      </c>
      <c r="AD328" s="8"/>
      <c r="AE328" s="319" t="s">
        <v>985</v>
      </c>
      <c r="AF328" s="141"/>
      <c r="AG328" s="163"/>
      <c r="AH328" s="163"/>
      <c r="AI328" s="164"/>
      <c r="AJ328" s="58"/>
      <c r="AK328" s="72"/>
      <c r="AL328" s="72"/>
      <c r="AM328" s="127"/>
      <c r="AN328" s="126"/>
      <c r="AO328" s="72"/>
      <c r="AP328" s="72"/>
      <c r="AQ328" s="127"/>
    </row>
    <row r="329" spans="1:43" hidden="1" x14ac:dyDescent="0.25">
      <c r="A329" s="8">
        <v>326</v>
      </c>
      <c r="B329" s="8" t="s">
        <v>28</v>
      </c>
      <c r="C329" s="8" t="s">
        <v>980</v>
      </c>
      <c r="D329" s="8" t="s">
        <v>981</v>
      </c>
      <c r="E329" s="8"/>
      <c r="F329" s="8" t="s">
        <v>1001</v>
      </c>
      <c r="G329" s="8"/>
      <c r="H329" s="8" t="s">
        <v>31</v>
      </c>
      <c r="I329" s="8" t="s">
        <v>985</v>
      </c>
      <c r="J329" s="8"/>
      <c r="K329" s="8">
        <v>0.126</v>
      </c>
      <c r="L329" s="8">
        <v>0.126</v>
      </c>
      <c r="M329" s="8">
        <v>1</v>
      </c>
      <c r="N329" s="8" t="s">
        <v>33</v>
      </c>
      <c r="O329" s="8">
        <f t="shared" si="31"/>
        <v>2.1545999999999998</v>
      </c>
      <c r="P329" s="8">
        <f t="shared" si="32"/>
        <v>2.5137</v>
      </c>
      <c r="Q329" s="8">
        <f t="shared" si="33"/>
        <v>1.4364000000000001</v>
      </c>
      <c r="R329" s="8">
        <f t="shared" si="34"/>
        <v>1.0772999999999999</v>
      </c>
      <c r="S329" s="37">
        <v>7.1820000000000004</v>
      </c>
      <c r="T329" s="8">
        <v>105991.94</v>
      </c>
      <c r="U329" s="8">
        <v>13354.98444</v>
      </c>
      <c r="V329" s="8"/>
      <c r="W329" s="8"/>
      <c r="X329" s="8" t="s">
        <v>983</v>
      </c>
      <c r="Y329" s="8">
        <v>73041</v>
      </c>
      <c r="Z329" s="8">
        <v>6.18</v>
      </c>
      <c r="AA329" s="8" t="s">
        <v>1001</v>
      </c>
      <c r="AB329" s="8">
        <v>6</v>
      </c>
      <c r="AC329" s="8">
        <v>5846</v>
      </c>
      <c r="AD329" s="8"/>
      <c r="AE329" s="319" t="s">
        <v>985</v>
      </c>
      <c r="AF329" s="141"/>
      <c r="AG329" s="163"/>
      <c r="AH329" s="163"/>
      <c r="AI329" s="164"/>
      <c r="AJ329" s="58"/>
      <c r="AK329" s="72"/>
      <c r="AL329" s="72"/>
      <c r="AM329" s="127"/>
      <c r="AN329" s="126"/>
      <c r="AO329" s="72"/>
      <c r="AP329" s="72"/>
      <c r="AQ329" s="127"/>
    </row>
    <row r="330" spans="1:43" hidden="1" x14ac:dyDescent="0.25">
      <c r="A330" s="8">
        <v>327</v>
      </c>
      <c r="B330" s="8" t="s">
        <v>28</v>
      </c>
      <c r="C330" s="8" t="s">
        <v>980</v>
      </c>
      <c r="D330" s="8" t="s">
        <v>981</v>
      </c>
      <c r="E330" s="8"/>
      <c r="F330" s="8" t="s">
        <v>1001</v>
      </c>
      <c r="G330" s="8"/>
      <c r="H330" s="8" t="s">
        <v>31</v>
      </c>
      <c r="I330" s="8" t="s">
        <v>985</v>
      </c>
      <c r="J330" s="8"/>
      <c r="K330" s="8">
        <v>0.126</v>
      </c>
      <c r="L330" s="8">
        <v>0.126</v>
      </c>
      <c r="M330" s="8">
        <v>1</v>
      </c>
      <c r="N330" s="8" t="s">
        <v>33</v>
      </c>
      <c r="O330" s="8">
        <f t="shared" si="31"/>
        <v>2.1545999999999998</v>
      </c>
      <c r="P330" s="8">
        <f t="shared" si="32"/>
        <v>2.5137</v>
      </c>
      <c r="Q330" s="8">
        <f t="shared" si="33"/>
        <v>1.4364000000000001</v>
      </c>
      <c r="R330" s="8">
        <f t="shared" si="34"/>
        <v>1.0772999999999999</v>
      </c>
      <c r="S330" s="37">
        <v>7.1820000000000004</v>
      </c>
      <c r="T330" s="8">
        <v>105991.94</v>
      </c>
      <c r="U330" s="8">
        <v>13354.98444</v>
      </c>
      <c r="V330" s="8"/>
      <c r="W330" s="8"/>
      <c r="X330" s="8" t="s">
        <v>983</v>
      </c>
      <c r="Y330" s="8">
        <v>73041</v>
      </c>
      <c r="Z330" s="8">
        <v>6.18</v>
      </c>
      <c r="AA330" s="8" t="s">
        <v>1001</v>
      </c>
      <c r="AB330" s="8">
        <v>7</v>
      </c>
      <c r="AC330" s="8">
        <v>5846</v>
      </c>
      <c r="AD330" s="8"/>
      <c r="AE330" s="319" t="s">
        <v>985</v>
      </c>
      <c r="AF330" s="141"/>
      <c r="AG330" s="163"/>
      <c r="AH330" s="163"/>
      <c r="AI330" s="164"/>
      <c r="AJ330" s="58"/>
      <c r="AK330" s="72"/>
      <c r="AL330" s="72"/>
      <c r="AM330" s="127"/>
      <c r="AN330" s="126"/>
      <c r="AO330" s="72"/>
      <c r="AP330" s="72"/>
      <c r="AQ330" s="127"/>
    </row>
    <row r="331" spans="1:43" x14ac:dyDescent="0.25">
      <c r="A331" s="24">
        <v>328</v>
      </c>
      <c r="B331" s="24" t="s">
        <v>28</v>
      </c>
      <c r="C331" s="24" t="s">
        <v>980</v>
      </c>
      <c r="D331" s="24" t="s">
        <v>981</v>
      </c>
      <c r="E331" s="24"/>
      <c r="F331" s="24" t="s">
        <v>1001</v>
      </c>
      <c r="G331" s="24"/>
      <c r="H331" s="24" t="s">
        <v>31</v>
      </c>
      <c r="I331" s="24" t="s">
        <v>985</v>
      </c>
      <c r="J331" s="24"/>
      <c r="K331" s="24">
        <v>0.126</v>
      </c>
      <c r="L331" s="24">
        <v>0.126</v>
      </c>
      <c r="M331" s="24">
        <v>1</v>
      </c>
      <c r="N331" s="24" t="s">
        <v>33</v>
      </c>
      <c r="O331" s="24">
        <f t="shared" si="31"/>
        <v>2.1545999999999998</v>
      </c>
      <c r="P331" s="24">
        <f t="shared" si="32"/>
        <v>2.5137</v>
      </c>
      <c r="Q331" s="24">
        <f t="shared" si="33"/>
        <v>1.4364000000000001</v>
      </c>
      <c r="R331" s="24">
        <f t="shared" si="34"/>
        <v>1.0772999999999999</v>
      </c>
      <c r="S331" s="37">
        <v>7.1820000000000004</v>
      </c>
      <c r="T331" s="8">
        <v>105991.94</v>
      </c>
      <c r="U331" s="8">
        <v>13354.98444</v>
      </c>
      <c r="V331" s="8"/>
      <c r="W331" s="8"/>
      <c r="X331" s="24" t="s">
        <v>983</v>
      </c>
      <c r="Y331" s="24">
        <v>73041</v>
      </c>
      <c r="Z331" s="8">
        <v>6.18</v>
      </c>
      <c r="AA331" s="8" t="s">
        <v>1001</v>
      </c>
      <c r="AB331" s="8">
        <v>8</v>
      </c>
      <c r="AC331" s="24">
        <v>5846</v>
      </c>
      <c r="AD331" s="8"/>
      <c r="AE331" s="319" t="s">
        <v>985</v>
      </c>
      <c r="AF331" s="141"/>
      <c r="AG331" s="163"/>
      <c r="AH331" s="163"/>
      <c r="AI331" s="164"/>
      <c r="AJ331" s="58"/>
      <c r="AK331" s="72"/>
      <c r="AL331" s="72"/>
      <c r="AM331" s="127"/>
      <c r="AN331" s="126"/>
      <c r="AO331" s="72"/>
      <c r="AP331" s="72"/>
      <c r="AQ331" s="127"/>
    </row>
    <row r="332" spans="1:43" x14ac:dyDescent="0.25">
      <c r="A332" s="24">
        <v>329</v>
      </c>
      <c r="B332" s="24" t="s">
        <v>28</v>
      </c>
      <c r="C332" s="24" t="s">
        <v>980</v>
      </c>
      <c r="D332" s="24" t="s">
        <v>981</v>
      </c>
      <c r="E332" s="24"/>
      <c r="F332" s="24" t="s">
        <v>1001</v>
      </c>
      <c r="G332" s="24"/>
      <c r="H332" s="24" t="s">
        <v>31</v>
      </c>
      <c r="I332" s="24" t="s">
        <v>985</v>
      </c>
      <c r="J332" s="24"/>
      <c r="K332" s="24">
        <v>0.126</v>
      </c>
      <c r="L332" s="24">
        <v>0.126</v>
      </c>
      <c r="M332" s="24">
        <v>1</v>
      </c>
      <c r="N332" s="24" t="s">
        <v>33</v>
      </c>
      <c r="O332" s="24">
        <f t="shared" si="31"/>
        <v>2.1545999999999998</v>
      </c>
      <c r="P332" s="24">
        <f t="shared" si="32"/>
        <v>2.5137</v>
      </c>
      <c r="Q332" s="24">
        <f t="shared" si="33"/>
        <v>1.4364000000000001</v>
      </c>
      <c r="R332" s="24">
        <f t="shared" si="34"/>
        <v>1.0772999999999999</v>
      </c>
      <c r="S332" s="37">
        <v>7.1820000000000004</v>
      </c>
      <c r="T332" s="8">
        <v>105991.94</v>
      </c>
      <c r="U332" s="8">
        <v>13354.98444</v>
      </c>
      <c r="V332" s="8"/>
      <c r="W332" s="8"/>
      <c r="X332" s="24" t="s">
        <v>983</v>
      </c>
      <c r="Y332" s="24">
        <v>73041</v>
      </c>
      <c r="Z332" s="8">
        <v>6.18</v>
      </c>
      <c r="AA332" s="8" t="s">
        <v>1001</v>
      </c>
      <c r="AB332" s="8">
        <v>9</v>
      </c>
      <c r="AC332" s="24">
        <v>5846</v>
      </c>
      <c r="AD332" s="8"/>
      <c r="AE332" s="319" t="s">
        <v>985</v>
      </c>
      <c r="AF332" s="141"/>
      <c r="AG332" s="163"/>
      <c r="AH332" s="163"/>
      <c r="AI332" s="164"/>
      <c r="AJ332" s="58"/>
      <c r="AK332" s="72"/>
      <c r="AL332" s="72"/>
      <c r="AM332" s="127"/>
      <c r="AN332" s="126"/>
      <c r="AO332" s="72"/>
      <c r="AP332" s="72"/>
      <c r="AQ332" s="127"/>
    </row>
    <row r="333" spans="1:43" x14ac:dyDescent="0.25">
      <c r="A333" s="24">
        <v>330</v>
      </c>
      <c r="B333" s="24" t="s">
        <v>28</v>
      </c>
      <c r="C333" s="24" t="s">
        <v>980</v>
      </c>
      <c r="D333" s="24" t="s">
        <v>981</v>
      </c>
      <c r="E333" s="24"/>
      <c r="F333" s="24" t="s">
        <v>1001</v>
      </c>
      <c r="G333" s="24"/>
      <c r="H333" s="24" t="s">
        <v>31</v>
      </c>
      <c r="I333" s="24" t="s">
        <v>985</v>
      </c>
      <c r="J333" s="24"/>
      <c r="K333" s="24">
        <v>0.126</v>
      </c>
      <c r="L333" s="24">
        <v>0.126</v>
      </c>
      <c r="M333" s="24">
        <v>1</v>
      </c>
      <c r="N333" s="24" t="s">
        <v>33</v>
      </c>
      <c r="O333" s="24">
        <f t="shared" si="31"/>
        <v>2.1545999999999998</v>
      </c>
      <c r="P333" s="24">
        <f t="shared" si="32"/>
        <v>2.5137</v>
      </c>
      <c r="Q333" s="24">
        <f t="shared" si="33"/>
        <v>1.4364000000000001</v>
      </c>
      <c r="R333" s="24">
        <f t="shared" si="34"/>
        <v>1.0772999999999999</v>
      </c>
      <c r="S333" s="37">
        <v>7.1820000000000004</v>
      </c>
      <c r="T333" s="8">
        <v>105991.94</v>
      </c>
      <c r="U333" s="8">
        <v>13354.98444</v>
      </c>
      <c r="V333" s="8"/>
      <c r="W333" s="8"/>
      <c r="X333" s="24" t="s">
        <v>983</v>
      </c>
      <c r="Y333" s="24">
        <v>73041</v>
      </c>
      <c r="Z333" s="8">
        <v>6.18</v>
      </c>
      <c r="AA333" s="8" t="s">
        <v>1001</v>
      </c>
      <c r="AB333" s="8">
        <v>10</v>
      </c>
      <c r="AC333" s="24">
        <v>5846</v>
      </c>
      <c r="AD333" s="8"/>
      <c r="AE333" s="319" t="s">
        <v>985</v>
      </c>
      <c r="AF333" s="141"/>
      <c r="AG333" s="163"/>
      <c r="AH333" s="163"/>
      <c r="AI333" s="164"/>
      <c r="AJ333" s="58"/>
      <c r="AK333" s="72"/>
      <c r="AL333" s="72"/>
      <c r="AM333" s="127"/>
      <c r="AN333" s="126"/>
      <c r="AO333" s="72"/>
      <c r="AP333" s="72"/>
      <c r="AQ333" s="127"/>
    </row>
    <row r="334" spans="1:43" x14ac:dyDescent="0.25">
      <c r="A334" s="24">
        <v>331</v>
      </c>
      <c r="B334" s="24" t="s">
        <v>28</v>
      </c>
      <c r="C334" s="24" t="s">
        <v>980</v>
      </c>
      <c r="D334" s="24" t="s">
        <v>981</v>
      </c>
      <c r="E334" s="24"/>
      <c r="F334" s="24" t="s">
        <v>1004</v>
      </c>
      <c r="G334" s="24"/>
      <c r="H334" s="24" t="s">
        <v>31</v>
      </c>
      <c r="I334" s="24" t="s">
        <v>1006</v>
      </c>
      <c r="J334" s="24"/>
      <c r="K334" s="24">
        <v>6.6000000000000003E-2</v>
      </c>
      <c r="L334" s="24">
        <v>6.6000000000000003E-2</v>
      </c>
      <c r="M334" s="24">
        <v>1</v>
      </c>
      <c r="N334" s="24" t="s">
        <v>33</v>
      </c>
      <c r="O334" s="24">
        <f t="shared" si="31"/>
        <v>1.1879999999999999</v>
      </c>
      <c r="P334" s="24">
        <f t="shared" si="32"/>
        <v>1.3859999999999999</v>
      </c>
      <c r="Q334" s="24">
        <f t="shared" si="33"/>
        <v>0.79200000000000004</v>
      </c>
      <c r="R334" s="24">
        <f t="shared" si="34"/>
        <v>0.59399999999999997</v>
      </c>
      <c r="S334" s="37">
        <v>3.96</v>
      </c>
      <c r="T334" s="8">
        <v>105991.94</v>
      </c>
      <c r="U334" s="8">
        <v>6995.4680400000007</v>
      </c>
      <c r="V334" s="8"/>
      <c r="W334" s="8"/>
      <c r="X334" s="24" t="s">
        <v>1005</v>
      </c>
      <c r="Y334" s="24">
        <v>73042</v>
      </c>
      <c r="Z334" s="8">
        <v>6.18</v>
      </c>
      <c r="AA334" s="8" t="s">
        <v>1004</v>
      </c>
      <c r="AB334" s="8">
        <v>1</v>
      </c>
      <c r="AC334" s="24">
        <v>5832</v>
      </c>
      <c r="AD334" s="8"/>
      <c r="AE334" s="319" t="s">
        <v>1006</v>
      </c>
      <c r="AF334" s="141"/>
      <c r="AG334" s="163"/>
      <c r="AH334" s="163"/>
      <c r="AI334" s="164"/>
      <c r="AJ334" s="126"/>
      <c r="AK334" s="72"/>
      <c r="AL334" s="72"/>
      <c r="AM334" s="127"/>
      <c r="AN334" s="126"/>
      <c r="AO334" s="72"/>
      <c r="AP334" s="72"/>
      <c r="AQ334" s="127"/>
    </row>
    <row r="335" spans="1:43" x14ac:dyDescent="0.25">
      <c r="A335" s="24">
        <v>332</v>
      </c>
      <c r="B335" s="24" t="s">
        <v>28</v>
      </c>
      <c r="C335" s="24" t="s">
        <v>980</v>
      </c>
      <c r="D335" s="24" t="s">
        <v>981</v>
      </c>
      <c r="E335" s="24"/>
      <c r="F335" s="24" t="s">
        <v>1004</v>
      </c>
      <c r="G335" s="24"/>
      <c r="H335" s="24" t="s">
        <v>31</v>
      </c>
      <c r="I335" s="24" t="s">
        <v>1006</v>
      </c>
      <c r="J335" s="24"/>
      <c r="K335" s="24">
        <v>6.6000000000000003E-2</v>
      </c>
      <c r="L335" s="24">
        <v>6.6000000000000003E-2</v>
      </c>
      <c r="M335" s="24">
        <v>1</v>
      </c>
      <c r="N335" s="24" t="s">
        <v>33</v>
      </c>
      <c r="O335" s="24">
        <f t="shared" si="31"/>
        <v>1.1879999999999999</v>
      </c>
      <c r="P335" s="24">
        <f t="shared" si="32"/>
        <v>1.3859999999999999</v>
      </c>
      <c r="Q335" s="24">
        <f t="shared" si="33"/>
        <v>0.79200000000000004</v>
      </c>
      <c r="R335" s="24">
        <f t="shared" si="34"/>
        <v>0.59399999999999997</v>
      </c>
      <c r="S335" s="37">
        <v>3.96</v>
      </c>
      <c r="T335" s="8">
        <v>105991.94</v>
      </c>
      <c r="U335" s="8">
        <v>6995.4680400000007</v>
      </c>
      <c r="V335" s="8"/>
      <c r="W335" s="8"/>
      <c r="X335" s="24" t="s">
        <v>1005</v>
      </c>
      <c r="Y335" s="24">
        <v>73042</v>
      </c>
      <c r="Z335" s="8">
        <v>6.18</v>
      </c>
      <c r="AA335" s="8" t="s">
        <v>1004</v>
      </c>
      <c r="AB335" s="8">
        <v>2</v>
      </c>
      <c r="AC335" s="24">
        <v>5832</v>
      </c>
      <c r="AD335" s="8"/>
      <c r="AE335" s="319" t="s">
        <v>1006</v>
      </c>
      <c r="AF335" s="141"/>
      <c r="AG335" s="163"/>
      <c r="AH335" s="163"/>
      <c r="AI335" s="164"/>
      <c r="AJ335" s="126"/>
      <c r="AK335" s="72"/>
      <c r="AL335" s="72"/>
      <c r="AM335" s="127"/>
      <c r="AN335" s="126"/>
      <c r="AO335" s="72"/>
      <c r="AP335" s="72"/>
      <c r="AQ335" s="127"/>
    </row>
    <row r="336" spans="1:43" x14ac:dyDescent="0.25">
      <c r="A336" s="24">
        <v>333</v>
      </c>
      <c r="B336" s="24" t="s">
        <v>28</v>
      </c>
      <c r="C336" s="24" t="s">
        <v>980</v>
      </c>
      <c r="D336" s="24" t="s">
        <v>981</v>
      </c>
      <c r="E336" s="24"/>
      <c r="F336" s="24" t="s">
        <v>1004</v>
      </c>
      <c r="G336" s="24"/>
      <c r="H336" s="24" t="s">
        <v>31</v>
      </c>
      <c r="I336" s="24" t="s">
        <v>1006</v>
      </c>
      <c r="J336" s="24"/>
      <c r="K336" s="24">
        <v>6.6000000000000003E-2</v>
      </c>
      <c r="L336" s="24">
        <v>6.6000000000000003E-2</v>
      </c>
      <c r="M336" s="24">
        <v>1</v>
      </c>
      <c r="N336" s="24" t="s">
        <v>33</v>
      </c>
      <c r="O336" s="24">
        <f t="shared" si="31"/>
        <v>1.1879999999999999</v>
      </c>
      <c r="P336" s="24">
        <f t="shared" si="32"/>
        <v>1.3859999999999999</v>
      </c>
      <c r="Q336" s="24">
        <f t="shared" si="33"/>
        <v>0.79200000000000004</v>
      </c>
      <c r="R336" s="24">
        <f t="shared" si="34"/>
        <v>0.59399999999999997</v>
      </c>
      <c r="S336" s="37">
        <v>3.96</v>
      </c>
      <c r="T336" s="8">
        <v>105991.94</v>
      </c>
      <c r="U336" s="8">
        <v>6995.4680400000007</v>
      </c>
      <c r="V336" s="8"/>
      <c r="W336" s="8"/>
      <c r="X336" s="24" t="s">
        <v>1005</v>
      </c>
      <c r="Y336" s="24">
        <v>73042</v>
      </c>
      <c r="Z336" s="8">
        <v>6.18</v>
      </c>
      <c r="AA336" s="8" t="s">
        <v>1004</v>
      </c>
      <c r="AB336" s="8">
        <v>3</v>
      </c>
      <c r="AC336" s="24">
        <v>5832</v>
      </c>
      <c r="AD336" s="8"/>
      <c r="AE336" s="319" t="s">
        <v>1006</v>
      </c>
      <c r="AF336" s="141"/>
      <c r="AG336" s="163"/>
      <c r="AH336" s="163"/>
      <c r="AI336" s="164"/>
      <c r="AJ336" s="126"/>
      <c r="AK336" s="72"/>
      <c r="AL336" s="72"/>
      <c r="AM336" s="127"/>
      <c r="AN336" s="126"/>
      <c r="AO336" s="72"/>
      <c r="AP336" s="72"/>
      <c r="AQ336" s="127"/>
    </row>
    <row r="337" spans="1:43" x14ac:dyDescent="0.25">
      <c r="A337" s="24">
        <v>334</v>
      </c>
      <c r="B337" s="24" t="s">
        <v>28</v>
      </c>
      <c r="C337" s="24" t="s">
        <v>980</v>
      </c>
      <c r="D337" s="24" t="s">
        <v>981</v>
      </c>
      <c r="E337" s="24"/>
      <c r="F337" s="24" t="s">
        <v>1004</v>
      </c>
      <c r="G337" s="24"/>
      <c r="H337" s="24" t="s">
        <v>31</v>
      </c>
      <c r="I337" s="24" t="s">
        <v>1006</v>
      </c>
      <c r="J337" s="24"/>
      <c r="K337" s="24">
        <v>6.6000000000000003E-2</v>
      </c>
      <c r="L337" s="24">
        <v>6.6000000000000003E-2</v>
      </c>
      <c r="M337" s="24">
        <v>1</v>
      </c>
      <c r="N337" s="24" t="s">
        <v>33</v>
      </c>
      <c r="O337" s="24">
        <f t="shared" si="31"/>
        <v>1.1879999999999999</v>
      </c>
      <c r="P337" s="24">
        <f t="shared" si="32"/>
        <v>1.3859999999999999</v>
      </c>
      <c r="Q337" s="24">
        <f t="shared" si="33"/>
        <v>0.79200000000000004</v>
      </c>
      <c r="R337" s="24">
        <f t="shared" si="34"/>
        <v>0.59399999999999997</v>
      </c>
      <c r="S337" s="37">
        <v>3.96</v>
      </c>
      <c r="T337" s="8">
        <v>105991.94</v>
      </c>
      <c r="U337" s="8">
        <v>6995.4680400000007</v>
      </c>
      <c r="V337" s="8"/>
      <c r="W337" s="8"/>
      <c r="X337" s="24" t="s">
        <v>1005</v>
      </c>
      <c r="Y337" s="24">
        <v>73042</v>
      </c>
      <c r="Z337" s="8">
        <v>6.18</v>
      </c>
      <c r="AA337" s="8" t="s">
        <v>1004</v>
      </c>
      <c r="AB337" s="8">
        <v>4</v>
      </c>
      <c r="AC337" s="24">
        <v>5832</v>
      </c>
      <c r="AD337" s="8"/>
      <c r="AE337" s="319" t="s">
        <v>1006</v>
      </c>
      <c r="AF337" s="141"/>
      <c r="AG337" s="163"/>
      <c r="AH337" s="163"/>
      <c r="AI337" s="164"/>
      <c r="AJ337" s="126"/>
      <c r="AK337" s="72"/>
      <c r="AL337" s="72"/>
      <c r="AM337" s="127"/>
      <c r="AN337" s="126"/>
      <c r="AO337" s="72"/>
      <c r="AP337" s="72"/>
      <c r="AQ337" s="127"/>
    </row>
    <row r="338" spans="1:43" x14ac:dyDescent="0.25">
      <c r="A338" s="24">
        <v>335</v>
      </c>
      <c r="B338" s="24" t="s">
        <v>28</v>
      </c>
      <c r="C338" s="24" t="s">
        <v>980</v>
      </c>
      <c r="D338" s="24" t="s">
        <v>981</v>
      </c>
      <c r="E338" s="24"/>
      <c r="F338" s="24" t="s">
        <v>1007</v>
      </c>
      <c r="G338" s="24"/>
      <c r="H338" s="24" t="s">
        <v>31</v>
      </c>
      <c r="I338" s="24" t="s">
        <v>997</v>
      </c>
      <c r="J338" s="24"/>
      <c r="K338" s="24">
        <v>0.315</v>
      </c>
      <c r="L338" s="24">
        <v>0.315</v>
      </c>
      <c r="M338" s="24">
        <v>1</v>
      </c>
      <c r="N338" s="24" t="s">
        <v>33</v>
      </c>
      <c r="O338" s="24">
        <f t="shared" si="31"/>
        <v>5.3865000000000007</v>
      </c>
      <c r="P338" s="24">
        <f t="shared" si="32"/>
        <v>6.2842500000000001</v>
      </c>
      <c r="Q338" s="24">
        <f t="shared" si="33"/>
        <v>3.5910000000000006</v>
      </c>
      <c r="R338" s="24">
        <f t="shared" si="34"/>
        <v>2.6932500000000004</v>
      </c>
      <c r="S338" s="37">
        <v>17.955000000000002</v>
      </c>
      <c r="T338" s="8">
        <v>105991.94</v>
      </c>
      <c r="U338" s="8">
        <v>33387.4611</v>
      </c>
      <c r="V338" s="8"/>
      <c r="W338" s="8"/>
      <c r="X338" s="24" t="s">
        <v>1008</v>
      </c>
      <c r="Y338" s="24">
        <v>73042</v>
      </c>
      <c r="Z338" s="8">
        <v>6.18</v>
      </c>
      <c r="AA338" s="8" t="s">
        <v>1007</v>
      </c>
      <c r="AB338" s="8">
        <v>5</v>
      </c>
      <c r="AC338" s="24">
        <v>5849</v>
      </c>
      <c r="AD338" s="8"/>
      <c r="AE338" s="319" t="s">
        <v>997</v>
      </c>
      <c r="AF338" s="141"/>
      <c r="AG338" s="163"/>
      <c r="AH338" s="163"/>
      <c r="AI338" s="164"/>
      <c r="AJ338" s="126"/>
      <c r="AK338" s="72"/>
      <c r="AL338" s="72"/>
      <c r="AM338" s="127"/>
      <c r="AN338" s="126"/>
      <c r="AO338" s="72"/>
      <c r="AP338" s="72"/>
      <c r="AQ338" s="127"/>
    </row>
    <row r="339" spans="1:43" x14ac:dyDescent="0.25">
      <c r="A339" s="24">
        <v>336</v>
      </c>
      <c r="B339" s="24" t="s">
        <v>28</v>
      </c>
      <c r="C339" s="24" t="s">
        <v>980</v>
      </c>
      <c r="D339" s="24" t="s">
        <v>981</v>
      </c>
      <c r="E339" s="24"/>
      <c r="F339" s="24" t="s">
        <v>1007</v>
      </c>
      <c r="G339" s="24"/>
      <c r="H339" s="24" t="s">
        <v>31</v>
      </c>
      <c r="I339" s="24" t="s">
        <v>997</v>
      </c>
      <c r="J339" s="24"/>
      <c r="K339" s="24">
        <v>0.315</v>
      </c>
      <c r="L339" s="24">
        <v>0.315</v>
      </c>
      <c r="M339" s="24">
        <v>1</v>
      </c>
      <c r="N339" s="24" t="s">
        <v>33</v>
      </c>
      <c r="O339" s="24">
        <f t="shared" si="31"/>
        <v>5.3865000000000007</v>
      </c>
      <c r="P339" s="24">
        <f t="shared" si="32"/>
        <v>6.2842500000000001</v>
      </c>
      <c r="Q339" s="24">
        <f t="shared" si="33"/>
        <v>3.5910000000000006</v>
      </c>
      <c r="R339" s="24">
        <f t="shared" si="34"/>
        <v>2.6932500000000004</v>
      </c>
      <c r="S339" s="37">
        <v>17.955000000000002</v>
      </c>
      <c r="T339" s="8">
        <v>105991.94</v>
      </c>
      <c r="U339" s="8">
        <v>33387.4611</v>
      </c>
      <c r="V339" s="8"/>
      <c r="W339" s="8"/>
      <c r="X339" s="24" t="s">
        <v>1008</v>
      </c>
      <c r="Y339" s="24">
        <v>73042</v>
      </c>
      <c r="Z339" s="8">
        <v>6.18</v>
      </c>
      <c r="AA339" s="8" t="s">
        <v>1007</v>
      </c>
      <c r="AB339" s="8">
        <v>6</v>
      </c>
      <c r="AC339" s="24">
        <v>5849</v>
      </c>
      <c r="AD339" s="8"/>
      <c r="AE339" s="319" t="s">
        <v>997</v>
      </c>
      <c r="AF339" s="141"/>
      <c r="AG339" s="163"/>
      <c r="AH339" s="163"/>
      <c r="AI339" s="164"/>
      <c r="AJ339" s="126"/>
      <c r="AK339" s="72"/>
      <c r="AL339" s="72"/>
      <c r="AM339" s="127"/>
      <c r="AN339" s="126"/>
      <c r="AO339" s="72"/>
      <c r="AP339" s="72"/>
      <c r="AQ339" s="127"/>
    </row>
    <row r="340" spans="1:43" x14ac:dyDescent="0.25">
      <c r="A340" s="24">
        <v>337</v>
      </c>
      <c r="B340" s="24" t="s">
        <v>28</v>
      </c>
      <c r="C340" s="24" t="s">
        <v>980</v>
      </c>
      <c r="D340" s="24" t="s">
        <v>981</v>
      </c>
      <c r="E340" s="24"/>
      <c r="F340" s="24" t="s">
        <v>1007</v>
      </c>
      <c r="G340" s="24"/>
      <c r="H340" s="24" t="s">
        <v>31</v>
      </c>
      <c r="I340" s="24" t="s">
        <v>1000</v>
      </c>
      <c r="J340" s="24"/>
      <c r="K340" s="24">
        <v>0.315</v>
      </c>
      <c r="L340" s="24">
        <v>0.315</v>
      </c>
      <c r="M340" s="24">
        <v>1</v>
      </c>
      <c r="N340" s="24" t="s">
        <v>33</v>
      </c>
      <c r="O340" s="24">
        <f t="shared" si="31"/>
        <v>5.3865000000000007</v>
      </c>
      <c r="P340" s="24">
        <f t="shared" si="32"/>
        <v>6.2842500000000001</v>
      </c>
      <c r="Q340" s="24">
        <f t="shared" si="33"/>
        <v>3.5910000000000006</v>
      </c>
      <c r="R340" s="24">
        <f t="shared" si="34"/>
        <v>2.6932500000000004</v>
      </c>
      <c r="S340" s="37">
        <v>17.955000000000002</v>
      </c>
      <c r="T340" s="8">
        <v>105991.94</v>
      </c>
      <c r="U340" s="8">
        <v>33387.4611</v>
      </c>
      <c r="V340" s="8"/>
      <c r="W340" s="8"/>
      <c r="X340" s="24" t="s">
        <v>1008</v>
      </c>
      <c r="Y340" s="24">
        <v>73042</v>
      </c>
      <c r="Z340" s="8">
        <v>6.18</v>
      </c>
      <c r="AA340" s="8" t="s">
        <v>1007</v>
      </c>
      <c r="AB340" s="8">
        <v>7</v>
      </c>
      <c r="AC340" s="24">
        <v>5851</v>
      </c>
      <c r="AD340" s="8"/>
      <c r="AE340" s="319" t="s">
        <v>1000</v>
      </c>
      <c r="AF340" s="141"/>
      <c r="AG340" s="163"/>
      <c r="AH340" s="163"/>
      <c r="AI340" s="164"/>
      <c r="AJ340" s="126"/>
      <c r="AK340" s="72"/>
      <c r="AL340" s="72"/>
      <c r="AM340" s="127"/>
      <c r="AN340" s="126"/>
      <c r="AO340" s="72"/>
      <c r="AP340" s="72"/>
      <c r="AQ340" s="127"/>
    </row>
    <row r="341" spans="1:43" hidden="1" x14ac:dyDescent="0.25">
      <c r="A341" s="8">
        <v>338</v>
      </c>
      <c r="B341" s="8" t="s">
        <v>28</v>
      </c>
      <c r="C341" s="8" t="s">
        <v>980</v>
      </c>
      <c r="D341" s="8" t="s">
        <v>981</v>
      </c>
      <c r="E341" s="8"/>
      <c r="F341" s="8" t="s">
        <v>1007</v>
      </c>
      <c r="G341" s="8"/>
      <c r="H341" s="8" t="s">
        <v>31</v>
      </c>
      <c r="I341" s="8" t="s">
        <v>1000</v>
      </c>
      <c r="J341" s="8"/>
      <c r="K341" s="8">
        <v>0.315</v>
      </c>
      <c r="L341" s="8">
        <v>0.315</v>
      </c>
      <c r="M341" s="8">
        <v>1</v>
      </c>
      <c r="N341" s="8" t="s">
        <v>33</v>
      </c>
      <c r="O341" s="8">
        <f t="shared" si="31"/>
        <v>5.3865000000000007</v>
      </c>
      <c r="P341" s="8">
        <f t="shared" si="32"/>
        <v>6.2842500000000001</v>
      </c>
      <c r="Q341" s="8">
        <f t="shared" si="33"/>
        <v>3.5910000000000006</v>
      </c>
      <c r="R341" s="8">
        <f t="shared" si="34"/>
        <v>2.6932500000000004</v>
      </c>
      <c r="S341" s="37">
        <v>17.955000000000002</v>
      </c>
      <c r="T341" s="8">
        <v>105991.94</v>
      </c>
      <c r="U341" s="8">
        <v>33387.4611</v>
      </c>
      <c r="V341" s="8"/>
      <c r="W341" s="8"/>
      <c r="X341" s="8" t="s">
        <v>1008</v>
      </c>
      <c r="Y341" s="8">
        <v>73042</v>
      </c>
      <c r="Z341" s="8">
        <v>6.18</v>
      </c>
      <c r="AA341" s="8" t="s">
        <v>1007</v>
      </c>
      <c r="AB341" s="8">
        <v>8</v>
      </c>
      <c r="AC341" s="8">
        <v>5851</v>
      </c>
      <c r="AD341" s="8"/>
      <c r="AE341" s="319" t="s">
        <v>1000</v>
      </c>
      <c r="AF341" s="141"/>
      <c r="AG341" s="163"/>
      <c r="AH341" s="163"/>
      <c r="AI341" s="164"/>
      <c r="AJ341" s="126"/>
      <c r="AK341" s="72"/>
      <c r="AL341" s="72"/>
      <c r="AM341" s="127"/>
      <c r="AN341" s="126"/>
      <c r="AO341" s="72"/>
      <c r="AP341" s="72"/>
      <c r="AQ341" s="127"/>
    </row>
    <row r="342" spans="1:43" hidden="1" x14ac:dyDescent="0.25">
      <c r="A342" s="8">
        <v>339</v>
      </c>
      <c r="B342" s="8" t="s">
        <v>28</v>
      </c>
      <c r="C342" s="8" t="s">
        <v>980</v>
      </c>
      <c r="D342" s="8" t="s">
        <v>981</v>
      </c>
      <c r="E342" s="8"/>
      <c r="F342" s="8" t="s">
        <v>1001</v>
      </c>
      <c r="G342" s="8"/>
      <c r="H342" s="8" t="s">
        <v>31</v>
      </c>
      <c r="I342" s="8" t="s">
        <v>985</v>
      </c>
      <c r="J342" s="8"/>
      <c r="K342" s="8">
        <v>0.126</v>
      </c>
      <c r="L342" s="8">
        <v>0.126</v>
      </c>
      <c r="M342" s="8">
        <v>1</v>
      </c>
      <c r="N342" s="8" t="s">
        <v>33</v>
      </c>
      <c r="O342" s="8">
        <f t="shared" si="31"/>
        <v>2.1545999999999998</v>
      </c>
      <c r="P342" s="8">
        <f t="shared" si="32"/>
        <v>2.5137</v>
      </c>
      <c r="Q342" s="8">
        <f t="shared" si="33"/>
        <v>1.4364000000000001</v>
      </c>
      <c r="R342" s="8">
        <f t="shared" si="34"/>
        <v>1.0772999999999999</v>
      </c>
      <c r="S342" s="37">
        <v>7.1820000000000004</v>
      </c>
      <c r="T342" s="8">
        <v>105991.94</v>
      </c>
      <c r="U342" s="8">
        <v>13354.98444</v>
      </c>
      <c r="V342" s="8"/>
      <c r="W342" s="8"/>
      <c r="X342" s="8" t="s">
        <v>983</v>
      </c>
      <c r="Y342" s="8">
        <v>73043</v>
      </c>
      <c r="Z342" s="8">
        <v>6.18</v>
      </c>
      <c r="AA342" s="8" t="s">
        <v>1001</v>
      </c>
      <c r="AB342" s="8">
        <v>1</v>
      </c>
      <c r="AC342" s="8">
        <v>5846</v>
      </c>
      <c r="AD342" s="8"/>
      <c r="AE342" s="319" t="s">
        <v>985</v>
      </c>
      <c r="AF342" s="141"/>
      <c r="AG342" s="163"/>
      <c r="AH342" s="163"/>
      <c r="AI342" s="164"/>
      <c r="AJ342" s="126"/>
      <c r="AK342" s="72"/>
      <c r="AL342" s="72"/>
      <c r="AM342" s="127"/>
      <c r="AN342" s="126"/>
      <c r="AO342" s="72"/>
      <c r="AP342" s="72"/>
      <c r="AQ342" s="127"/>
    </row>
    <row r="343" spans="1:43" hidden="1" x14ac:dyDescent="0.25">
      <c r="A343" s="8">
        <v>340</v>
      </c>
      <c r="B343" s="8" t="s">
        <v>28</v>
      </c>
      <c r="C343" s="8" t="s">
        <v>980</v>
      </c>
      <c r="D343" s="8" t="s">
        <v>981</v>
      </c>
      <c r="E343" s="8"/>
      <c r="F343" s="8" t="s">
        <v>1001</v>
      </c>
      <c r="G343" s="8"/>
      <c r="H343" s="8" t="s">
        <v>31</v>
      </c>
      <c r="I343" s="8" t="s">
        <v>985</v>
      </c>
      <c r="J343" s="8"/>
      <c r="K343" s="8">
        <v>0.126</v>
      </c>
      <c r="L343" s="8">
        <v>0.126</v>
      </c>
      <c r="M343" s="8">
        <v>1</v>
      </c>
      <c r="N343" s="8" t="s">
        <v>33</v>
      </c>
      <c r="O343" s="8">
        <f t="shared" si="31"/>
        <v>2.1545999999999998</v>
      </c>
      <c r="P343" s="8">
        <f t="shared" si="32"/>
        <v>2.5137</v>
      </c>
      <c r="Q343" s="8">
        <f t="shared" si="33"/>
        <v>1.4364000000000001</v>
      </c>
      <c r="R343" s="8">
        <f t="shared" si="34"/>
        <v>1.0772999999999999</v>
      </c>
      <c r="S343" s="37">
        <v>7.1820000000000004</v>
      </c>
      <c r="T343" s="8">
        <v>105991.94</v>
      </c>
      <c r="U343" s="8">
        <v>13354.98444</v>
      </c>
      <c r="V343" s="8"/>
      <c r="W343" s="8"/>
      <c r="X343" s="8" t="s">
        <v>983</v>
      </c>
      <c r="Y343" s="8">
        <v>73043</v>
      </c>
      <c r="Z343" s="8">
        <v>6.18</v>
      </c>
      <c r="AA343" s="8" t="s">
        <v>1001</v>
      </c>
      <c r="AB343" s="8">
        <v>2</v>
      </c>
      <c r="AC343" s="8">
        <v>5846</v>
      </c>
      <c r="AD343" s="8"/>
      <c r="AE343" s="319" t="s">
        <v>985</v>
      </c>
      <c r="AF343" s="141"/>
      <c r="AG343" s="163"/>
      <c r="AH343" s="163"/>
      <c r="AI343" s="164"/>
      <c r="AJ343" s="126"/>
      <c r="AK343" s="72"/>
      <c r="AL343" s="72"/>
      <c r="AM343" s="127"/>
      <c r="AN343" s="126"/>
      <c r="AO343" s="72"/>
      <c r="AP343" s="72"/>
      <c r="AQ343" s="127"/>
    </row>
    <row r="344" spans="1:43" hidden="1" x14ac:dyDescent="0.25">
      <c r="A344" s="8">
        <v>341</v>
      </c>
      <c r="B344" s="8" t="s">
        <v>28</v>
      </c>
      <c r="C344" s="8" t="s">
        <v>980</v>
      </c>
      <c r="D344" s="8" t="s">
        <v>981</v>
      </c>
      <c r="E344" s="8"/>
      <c r="F344" s="8" t="s">
        <v>1001</v>
      </c>
      <c r="G344" s="8"/>
      <c r="H344" s="8" t="s">
        <v>31</v>
      </c>
      <c r="I344" s="8" t="s">
        <v>985</v>
      </c>
      <c r="J344" s="8"/>
      <c r="K344" s="8">
        <v>0.126</v>
      </c>
      <c r="L344" s="8">
        <v>0.126</v>
      </c>
      <c r="M344" s="8">
        <v>1</v>
      </c>
      <c r="N344" s="8" t="s">
        <v>33</v>
      </c>
      <c r="O344" s="8">
        <f t="shared" si="31"/>
        <v>2.1545999999999998</v>
      </c>
      <c r="P344" s="8">
        <f t="shared" si="32"/>
        <v>2.5137</v>
      </c>
      <c r="Q344" s="8">
        <f t="shared" si="33"/>
        <v>1.4364000000000001</v>
      </c>
      <c r="R344" s="8">
        <f t="shared" si="34"/>
        <v>1.0772999999999999</v>
      </c>
      <c r="S344" s="37">
        <v>7.1820000000000004</v>
      </c>
      <c r="T344" s="8">
        <v>105991.94</v>
      </c>
      <c r="U344" s="8">
        <v>13354.98444</v>
      </c>
      <c r="V344" s="8"/>
      <c r="W344" s="8"/>
      <c r="X344" s="8" t="s">
        <v>983</v>
      </c>
      <c r="Y344" s="8">
        <v>73043</v>
      </c>
      <c r="Z344" s="8">
        <v>6.18</v>
      </c>
      <c r="AA344" s="8" t="s">
        <v>1001</v>
      </c>
      <c r="AB344" s="8">
        <v>3</v>
      </c>
      <c r="AC344" s="8">
        <v>5846</v>
      </c>
      <c r="AD344" s="8"/>
      <c r="AE344" s="319" t="s">
        <v>985</v>
      </c>
      <c r="AF344" s="141"/>
      <c r="AG344" s="163"/>
      <c r="AH344" s="163"/>
      <c r="AI344" s="164"/>
      <c r="AJ344" s="126"/>
      <c r="AK344" s="72"/>
      <c r="AL344" s="72"/>
      <c r="AM344" s="127"/>
      <c r="AN344" s="126"/>
      <c r="AO344" s="72"/>
      <c r="AP344" s="72"/>
      <c r="AQ344" s="127"/>
    </row>
    <row r="345" spans="1:43" hidden="1" x14ac:dyDescent="0.25">
      <c r="A345" s="8">
        <v>342</v>
      </c>
      <c r="B345" s="8" t="s">
        <v>28</v>
      </c>
      <c r="C345" s="8" t="s">
        <v>980</v>
      </c>
      <c r="D345" s="8" t="s">
        <v>981</v>
      </c>
      <c r="E345" s="8"/>
      <c r="F345" s="8" t="s">
        <v>1001</v>
      </c>
      <c r="G345" s="8"/>
      <c r="H345" s="8" t="s">
        <v>31</v>
      </c>
      <c r="I345" s="8" t="s">
        <v>985</v>
      </c>
      <c r="J345" s="8"/>
      <c r="K345" s="8">
        <v>0.126</v>
      </c>
      <c r="L345" s="8">
        <v>0.126</v>
      </c>
      <c r="M345" s="8">
        <v>1</v>
      </c>
      <c r="N345" s="8" t="s">
        <v>33</v>
      </c>
      <c r="O345" s="8">
        <f t="shared" si="31"/>
        <v>2.1545999999999998</v>
      </c>
      <c r="P345" s="8">
        <f t="shared" si="32"/>
        <v>2.5137</v>
      </c>
      <c r="Q345" s="8">
        <f t="shared" si="33"/>
        <v>1.4364000000000001</v>
      </c>
      <c r="R345" s="8">
        <f t="shared" si="34"/>
        <v>1.0772999999999999</v>
      </c>
      <c r="S345" s="37">
        <v>7.1820000000000004</v>
      </c>
      <c r="T345" s="8">
        <v>105991.94</v>
      </c>
      <c r="U345" s="8">
        <v>13354.98444</v>
      </c>
      <c r="V345" s="8"/>
      <c r="W345" s="8"/>
      <c r="X345" s="8" t="s">
        <v>983</v>
      </c>
      <c r="Y345" s="8">
        <v>73043</v>
      </c>
      <c r="Z345" s="8">
        <v>6.18</v>
      </c>
      <c r="AA345" s="8" t="s">
        <v>1001</v>
      </c>
      <c r="AB345" s="8">
        <v>4</v>
      </c>
      <c r="AC345" s="8">
        <v>5846</v>
      </c>
      <c r="AD345" s="8"/>
      <c r="AE345" s="319" t="s">
        <v>985</v>
      </c>
      <c r="AF345" s="141"/>
      <c r="AG345" s="163"/>
      <c r="AH345" s="163"/>
      <c r="AI345" s="164"/>
      <c r="AJ345" s="126"/>
      <c r="AK345" s="72"/>
      <c r="AL345" s="72"/>
      <c r="AM345" s="127"/>
      <c r="AN345" s="126"/>
      <c r="AO345" s="72"/>
      <c r="AP345" s="72"/>
      <c r="AQ345" s="127"/>
    </row>
    <row r="346" spans="1:43" hidden="1" x14ac:dyDescent="0.25">
      <c r="A346" s="8">
        <v>343</v>
      </c>
      <c r="B346" s="8" t="s">
        <v>28</v>
      </c>
      <c r="C346" s="8" t="s">
        <v>980</v>
      </c>
      <c r="D346" s="8" t="s">
        <v>981</v>
      </c>
      <c r="E346" s="8"/>
      <c r="F346" s="8" t="s">
        <v>1001</v>
      </c>
      <c r="G346" s="8"/>
      <c r="H346" s="8" t="s">
        <v>31</v>
      </c>
      <c r="I346" s="8" t="s">
        <v>985</v>
      </c>
      <c r="J346" s="8"/>
      <c r="K346" s="8">
        <v>0.126</v>
      </c>
      <c r="L346" s="8">
        <v>0.126</v>
      </c>
      <c r="M346" s="8">
        <v>1</v>
      </c>
      <c r="N346" s="8" t="s">
        <v>33</v>
      </c>
      <c r="O346" s="8">
        <f t="shared" si="31"/>
        <v>2.1545999999999998</v>
      </c>
      <c r="P346" s="8">
        <f t="shared" si="32"/>
        <v>2.5137</v>
      </c>
      <c r="Q346" s="8">
        <f t="shared" si="33"/>
        <v>1.4364000000000001</v>
      </c>
      <c r="R346" s="8">
        <f t="shared" si="34"/>
        <v>1.0772999999999999</v>
      </c>
      <c r="S346" s="37">
        <v>7.1820000000000004</v>
      </c>
      <c r="T346" s="8">
        <v>105991.94</v>
      </c>
      <c r="U346" s="8">
        <v>13354.98444</v>
      </c>
      <c r="V346" s="8"/>
      <c r="W346" s="8"/>
      <c r="X346" s="8" t="s">
        <v>983</v>
      </c>
      <c r="Y346" s="8">
        <v>73043</v>
      </c>
      <c r="Z346" s="8">
        <v>6.18</v>
      </c>
      <c r="AA346" s="8" t="s">
        <v>1001</v>
      </c>
      <c r="AB346" s="8">
        <v>5</v>
      </c>
      <c r="AC346" s="8">
        <v>5846</v>
      </c>
      <c r="AD346" s="8"/>
      <c r="AE346" s="319" t="s">
        <v>985</v>
      </c>
      <c r="AF346" s="141"/>
      <c r="AG346" s="163"/>
      <c r="AH346" s="163"/>
      <c r="AI346" s="164"/>
      <c r="AJ346" s="126"/>
      <c r="AK346" s="72"/>
      <c r="AL346" s="72"/>
      <c r="AM346" s="127"/>
      <c r="AN346" s="126"/>
      <c r="AO346" s="72"/>
      <c r="AP346" s="72"/>
      <c r="AQ346" s="127"/>
    </row>
    <row r="347" spans="1:43" hidden="1" x14ac:dyDescent="0.25">
      <c r="A347" s="8">
        <v>344</v>
      </c>
      <c r="B347" s="8" t="s">
        <v>28</v>
      </c>
      <c r="C347" s="8" t="s">
        <v>980</v>
      </c>
      <c r="D347" s="8" t="s">
        <v>981</v>
      </c>
      <c r="E347" s="8"/>
      <c r="F347" s="8" t="s">
        <v>1001</v>
      </c>
      <c r="G347" s="8"/>
      <c r="H347" s="8" t="s">
        <v>31</v>
      </c>
      <c r="I347" s="8" t="s">
        <v>985</v>
      </c>
      <c r="J347" s="8"/>
      <c r="K347" s="8">
        <v>0.126</v>
      </c>
      <c r="L347" s="8">
        <v>0.126</v>
      </c>
      <c r="M347" s="8">
        <v>1</v>
      </c>
      <c r="N347" s="8" t="s">
        <v>33</v>
      </c>
      <c r="O347" s="8">
        <f t="shared" si="31"/>
        <v>2.1545999999999998</v>
      </c>
      <c r="P347" s="8">
        <f t="shared" si="32"/>
        <v>2.5137</v>
      </c>
      <c r="Q347" s="8">
        <f t="shared" si="33"/>
        <v>1.4364000000000001</v>
      </c>
      <c r="R347" s="8">
        <f t="shared" si="34"/>
        <v>1.0772999999999999</v>
      </c>
      <c r="S347" s="37">
        <v>7.1820000000000004</v>
      </c>
      <c r="T347" s="8">
        <v>105991.94</v>
      </c>
      <c r="U347" s="8">
        <v>13354.98444</v>
      </c>
      <c r="V347" s="8"/>
      <c r="W347" s="8"/>
      <c r="X347" s="8" t="s">
        <v>983</v>
      </c>
      <c r="Y347" s="8">
        <v>73043</v>
      </c>
      <c r="Z347" s="8">
        <v>6.18</v>
      </c>
      <c r="AA347" s="8" t="s">
        <v>1001</v>
      </c>
      <c r="AB347" s="8">
        <v>6</v>
      </c>
      <c r="AC347" s="8">
        <v>5846</v>
      </c>
      <c r="AD347" s="8"/>
      <c r="AE347" s="319" t="s">
        <v>985</v>
      </c>
      <c r="AF347" s="141"/>
      <c r="AG347" s="163"/>
      <c r="AH347" s="163"/>
      <c r="AI347" s="164"/>
      <c r="AJ347" s="126"/>
      <c r="AK347" s="72"/>
      <c r="AL347" s="72"/>
      <c r="AM347" s="127"/>
      <c r="AN347" s="126"/>
      <c r="AO347" s="72"/>
      <c r="AP347" s="72"/>
      <c r="AQ347" s="127"/>
    </row>
    <row r="348" spans="1:43" hidden="1" x14ac:dyDescent="0.25">
      <c r="A348" s="8">
        <v>345</v>
      </c>
      <c r="B348" s="8" t="s">
        <v>28</v>
      </c>
      <c r="C348" s="8" t="s">
        <v>980</v>
      </c>
      <c r="D348" s="8" t="s">
        <v>981</v>
      </c>
      <c r="E348" s="8"/>
      <c r="F348" s="8" t="s">
        <v>1001</v>
      </c>
      <c r="G348" s="8"/>
      <c r="H348" s="8" t="s">
        <v>31</v>
      </c>
      <c r="I348" s="8" t="s">
        <v>985</v>
      </c>
      <c r="J348" s="8"/>
      <c r="K348" s="8">
        <v>0.126</v>
      </c>
      <c r="L348" s="8">
        <v>0.126</v>
      </c>
      <c r="M348" s="8">
        <v>1</v>
      </c>
      <c r="N348" s="8" t="s">
        <v>33</v>
      </c>
      <c r="O348" s="8">
        <f t="shared" si="31"/>
        <v>2.1545999999999998</v>
      </c>
      <c r="P348" s="8">
        <f t="shared" si="32"/>
        <v>2.5137</v>
      </c>
      <c r="Q348" s="8">
        <f t="shared" si="33"/>
        <v>1.4364000000000001</v>
      </c>
      <c r="R348" s="8">
        <f t="shared" si="34"/>
        <v>1.0772999999999999</v>
      </c>
      <c r="S348" s="37">
        <v>7.1820000000000004</v>
      </c>
      <c r="T348" s="8">
        <v>105991.94</v>
      </c>
      <c r="U348" s="8">
        <v>13354.98444</v>
      </c>
      <c r="V348" s="8"/>
      <c r="W348" s="8"/>
      <c r="X348" s="8" t="s">
        <v>983</v>
      </c>
      <c r="Y348" s="8">
        <v>73043</v>
      </c>
      <c r="Z348" s="8">
        <v>6.18</v>
      </c>
      <c r="AA348" s="8" t="s">
        <v>1001</v>
      </c>
      <c r="AB348" s="8">
        <v>7</v>
      </c>
      <c r="AC348" s="8">
        <v>5846</v>
      </c>
      <c r="AD348" s="8"/>
      <c r="AE348" s="319" t="s">
        <v>985</v>
      </c>
      <c r="AF348" s="141"/>
      <c r="AG348" s="163"/>
      <c r="AH348" s="163"/>
      <c r="AI348" s="164"/>
      <c r="AJ348" s="126"/>
      <c r="AK348" s="72"/>
      <c r="AL348" s="72"/>
      <c r="AM348" s="127"/>
      <c r="AN348" s="126"/>
      <c r="AO348" s="72"/>
      <c r="AP348" s="72"/>
      <c r="AQ348" s="127"/>
    </row>
    <row r="349" spans="1:43" hidden="1" x14ac:dyDescent="0.25">
      <c r="A349" s="8">
        <v>346</v>
      </c>
      <c r="B349" s="8" t="s">
        <v>28</v>
      </c>
      <c r="C349" s="8" t="s">
        <v>980</v>
      </c>
      <c r="D349" s="8" t="s">
        <v>981</v>
      </c>
      <c r="E349" s="8"/>
      <c r="F349" s="8" t="s">
        <v>1001</v>
      </c>
      <c r="G349" s="8"/>
      <c r="H349" s="8" t="s">
        <v>31</v>
      </c>
      <c r="I349" s="8" t="s">
        <v>985</v>
      </c>
      <c r="J349" s="8"/>
      <c r="K349" s="8">
        <v>0.126</v>
      </c>
      <c r="L349" s="8">
        <v>0.126</v>
      </c>
      <c r="M349" s="8">
        <v>1</v>
      </c>
      <c r="N349" s="8" t="s">
        <v>33</v>
      </c>
      <c r="O349" s="8">
        <f t="shared" si="31"/>
        <v>2.1545999999999998</v>
      </c>
      <c r="P349" s="8">
        <f t="shared" si="32"/>
        <v>2.5137</v>
      </c>
      <c r="Q349" s="8">
        <f t="shared" si="33"/>
        <v>1.4364000000000001</v>
      </c>
      <c r="R349" s="8">
        <f t="shared" si="34"/>
        <v>1.0772999999999999</v>
      </c>
      <c r="S349" s="37">
        <v>7.1820000000000004</v>
      </c>
      <c r="T349" s="8">
        <v>105991.94</v>
      </c>
      <c r="U349" s="8">
        <v>13354.98444</v>
      </c>
      <c r="V349" s="8"/>
      <c r="W349" s="8"/>
      <c r="X349" s="8" t="s">
        <v>983</v>
      </c>
      <c r="Y349" s="8">
        <v>73043</v>
      </c>
      <c r="Z349" s="8">
        <v>6.18</v>
      </c>
      <c r="AA349" s="8" t="s">
        <v>1001</v>
      </c>
      <c r="AB349" s="8">
        <v>8</v>
      </c>
      <c r="AC349" s="8">
        <v>5846</v>
      </c>
      <c r="AD349" s="8"/>
      <c r="AE349" s="319" t="s">
        <v>985</v>
      </c>
      <c r="AF349" s="141"/>
      <c r="AG349" s="163"/>
      <c r="AH349" s="163"/>
      <c r="AI349" s="164"/>
      <c r="AJ349" s="126"/>
      <c r="AK349" s="72"/>
      <c r="AL349" s="72"/>
      <c r="AM349" s="127"/>
      <c r="AN349" s="126"/>
      <c r="AO349" s="72"/>
      <c r="AP349" s="72"/>
      <c r="AQ349" s="127"/>
    </row>
    <row r="350" spans="1:43" hidden="1" x14ac:dyDescent="0.25">
      <c r="A350" s="8">
        <v>347</v>
      </c>
      <c r="B350" s="8" t="s">
        <v>28</v>
      </c>
      <c r="C350" s="8" t="s">
        <v>980</v>
      </c>
      <c r="D350" s="8" t="s">
        <v>981</v>
      </c>
      <c r="E350" s="8"/>
      <c r="F350" s="8" t="s">
        <v>1001</v>
      </c>
      <c r="G350" s="8"/>
      <c r="H350" s="8" t="s">
        <v>31</v>
      </c>
      <c r="I350" s="8" t="s">
        <v>985</v>
      </c>
      <c r="J350" s="8"/>
      <c r="K350" s="8">
        <v>0.126</v>
      </c>
      <c r="L350" s="8">
        <v>0.126</v>
      </c>
      <c r="M350" s="8">
        <v>1</v>
      </c>
      <c r="N350" s="8" t="s">
        <v>33</v>
      </c>
      <c r="O350" s="8">
        <f t="shared" si="31"/>
        <v>2.1545999999999998</v>
      </c>
      <c r="P350" s="8">
        <f t="shared" si="32"/>
        <v>2.5137</v>
      </c>
      <c r="Q350" s="8">
        <f t="shared" si="33"/>
        <v>1.4364000000000001</v>
      </c>
      <c r="R350" s="8">
        <f t="shared" si="34"/>
        <v>1.0772999999999999</v>
      </c>
      <c r="S350" s="37">
        <v>7.1820000000000004</v>
      </c>
      <c r="T350" s="8">
        <v>105991.94</v>
      </c>
      <c r="U350" s="8">
        <v>13354.98444</v>
      </c>
      <c r="V350" s="8"/>
      <c r="W350" s="8"/>
      <c r="X350" s="8" t="s">
        <v>983</v>
      </c>
      <c r="Y350" s="8">
        <v>73043</v>
      </c>
      <c r="Z350" s="8">
        <v>6.18</v>
      </c>
      <c r="AA350" s="8" t="s">
        <v>1001</v>
      </c>
      <c r="AB350" s="8">
        <v>9</v>
      </c>
      <c r="AC350" s="8">
        <v>5846</v>
      </c>
      <c r="AD350" s="8"/>
      <c r="AE350" s="319" t="s">
        <v>985</v>
      </c>
      <c r="AF350" s="141"/>
      <c r="AG350" s="163"/>
      <c r="AH350" s="163"/>
      <c r="AI350" s="164"/>
      <c r="AJ350" s="126"/>
      <c r="AK350" s="72"/>
      <c r="AL350" s="72"/>
      <c r="AM350" s="127"/>
      <c r="AN350" s="126"/>
      <c r="AO350" s="72"/>
      <c r="AP350" s="72"/>
      <c r="AQ350" s="127"/>
    </row>
    <row r="351" spans="1:43" hidden="1" x14ac:dyDescent="0.25">
      <c r="A351" s="8">
        <v>348</v>
      </c>
      <c r="B351" s="8" t="s">
        <v>28</v>
      </c>
      <c r="C351" s="8" t="s">
        <v>980</v>
      </c>
      <c r="D351" s="8" t="s">
        <v>981</v>
      </c>
      <c r="E351" s="8"/>
      <c r="F351" s="8" t="s">
        <v>1001</v>
      </c>
      <c r="G351" s="8"/>
      <c r="H351" s="8" t="s">
        <v>31</v>
      </c>
      <c r="I351" s="8" t="s">
        <v>985</v>
      </c>
      <c r="J351" s="8"/>
      <c r="K351" s="8">
        <v>0.126</v>
      </c>
      <c r="L351" s="8">
        <v>0.126</v>
      </c>
      <c r="M351" s="8">
        <v>1</v>
      </c>
      <c r="N351" s="8" t="s">
        <v>33</v>
      </c>
      <c r="O351" s="8">
        <f t="shared" si="31"/>
        <v>2.1545999999999998</v>
      </c>
      <c r="P351" s="8">
        <f t="shared" si="32"/>
        <v>2.5137</v>
      </c>
      <c r="Q351" s="8">
        <f t="shared" si="33"/>
        <v>1.4364000000000001</v>
      </c>
      <c r="R351" s="8">
        <f t="shared" si="34"/>
        <v>1.0772999999999999</v>
      </c>
      <c r="S351" s="37">
        <v>7.1820000000000004</v>
      </c>
      <c r="T351" s="8">
        <v>105991.94</v>
      </c>
      <c r="U351" s="8">
        <v>13354.98444</v>
      </c>
      <c r="V351" s="8"/>
      <c r="W351" s="8"/>
      <c r="X351" s="8" t="s">
        <v>983</v>
      </c>
      <c r="Y351" s="8">
        <v>73043</v>
      </c>
      <c r="Z351" s="8">
        <v>6.18</v>
      </c>
      <c r="AA351" s="8" t="s">
        <v>1001</v>
      </c>
      <c r="AB351" s="8">
        <v>10</v>
      </c>
      <c r="AC351" s="8">
        <v>5846</v>
      </c>
      <c r="AD351" s="8"/>
      <c r="AE351" s="319" t="s">
        <v>985</v>
      </c>
      <c r="AF351" s="141"/>
      <c r="AG351" s="163"/>
      <c r="AH351" s="163"/>
      <c r="AI351" s="164"/>
      <c r="AJ351" s="126"/>
      <c r="AK351" s="72"/>
      <c r="AL351" s="72"/>
      <c r="AM351" s="127"/>
      <c r="AN351" s="126"/>
      <c r="AO351" s="72"/>
      <c r="AP351" s="72"/>
      <c r="AQ351" s="127"/>
    </row>
    <row r="352" spans="1:43" hidden="1" x14ac:dyDescent="0.25">
      <c r="A352" s="8">
        <v>349</v>
      </c>
      <c r="B352" s="8" t="s">
        <v>28</v>
      </c>
      <c r="C352" s="8" t="s">
        <v>980</v>
      </c>
      <c r="D352" s="8" t="s">
        <v>981</v>
      </c>
      <c r="E352" s="8"/>
      <c r="F352" s="8" t="s">
        <v>1001</v>
      </c>
      <c r="G352" s="8"/>
      <c r="H352" s="8" t="s">
        <v>31</v>
      </c>
      <c r="I352" s="8" t="s">
        <v>985</v>
      </c>
      <c r="J352" s="8"/>
      <c r="K352" s="8">
        <v>0.126</v>
      </c>
      <c r="L352" s="8">
        <v>0.126</v>
      </c>
      <c r="M352" s="8">
        <v>1</v>
      </c>
      <c r="N352" s="8" t="s">
        <v>33</v>
      </c>
      <c r="O352" s="8">
        <f t="shared" si="31"/>
        <v>2.1545999999999998</v>
      </c>
      <c r="P352" s="8">
        <f t="shared" si="32"/>
        <v>2.5137</v>
      </c>
      <c r="Q352" s="8">
        <f t="shared" si="33"/>
        <v>1.4364000000000001</v>
      </c>
      <c r="R352" s="8">
        <f t="shared" si="34"/>
        <v>1.0772999999999999</v>
      </c>
      <c r="S352" s="37">
        <v>7.1820000000000004</v>
      </c>
      <c r="T352" s="8">
        <v>105991.94</v>
      </c>
      <c r="U352" s="8">
        <v>13354.98444</v>
      </c>
      <c r="V352" s="8"/>
      <c r="W352" s="8"/>
      <c r="X352" s="8" t="s">
        <v>983</v>
      </c>
      <c r="Y352" s="8">
        <v>73044</v>
      </c>
      <c r="Z352" s="8">
        <v>6.18</v>
      </c>
      <c r="AA352" s="8" t="s">
        <v>1001</v>
      </c>
      <c r="AB352" s="8">
        <v>1</v>
      </c>
      <c r="AC352" s="8">
        <v>5841</v>
      </c>
      <c r="AD352" s="8"/>
      <c r="AE352" s="319" t="s">
        <v>985</v>
      </c>
      <c r="AF352" s="141"/>
      <c r="AG352" s="163"/>
      <c r="AH352" s="163"/>
      <c r="AI352" s="164"/>
      <c r="AJ352" s="126"/>
      <c r="AK352" s="72"/>
      <c r="AL352" s="72"/>
      <c r="AM352" s="127"/>
      <c r="AN352" s="126"/>
      <c r="AO352" s="72"/>
      <c r="AP352" s="72"/>
      <c r="AQ352" s="127"/>
    </row>
    <row r="353" spans="1:43" hidden="1" x14ac:dyDescent="0.25">
      <c r="A353" s="8">
        <v>350</v>
      </c>
      <c r="B353" s="8" t="s">
        <v>28</v>
      </c>
      <c r="C353" s="8" t="s">
        <v>980</v>
      </c>
      <c r="D353" s="8" t="s">
        <v>981</v>
      </c>
      <c r="E353" s="8"/>
      <c r="F353" s="8" t="s">
        <v>1001</v>
      </c>
      <c r="G353" s="8"/>
      <c r="H353" s="8" t="s">
        <v>31</v>
      </c>
      <c r="I353" s="8" t="s">
        <v>985</v>
      </c>
      <c r="J353" s="8"/>
      <c r="K353" s="8">
        <v>0.126</v>
      </c>
      <c r="L353" s="8">
        <v>0.126</v>
      </c>
      <c r="M353" s="8">
        <v>1</v>
      </c>
      <c r="N353" s="8" t="s">
        <v>33</v>
      </c>
      <c r="O353" s="8">
        <f t="shared" si="31"/>
        <v>2.1545999999999998</v>
      </c>
      <c r="P353" s="8">
        <f t="shared" si="32"/>
        <v>2.5137</v>
      </c>
      <c r="Q353" s="8">
        <f t="shared" si="33"/>
        <v>1.4364000000000001</v>
      </c>
      <c r="R353" s="8">
        <f t="shared" si="34"/>
        <v>1.0772999999999999</v>
      </c>
      <c r="S353" s="37">
        <v>7.1820000000000004</v>
      </c>
      <c r="T353" s="8">
        <v>105991.94</v>
      </c>
      <c r="U353" s="8">
        <v>13354.98444</v>
      </c>
      <c r="V353" s="8"/>
      <c r="W353" s="8"/>
      <c r="X353" s="8" t="s">
        <v>983</v>
      </c>
      <c r="Y353" s="8">
        <v>73044</v>
      </c>
      <c r="Z353" s="8">
        <v>6.18</v>
      </c>
      <c r="AA353" s="8" t="s">
        <v>1001</v>
      </c>
      <c r="AB353" s="8">
        <v>2</v>
      </c>
      <c r="AC353" s="8">
        <v>5841</v>
      </c>
      <c r="AD353" s="8"/>
      <c r="AE353" s="319" t="s">
        <v>985</v>
      </c>
      <c r="AF353" s="141"/>
      <c r="AG353" s="163"/>
      <c r="AH353" s="163"/>
      <c r="AI353" s="164"/>
      <c r="AJ353" s="126"/>
      <c r="AK353" s="72"/>
      <c r="AL353" s="72"/>
      <c r="AM353" s="127"/>
      <c r="AN353" s="126"/>
      <c r="AO353" s="72"/>
      <c r="AP353" s="72"/>
      <c r="AQ353" s="127"/>
    </row>
    <row r="354" spans="1:43" hidden="1" x14ac:dyDescent="0.25">
      <c r="A354" s="8">
        <v>351</v>
      </c>
      <c r="B354" s="8" t="s">
        <v>28</v>
      </c>
      <c r="C354" s="8" t="s">
        <v>980</v>
      </c>
      <c r="D354" s="8" t="s">
        <v>981</v>
      </c>
      <c r="E354" s="8"/>
      <c r="F354" s="8" t="s">
        <v>1001</v>
      </c>
      <c r="G354" s="8"/>
      <c r="H354" s="8" t="s">
        <v>31</v>
      </c>
      <c r="I354" s="8" t="s">
        <v>985</v>
      </c>
      <c r="J354" s="8"/>
      <c r="K354" s="8">
        <v>0.126</v>
      </c>
      <c r="L354" s="8">
        <v>0.126</v>
      </c>
      <c r="M354" s="8">
        <v>1</v>
      </c>
      <c r="N354" s="8" t="s">
        <v>33</v>
      </c>
      <c r="O354" s="8">
        <f t="shared" si="31"/>
        <v>2.1545999999999998</v>
      </c>
      <c r="P354" s="8">
        <f t="shared" si="32"/>
        <v>2.5137</v>
      </c>
      <c r="Q354" s="8">
        <f t="shared" si="33"/>
        <v>1.4364000000000001</v>
      </c>
      <c r="R354" s="8">
        <f t="shared" si="34"/>
        <v>1.0772999999999999</v>
      </c>
      <c r="S354" s="37">
        <v>7.1820000000000004</v>
      </c>
      <c r="T354" s="8">
        <v>105991.94</v>
      </c>
      <c r="U354" s="8">
        <v>13354.98444</v>
      </c>
      <c r="V354" s="8"/>
      <c r="W354" s="8"/>
      <c r="X354" s="8" t="s">
        <v>983</v>
      </c>
      <c r="Y354" s="8">
        <v>73044</v>
      </c>
      <c r="Z354" s="8">
        <v>6.18</v>
      </c>
      <c r="AA354" s="8" t="s">
        <v>1001</v>
      </c>
      <c r="AB354" s="8">
        <v>3</v>
      </c>
      <c r="AC354" s="8">
        <v>5841</v>
      </c>
      <c r="AD354" s="8"/>
      <c r="AE354" s="319" t="s">
        <v>985</v>
      </c>
      <c r="AF354" s="141"/>
      <c r="AG354" s="163"/>
      <c r="AH354" s="163"/>
      <c r="AI354" s="164"/>
      <c r="AJ354" s="126"/>
      <c r="AK354" s="72"/>
      <c r="AL354" s="72"/>
      <c r="AM354" s="127"/>
      <c r="AN354" s="126"/>
      <c r="AO354" s="72"/>
      <c r="AP354" s="72"/>
      <c r="AQ354" s="127"/>
    </row>
    <row r="355" spans="1:43" hidden="1" x14ac:dyDescent="0.25">
      <c r="A355" s="8">
        <v>352</v>
      </c>
      <c r="B355" s="8" t="s">
        <v>28</v>
      </c>
      <c r="C355" s="8" t="s">
        <v>980</v>
      </c>
      <c r="D355" s="8" t="s">
        <v>981</v>
      </c>
      <c r="E355" s="8"/>
      <c r="F355" s="8" t="s">
        <v>1001</v>
      </c>
      <c r="G355" s="8"/>
      <c r="H355" s="8" t="s">
        <v>31</v>
      </c>
      <c r="I355" s="8" t="s">
        <v>985</v>
      </c>
      <c r="J355" s="8"/>
      <c r="K355" s="8">
        <v>0.126</v>
      </c>
      <c r="L355" s="8">
        <v>0.126</v>
      </c>
      <c r="M355" s="8">
        <v>1</v>
      </c>
      <c r="N355" s="8" t="s">
        <v>33</v>
      </c>
      <c r="O355" s="8">
        <f t="shared" si="31"/>
        <v>2.1545999999999998</v>
      </c>
      <c r="P355" s="8">
        <f t="shared" si="32"/>
        <v>2.5137</v>
      </c>
      <c r="Q355" s="8">
        <f t="shared" si="33"/>
        <v>1.4364000000000001</v>
      </c>
      <c r="R355" s="8">
        <f t="shared" si="34"/>
        <v>1.0772999999999999</v>
      </c>
      <c r="S355" s="37">
        <v>7.1820000000000004</v>
      </c>
      <c r="T355" s="8">
        <v>105991.94</v>
      </c>
      <c r="U355" s="8">
        <v>13354.98444</v>
      </c>
      <c r="V355" s="8"/>
      <c r="W355" s="8"/>
      <c r="X355" s="8" t="s">
        <v>983</v>
      </c>
      <c r="Y355" s="8">
        <v>73044</v>
      </c>
      <c r="Z355" s="8">
        <v>6.18</v>
      </c>
      <c r="AA355" s="8" t="s">
        <v>1001</v>
      </c>
      <c r="AB355" s="8">
        <v>4</v>
      </c>
      <c r="AC355" s="8">
        <v>5841</v>
      </c>
      <c r="AD355" s="8"/>
      <c r="AE355" s="319" t="s">
        <v>985</v>
      </c>
      <c r="AF355" s="374"/>
      <c r="AG355" s="375"/>
      <c r="AH355" s="375"/>
      <c r="AI355" s="376"/>
      <c r="AJ355" s="316"/>
      <c r="AK355" s="317"/>
      <c r="AL355" s="317"/>
      <c r="AM355" s="318"/>
      <c r="AN355" s="316"/>
      <c r="AO355" s="317"/>
      <c r="AP355" s="317"/>
      <c r="AQ355" s="318"/>
    </row>
    <row r="356" spans="1:43" hidden="1" x14ac:dyDescent="0.25">
      <c r="A356" s="8">
        <v>353</v>
      </c>
      <c r="B356" s="8" t="s">
        <v>28</v>
      </c>
      <c r="C356" s="8" t="s">
        <v>980</v>
      </c>
      <c r="D356" s="8" t="s">
        <v>981</v>
      </c>
      <c r="E356" s="8"/>
      <c r="F356" s="8" t="s">
        <v>1001</v>
      </c>
      <c r="G356" s="8"/>
      <c r="H356" s="8" t="s">
        <v>31</v>
      </c>
      <c r="I356" s="8" t="s">
        <v>985</v>
      </c>
      <c r="J356" s="8"/>
      <c r="K356" s="8">
        <v>0.126</v>
      </c>
      <c r="L356" s="8">
        <v>0.126</v>
      </c>
      <c r="M356" s="8">
        <v>1</v>
      </c>
      <c r="N356" s="8" t="s">
        <v>33</v>
      </c>
      <c r="O356" s="8">
        <f t="shared" si="31"/>
        <v>2.1545999999999998</v>
      </c>
      <c r="P356" s="8">
        <f t="shared" si="32"/>
        <v>2.5137</v>
      </c>
      <c r="Q356" s="8">
        <f t="shared" si="33"/>
        <v>1.4364000000000001</v>
      </c>
      <c r="R356" s="8">
        <f t="shared" si="34"/>
        <v>1.0772999999999999</v>
      </c>
      <c r="S356" s="37">
        <v>7.1820000000000004</v>
      </c>
      <c r="T356" s="8">
        <v>105991.94</v>
      </c>
      <c r="U356" s="8">
        <v>13354.98444</v>
      </c>
      <c r="V356" s="8"/>
      <c r="W356" s="8"/>
      <c r="X356" s="8" t="s">
        <v>983</v>
      </c>
      <c r="Y356" s="8">
        <v>73044</v>
      </c>
      <c r="Z356" s="8">
        <v>6.18</v>
      </c>
      <c r="AA356" s="8" t="s">
        <v>1001</v>
      </c>
      <c r="AB356" s="8">
        <v>5</v>
      </c>
      <c r="AC356" s="8">
        <v>5841</v>
      </c>
      <c r="AD356" s="8"/>
      <c r="AE356" s="319" t="s">
        <v>985</v>
      </c>
      <c r="AF356" s="141"/>
      <c r="AG356" s="163"/>
      <c r="AH356" s="163"/>
      <c r="AI356" s="164"/>
      <c r="AJ356" s="126"/>
      <c r="AK356" s="72"/>
      <c r="AL356" s="72"/>
      <c r="AM356" s="127"/>
      <c r="AN356" s="126"/>
      <c r="AO356" s="72"/>
      <c r="AP356" s="72"/>
      <c r="AQ356" s="127"/>
    </row>
    <row r="357" spans="1:43" hidden="1" x14ac:dyDescent="0.25">
      <c r="A357" s="8">
        <v>354</v>
      </c>
      <c r="B357" s="8" t="s">
        <v>28</v>
      </c>
      <c r="C357" s="8" t="s">
        <v>980</v>
      </c>
      <c r="D357" s="8" t="s">
        <v>981</v>
      </c>
      <c r="E357" s="8"/>
      <c r="F357" s="8" t="s">
        <v>1001</v>
      </c>
      <c r="G357" s="8"/>
      <c r="H357" s="8" t="s">
        <v>31</v>
      </c>
      <c r="I357" s="8" t="s">
        <v>985</v>
      </c>
      <c r="J357" s="8"/>
      <c r="K357" s="8">
        <v>0.126</v>
      </c>
      <c r="L357" s="8">
        <v>0.126</v>
      </c>
      <c r="M357" s="8">
        <v>1</v>
      </c>
      <c r="N357" s="8" t="s">
        <v>33</v>
      </c>
      <c r="O357" s="8">
        <f t="shared" si="31"/>
        <v>2.1545999999999998</v>
      </c>
      <c r="P357" s="8">
        <f t="shared" si="32"/>
        <v>2.5137</v>
      </c>
      <c r="Q357" s="8">
        <f t="shared" si="33"/>
        <v>1.4364000000000001</v>
      </c>
      <c r="R357" s="8">
        <f t="shared" si="34"/>
        <v>1.0772999999999999</v>
      </c>
      <c r="S357" s="37">
        <v>7.1820000000000004</v>
      </c>
      <c r="T357" s="8">
        <v>105991.94</v>
      </c>
      <c r="U357" s="8">
        <v>13354.98444</v>
      </c>
      <c r="V357" s="8"/>
      <c r="W357" s="8"/>
      <c r="X357" s="8" t="s">
        <v>983</v>
      </c>
      <c r="Y357" s="8">
        <v>73044</v>
      </c>
      <c r="Z357" s="8">
        <v>6.18</v>
      </c>
      <c r="AA357" s="8" t="s">
        <v>1001</v>
      </c>
      <c r="AB357" s="8">
        <v>6</v>
      </c>
      <c r="AC357" s="8">
        <v>5841</v>
      </c>
      <c r="AD357" s="8"/>
      <c r="AE357" s="319" t="s">
        <v>985</v>
      </c>
      <c r="AF357" s="141"/>
      <c r="AG357" s="163"/>
      <c r="AH357" s="163"/>
      <c r="AI357" s="164"/>
      <c r="AJ357" s="126"/>
      <c r="AK357" s="72"/>
      <c r="AL357" s="72"/>
      <c r="AM357" s="127"/>
      <c r="AN357" s="126"/>
      <c r="AO357" s="72"/>
      <c r="AP357" s="72"/>
      <c r="AQ357" s="127"/>
    </row>
    <row r="358" spans="1:43" hidden="1" x14ac:dyDescent="0.25">
      <c r="A358" s="8">
        <v>355</v>
      </c>
      <c r="B358" s="8" t="s">
        <v>28</v>
      </c>
      <c r="C358" s="8" t="s">
        <v>980</v>
      </c>
      <c r="D358" s="8" t="s">
        <v>981</v>
      </c>
      <c r="E358" s="8"/>
      <c r="F358" s="8" t="s">
        <v>1001</v>
      </c>
      <c r="G358" s="8"/>
      <c r="H358" s="8" t="s">
        <v>31</v>
      </c>
      <c r="I358" s="8" t="s">
        <v>985</v>
      </c>
      <c r="J358" s="8"/>
      <c r="K358" s="8">
        <v>0.126</v>
      </c>
      <c r="L358" s="8">
        <v>0.126</v>
      </c>
      <c r="M358" s="8">
        <v>1</v>
      </c>
      <c r="N358" s="8" t="s">
        <v>33</v>
      </c>
      <c r="O358" s="8">
        <f t="shared" si="31"/>
        <v>2.1545999999999998</v>
      </c>
      <c r="P358" s="8">
        <f t="shared" si="32"/>
        <v>2.5137</v>
      </c>
      <c r="Q358" s="8">
        <f t="shared" si="33"/>
        <v>1.4364000000000001</v>
      </c>
      <c r="R358" s="8">
        <f t="shared" si="34"/>
        <v>1.0772999999999999</v>
      </c>
      <c r="S358" s="37">
        <v>7.1820000000000004</v>
      </c>
      <c r="T358" s="8">
        <v>105991.94</v>
      </c>
      <c r="U358" s="8">
        <v>13354.98444</v>
      </c>
      <c r="V358" s="8"/>
      <c r="W358" s="8"/>
      <c r="X358" s="8" t="s">
        <v>983</v>
      </c>
      <c r="Y358" s="8">
        <v>73044</v>
      </c>
      <c r="Z358" s="8">
        <v>6.18</v>
      </c>
      <c r="AA358" s="8" t="s">
        <v>1001</v>
      </c>
      <c r="AB358" s="8">
        <v>7</v>
      </c>
      <c r="AC358" s="8">
        <v>5846</v>
      </c>
      <c r="AD358" s="8"/>
      <c r="AE358" s="319" t="s">
        <v>985</v>
      </c>
      <c r="AF358" s="141"/>
      <c r="AG358" s="163"/>
      <c r="AH358" s="163"/>
      <c r="AI358" s="164"/>
      <c r="AJ358" s="126"/>
      <c r="AK358" s="72"/>
      <c r="AL358" s="72"/>
      <c r="AM358" s="127"/>
      <c r="AN358" s="126"/>
      <c r="AO358" s="72"/>
      <c r="AP358" s="72"/>
      <c r="AQ358" s="127"/>
    </row>
    <row r="359" spans="1:43" hidden="1" x14ac:dyDescent="0.25">
      <c r="A359" s="8">
        <v>356</v>
      </c>
      <c r="B359" s="8" t="s">
        <v>28</v>
      </c>
      <c r="C359" s="8" t="s">
        <v>980</v>
      </c>
      <c r="D359" s="8" t="s">
        <v>981</v>
      </c>
      <c r="E359" s="8"/>
      <c r="F359" s="8" t="s">
        <v>1001</v>
      </c>
      <c r="G359" s="8"/>
      <c r="H359" s="8" t="s">
        <v>31</v>
      </c>
      <c r="I359" s="8" t="s">
        <v>985</v>
      </c>
      <c r="J359" s="8"/>
      <c r="K359" s="8">
        <v>0.126</v>
      </c>
      <c r="L359" s="8">
        <v>0.126</v>
      </c>
      <c r="M359" s="8">
        <v>1</v>
      </c>
      <c r="N359" s="8" t="s">
        <v>33</v>
      </c>
      <c r="O359" s="8">
        <f t="shared" si="31"/>
        <v>2.1545999999999998</v>
      </c>
      <c r="P359" s="8">
        <f t="shared" si="32"/>
        <v>2.5137</v>
      </c>
      <c r="Q359" s="8">
        <f t="shared" si="33"/>
        <v>1.4364000000000001</v>
      </c>
      <c r="R359" s="8">
        <f t="shared" si="34"/>
        <v>1.0772999999999999</v>
      </c>
      <c r="S359" s="37">
        <v>7.1820000000000004</v>
      </c>
      <c r="T359" s="8">
        <v>105991.94</v>
      </c>
      <c r="U359" s="8">
        <v>13354.98444</v>
      </c>
      <c r="V359" s="8"/>
      <c r="W359" s="8"/>
      <c r="X359" s="8" t="s">
        <v>983</v>
      </c>
      <c r="Y359" s="8">
        <v>73044</v>
      </c>
      <c r="Z359" s="8">
        <v>6.18</v>
      </c>
      <c r="AA359" s="8" t="s">
        <v>1001</v>
      </c>
      <c r="AB359" s="8">
        <v>8</v>
      </c>
      <c r="AC359" s="8">
        <v>5846</v>
      </c>
      <c r="AD359" s="8"/>
      <c r="AE359" s="319" t="s">
        <v>985</v>
      </c>
      <c r="AF359" s="141"/>
      <c r="AG359" s="163"/>
      <c r="AH359" s="163"/>
      <c r="AI359" s="164"/>
      <c r="AJ359" s="126"/>
      <c r="AK359" s="72"/>
      <c r="AL359" s="72"/>
      <c r="AM359" s="127"/>
      <c r="AN359" s="126"/>
      <c r="AO359" s="72"/>
      <c r="AP359" s="72"/>
      <c r="AQ359" s="127"/>
    </row>
    <row r="360" spans="1:43" hidden="1" x14ac:dyDescent="0.25">
      <c r="A360" s="8">
        <v>357</v>
      </c>
      <c r="B360" s="8" t="s">
        <v>28</v>
      </c>
      <c r="C360" s="8" t="s">
        <v>980</v>
      </c>
      <c r="D360" s="8" t="s">
        <v>981</v>
      </c>
      <c r="E360" s="8"/>
      <c r="F360" s="8" t="s">
        <v>1001</v>
      </c>
      <c r="G360" s="8"/>
      <c r="H360" s="8" t="s">
        <v>31</v>
      </c>
      <c r="I360" s="8" t="s">
        <v>985</v>
      </c>
      <c r="J360" s="8"/>
      <c r="K360" s="8">
        <v>0.126</v>
      </c>
      <c r="L360" s="8">
        <v>0.126</v>
      </c>
      <c r="M360" s="8">
        <v>1</v>
      </c>
      <c r="N360" s="8" t="s">
        <v>33</v>
      </c>
      <c r="O360" s="8">
        <f t="shared" si="31"/>
        <v>2.1545999999999998</v>
      </c>
      <c r="P360" s="8">
        <f t="shared" si="32"/>
        <v>2.5137</v>
      </c>
      <c r="Q360" s="8">
        <f t="shared" si="33"/>
        <v>1.4364000000000001</v>
      </c>
      <c r="R360" s="8">
        <f t="shared" si="34"/>
        <v>1.0772999999999999</v>
      </c>
      <c r="S360" s="37">
        <v>7.1820000000000004</v>
      </c>
      <c r="T360" s="8">
        <v>105991.94</v>
      </c>
      <c r="U360" s="8">
        <v>13354.98444</v>
      </c>
      <c r="V360" s="8"/>
      <c r="W360" s="8"/>
      <c r="X360" s="8" t="s">
        <v>983</v>
      </c>
      <c r="Y360" s="8">
        <v>73044</v>
      </c>
      <c r="Z360" s="8">
        <v>6.18</v>
      </c>
      <c r="AA360" s="8" t="s">
        <v>1001</v>
      </c>
      <c r="AB360" s="8">
        <v>9</v>
      </c>
      <c r="AC360" s="8">
        <v>5848</v>
      </c>
      <c r="AD360" s="8"/>
      <c r="AE360" s="319" t="s">
        <v>985</v>
      </c>
      <c r="AF360" s="141"/>
      <c r="AG360" s="163"/>
      <c r="AH360" s="163"/>
      <c r="AI360" s="164"/>
      <c r="AJ360" s="126"/>
      <c r="AK360" s="72"/>
      <c r="AL360" s="72"/>
      <c r="AM360" s="127"/>
      <c r="AN360" s="126"/>
      <c r="AO360" s="72"/>
      <c r="AP360" s="72"/>
      <c r="AQ360" s="127"/>
    </row>
    <row r="361" spans="1:43" ht="15.75" hidden="1" thickBot="1" x14ac:dyDescent="0.3">
      <c r="A361" s="8">
        <v>358</v>
      </c>
      <c r="B361" s="8" t="s">
        <v>28</v>
      </c>
      <c r="C361" s="8" t="s">
        <v>980</v>
      </c>
      <c r="D361" s="8" t="s">
        <v>981</v>
      </c>
      <c r="E361" s="8"/>
      <c r="F361" s="8" t="s">
        <v>1001</v>
      </c>
      <c r="G361" s="8"/>
      <c r="H361" s="8" t="s">
        <v>31</v>
      </c>
      <c r="I361" s="8" t="s">
        <v>985</v>
      </c>
      <c r="J361" s="8"/>
      <c r="K361" s="8">
        <v>0.126</v>
      </c>
      <c r="L361" s="8">
        <v>0.126</v>
      </c>
      <c r="M361" s="8">
        <v>1</v>
      </c>
      <c r="N361" s="8" t="s">
        <v>33</v>
      </c>
      <c r="O361" s="8">
        <f t="shared" si="31"/>
        <v>2.1545999999999998</v>
      </c>
      <c r="P361" s="8">
        <f t="shared" si="32"/>
        <v>2.5137</v>
      </c>
      <c r="Q361" s="8">
        <f t="shared" si="33"/>
        <v>1.4364000000000001</v>
      </c>
      <c r="R361" s="8">
        <f t="shared" si="34"/>
        <v>1.0772999999999999</v>
      </c>
      <c r="S361" s="37">
        <v>7.1820000000000004</v>
      </c>
      <c r="T361" s="8">
        <v>105991.94</v>
      </c>
      <c r="U361" s="8">
        <v>13354.98444</v>
      </c>
      <c r="V361" s="8"/>
      <c r="W361" s="8"/>
      <c r="X361" s="8" t="s">
        <v>983</v>
      </c>
      <c r="Y361" s="8">
        <v>73044</v>
      </c>
      <c r="Z361" s="8">
        <v>6.18</v>
      </c>
      <c r="AA361" s="8" t="s">
        <v>1001</v>
      </c>
      <c r="AB361" s="8">
        <v>10</v>
      </c>
      <c r="AC361" s="8">
        <v>5848</v>
      </c>
      <c r="AD361" s="8"/>
      <c r="AE361" s="319" t="s">
        <v>985</v>
      </c>
      <c r="AF361" s="158"/>
      <c r="AG361" s="167"/>
      <c r="AH361" s="167"/>
      <c r="AI361" s="168"/>
      <c r="AJ361" s="258"/>
      <c r="AK361" s="128"/>
      <c r="AL361" s="128"/>
      <c r="AM361" s="129"/>
      <c r="AN361" s="258"/>
      <c r="AO361" s="128"/>
      <c r="AP361" s="128"/>
      <c r="AQ361" s="129"/>
    </row>
  </sheetData>
  <autoFilter ref="A3:AC361" xr:uid="{00000000-0009-0000-0000-000008000000}">
    <filterColumn colId="24">
      <colorFilter dxfId="6"/>
    </filterColumn>
  </autoFilter>
  <mergeCells count="3">
    <mergeCell ref="AF1:AI1"/>
    <mergeCell ref="AJ1:AM1"/>
    <mergeCell ref="AN1:AQ1"/>
  </mergeCells>
  <conditionalFormatting sqref="E1">
    <cfRule type="duplicateValues" dxfId="36" priority="2"/>
  </conditionalFormatting>
  <conditionalFormatting sqref="F1">
    <cfRule type="duplicateValues" dxfId="35" priority="1"/>
  </conditionalFormatting>
  <conditionalFormatting sqref="E2:E3">
    <cfRule type="duplicateValues" dxfId="34" priority="5"/>
  </conditionalFormatting>
  <conditionalFormatting sqref="F2:F3">
    <cfRule type="duplicateValues" dxfId="33" priority="6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Q355"/>
  <sheetViews>
    <sheetView zoomScale="70" zoomScaleNormal="70" workbookViewId="0">
      <pane ySplit="3" topLeftCell="A19" activePane="bottomLeft" state="frozen"/>
      <selection pane="bottomLeft" activeCell="AH22" sqref="AH22"/>
    </sheetView>
  </sheetViews>
  <sheetFormatPr defaultRowHeight="15" x14ac:dyDescent="0.25"/>
  <cols>
    <col min="1" max="1" width="6.5703125" style="17" customWidth="1"/>
    <col min="2" max="2" width="7" style="17" customWidth="1"/>
    <col min="3" max="3" width="26.5703125" style="17" hidden="1" customWidth="1"/>
    <col min="4" max="4" width="39.42578125" style="17" customWidth="1"/>
    <col min="5" max="5" width="19.28515625" style="17" hidden="1" customWidth="1"/>
    <col min="6" max="6" width="39.85546875" style="17" customWidth="1"/>
    <col min="7" max="7" width="22.42578125" style="17" hidden="1" customWidth="1"/>
    <col min="8" max="8" width="14.28515625" style="17" hidden="1" customWidth="1"/>
    <col min="9" max="10" width="10.28515625" style="17" hidden="1" customWidth="1"/>
    <col min="11" max="11" width="10.140625" style="17" customWidth="1"/>
    <col min="12" max="12" width="8.28515625" style="17" customWidth="1"/>
    <col min="13" max="13" width="7.140625" style="17" bestFit="1" customWidth="1"/>
    <col min="14" max="14" width="7.28515625" style="17" customWidth="1"/>
    <col min="15" max="16" width="6" style="17" customWidth="1"/>
    <col min="17" max="17" width="5.7109375" style="17" customWidth="1"/>
    <col min="18" max="18" width="5.42578125" style="17" customWidth="1"/>
    <col min="19" max="19" width="8.7109375" style="17" customWidth="1"/>
    <col min="20" max="20" width="20.42578125" style="17" hidden="1" customWidth="1"/>
    <col min="21" max="21" width="22.42578125" style="17" hidden="1" customWidth="1"/>
    <col min="22" max="22" width="11.85546875" style="17" hidden="1" customWidth="1"/>
    <col min="23" max="23" width="13.28515625" style="17" hidden="1" customWidth="1"/>
    <col min="24" max="24" width="15.140625" style="17" bestFit="1" customWidth="1"/>
    <col min="25" max="25" width="11.140625" style="17" customWidth="1"/>
    <col min="26" max="26" width="13.7109375" style="17" hidden="1" customWidth="1"/>
    <col min="27" max="27" width="78.28515625" style="17" hidden="1" customWidth="1"/>
    <col min="28" max="28" width="16" style="17" hidden="1" customWidth="1"/>
    <col min="29" max="29" width="10" style="17" hidden="1" customWidth="1"/>
    <col min="30" max="37" width="7.5703125" style="32" customWidth="1"/>
    <col min="38" max="38" width="4.85546875" style="17" bestFit="1" customWidth="1"/>
    <col min="39" max="39" width="13.5703125" style="17" customWidth="1"/>
    <col min="40" max="40" width="13.28515625" style="17" bestFit="1" customWidth="1"/>
    <col min="41" max="42" width="8.85546875" style="17"/>
    <col min="43" max="43" width="11.7109375" style="17" customWidth="1"/>
  </cols>
  <sheetData>
    <row r="1" spans="1:43" ht="12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 t="s">
        <v>9</v>
      </c>
      <c r="L1" s="1" t="s">
        <v>10</v>
      </c>
      <c r="M1" s="1" t="s">
        <v>11</v>
      </c>
      <c r="N1" s="1" t="s">
        <v>12</v>
      </c>
      <c r="O1" s="1" t="s">
        <v>259</v>
      </c>
      <c r="P1" s="1" t="s">
        <v>259</v>
      </c>
      <c r="Q1" s="1" t="s">
        <v>259</v>
      </c>
      <c r="R1" s="1" t="s">
        <v>259</v>
      </c>
      <c r="S1" s="247" t="s">
        <v>13</v>
      </c>
      <c r="T1" s="1" t="s">
        <v>14</v>
      </c>
      <c r="U1" s="1" t="s">
        <v>15</v>
      </c>
      <c r="V1" s="2" t="s">
        <v>16</v>
      </c>
      <c r="W1" s="2" t="s">
        <v>17</v>
      </c>
      <c r="X1" s="3" t="s">
        <v>18</v>
      </c>
      <c r="Y1" s="1" t="s">
        <v>19</v>
      </c>
      <c r="Z1" s="1" t="s">
        <v>20</v>
      </c>
      <c r="AA1" s="4" t="s">
        <v>21</v>
      </c>
      <c r="AB1" s="3" t="s">
        <v>22</v>
      </c>
      <c r="AC1" s="236" t="s">
        <v>23</v>
      </c>
      <c r="AD1" s="452" t="s">
        <v>979</v>
      </c>
      <c r="AE1" s="453"/>
      <c r="AF1" s="453"/>
      <c r="AG1" s="454"/>
      <c r="AH1" s="452" t="s">
        <v>1145</v>
      </c>
      <c r="AI1" s="453"/>
      <c r="AJ1" s="453"/>
      <c r="AK1" s="454"/>
      <c r="AL1" s="248" t="s">
        <v>24</v>
      </c>
      <c r="AM1" s="249" t="s">
        <v>751</v>
      </c>
      <c r="AN1" s="249"/>
      <c r="AO1" s="15"/>
      <c r="AP1" s="15"/>
      <c r="AQ1" s="15" t="s">
        <v>752</v>
      </c>
    </row>
    <row r="2" spans="1:43" x14ac:dyDescent="0.25">
      <c r="A2" s="1"/>
      <c r="B2" s="1"/>
      <c r="C2" s="1"/>
      <c r="D2" s="1"/>
      <c r="E2" s="2"/>
      <c r="F2" s="1"/>
      <c r="G2" s="1"/>
      <c r="H2" s="1"/>
      <c r="I2" s="1"/>
      <c r="J2" s="1"/>
      <c r="K2" s="1"/>
      <c r="L2" s="1"/>
      <c r="M2" s="1"/>
      <c r="N2" s="1"/>
      <c r="O2" s="133">
        <v>0.3</v>
      </c>
      <c r="P2" s="133">
        <v>0.35</v>
      </c>
      <c r="Q2" s="133">
        <v>0.2</v>
      </c>
      <c r="R2" s="133">
        <v>0.15</v>
      </c>
      <c r="S2" s="247"/>
      <c r="T2" s="1"/>
      <c r="U2" s="1"/>
      <c r="V2" s="2"/>
      <c r="W2" s="2"/>
      <c r="X2" s="3"/>
      <c r="Y2" s="1"/>
      <c r="Z2" s="1"/>
      <c r="AA2" s="4"/>
      <c r="AB2" s="3"/>
      <c r="AC2" s="88"/>
      <c r="AD2" s="36">
        <v>0.3</v>
      </c>
      <c r="AE2" s="36">
        <v>0.35</v>
      </c>
      <c r="AF2" s="36">
        <v>0.2</v>
      </c>
      <c r="AG2" s="36">
        <v>0.15</v>
      </c>
      <c r="AH2" s="36">
        <v>0.3</v>
      </c>
      <c r="AI2" s="36">
        <v>0.35</v>
      </c>
      <c r="AJ2" s="36">
        <v>0.2</v>
      </c>
      <c r="AK2" s="36">
        <v>0.15</v>
      </c>
      <c r="AL2" s="255"/>
      <c r="AM2" s="23"/>
      <c r="AN2" s="23"/>
      <c r="AO2" s="23"/>
      <c r="AP2" s="23"/>
      <c r="AQ2" s="23"/>
    </row>
    <row r="3" spans="1:43" ht="15.75" thickBot="1" x14ac:dyDescent="0.3">
      <c r="A3" s="1"/>
      <c r="B3" s="1"/>
      <c r="C3" s="1"/>
      <c r="D3" s="1"/>
      <c r="E3" s="2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247"/>
      <c r="T3" s="1"/>
      <c r="U3" s="1"/>
      <c r="V3" s="2"/>
      <c r="W3" s="2"/>
      <c r="X3" s="3"/>
      <c r="Y3" s="1"/>
      <c r="Z3" s="1"/>
      <c r="AA3" s="4"/>
      <c r="AB3" s="3"/>
      <c r="AC3" s="88"/>
      <c r="AD3" s="91">
        <f>SUM(AD4:AD81)</f>
        <v>0</v>
      </c>
      <c r="AE3" s="91">
        <f>SUM(AE4:AE81)</f>
        <v>0</v>
      </c>
      <c r="AF3" s="91">
        <f t="shared" ref="AF3:AK3" si="0">SUM(AF4:AF81)</f>
        <v>0</v>
      </c>
      <c r="AG3" s="91">
        <f t="shared" si="0"/>
        <v>0</v>
      </c>
      <c r="AH3" s="91">
        <f t="shared" si="0"/>
        <v>0</v>
      </c>
      <c r="AI3" s="91">
        <f t="shared" si="0"/>
        <v>0</v>
      </c>
      <c r="AJ3" s="91">
        <f t="shared" si="0"/>
        <v>0</v>
      </c>
      <c r="AK3" s="91">
        <f t="shared" si="0"/>
        <v>0</v>
      </c>
      <c r="AL3" s="255"/>
      <c r="AM3" s="23"/>
      <c r="AN3" s="23"/>
      <c r="AO3" s="23"/>
      <c r="AP3" s="23"/>
      <c r="AQ3" s="23"/>
    </row>
    <row r="4" spans="1:43" x14ac:dyDescent="0.25">
      <c r="A4" s="9">
        <v>917</v>
      </c>
      <c r="B4" s="38" t="s">
        <v>28</v>
      </c>
      <c r="C4" s="38" t="s">
        <v>753</v>
      </c>
      <c r="D4" s="38" t="s">
        <v>870</v>
      </c>
      <c r="E4" s="38"/>
      <c r="F4" s="38"/>
      <c r="G4" s="38"/>
      <c r="H4" s="38" t="s">
        <v>31</v>
      </c>
      <c r="I4" s="38"/>
      <c r="J4" s="38"/>
      <c r="K4" s="38"/>
      <c r="L4" s="38">
        <v>10.101539999999996</v>
      </c>
      <c r="M4" s="38"/>
      <c r="N4" s="38"/>
      <c r="O4" s="38"/>
      <c r="P4" s="38"/>
      <c r="Q4" s="38"/>
      <c r="R4" s="38"/>
      <c r="S4" s="38">
        <v>532.21969999999976</v>
      </c>
      <c r="T4" s="250"/>
      <c r="U4" s="38">
        <v>1070681.8215875998</v>
      </c>
      <c r="V4" s="38"/>
      <c r="W4" s="38"/>
      <c r="X4" s="38"/>
      <c r="Y4" s="38"/>
      <c r="Z4" s="251"/>
      <c r="AA4" s="38"/>
      <c r="AB4" s="38"/>
      <c r="AC4" s="87"/>
      <c r="AD4" s="122"/>
      <c r="AE4" s="123"/>
      <c r="AF4" s="123"/>
      <c r="AG4" s="93"/>
      <c r="AH4" s="122"/>
      <c r="AI4" s="123"/>
      <c r="AJ4" s="123"/>
      <c r="AK4" s="93"/>
      <c r="AL4" s="87"/>
      <c r="AM4" s="87"/>
      <c r="AN4" s="87"/>
      <c r="AO4" s="87"/>
      <c r="AP4" s="87"/>
      <c r="AQ4" s="87"/>
    </row>
    <row r="5" spans="1:43" x14ac:dyDescent="0.25">
      <c r="A5" s="9">
        <v>918</v>
      </c>
      <c r="B5" s="9" t="s">
        <v>28</v>
      </c>
      <c r="C5" s="9" t="s">
        <v>753</v>
      </c>
      <c r="D5" s="9" t="s">
        <v>870</v>
      </c>
      <c r="E5" s="9"/>
      <c r="F5" s="9" t="str">
        <f t="shared" ref="F5:F68" si="1">AA5</f>
        <v>Нож D455 в сборе</v>
      </c>
      <c r="G5" s="9"/>
      <c r="H5" s="9" t="s">
        <v>31</v>
      </c>
      <c r="I5" s="9"/>
      <c r="J5" s="9"/>
      <c r="K5" s="9">
        <v>0.13</v>
      </c>
      <c r="L5" s="9">
        <v>0.13</v>
      </c>
      <c r="M5" s="9">
        <v>1</v>
      </c>
      <c r="N5" s="9" t="s">
        <v>33</v>
      </c>
      <c r="O5" s="9">
        <f>S5*0.3</f>
        <v>2.5350000000000001</v>
      </c>
      <c r="P5" s="9">
        <f>S5*0.35</f>
        <v>2.9575</v>
      </c>
      <c r="Q5" s="9">
        <f>S5*0.2</f>
        <v>1.6900000000000004</v>
      </c>
      <c r="R5" s="9">
        <f>S5*0.15</f>
        <v>1.2675000000000001</v>
      </c>
      <c r="S5" s="18">
        <v>8.4500000000000011</v>
      </c>
      <c r="T5" s="252">
        <v>105991.94</v>
      </c>
      <c r="U5" s="194">
        <v>13778.952200000002</v>
      </c>
      <c r="V5" s="9"/>
      <c r="W5" s="9"/>
      <c r="X5" s="9" t="s">
        <v>871</v>
      </c>
      <c r="Y5" s="9">
        <v>73706</v>
      </c>
      <c r="Z5" s="19" t="s">
        <v>872</v>
      </c>
      <c r="AA5" s="9" t="s">
        <v>873</v>
      </c>
      <c r="AB5" s="9">
        <v>1</v>
      </c>
      <c r="AC5" s="9">
        <v>3462</v>
      </c>
      <c r="AD5" s="124"/>
      <c r="AE5" s="34"/>
      <c r="AF5" s="34"/>
      <c r="AG5" s="95"/>
      <c r="AH5" s="124"/>
      <c r="AI5" s="34"/>
      <c r="AJ5" s="34"/>
      <c r="AK5" s="95"/>
      <c r="AL5" s="87"/>
      <c r="AM5" s="17">
        <f>L4</f>
        <v>10.101539999999996</v>
      </c>
      <c r="AN5" s="17" t="s">
        <v>874</v>
      </c>
      <c r="AO5" s="17">
        <f>AM6*0.05+AM6</f>
        <v>558.83068499999979</v>
      </c>
      <c r="AQ5" s="17" t="s">
        <v>875</v>
      </c>
    </row>
    <row r="6" spans="1:43" x14ac:dyDescent="0.25">
      <c r="A6" s="9">
        <v>919</v>
      </c>
      <c r="B6" s="9" t="s">
        <v>28</v>
      </c>
      <c r="C6" s="9" t="s">
        <v>753</v>
      </c>
      <c r="D6" s="9" t="s">
        <v>870</v>
      </c>
      <c r="E6" s="9"/>
      <c r="F6" s="9" t="str">
        <f t="shared" si="1"/>
        <v>Нож D455 в сборе</v>
      </c>
      <c r="G6" s="9"/>
      <c r="H6" s="9" t="s">
        <v>31</v>
      </c>
      <c r="I6" s="9"/>
      <c r="J6" s="9"/>
      <c r="K6" s="9">
        <v>0.13</v>
      </c>
      <c r="L6" s="9">
        <v>0.13</v>
      </c>
      <c r="M6" s="9">
        <v>1</v>
      </c>
      <c r="N6" s="9" t="s">
        <v>33</v>
      </c>
      <c r="O6" s="9">
        <f t="shared" ref="O6:O69" si="2">S6*0.3</f>
        <v>2.5350000000000001</v>
      </c>
      <c r="P6" s="9">
        <f t="shared" ref="P6:P69" si="3">S6*0.35</f>
        <v>2.9575</v>
      </c>
      <c r="Q6" s="9">
        <f t="shared" ref="Q6:Q69" si="4">S6*0.2</f>
        <v>1.6900000000000004</v>
      </c>
      <c r="R6" s="9">
        <f t="shared" ref="R6:R69" si="5">S6*0.15</f>
        <v>1.2675000000000001</v>
      </c>
      <c r="S6" s="18">
        <v>8.4500000000000011</v>
      </c>
      <c r="T6" s="252">
        <v>105991.94</v>
      </c>
      <c r="U6" s="194">
        <v>13778.952200000002</v>
      </c>
      <c r="V6" s="9"/>
      <c r="W6" s="9"/>
      <c r="X6" s="9" t="s">
        <v>871</v>
      </c>
      <c r="Y6" s="9">
        <v>73706</v>
      </c>
      <c r="Z6" s="19" t="s">
        <v>872</v>
      </c>
      <c r="AA6" s="9" t="s">
        <v>873</v>
      </c>
      <c r="AB6" s="9">
        <v>2</v>
      </c>
      <c r="AC6" s="9">
        <v>3462</v>
      </c>
      <c r="AD6" s="58"/>
      <c r="AE6" s="42"/>
      <c r="AF6" s="42"/>
      <c r="AG6" s="59"/>
      <c r="AH6" s="58"/>
      <c r="AI6" s="42"/>
      <c r="AJ6" s="42"/>
      <c r="AK6" s="59"/>
      <c r="AL6" s="87"/>
      <c r="AM6" s="254">
        <f>SUM(S5:S81)</f>
        <v>532.21969999999976</v>
      </c>
      <c r="AN6" s="253" t="s">
        <v>876</v>
      </c>
      <c r="AO6" s="17">
        <v>495</v>
      </c>
      <c r="AP6" s="253"/>
      <c r="AQ6" s="17" t="s">
        <v>877</v>
      </c>
    </row>
    <row r="7" spans="1:43" ht="15.75" thickBot="1" x14ac:dyDescent="0.3">
      <c r="A7" s="9">
        <v>920</v>
      </c>
      <c r="B7" s="9" t="s">
        <v>28</v>
      </c>
      <c r="C7" s="9" t="s">
        <v>753</v>
      </c>
      <c r="D7" s="9" t="s">
        <v>870</v>
      </c>
      <c r="E7" s="9"/>
      <c r="F7" s="9" t="str">
        <f t="shared" si="1"/>
        <v>Нож D455 в сборе</v>
      </c>
      <c r="G7" s="9"/>
      <c r="H7" s="9" t="s">
        <v>31</v>
      </c>
      <c r="I7" s="9"/>
      <c r="J7" s="9"/>
      <c r="K7" s="9">
        <v>0.13</v>
      </c>
      <c r="L7" s="9">
        <v>0.13</v>
      </c>
      <c r="M7" s="9">
        <v>1</v>
      </c>
      <c r="N7" s="9" t="s">
        <v>33</v>
      </c>
      <c r="O7" s="9">
        <f t="shared" si="2"/>
        <v>2.5350000000000001</v>
      </c>
      <c r="P7" s="9">
        <f t="shared" si="3"/>
        <v>2.9575</v>
      </c>
      <c r="Q7" s="9">
        <f t="shared" si="4"/>
        <v>1.6900000000000004</v>
      </c>
      <c r="R7" s="9">
        <f t="shared" si="5"/>
        <v>1.2675000000000001</v>
      </c>
      <c r="S7" s="18">
        <v>8.4500000000000011</v>
      </c>
      <c r="T7" s="252">
        <v>105991.94</v>
      </c>
      <c r="U7" s="194">
        <v>13778.952200000002</v>
      </c>
      <c r="V7" s="9"/>
      <c r="W7" s="9"/>
      <c r="X7" s="9" t="s">
        <v>871</v>
      </c>
      <c r="Y7" s="9">
        <v>73706</v>
      </c>
      <c r="Z7" s="19" t="s">
        <v>872</v>
      </c>
      <c r="AA7" s="9" t="s">
        <v>873</v>
      </c>
      <c r="AB7" s="9">
        <v>3</v>
      </c>
      <c r="AC7" s="9">
        <v>3462</v>
      </c>
      <c r="AD7" s="58"/>
      <c r="AE7" s="42"/>
      <c r="AF7" s="42"/>
      <c r="AG7" s="59"/>
      <c r="AH7" s="58"/>
      <c r="AI7" s="42"/>
      <c r="AJ7" s="42"/>
      <c r="AK7" s="59"/>
      <c r="AL7" s="87"/>
      <c r="AM7" s="17">
        <f>AM6*0.05</f>
        <v>26.610984999999989</v>
      </c>
      <c r="AN7" s="17" t="s">
        <v>878</v>
      </c>
      <c r="AO7" s="17">
        <f>AO6-AO5</f>
        <v>-63.830684999999789</v>
      </c>
      <c r="AQ7" s="17" t="s">
        <v>879</v>
      </c>
    </row>
    <row r="8" spans="1:43" ht="15.75" thickBot="1" x14ac:dyDescent="0.3">
      <c r="A8" s="9">
        <v>921</v>
      </c>
      <c r="B8" s="9" t="s">
        <v>28</v>
      </c>
      <c r="C8" s="9" t="s">
        <v>753</v>
      </c>
      <c r="D8" s="9" t="s">
        <v>870</v>
      </c>
      <c r="E8" s="9"/>
      <c r="F8" s="9" t="str">
        <f t="shared" si="1"/>
        <v>Нож D455 в сборе</v>
      </c>
      <c r="G8" s="9"/>
      <c r="H8" s="9" t="s">
        <v>31</v>
      </c>
      <c r="I8" s="9"/>
      <c r="J8" s="9"/>
      <c r="K8" s="9">
        <v>0.13</v>
      </c>
      <c r="L8" s="9">
        <v>0.13</v>
      </c>
      <c r="M8" s="9">
        <v>1</v>
      </c>
      <c r="N8" s="9" t="s">
        <v>33</v>
      </c>
      <c r="O8" s="9">
        <f t="shared" si="2"/>
        <v>2.5350000000000001</v>
      </c>
      <c r="P8" s="9">
        <f t="shared" si="3"/>
        <v>2.9575</v>
      </c>
      <c r="Q8" s="9">
        <f t="shared" si="4"/>
        <v>1.6900000000000004</v>
      </c>
      <c r="R8" s="9">
        <f t="shared" si="5"/>
        <v>1.2675000000000001</v>
      </c>
      <c r="S8" s="18">
        <v>8.4500000000000011</v>
      </c>
      <c r="T8" s="252">
        <v>105991.94</v>
      </c>
      <c r="U8" s="194">
        <v>13778.952200000002</v>
      </c>
      <c r="V8" s="9"/>
      <c r="W8" s="9"/>
      <c r="X8" s="9" t="s">
        <v>871</v>
      </c>
      <c r="Y8" s="9">
        <v>73706</v>
      </c>
      <c r="Z8" s="19" t="s">
        <v>872</v>
      </c>
      <c r="AA8" s="9" t="s">
        <v>873</v>
      </c>
      <c r="AB8" s="9">
        <v>4</v>
      </c>
      <c r="AC8" s="9">
        <v>3462</v>
      </c>
      <c r="AD8" s="58"/>
      <c r="AE8" s="42"/>
      <c r="AF8" s="42"/>
      <c r="AG8" s="59"/>
      <c r="AH8" s="58"/>
      <c r="AI8" s="42"/>
      <c r="AJ8" s="42"/>
      <c r="AK8" s="59"/>
      <c r="AL8" s="87"/>
      <c r="AM8" s="17">
        <v>479</v>
      </c>
      <c r="AN8" s="222"/>
      <c r="AO8" s="457" t="s">
        <v>658</v>
      </c>
      <c r="AP8" s="458"/>
      <c r="AQ8" s="224" t="s">
        <v>659</v>
      </c>
    </row>
    <row r="9" spans="1:43" x14ac:dyDescent="0.25">
      <c r="A9" s="9">
        <v>922</v>
      </c>
      <c r="B9" s="9" t="s">
        <v>28</v>
      </c>
      <c r="C9" s="9" t="s">
        <v>753</v>
      </c>
      <c r="D9" s="9" t="s">
        <v>870</v>
      </c>
      <c r="E9" s="9"/>
      <c r="F9" s="9" t="str">
        <f t="shared" si="1"/>
        <v>Блок для удаления заусенцев</v>
      </c>
      <c r="G9" s="9"/>
      <c r="H9" s="9" t="s">
        <v>31</v>
      </c>
      <c r="I9" s="9"/>
      <c r="J9" s="9"/>
      <c r="K9" s="9">
        <v>0.76970000000000005</v>
      </c>
      <c r="L9" s="9">
        <v>0.76970000000000005</v>
      </c>
      <c r="M9" s="9">
        <v>1</v>
      </c>
      <c r="N9" s="9" t="s">
        <v>33</v>
      </c>
      <c r="O9" s="9">
        <f t="shared" si="2"/>
        <v>9.2364000000000015</v>
      </c>
      <c r="P9" s="9">
        <f t="shared" si="3"/>
        <v>10.7758</v>
      </c>
      <c r="Q9" s="9">
        <f t="shared" si="4"/>
        <v>6.1576000000000013</v>
      </c>
      <c r="R9" s="9">
        <f t="shared" si="5"/>
        <v>4.6182000000000007</v>
      </c>
      <c r="S9" s="18">
        <v>30.788000000000004</v>
      </c>
      <c r="T9" s="252">
        <v>105991.94</v>
      </c>
      <c r="U9" s="194">
        <v>81581.996218</v>
      </c>
      <c r="V9" s="9"/>
      <c r="W9" s="9"/>
      <c r="X9" s="9" t="s">
        <v>880</v>
      </c>
      <c r="Y9" s="9">
        <v>73706</v>
      </c>
      <c r="Z9" s="19" t="s">
        <v>872</v>
      </c>
      <c r="AA9" s="9" t="s">
        <v>881</v>
      </c>
      <c r="AB9" s="9">
        <v>5</v>
      </c>
      <c r="AC9" s="9">
        <v>3462</v>
      </c>
      <c r="AD9" s="58"/>
      <c r="AE9" s="42"/>
      <c r="AF9" s="42"/>
      <c r="AG9" s="59"/>
      <c r="AH9" s="58"/>
      <c r="AI9" s="42"/>
      <c r="AJ9" s="42"/>
      <c r="AK9" s="59"/>
      <c r="AL9" s="87"/>
      <c r="AN9" s="226"/>
      <c r="AO9" s="226" t="s">
        <v>660</v>
      </c>
      <c r="AP9" s="227">
        <v>0.05</v>
      </c>
      <c r="AQ9" s="228">
        <v>80</v>
      </c>
    </row>
    <row r="10" spans="1:43" x14ac:dyDescent="0.25">
      <c r="A10" s="9">
        <v>923</v>
      </c>
      <c r="B10" s="9" t="s">
        <v>28</v>
      </c>
      <c r="C10" s="9" t="s">
        <v>753</v>
      </c>
      <c r="D10" s="9" t="s">
        <v>870</v>
      </c>
      <c r="E10" s="9"/>
      <c r="F10" s="9" t="str">
        <f t="shared" si="1"/>
        <v>Блок для удаления заусенцев</v>
      </c>
      <c r="G10" s="9"/>
      <c r="H10" s="9" t="s">
        <v>31</v>
      </c>
      <c r="I10" s="9"/>
      <c r="J10" s="9"/>
      <c r="K10" s="9">
        <v>0.76970000000000005</v>
      </c>
      <c r="L10" s="9">
        <v>0.76970000000000005</v>
      </c>
      <c r="M10" s="9">
        <v>1</v>
      </c>
      <c r="N10" s="9" t="s">
        <v>33</v>
      </c>
      <c r="O10" s="9">
        <f t="shared" si="2"/>
        <v>9.2364000000000015</v>
      </c>
      <c r="P10" s="9">
        <f t="shared" si="3"/>
        <v>10.7758</v>
      </c>
      <c r="Q10" s="9">
        <f t="shared" si="4"/>
        <v>6.1576000000000013</v>
      </c>
      <c r="R10" s="9">
        <f t="shared" si="5"/>
        <v>4.6182000000000007</v>
      </c>
      <c r="S10" s="18">
        <v>30.788000000000004</v>
      </c>
      <c r="T10" s="252">
        <v>105991.94</v>
      </c>
      <c r="U10" s="194">
        <v>81581.996218</v>
      </c>
      <c r="V10" s="9"/>
      <c r="W10" s="9"/>
      <c r="X10" s="9" t="s">
        <v>880</v>
      </c>
      <c r="Y10" s="9">
        <v>73706</v>
      </c>
      <c r="Z10" s="19" t="s">
        <v>872</v>
      </c>
      <c r="AA10" s="9" t="s">
        <v>881</v>
      </c>
      <c r="AB10" s="9">
        <v>6</v>
      </c>
      <c r="AC10" s="9">
        <v>3462</v>
      </c>
      <c r="AD10" s="58"/>
      <c r="AE10" s="42"/>
      <c r="AF10" s="42"/>
      <c r="AG10" s="59"/>
      <c r="AH10" s="58"/>
      <c r="AI10" s="42"/>
      <c r="AJ10" s="42"/>
      <c r="AK10" s="59"/>
      <c r="AL10" s="87"/>
      <c r="AN10" s="229"/>
      <c r="AO10" s="229">
        <v>0.05</v>
      </c>
      <c r="AP10" s="230">
        <v>0.1</v>
      </c>
      <c r="AQ10" s="231">
        <v>75</v>
      </c>
    </row>
    <row r="11" spans="1:43" x14ac:dyDescent="0.25">
      <c r="A11" s="9">
        <v>924</v>
      </c>
      <c r="B11" s="9" t="s">
        <v>28</v>
      </c>
      <c r="C11" s="9" t="s">
        <v>753</v>
      </c>
      <c r="D11" s="9" t="s">
        <v>870</v>
      </c>
      <c r="E11" s="9"/>
      <c r="F11" s="9" t="str">
        <f t="shared" si="1"/>
        <v>Блок для удаления заусенцев</v>
      </c>
      <c r="G11" s="9"/>
      <c r="H11" s="9" t="s">
        <v>31</v>
      </c>
      <c r="I11" s="9"/>
      <c r="J11" s="9"/>
      <c r="K11" s="9">
        <v>0.76970000000000005</v>
      </c>
      <c r="L11" s="9">
        <v>0.76970000000000005</v>
      </c>
      <c r="M11" s="9">
        <v>1</v>
      </c>
      <c r="N11" s="9" t="s">
        <v>33</v>
      </c>
      <c r="O11" s="9">
        <f t="shared" si="2"/>
        <v>9.2364000000000015</v>
      </c>
      <c r="P11" s="9">
        <f t="shared" si="3"/>
        <v>10.7758</v>
      </c>
      <c r="Q11" s="9">
        <f t="shared" si="4"/>
        <v>6.1576000000000013</v>
      </c>
      <c r="R11" s="9">
        <f t="shared" si="5"/>
        <v>4.6182000000000007</v>
      </c>
      <c r="S11" s="18">
        <v>30.788000000000004</v>
      </c>
      <c r="T11" s="252">
        <v>105991.94</v>
      </c>
      <c r="U11" s="194">
        <v>81581.996218</v>
      </c>
      <c r="V11" s="9"/>
      <c r="W11" s="9"/>
      <c r="X11" s="9" t="s">
        <v>880</v>
      </c>
      <c r="Y11" s="9">
        <v>73706</v>
      </c>
      <c r="Z11" s="19" t="s">
        <v>872</v>
      </c>
      <c r="AA11" s="9" t="s">
        <v>881</v>
      </c>
      <c r="AB11" s="9">
        <v>7</v>
      </c>
      <c r="AC11" s="9">
        <v>3462</v>
      </c>
      <c r="AD11" s="58"/>
      <c r="AE11" s="42"/>
      <c r="AF11" s="42"/>
      <c r="AG11" s="59"/>
      <c r="AH11" s="58"/>
      <c r="AI11" s="42"/>
      <c r="AJ11" s="42"/>
      <c r="AK11" s="59"/>
      <c r="AL11" s="87"/>
      <c r="AN11" s="229"/>
      <c r="AO11" s="229">
        <v>0.1</v>
      </c>
      <c r="AP11" s="230">
        <v>0.5</v>
      </c>
      <c r="AQ11" s="231">
        <v>65</v>
      </c>
    </row>
    <row r="12" spans="1:43" x14ac:dyDescent="0.25">
      <c r="A12" s="9">
        <v>925</v>
      </c>
      <c r="B12" s="9" t="s">
        <v>28</v>
      </c>
      <c r="C12" s="9" t="s">
        <v>753</v>
      </c>
      <c r="D12" s="9" t="s">
        <v>870</v>
      </c>
      <c r="E12" s="9"/>
      <c r="F12" s="9" t="str">
        <f t="shared" si="1"/>
        <v>Блок для удаления заусенцев</v>
      </c>
      <c r="G12" s="9"/>
      <c r="H12" s="9" t="s">
        <v>31</v>
      </c>
      <c r="I12" s="9"/>
      <c r="J12" s="9"/>
      <c r="K12" s="9">
        <v>0.76970000000000005</v>
      </c>
      <c r="L12" s="9">
        <v>0.76970000000000005</v>
      </c>
      <c r="M12" s="9">
        <v>1</v>
      </c>
      <c r="N12" s="9" t="s">
        <v>33</v>
      </c>
      <c r="O12" s="9">
        <f t="shared" si="2"/>
        <v>9.2364000000000015</v>
      </c>
      <c r="P12" s="9">
        <f t="shared" si="3"/>
        <v>10.7758</v>
      </c>
      <c r="Q12" s="9">
        <f t="shared" si="4"/>
        <v>6.1576000000000013</v>
      </c>
      <c r="R12" s="9">
        <f t="shared" si="5"/>
        <v>4.6182000000000007</v>
      </c>
      <c r="S12" s="18">
        <v>30.788000000000004</v>
      </c>
      <c r="T12" s="252">
        <v>105991.94</v>
      </c>
      <c r="U12" s="194">
        <v>81581.996218</v>
      </c>
      <c r="V12" s="9"/>
      <c r="W12" s="9"/>
      <c r="X12" s="9" t="s">
        <v>880</v>
      </c>
      <c r="Y12" s="9">
        <v>73706</v>
      </c>
      <c r="Z12" s="19" t="s">
        <v>872</v>
      </c>
      <c r="AA12" s="9" t="s">
        <v>881</v>
      </c>
      <c r="AB12" s="9">
        <v>8</v>
      </c>
      <c r="AC12" s="9">
        <v>3462</v>
      </c>
      <c r="AD12" s="58"/>
      <c r="AE12" s="42"/>
      <c r="AF12" s="42"/>
      <c r="AG12" s="59"/>
      <c r="AH12" s="58"/>
      <c r="AI12" s="42"/>
      <c r="AJ12" s="42"/>
      <c r="AK12" s="59"/>
      <c r="AL12" s="87"/>
      <c r="AN12" s="229"/>
      <c r="AO12" s="229">
        <v>0.5</v>
      </c>
      <c r="AP12" s="230">
        <v>1</v>
      </c>
      <c r="AQ12" s="231">
        <v>40</v>
      </c>
    </row>
    <row r="13" spans="1:43" x14ac:dyDescent="0.25">
      <c r="A13" s="9">
        <v>926</v>
      </c>
      <c r="B13" s="9" t="s">
        <v>28</v>
      </c>
      <c r="C13" s="9" t="s">
        <v>753</v>
      </c>
      <c r="D13" s="9" t="s">
        <v>870</v>
      </c>
      <c r="E13" s="9"/>
      <c r="F13" s="9" t="str">
        <f t="shared" si="1"/>
        <v>Оптический датчик</v>
      </c>
      <c r="G13" s="9"/>
      <c r="H13" s="9" t="s">
        <v>31</v>
      </c>
      <c r="I13" s="9"/>
      <c r="J13" s="9"/>
      <c r="K13" s="9">
        <v>0.24199999999999999</v>
      </c>
      <c r="L13" s="9">
        <v>0.24199999999999999</v>
      </c>
      <c r="M13" s="9">
        <v>1</v>
      </c>
      <c r="N13" s="9" t="s">
        <v>33</v>
      </c>
      <c r="O13" s="9">
        <f t="shared" si="2"/>
        <v>4.7190000000000003</v>
      </c>
      <c r="P13" s="9">
        <f t="shared" si="3"/>
        <v>5.5054999999999996</v>
      </c>
      <c r="Q13" s="9">
        <f t="shared" si="4"/>
        <v>3.1460000000000004</v>
      </c>
      <c r="R13" s="9">
        <f t="shared" si="5"/>
        <v>2.3595000000000002</v>
      </c>
      <c r="S13" s="18">
        <v>15.73</v>
      </c>
      <c r="T13" s="252">
        <v>105991.94</v>
      </c>
      <c r="U13" s="194">
        <v>25650.049480000001</v>
      </c>
      <c r="V13" s="9"/>
      <c r="W13" s="9"/>
      <c r="X13" s="9" t="s">
        <v>882</v>
      </c>
      <c r="Y13" s="9">
        <v>73707</v>
      </c>
      <c r="Z13" s="19" t="s">
        <v>872</v>
      </c>
      <c r="AA13" s="9" t="s">
        <v>90</v>
      </c>
      <c r="AB13" s="9">
        <v>1</v>
      </c>
      <c r="AC13" s="9">
        <v>3462</v>
      </c>
      <c r="AD13" s="58"/>
      <c r="AE13" s="42"/>
      <c r="AF13" s="42"/>
      <c r="AG13" s="59"/>
      <c r="AH13" s="58"/>
      <c r="AI13" s="42"/>
      <c r="AJ13" s="42"/>
      <c r="AK13" s="59"/>
      <c r="AL13" s="87"/>
      <c r="AN13" s="229"/>
      <c r="AO13" s="229">
        <v>1</v>
      </c>
      <c r="AP13" s="230">
        <v>5</v>
      </c>
      <c r="AQ13" s="231">
        <v>0</v>
      </c>
    </row>
    <row r="14" spans="1:43" x14ac:dyDescent="0.25">
      <c r="A14" s="9">
        <v>927</v>
      </c>
      <c r="B14" s="9" t="s">
        <v>28</v>
      </c>
      <c r="C14" s="9" t="s">
        <v>753</v>
      </c>
      <c r="D14" s="9" t="s">
        <v>870</v>
      </c>
      <c r="E14" s="9"/>
      <c r="F14" s="9" t="str">
        <f t="shared" si="1"/>
        <v>Нож D455 в сборе</v>
      </c>
      <c r="G14" s="9"/>
      <c r="H14" s="9" t="s">
        <v>31</v>
      </c>
      <c r="I14" s="9"/>
      <c r="J14" s="9"/>
      <c r="K14" s="9">
        <v>0.13</v>
      </c>
      <c r="L14" s="9">
        <v>0.13</v>
      </c>
      <c r="M14" s="9">
        <v>1</v>
      </c>
      <c r="N14" s="9" t="s">
        <v>33</v>
      </c>
      <c r="O14" s="9">
        <f t="shared" si="2"/>
        <v>2.5350000000000001</v>
      </c>
      <c r="P14" s="9">
        <f t="shared" si="3"/>
        <v>2.9575</v>
      </c>
      <c r="Q14" s="9">
        <f t="shared" si="4"/>
        <v>1.6900000000000004</v>
      </c>
      <c r="R14" s="9">
        <f t="shared" si="5"/>
        <v>1.2675000000000001</v>
      </c>
      <c r="S14" s="18">
        <v>8.4500000000000011</v>
      </c>
      <c r="T14" s="252">
        <v>105991.94</v>
      </c>
      <c r="U14" s="194">
        <v>13778.952200000002</v>
      </c>
      <c r="V14" s="9"/>
      <c r="W14" s="9"/>
      <c r="X14" s="9" t="s">
        <v>871</v>
      </c>
      <c r="Y14" s="9">
        <v>73707</v>
      </c>
      <c r="Z14" s="19" t="s">
        <v>872</v>
      </c>
      <c r="AA14" s="9" t="s">
        <v>873</v>
      </c>
      <c r="AB14" s="9">
        <v>2</v>
      </c>
      <c r="AC14" s="9">
        <v>3462</v>
      </c>
      <c r="AD14" s="58"/>
      <c r="AE14" s="42"/>
      <c r="AF14" s="42"/>
      <c r="AG14" s="59"/>
      <c r="AH14" s="58"/>
      <c r="AI14" s="42"/>
      <c r="AJ14" s="42"/>
      <c r="AK14" s="59"/>
      <c r="AL14" s="87"/>
      <c r="AN14" s="229"/>
      <c r="AO14" s="229">
        <v>5</v>
      </c>
      <c r="AP14" s="230">
        <v>10</v>
      </c>
      <c r="AQ14" s="231">
        <v>0</v>
      </c>
    </row>
    <row r="15" spans="1:43" ht="15.75" thickBot="1" x14ac:dyDescent="0.3">
      <c r="A15" s="9">
        <v>928</v>
      </c>
      <c r="B15" s="9" t="s">
        <v>28</v>
      </c>
      <c r="C15" s="9" t="s">
        <v>753</v>
      </c>
      <c r="D15" s="9" t="s">
        <v>870</v>
      </c>
      <c r="E15" s="9"/>
      <c r="F15" s="9" t="str">
        <f t="shared" si="1"/>
        <v>Нож D455 в сборе</v>
      </c>
      <c r="G15" s="9"/>
      <c r="H15" s="9" t="s">
        <v>31</v>
      </c>
      <c r="I15" s="9"/>
      <c r="J15" s="9"/>
      <c r="K15" s="9">
        <v>0.13</v>
      </c>
      <c r="L15" s="9">
        <v>0.13</v>
      </c>
      <c r="M15" s="9">
        <v>1</v>
      </c>
      <c r="N15" s="9" t="s">
        <v>33</v>
      </c>
      <c r="O15" s="9">
        <f t="shared" si="2"/>
        <v>2.5350000000000001</v>
      </c>
      <c r="P15" s="9">
        <f t="shared" si="3"/>
        <v>2.9575</v>
      </c>
      <c r="Q15" s="9">
        <f t="shared" si="4"/>
        <v>1.6900000000000004</v>
      </c>
      <c r="R15" s="9">
        <f t="shared" si="5"/>
        <v>1.2675000000000001</v>
      </c>
      <c r="S15" s="18">
        <v>8.4500000000000011</v>
      </c>
      <c r="T15" s="252">
        <v>105991.94</v>
      </c>
      <c r="U15" s="194">
        <v>13778.952200000002</v>
      </c>
      <c r="V15" s="9"/>
      <c r="W15" s="9"/>
      <c r="X15" s="9" t="s">
        <v>871</v>
      </c>
      <c r="Y15" s="9">
        <v>73707</v>
      </c>
      <c r="Z15" s="19" t="s">
        <v>872</v>
      </c>
      <c r="AA15" s="9" t="s">
        <v>873</v>
      </c>
      <c r="AB15" s="9">
        <v>3</v>
      </c>
      <c r="AC15" s="9">
        <v>3462</v>
      </c>
      <c r="AD15" s="58"/>
      <c r="AE15" s="42"/>
      <c r="AF15" s="42"/>
      <c r="AG15" s="59"/>
      <c r="AH15" s="58"/>
      <c r="AI15" s="42"/>
      <c r="AJ15" s="42"/>
      <c r="AK15" s="59"/>
      <c r="AL15" s="87"/>
      <c r="AN15" s="232"/>
      <c r="AO15" s="232" t="s">
        <v>669</v>
      </c>
      <c r="AP15" s="233">
        <v>10</v>
      </c>
      <c r="AQ15" s="234">
        <v>0</v>
      </c>
    </row>
    <row r="16" spans="1:43" x14ac:dyDescent="0.25">
      <c r="A16" s="9">
        <v>929</v>
      </c>
      <c r="B16" s="9" t="s">
        <v>28</v>
      </c>
      <c r="C16" s="9" t="s">
        <v>753</v>
      </c>
      <c r="D16" s="9" t="s">
        <v>870</v>
      </c>
      <c r="E16" s="9"/>
      <c r="F16" s="9" t="str">
        <f t="shared" si="1"/>
        <v>Нож D455 в сборе</v>
      </c>
      <c r="G16" s="9"/>
      <c r="H16" s="9" t="s">
        <v>31</v>
      </c>
      <c r="I16" s="9"/>
      <c r="J16" s="9"/>
      <c r="K16" s="9">
        <v>0.13</v>
      </c>
      <c r="L16" s="9">
        <v>0.13</v>
      </c>
      <c r="M16" s="9">
        <v>1</v>
      </c>
      <c r="N16" s="9" t="s">
        <v>33</v>
      </c>
      <c r="O16" s="9">
        <f t="shared" si="2"/>
        <v>2.5350000000000001</v>
      </c>
      <c r="P16" s="9">
        <f t="shared" si="3"/>
        <v>2.9575</v>
      </c>
      <c r="Q16" s="9">
        <f t="shared" si="4"/>
        <v>1.6900000000000004</v>
      </c>
      <c r="R16" s="9">
        <f t="shared" si="5"/>
        <v>1.2675000000000001</v>
      </c>
      <c r="S16" s="18">
        <v>8.4500000000000011</v>
      </c>
      <c r="T16" s="252">
        <v>105991.94</v>
      </c>
      <c r="U16" s="194">
        <v>13778.952200000002</v>
      </c>
      <c r="V16" s="9"/>
      <c r="W16" s="9"/>
      <c r="X16" s="9" t="s">
        <v>871</v>
      </c>
      <c r="Y16" s="9">
        <v>73707</v>
      </c>
      <c r="Z16" s="19" t="s">
        <v>872</v>
      </c>
      <c r="AA16" s="9" t="s">
        <v>873</v>
      </c>
      <c r="AB16" s="9">
        <v>4</v>
      </c>
      <c r="AC16" s="9">
        <v>3462</v>
      </c>
      <c r="AD16" s="58"/>
      <c r="AE16" s="42"/>
      <c r="AF16" s="42"/>
      <c r="AG16" s="59"/>
      <c r="AH16" s="58"/>
      <c r="AI16" s="42"/>
      <c r="AJ16" s="42"/>
      <c r="AK16" s="59"/>
      <c r="AL16" s="87"/>
    </row>
    <row r="17" spans="1:38" x14ac:dyDescent="0.25">
      <c r="A17" s="9">
        <v>930</v>
      </c>
      <c r="B17" s="9" t="s">
        <v>28</v>
      </c>
      <c r="C17" s="9" t="s">
        <v>753</v>
      </c>
      <c r="D17" s="9" t="s">
        <v>870</v>
      </c>
      <c r="E17" s="9"/>
      <c r="F17" s="9" t="str">
        <f t="shared" si="1"/>
        <v>Блок для удаления заусенцев</v>
      </c>
      <c r="G17" s="9"/>
      <c r="H17" s="9" t="s">
        <v>31</v>
      </c>
      <c r="I17" s="9"/>
      <c r="J17" s="9"/>
      <c r="K17" s="9">
        <v>0.76970000000000005</v>
      </c>
      <c r="L17" s="9">
        <v>0.76970000000000005</v>
      </c>
      <c r="M17" s="9">
        <v>1</v>
      </c>
      <c r="N17" s="9" t="s">
        <v>33</v>
      </c>
      <c r="O17" s="9">
        <f t="shared" si="2"/>
        <v>9.2364000000000015</v>
      </c>
      <c r="P17" s="9">
        <f t="shared" si="3"/>
        <v>10.7758</v>
      </c>
      <c r="Q17" s="9">
        <f t="shared" si="4"/>
        <v>6.1576000000000013</v>
      </c>
      <c r="R17" s="9">
        <f t="shared" si="5"/>
        <v>4.6182000000000007</v>
      </c>
      <c r="S17" s="18">
        <v>30.788000000000004</v>
      </c>
      <c r="T17" s="252">
        <v>105991.94</v>
      </c>
      <c r="U17" s="194">
        <v>81581.996218</v>
      </c>
      <c r="V17" s="9"/>
      <c r="W17" s="9"/>
      <c r="X17" s="9" t="s">
        <v>883</v>
      </c>
      <c r="Y17" s="9">
        <v>73707</v>
      </c>
      <c r="Z17" s="19" t="s">
        <v>872</v>
      </c>
      <c r="AA17" s="9" t="s">
        <v>881</v>
      </c>
      <c r="AB17" s="9">
        <v>5</v>
      </c>
      <c r="AC17" s="9">
        <v>3462</v>
      </c>
      <c r="AD17" s="58"/>
      <c r="AE17" s="42"/>
      <c r="AF17" s="42"/>
      <c r="AG17" s="59"/>
      <c r="AH17" s="58"/>
      <c r="AI17" s="42"/>
      <c r="AJ17" s="42"/>
      <c r="AK17" s="59"/>
      <c r="AL17" s="87"/>
    </row>
    <row r="18" spans="1:38" x14ac:dyDescent="0.25">
      <c r="A18" s="9">
        <v>931</v>
      </c>
      <c r="B18" s="9" t="s">
        <v>28</v>
      </c>
      <c r="C18" s="9" t="s">
        <v>753</v>
      </c>
      <c r="D18" s="9" t="s">
        <v>870</v>
      </c>
      <c r="E18" s="9"/>
      <c r="F18" s="9" t="str">
        <f t="shared" si="1"/>
        <v>Блок для удаления заусенцев</v>
      </c>
      <c r="G18" s="9"/>
      <c r="H18" s="9" t="s">
        <v>31</v>
      </c>
      <c r="I18" s="9"/>
      <c r="J18" s="9"/>
      <c r="K18" s="9">
        <v>0.76970000000000005</v>
      </c>
      <c r="L18" s="9">
        <v>0.76970000000000005</v>
      </c>
      <c r="M18" s="9">
        <v>1</v>
      </c>
      <c r="N18" s="9" t="s">
        <v>33</v>
      </c>
      <c r="O18" s="9">
        <f t="shared" si="2"/>
        <v>9.2364000000000015</v>
      </c>
      <c r="P18" s="9">
        <f t="shared" si="3"/>
        <v>10.7758</v>
      </c>
      <c r="Q18" s="9">
        <f t="shared" si="4"/>
        <v>6.1576000000000013</v>
      </c>
      <c r="R18" s="9">
        <f t="shared" si="5"/>
        <v>4.6182000000000007</v>
      </c>
      <c r="S18" s="18">
        <v>30.788000000000004</v>
      </c>
      <c r="T18" s="252">
        <v>105991.94</v>
      </c>
      <c r="U18" s="194">
        <v>81581.996218</v>
      </c>
      <c r="V18" s="9"/>
      <c r="W18" s="9"/>
      <c r="X18" s="9" t="s">
        <v>883</v>
      </c>
      <c r="Y18" s="9">
        <v>73707</v>
      </c>
      <c r="Z18" s="19" t="s">
        <v>872</v>
      </c>
      <c r="AA18" s="9" t="s">
        <v>881</v>
      </c>
      <c r="AB18" s="9">
        <v>6</v>
      </c>
      <c r="AC18" s="9">
        <v>3462</v>
      </c>
      <c r="AD18" s="58"/>
      <c r="AE18" s="42"/>
      <c r="AF18" s="42"/>
      <c r="AG18" s="59"/>
      <c r="AH18" s="58"/>
      <c r="AI18" s="42"/>
      <c r="AJ18" s="42"/>
      <c r="AK18" s="59"/>
      <c r="AL18" s="87"/>
    </row>
    <row r="19" spans="1:38" x14ac:dyDescent="0.25">
      <c r="A19" s="9">
        <v>932</v>
      </c>
      <c r="B19" s="9" t="s">
        <v>28</v>
      </c>
      <c r="C19" s="9" t="s">
        <v>753</v>
      </c>
      <c r="D19" s="9" t="s">
        <v>870</v>
      </c>
      <c r="E19" s="9"/>
      <c r="F19" s="9" t="str">
        <f t="shared" si="1"/>
        <v>Блок для удаления заусенцев</v>
      </c>
      <c r="G19" s="9"/>
      <c r="H19" s="9" t="s">
        <v>31</v>
      </c>
      <c r="I19" s="9"/>
      <c r="J19" s="9"/>
      <c r="K19" s="9">
        <v>0.76970000000000005</v>
      </c>
      <c r="L19" s="9">
        <v>0.76970000000000005</v>
      </c>
      <c r="M19" s="9">
        <v>1</v>
      </c>
      <c r="N19" s="9" t="s">
        <v>33</v>
      </c>
      <c r="O19" s="9">
        <f t="shared" si="2"/>
        <v>9.2364000000000015</v>
      </c>
      <c r="P19" s="9">
        <f t="shared" si="3"/>
        <v>10.7758</v>
      </c>
      <c r="Q19" s="9">
        <f t="shared" si="4"/>
        <v>6.1576000000000013</v>
      </c>
      <c r="R19" s="9">
        <f t="shared" si="5"/>
        <v>4.6182000000000007</v>
      </c>
      <c r="S19" s="18">
        <v>30.788000000000004</v>
      </c>
      <c r="T19" s="252">
        <v>105991.94</v>
      </c>
      <c r="U19" s="194">
        <v>81581.996218</v>
      </c>
      <c r="V19" s="9"/>
      <c r="W19" s="9"/>
      <c r="X19" s="9" t="s">
        <v>883</v>
      </c>
      <c r="Y19" s="9">
        <v>73707</v>
      </c>
      <c r="Z19" s="19" t="s">
        <v>872</v>
      </c>
      <c r="AA19" s="9" t="s">
        <v>881</v>
      </c>
      <c r="AB19" s="9">
        <v>7</v>
      </c>
      <c r="AC19" s="9">
        <v>3462</v>
      </c>
      <c r="AD19" s="58"/>
      <c r="AE19" s="42"/>
      <c r="AF19" s="42"/>
      <c r="AG19" s="59"/>
      <c r="AH19" s="58"/>
      <c r="AI19" s="42"/>
      <c r="AJ19" s="42"/>
      <c r="AK19" s="59"/>
      <c r="AL19" s="87"/>
    </row>
    <row r="20" spans="1:38" x14ac:dyDescent="0.25">
      <c r="A20" s="9">
        <v>933</v>
      </c>
      <c r="B20" s="9" t="s">
        <v>28</v>
      </c>
      <c r="C20" s="9" t="s">
        <v>753</v>
      </c>
      <c r="D20" s="9" t="s">
        <v>870</v>
      </c>
      <c r="E20" s="9"/>
      <c r="F20" s="9" t="str">
        <f t="shared" si="1"/>
        <v>Оптический датчик</v>
      </c>
      <c r="G20" s="9"/>
      <c r="H20" s="9" t="s">
        <v>31</v>
      </c>
      <c r="I20" s="9"/>
      <c r="J20" s="9"/>
      <c r="K20" s="9">
        <v>0.29899999999999999</v>
      </c>
      <c r="L20" s="9">
        <v>0.29899999999999999</v>
      </c>
      <c r="M20" s="9">
        <v>1</v>
      </c>
      <c r="N20" s="9" t="s">
        <v>33</v>
      </c>
      <c r="O20" s="9">
        <f t="shared" si="2"/>
        <v>5.8304999999999998</v>
      </c>
      <c r="P20" s="9">
        <f t="shared" si="3"/>
        <v>6.802249999999999</v>
      </c>
      <c r="Q20" s="9">
        <f t="shared" si="4"/>
        <v>3.887</v>
      </c>
      <c r="R20" s="9">
        <f t="shared" si="5"/>
        <v>2.9152499999999999</v>
      </c>
      <c r="S20" s="18">
        <v>19.434999999999999</v>
      </c>
      <c r="T20" s="252">
        <v>105991.94</v>
      </c>
      <c r="U20" s="194">
        <v>31691.590059999999</v>
      </c>
      <c r="V20" s="9"/>
      <c r="W20" s="9"/>
      <c r="X20" s="9" t="s">
        <v>884</v>
      </c>
      <c r="Y20" s="9">
        <v>73708</v>
      </c>
      <c r="Z20" s="19" t="s">
        <v>872</v>
      </c>
      <c r="AA20" s="9" t="s">
        <v>90</v>
      </c>
      <c r="AB20" s="9">
        <v>1</v>
      </c>
      <c r="AC20" s="9">
        <v>3462</v>
      </c>
      <c r="AD20" s="58"/>
      <c r="AE20" s="42"/>
      <c r="AF20" s="42"/>
      <c r="AG20" s="59"/>
      <c r="AH20" s="58"/>
      <c r="AI20" s="42"/>
      <c r="AJ20" s="42"/>
      <c r="AK20" s="59"/>
      <c r="AL20" s="87"/>
    </row>
    <row r="21" spans="1:38" x14ac:dyDescent="0.25">
      <c r="A21" s="9">
        <v>934</v>
      </c>
      <c r="B21" s="9" t="s">
        <v>28</v>
      </c>
      <c r="C21" s="9" t="s">
        <v>753</v>
      </c>
      <c r="D21" s="9" t="s">
        <v>870</v>
      </c>
      <c r="E21" s="9"/>
      <c r="F21" s="9" t="str">
        <f t="shared" si="1"/>
        <v>Пневматический цилиндр</v>
      </c>
      <c r="G21" s="9"/>
      <c r="H21" s="9" t="s">
        <v>31</v>
      </c>
      <c r="I21" s="9"/>
      <c r="J21" s="9"/>
      <c r="K21" s="9">
        <v>6.25E-2</v>
      </c>
      <c r="L21" s="9">
        <v>6.25E-2</v>
      </c>
      <c r="M21" s="9">
        <v>1</v>
      </c>
      <c r="N21" s="9" t="s">
        <v>33</v>
      </c>
      <c r="O21" s="9">
        <f t="shared" si="2"/>
        <v>1.40625</v>
      </c>
      <c r="P21" s="9">
        <f t="shared" si="3"/>
        <v>1.640625</v>
      </c>
      <c r="Q21" s="9">
        <f t="shared" si="4"/>
        <v>0.9375</v>
      </c>
      <c r="R21" s="9">
        <f t="shared" si="5"/>
        <v>0.703125</v>
      </c>
      <c r="S21" s="18">
        <v>4.6875</v>
      </c>
      <c r="T21" s="252">
        <v>105991.94</v>
      </c>
      <c r="U21" s="194">
        <v>6624.4962500000001</v>
      </c>
      <c r="V21" s="9"/>
      <c r="W21" s="9"/>
      <c r="X21" s="9" t="s">
        <v>885</v>
      </c>
      <c r="Y21" s="9">
        <v>73709</v>
      </c>
      <c r="Z21" s="19" t="s">
        <v>872</v>
      </c>
      <c r="AA21" s="9" t="s">
        <v>886</v>
      </c>
      <c r="AB21" s="9">
        <v>1</v>
      </c>
      <c r="AC21" s="9">
        <v>3462</v>
      </c>
      <c r="AD21" s="58"/>
      <c r="AE21" s="42"/>
      <c r="AF21" s="42"/>
      <c r="AG21" s="59"/>
      <c r="AH21" s="58"/>
      <c r="AI21" s="42"/>
      <c r="AJ21" s="42"/>
      <c r="AK21" s="59"/>
      <c r="AL21" s="87"/>
    </row>
    <row r="22" spans="1:38" x14ac:dyDescent="0.25">
      <c r="A22" s="9">
        <v>935</v>
      </c>
      <c r="B22" s="9" t="s">
        <v>28</v>
      </c>
      <c r="C22" s="9" t="s">
        <v>753</v>
      </c>
      <c r="D22" s="9" t="s">
        <v>870</v>
      </c>
      <c r="E22" s="9"/>
      <c r="F22" s="9" t="str">
        <f t="shared" si="1"/>
        <v>Пневматический цилиндр</v>
      </c>
      <c r="G22" s="9"/>
      <c r="H22" s="9" t="s">
        <v>31</v>
      </c>
      <c r="I22" s="9"/>
      <c r="J22" s="9"/>
      <c r="K22" s="9">
        <v>6.25E-2</v>
      </c>
      <c r="L22" s="9">
        <v>6.25E-2</v>
      </c>
      <c r="M22" s="9">
        <v>1</v>
      </c>
      <c r="N22" s="9" t="s">
        <v>33</v>
      </c>
      <c r="O22" s="9">
        <f t="shared" si="2"/>
        <v>1.40625</v>
      </c>
      <c r="P22" s="9">
        <f t="shared" si="3"/>
        <v>1.640625</v>
      </c>
      <c r="Q22" s="9">
        <f t="shared" si="4"/>
        <v>0.9375</v>
      </c>
      <c r="R22" s="9">
        <f t="shared" si="5"/>
        <v>0.703125</v>
      </c>
      <c r="S22" s="18">
        <v>4.6875</v>
      </c>
      <c r="T22" s="252">
        <v>105991.94</v>
      </c>
      <c r="U22" s="194">
        <v>6624.4962500000001</v>
      </c>
      <c r="V22" s="9"/>
      <c r="W22" s="9"/>
      <c r="X22" s="9" t="s">
        <v>885</v>
      </c>
      <c r="Y22" s="9">
        <v>73709</v>
      </c>
      <c r="Z22" s="19" t="s">
        <v>872</v>
      </c>
      <c r="AA22" s="9" t="s">
        <v>886</v>
      </c>
      <c r="AB22" s="9">
        <v>2</v>
      </c>
      <c r="AC22" s="9">
        <v>3462</v>
      </c>
      <c r="AD22" s="58"/>
      <c r="AE22" s="42"/>
      <c r="AF22" s="42"/>
      <c r="AG22" s="59"/>
      <c r="AH22" s="58"/>
      <c r="AI22" s="42"/>
      <c r="AJ22" s="42"/>
      <c r="AK22" s="59"/>
      <c r="AL22" s="87"/>
    </row>
    <row r="23" spans="1:38" x14ac:dyDescent="0.25">
      <c r="A23" s="9">
        <v>936</v>
      </c>
      <c r="B23" s="9" t="s">
        <v>28</v>
      </c>
      <c r="C23" s="9" t="s">
        <v>753</v>
      </c>
      <c r="D23" s="9" t="s">
        <v>870</v>
      </c>
      <c r="E23" s="9"/>
      <c r="F23" s="9" t="str">
        <f t="shared" si="1"/>
        <v>Пневматический цилиндр</v>
      </c>
      <c r="G23" s="9"/>
      <c r="H23" s="9" t="s">
        <v>31</v>
      </c>
      <c r="I23" s="9"/>
      <c r="J23" s="9"/>
      <c r="K23" s="9">
        <v>6.25E-2</v>
      </c>
      <c r="L23" s="9">
        <v>6.25E-2</v>
      </c>
      <c r="M23" s="9">
        <v>1</v>
      </c>
      <c r="N23" s="9" t="s">
        <v>33</v>
      </c>
      <c r="O23" s="9">
        <f t="shared" si="2"/>
        <v>1.40625</v>
      </c>
      <c r="P23" s="9">
        <f t="shared" si="3"/>
        <v>1.640625</v>
      </c>
      <c r="Q23" s="9">
        <f t="shared" si="4"/>
        <v>0.9375</v>
      </c>
      <c r="R23" s="9">
        <f t="shared" si="5"/>
        <v>0.703125</v>
      </c>
      <c r="S23" s="18">
        <v>4.6875</v>
      </c>
      <c r="T23" s="252">
        <v>105991.94</v>
      </c>
      <c r="U23" s="194">
        <v>6624.4962500000001</v>
      </c>
      <c r="V23" s="9"/>
      <c r="W23" s="9"/>
      <c r="X23" s="9" t="s">
        <v>885</v>
      </c>
      <c r="Y23" s="9">
        <v>73709</v>
      </c>
      <c r="Z23" s="19" t="s">
        <v>872</v>
      </c>
      <c r="AA23" s="9" t="s">
        <v>886</v>
      </c>
      <c r="AB23" s="9">
        <v>3</v>
      </c>
      <c r="AC23" s="9">
        <v>3462</v>
      </c>
      <c r="AD23" s="58"/>
      <c r="AE23" s="42"/>
      <c r="AF23" s="42"/>
      <c r="AG23" s="59"/>
      <c r="AH23" s="58"/>
      <c r="AI23" s="42"/>
      <c r="AJ23" s="42"/>
      <c r="AK23" s="59"/>
      <c r="AL23" s="87"/>
    </row>
    <row r="24" spans="1:38" x14ac:dyDescent="0.25">
      <c r="A24" s="9">
        <v>937</v>
      </c>
      <c r="B24" s="9" t="s">
        <v>28</v>
      </c>
      <c r="C24" s="9" t="s">
        <v>753</v>
      </c>
      <c r="D24" s="9" t="s">
        <v>870</v>
      </c>
      <c r="E24" s="9"/>
      <c r="F24" s="9" t="str">
        <f t="shared" si="1"/>
        <v>Пневматический цилиндр</v>
      </c>
      <c r="G24" s="9"/>
      <c r="H24" s="9" t="s">
        <v>31</v>
      </c>
      <c r="I24" s="9"/>
      <c r="J24" s="9"/>
      <c r="K24" s="9">
        <v>6.25E-2</v>
      </c>
      <c r="L24" s="9">
        <v>6.25E-2</v>
      </c>
      <c r="M24" s="9">
        <v>1</v>
      </c>
      <c r="N24" s="9" t="s">
        <v>33</v>
      </c>
      <c r="O24" s="9">
        <f t="shared" si="2"/>
        <v>1.40625</v>
      </c>
      <c r="P24" s="9">
        <f t="shared" si="3"/>
        <v>1.640625</v>
      </c>
      <c r="Q24" s="9">
        <f t="shared" si="4"/>
        <v>0.9375</v>
      </c>
      <c r="R24" s="9">
        <f t="shared" si="5"/>
        <v>0.703125</v>
      </c>
      <c r="S24" s="18">
        <v>4.6875</v>
      </c>
      <c r="T24" s="252">
        <v>105991.94</v>
      </c>
      <c r="U24" s="194">
        <v>6624.4962500000001</v>
      </c>
      <c r="V24" s="9"/>
      <c r="W24" s="9"/>
      <c r="X24" s="9" t="s">
        <v>885</v>
      </c>
      <c r="Y24" s="9">
        <v>73709</v>
      </c>
      <c r="Z24" s="19" t="s">
        <v>872</v>
      </c>
      <c r="AA24" s="9" t="s">
        <v>886</v>
      </c>
      <c r="AB24" s="9">
        <v>4</v>
      </c>
      <c r="AC24" s="9">
        <v>3462</v>
      </c>
      <c r="AD24" s="58"/>
      <c r="AE24" s="42"/>
      <c r="AF24" s="42"/>
      <c r="AG24" s="59"/>
      <c r="AH24" s="58"/>
      <c r="AI24" s="42"/>
      <c r="AJ24" s="42"/>
      <c r="AK24" s="59"/>
      <c r="AL24" s="87"/>
    </row>
    <row r="25" spans="1:38" x14ac:dyDescent="0.25">
      <c r="A25" s="9">
        <v>938</v>
      </c>
      <c r="B25" s="9" t="s">
        <v>28</v>
      </c>
      <c r="C25" s="9" t="s">
        <v>753</v>
      </c>
      <c r="D25" s="9" t="s">
        <v>870</v>
      </c>
      <c r="E25" s="9"/>
      <c r="F25" s="9" t="str">
        <f t="shared" si="1"/>
        <v>Пневматический цилиндр</v>
      </c>
      <c r="G25" s="9"/>
      <c r="H25" s="9" t="s">
        <v>31</v>
      </c>
      <c r="I25" s="9"/>
      <c r="J25" s="9"/>
      <c r="K25" s="9">
        <v>6.25E-2</v>
      </c>
      <c r="L25" s="9">
        <v>6.25E-2</v>
      </c>
      <c r="M25" s="9">
        <v>1</v>
      </c>
      <c r="N25" s="9" t="s">
        <v>33</v>
      </c>
      <c r="O25" s="9">
        <f t="shared" si="2"/>
        <v>1.40625</v>
      </c>
      <c r="P25" s="9">
        <f t="shared" si="3"/>
        <v>1.640625</v>
      </c>
      <c r="Q25" s="9">
        <f t="shared" si="4"/>
        <v>0.9375</v>
      </c>
      <c r="R25" s="9">
        <f t="shared" si="5"/>
        <v>0.703125</v>
      </c>
      <c r="S25" s="18">
        <v>4.6875</v>
      </c>
      <c r="T25" s="252">
        <v>105991.94</v>
      </c>
      <c r="U25" s="194">
        <v>6624.4962500000001</v>
      </c>
      <c r="V25" s="9"/>
      <c r="W25" s="9"/>
      <c r="X25" s="9" t="s">
        <v>885</v>
      </c>
      <c r="Y25" s="9">
        <v>73709</v>
      </c>
      <c r="Z25" s="19" t="s">
        <v>872</v>
      </c>
      <c r="AA25" s="9" t="s">
        <v>886</v>
      </c>
      <c r="AB25" s="9">
        <v>5</v>
      </c>
      <c r="AC25" s="9">
        <v>3462</v>
      </c>
      <c r="AD25" s="58"/>
      <c r="AE25" s="42"/>
      <c r="AF25" s="42"/>
      <c r="AG25" s="59"/>
      <c r="AH25" s="58"/>
      <c r="AI25" s="42"/>
      <c r="AJ25" s="42"/>
      <c r="AK25" s="59"/>
      <c r="AL25" s="87"/>
    </row>
    <row r="26" spans="1:38" x14ac:dyDescent="0.25">
      <c r="A26" s="9">
        <v>939</v>
      </c>
      <c r="B26" s="9" t="s">
        <v>28</v>
      </c>
      <c r="C26" s="9" t="s">
        <v>753</v>
      </c>
      <c r="D26" s="9" t="s">
        <v>870</v>
      </c>
      <c r="E26" s="9"/>
      <c r="F26" s="9" t="str">
        <f t="shared" si="1"/>
        <v>Пневматический цилиндр</v>
      </c>
      <c r="G26" s="9"/>
      <c r="H26" s="9" t="s">
        <v>31</v>
      </c>
      <c r="I26" s="9"/>
      <c r="J26" s="9"/>
      <c r="K26" s="9">
        <v>6.25E-2</v>
      </c>
      <c r="L26" s="9">
        <v>6.25E-2</v>
      </c>
      <c r="M26" s="9">
        <v>1</v>
      </c>
      <c r="N26" s="9" t="s">
        <v>33</v>
      </c>
      <c r="O26" s="9">
        <f t="shared" si="2"/>
        <v>1.40625</v>
      </c>
      <c r="P26" s="9">
        <f t="shared" si="3"/>
        <v>1.640625</v>
      </c>
      <c r="Q26" s="9">
        <f t="shared" si="4"/>
        <v>0.9375</v>
      </c>
      <c r="R26" s="9">
        <f t="shared" si="5"/>
        <v>0.703125</v>
      </c>
      <c r="S26" s="18">
        <v>4.6875</v>
      </c>
      <c r="T26" s="252">
        <v>105991.94</v>
      </c>
      <c r="U26" s="194">
        <v>6624.4962500000001</v>
      </c>
      <c r="V26" s="9"/>
      <c r="W26" s="9"/>
      <c r="X26" s="9" t="s">
        <v>885</v>
      </c>
      <c r="Y26" s="9">
        <v>73709</v>
      </c>
      <c r="Z26" s="19" t="s">
        <v>872</v>
      </c>
      <c r="AA26" s="9" t="s">
        <v>886</v>
      </c>
      <c r="AB26" s="9">
        <v>6</v>
      </c>
      <c r="AC26" s="9">
        <v>3462</v>
      </c>
      <c r="AD26" s="58"/>
      <c r="AE26" s="42"/>
      <c r="AF26" s="42"/>
      <c r="AG26" s="59"/>
      <c r="AH26" s="58"/>
      <c r="AI26" s="42"/>
      <c r="AJ26" s="42"/>
      <c r="AK26" s="59"/>
      <c r="AL26" s="87"/>
    </row>
    <row r="27" spans="1:38" x14ac:dyDescent="0.25">
      <c r="A27" s="9">
        <v>940</v>
      </c>
      <c r="B27" s="9" t="s">
        <v>28</v>
      </c>
      <c r="C27" s="9" t="s">
        <v>753</v>
      </c>
      <c r="D27" s="9" t="s">
        <v>870</v>
      </c>
      <c r="E27" s="9"/>
      <c r="F27" s="9" t="str">
        <f t="shared" si="1"/>
        <v>Пневматический цилиндр</v>
      </c>
      <c r="G27" s="9"/>
      <c r="H27" s="9" t="s">
        <v>31</v>
      </c>
      <c r="I27" s="9"/>
      <c r="J27" s="9"/>
      <c r="K27" s="9">
        <v>6.25E-2</v>
      </c>
      <c r="L27" s="9">
        <v>6.25E-2</v>
      </c>
      <c r="M27" s="9">
        <v>1</v>
      </c>
      <c r="N27" s="9" t="s">
        <v>33</v>
      </c>
      <c r="O27" s="9">
        <f t="shared" si="2"/>
        <v>1.40625</v>
      </c>
      <c r="P27" s="9">
        <f t="shared" si="3"/>
        <v>1.640625</v>
      </c>
      <c r="Q27" s="9">
        <f t="shared" si="4"/>
        <v>0.9375</v>
      </c>
      <c r="R27" s="9">
        <f t="shared" si="5"/>
        <v>0.703125</v>
      </c>
      <c r="S27" s="18">
        <v>4.6875</v>
      </c>
      <c r="T27" s="252">
        <v>105991.94</v>
      </c>
      <c r="U27" s="194">
        <v>6624.4962500000001</v>
      </c>
      <c r="V27" s="9"/>
      <c r="W27" s="9"/>
      <c r="X27" s="9" t="s">
        <v>885</v>
      </c>
      <c r="Y27" s="9">
        <v>73709</v>
      </c>
      <c r="Z27" s="19" t="s">
        <v>872</v>
      </c>
      <c r="AA27" s="9" t="s">
        <v>886</v>
      </c>
      <c r="AB27" s="9">
        <v>7</v>
      </c>
      <c r="AC27" s="9">
        <v>3462</v>
      </c>
      <c r="AD27" s="58"/>
      <c r="AE27" s="42"/>
      <c r="AF27" s="42"/>
      <c r="AG27" s="59"/>
      <c r="AH27" s="58"/>
      <c r="AI27" s="42"/>
      <c r="AJ27" s="42"/>
      <c r="AK27" s="59"/>
      <c r="AL27" s="87"/>
    </row>
    <row r="28" spans="1:38" x14ac:dyDescent="0.25">
      <c r="A28" s="9">
        <v>941</v>
      </c>
      <c r="B28" s="9" t="s">
        <v>28</v>
      </c>
      <c r="C28" s="9" t="s">
        <v>753</v>
      </c>
      <c r="D28" s="9" t="s">
        <v>870</v>
      </c>
      <c r="E28" s="9"/>
      <c r="F28" s="9" t="str">
        <f t="shared" si="1"/>
        <v>Индуктивный бесконтактный датчик</v>
      </c>
      <c r="G28" s="9"/>
      <c r="H28" s="9" t="s">
        <v>31</v>
      </c>
      <c r="I28" s="9"/>
      <c r="J28" s="9"/>
      <c r="K28" s="9">
        <v>6.8000000000000005E-4</v>
      </c>
      <c r="L28" s="9">
        <v>9.5200000000000007E-3</v>
      </c>
      <c r="M28" s="9">
        <v>14</v>
      </c>
      <c r="N28" s="9" t="s">
        <v>33</v>
      </c>
      <c r="O28" s="9">
        <f t="shared" si="2"/>
        <v>0.22848000000000002</v>
      </c>
      <c r="P28" s="9">
        <f t="shared" si="3"/>
        <v>0.26656000000000002</v>
      </c>
      <c r="Q28" s="9">
        <f t="shared" si="4"/>
        <v>0.15232000000000001</v>
      </c>
      <c r="R28" s="9">
        <f t="shared" si="5"/>
        <v>0.11424000000000001</v>
      </c>
      <c r="S28" s="18">
        <v>0.76160000000000005</v>
      </c>
      <c r="T28" s="252">
        <v>105991.94</v>
      </c>
      <c r="U28" s="194">
        <v>1009.0432688000001</v>
      </c>
      <c r="V28" s="9"/>
      <c r="W28" s="9"/>
      <c r="X28" s="9" t="s">
        <v>121</v>
      </c>
      <c r="Y28" s="9">
        <v>73710</v>
      </c>
      <c r="Z28" s="19" t="s">
        <v>872</v>
      </c>
      <c r="AA28" s="9" t="s">
        <v>120</v>
      </c>
      <c r="AB28" s="9">
        <v>1</v>
      </c>
      <c r="AC28" s="9">
        <v>3462</v>
      </c>
      <c r="AD28" s="58"/>
      <c r="AE28" s="42"/>
      <c r="AF28" s="42"/>
      <c r="AG28" s="59"/>
      <c r="AH28" s="58"/>
      <c r="AI28" s="42"/>
      <c r="AJ28" s="42"/>
      <c r="AK28" s="59"/>
      <c r="AL28" s="87"/>
    </row>
    <row r="29" spans="1:38" x14ac:dyDescent="0.25">
      <c r="A29" s="9">
        <v>942</v>
      </c>
      <c r="B29" s="9" t="s">
        <v>28</v>
      </c>
      <c r="C29" s="9" t="s">
        <v>753</v>
      </c>
      <c r="D29" s="9" t="s">
        <v>870</v>
      </c>
      <c r="E29" s="9"/>
      <c r="F29" s="9" t="str">
        <f t="shared" si="1"/>
        <v>Квадратный пруток GB/T 702 20 Q235B−GB/T 700 СЕРТ. GB/T 210</v>
      </c>
      <c r="G29" s="9"/>
      <c r="H29" s="9" t="s">
        <v>31</v>
      </c>
      <c r="I29" s="9"/>
      <c r="J29" s="9"/>
      <c r="K29" s="9">
        <v>3.8399999999999997E-3</v>
      </c>
      <c r="L29" s="9">
        <v>2.6879999999999998E-2</v>
      </c>
      <c r="M29" s="9">
        <v>7</v>
      </c>
      <c r="N29" s="9" t="s">
        <v>33</v>
      </c>
      <c r="O29" s="9">
        <f t="shared" si="2"/>
        <v>0.64511999999999992</v>
      </c>
      <c r="P29" s="9">
        <f t="shared" si="3"/>
        <v>0.75263999999999986</v>
      </c>
      <c r="Q29" s="9">
        <f t="shared" si="4"/>
        <v>0.43008000000000002</v>
      </c>
      <c r="R29" s="9">
        <f t="shared" si="5"/>
        <v>0.32255999999999996</v>
      </c>
      <c r="S29" s="18">
        <v>2.1503999999999999</v>
      </c>
      <c r="T29" s="252">
        <v>105991.94</v>
      </c>
      <c r="U29" s="194">
        <v>2849.0633472</v>
      </c>
      <c r="V29" s="9"/>
      <c r="W29" s="9"/>
      <c r="X29" s="9" t="s">
        <v>176</v>
      </c>
      <c r="Y29" s="9">
        <v>73710</v>
      </c>
      <c r="Z29" s="19" t="s">
        <v>872</v>
      </c>
      <c r="AA29" s="9" t="s">
        <v>887</v>
      </c>
      <c r="AB29" s="9">
        <v>2</v>
      </c>
      <c r="AC29" s="9">
        <v>3462</v>
      </c>
      <c r="AD29" s="58"/>
      <c r="AE29" s="42"/>
      <c r="AF29" s="42"/>
      <c r="AG29" s="59"/>
      <c r="AH29" s="58"/>
      <c r="AI29" s="42"/>
      <c r="AJ29" s="42"/>
      <c r="AK29" s="59"/>
      <c r="AL29" s="87"/>
    </row>
    <row r="30" spans="1:38" x14ac:dyDescent="0.25">
      <c r="A30" s="9">
        <v>943</v>
      </c>
      <c r="B30" s="9" t="s">
        <v>28</v>
      </c>
      <c r="C30" s="9" t="s">
        <v>753</v>
      </c>
      <c r="D30" s="9" t="s">
        <v>870</v>
      </c>
      <c r="E30" s="9"/>
      <c r="F30" s="9" t="str">
        <f t="shared" si="1"/>
        <v>Опора</v>
      </c>
      <c r="G30" s="9"/>
      <c r="H30" s="9" t="s">
        <v>31</v>
      </c>
      <c r="I30" s="9"/>
      <c r="J30" s="9"/>
      <c r="K30" s="9">
        <v>8.9999999999999998E-4</v>
      </c>
      <c r="L30" s="9">
        <v>6.3E-3</v>
      </c>
      <c r="M30" s="9">
        <v>7</v>
      </c>
      <c r="N30" s="9" t="s">
        <v>33</v>
      </c>
      <c r="O30" s="9">
        <f t="shared" si="2"/>
        <v>0.1512</v>
      </c>
      <c r="P30" s="9">
        <f t="shared" si="3"/>
        <v>0.1764</v>
      </c>
      <c r="Q30" s="9">
        <f t="shared" si="4"/>
        <v>0.1008</v>
      </c>
      <c r="R30" s="9">
        <f t="shared" si="5"/>
        <v>7.5600000000000001E-2</v>
      </c>
      <c r="S30" s="18">
        <v>0.504</v>
      </c>
      <c r="T30" s="252">
        <v>105991.94</v>
      </c>
      <c r="U30" s="194">
        <v>667.74922200000003</v>
      </c>
      <c r="V30" s="9"/>
      <c r="W30" s="9"/>
      <c r="X30" s="9" t="s">
        <v>888</v>
      </c>
      <c r="Y30" s="9">
        <v>73710</v>
      </c>
      <c r="Z30" s="19" t="s">
        <v>872</v>
      </c>
      <c r="AA30" s="9" t="s">
        <v>40</v>
      </c>
      <c r="AB30" s="9">
        <v>3</v>
      </c>
      <c r="AC30" s="9">
        <v>3462</v>
      </c>
      <c r="AD30" s="58"/>
      <c r="AE30" s="42"/>
      <c r="AF30" s="42"/>
      <c r="AG30" s="59"/>
      <c r="AH30" s="58"/>
      <c r="AI30" s="42"/>
      <c r="AJ30" s="42"/>
      <c r="AK30" s="59"/>
      <c r="AL30" s="87"/>
    </row>
    <row r="31" spans="1:38" x14ac:dyDescent="0.25">
      <c r="A31" s="9">
        <v>944</v>
      </c>
      <c r="B31" s="9" t="s">
        <v>28</v>
      </c>
      <c r="C31" s="9" t="s">
        <v>753</v>
      </c>
      <c r="D31" s="9" t="s">
        <v>870</v>
      </c>
      <c r="E31" s="9"/>
      <c r="F31" s="9" t="str">
        <f t="shared" si="1"/>
        <v>Опора</v>
      </c>
      <c r="G31" s="9"/>
      <c r="H31" s="9" t="s">
        <v>31</v>
      </c>
      <c r="I31" s="9"/>
      <c r="J31" s="9"/>
      <c r="K31" s="9">
        <v>3.5999999999999999E-3</v>
      </c>
      <c r="L31" s="9">
        <v>2.52E-2</v>
      </c>
      <c r="M31" s="9">
        <v>7</v>
      </c>
      <c r="N31" s="9" t="s">
        <v>33</v>
      </c>
      <c r="O31" s="9">
        <f t="shared" si="2"/>
        <v>0.6048</v>
      </c>
      <c r="P31" s="9">
        <f t="shared" si="3"/>
        <v>0.7056</v>
      </c>
      <c r="Q31" s="9">
        <f t="shared" si="4"/>
        <v>0.4032</v>
      </c>
      <c r="R31" s="9">
        <f t="shared" si="5"/>
        <v>0.3024</v>
      </c>
      <c r="S31" s="18">
        <v>2.016</v>
      </c>
      <c r="T31" s="252">
        <v>105991.94</v>
      </c>
      <c r="U31" s="194">
        <v>2670.9968880000001</v>
      </c>
      <c r="V31" s="9"/>
      <c r="W31" s="9"/>
      <c r="X31" s="9" t="s">
        <v>889</v>
      </c>
      <c r="Y31" s="9">
        <v>73710</v>
      </c>
      <c r="Z31" s="19" t="s">
        <v>872</v>
      </c>
      <c r="AA31" s="9" t="s">
        <v>40</v>
      </c>
      <c r="AB31" s="9">
        <v>4</v>
      </c>
      <c r="AC31" s="9">
        <v>3462</v>
      </c>
      <c r="AD31" s="58"/>
      <c r="AE31" s="42"/>
      <c r="AF31" s="42"/>
      <c r="AG31" s="59"/>
      <c r="AH31" s="58"/>
      <c r="AI31" s="42"/>
      <c r="AJ31" s="42"/>
      <c r="AK31" s="59"/>
      <c r="AL31" s="87"/>
    </row>
    <row r="32" spans="1:38" x14ac:dyDescent="0.25">
      <c r="A32" s="9">
        <v>945</v>
      </c>
      <c r="B32" s="9" t="s">
        <v>28</v>
      </c>
      <c r="C32" s="9" t="s">
        <v>753</v>
      </c>
      <c r="D32" s="9" t="s">
        <v>870</v>
      </c>
      <c r="E32" s="9"/>
      <c r="F32" s="9" t="str">
        <f t="shared" si="1"/>
        <v>Регулировочная прокладка</v>
      </c>
      <c r="G32" s="9"/>
      <c r="H32" s="9" t="s">
        <v>31</v>
      </c>
      <c r="I32" s="9"/>
      <c r="J32" s="9"/>
      <c r="K32" s="9">
        <v>5.9999999999999995E-4</v>
      </c>
      <c r="L32" s="9">
        <v>5.9999999999999995E-4</v>
      </c>
      <c r="M32" s="9">
        <v>1</v>
      </c>
      <c r="N32" s="9" t="s">
        <v>33</v>
      </c>
      <c r="O32" s="9">
        <f t="shared" si="2"/>
        <v>1.4399999999999998E-2</v>
      </c>
      <c r="P32" s="9">
        <f t="shared" si="3"/>
        <v>1.6799999999999995E-2</v>
      </c>
      <c r="Q32" s="9">
        <f t="shared" si="4"/>
        <v>9.5999999999999992E-3</v>
      </c>
      <c r="R32" s="9">
        <f t="shared" si="5"/>
        <v>7.1999999999999989E-3</v>
      </c>
      <c r="S32" s="18">
        <v>4.7999999999999994E-2</v>
      </c>
      <c r="T32" s="252">
        <v>105991.94</v>
      </c>
      <c r="U32" s="194">
        <v>63.595163999999997</v>
      </c>
      <c r="V32" s="9"/>
      <c r="W32" s="9"/>
      <c r="X32" s="9" t="s">
        <v>890</v>
      </c>
      <c r="Y32" s="9">
        <v>73710</v>
      </c>
      <c r="Z32" s="19" t="s">
        <v>872</v>
      </c>
      <c r="AA32" s="9" t="s">
        <v>891</v>
      </c>
      <c r="AB32" s="9">
        <v>5</v>
      </c>
      <c r="AC32" s="9">
        <v>3462</v>
      </c>
      <c r="AD32" s="58"/>
      <c r="AE32" s="42"/>
      <c r="AF32" s="42"/>
      <c r="AG32" s="59"/>
      <c r="AH32" s="58"/>
      <c r="AI32" s="42"/>
      <c r="AJ32" s="42"/>
      <c r="AK32" s="59"/>
      <c r="AL32" s="87"/>
    </row>
    <row r="33" spans="1:38" x14ac:dyDescent="0.25">
      <c r="A33" s="9">
        <v>946</v>
      </c>
      <c r="B33" s="9" t="s">
        <v>28</v>
      </c>
      <c r="C33" s="9" t="s">
        <v>753</v>
      </c>
      <c r="D33" s="9" t="s">
        <v>870</v>
      </c>
      <c r="E33" s="9"/>
      <c r="F33" s="9" t="str">
        <f t="shared" si="1"/>
        <v>Фитинг угловой 90° TAD−D8 1/4 газ A4 КОД 519414 нержавеющая сталь</v>
      </c>
      <c r="G33" s="9"/>
      <c r="H33" s="9" t="s">
        <v>31</v>
      </c>
      <c r="I33" s="9"/>
      <c r="J33" s="9"/>
      <c r="K33" s="9">
        <v>1.7999999999999998E-4</v>
      </c>
      <c r="L33" s="9">
        <v>5.0400000000000002E-3</v>
      </c>
      <c r="M33" s="9">
        <v>28</v>
      </c>
      <c r="N33" s="9" t="s">
        <v>33</v>
      </c>
      <c r="O33" s="9">
        <f t="shared" si="2"/>
        <v>0.12096</v>
      </c>
      <c r="P33" s="9">
        <f t="shared" si="3"/>
        <v>0.14112</v>
      </c>
      <c r="Q33" s="9">
        <f t="shared" si="4"/>
        <v>8.0640000000000003E-2</v>
      </c>
      <c r="R33" s="9">
        <f t="shared" si="5"/>
        <v>6.0479999999999999E-2</v>
      </c>
      <c r="S33" s="18">
        <v>0.4032</v>
      </c>
      <c r="T33" s="252">
        <v>105991.94</v>
      </c>
      <c r="U33" s="194">
        <v>534.19937760000005</v>
      </c>
      <c r="V33" s="9"/>
      <c r="W33" s="9"/>
      <c r="X33" s="9" t="s">
        <v>892</v>
      </c>
      <c r="Y33" s="9">
        <v>73710</v>
      </c>
      <c r="Z33" s="19" t="s">
        <v>872</v>
      </c>
      <c r="AA33" s="9" t="s">
        <v>893</v>
      </c>
      <c r="AB33" s="9">
        <v>6</v>
      </c>
      <c r="AC33" s="9">
        <v>3462</v>
      </c>
      <c r="AD33" s="58"/>
      <c r="AE33" s="42"/>
      <c r="AF33" s="42"/>
      <c r="AG33" s="59"/>
      <c r="AH33" s="58"/>
      <c r="AI33" s="42"/>
      <c r="AJ33" s="42"/>
      <c r="AK33" s="59"/>
      <c r="AL33" s="87"/>
    </row>
    <row r="34" spans="1:38" x14ac:dyDescent="0.25">
      <c r="A34" s="9">
        <v>947</v>
      </c>
      <c r="B34" s="9" t="s">
        <v>28</v>
      </c>
      <c r="C34" s="9" t="s">
        <v>753</v>
      </c>
      <c r="D34" s="9" t="s">
        <v>870</v>
      </c>
      <c r="E34" s="9"/>
      <c r="F34" s="9" t="str">
        <f t="shared" si="1"/>
        <v>Прецизионная труба EN 10216−5−TC1 8x1 X5CRNI18−10−ХО Е торцы отожжен.</v>
      </c>
      <c r="G34" s="9"/>
      <c r="H34" s="9" t="s">
        <v>31</v>
      </c>
      <c r="I34" s="9"/>
      <c r="J34" s="9"/>
      <c r="K34" s="9">
        <v>2.8000000000000003E-4</v>
      </c>
      <c r="L34" s="9">
        <v>1.9600000000000004E-3</v>
      </c>
      <c r="M34" s="9">
        <v>7</v>
      </c>
      <c r="N34" s="9" t="s">
        <v>33</v>
      </c>
      <c r="O34" s="9">
        <f t="shared" si="2"/>
        <v>4.7040000000000005E-2</v>
      </c>
      <c r="P34" s="9">
        <f t="shared" si="3"/>
        <v>5.4880000000000005E-2</v>
      </c>
      <c r="Q34" s="9">
        <f t="shared" si="4"/>
        <v>3.1360000000000006E-2</v>
      </c>
      <c r="R34" s="9">
        <f t="shared" si="5"/>
        <v>2.3520000000000003E-2</v>
      </c>
      <c r="S34" s="18">
        <v>0.15680000000000002</v>
      </c>
      <c r="T34" s="252">
        <v>105991.94</v>
      </c>
      <c r="U34" s="194">
        <v>207.74420240000003</v>
      </c>
      <c r="V34" s="9"/>
      <c r="W34" s="9"/>
      <c r="X34" s="9" t="s">
        <v>894</v>
      </c>
      <c r="Y34" s="9">
        <v>73710</v>
      </c>
      <c r="Z34" s="19" t="s">
        <v>872</v>
      </c>
      <c r="AA34" s="9" t="s">
        <v>895</v>
      </c>
      <c r="AB34" s="9">
        <v>7</v>
      </c>
      <c r="AC34" s="9">
        <v>3462</v>
      </c>
      <c r="AD34" s="58"/>
      <c r="AE34" s="42"/>
      <c r="AF34" s="42"/>
      <c r="AG34" s="59"/>
      <c r="AH34" s="58"/>
      <c r="AI34" s="42"/>
      <c r="AJ34" s="42"/>
      <c r="AK34" s="59"/>
      <c r="AL34" s="87"/>
    </row>
    <row r="35" spans="1:38" x14ac:dyDescent="0.25">
      <c r="A35" s="9">
        <v>948</v>
      </c>
      <c r="B35" s="9" t="s">
        <v>28</v>
      </c>
      <c r="C35" s="9" t="s">
        <v>753</v>
      </c>
      <c r="D35" s="9" t="s">
        <v>870</v>
      </c>
      <c r="E35" s="9"/>
      <c r="F35" s="9" t="str">
        <f t="shared" si="1"/>
        <v xml:space="preserve">Соединение 90° РЕЗЬБ. 1/4" ISO 1179 S275JR EN10025 40X50X50 16982866
без покрытия </v>
      </c>
      <c r="G35" s="9"/>
      <c r="H35" s="9" t="s">
        <v>31</v>
      </c>
      <c r="I35" s="9"/>
      <c r="J35" s="9"/>
      <c r="K35" s="9">
        <v>8.9999999999999998E-4</v>
      </c>
      <c r="L35" s="9">
        <v>1.26E-2</v>
      </c>
      <c r="M35" s="9">
        <v>14</v>
      </c>
      <c r="N35" s="9" t="s">
        <v>33</v>
      </c>
      <c r="O35" s="9">
        <f t="shared" si="2"/>
        <v>0.3024</v>
      </c>
      <c r="P35" s="9">
        <f t="shared" si="3"/>
        <v>0.3528</v>
      </c>
      <c r="Q35" s="9">
        <f t="shared" si="4"/>
        <v>0.2016</v>
      </c>
      <c r="R35" s="9">
        <f t="shared" si="5"/>
        <v>0.1512</v>
      </c>
      <c r="S35" s="18">
        <v>1.008</v>
      </c>
      <c r="T35" s="252">
        <v>105991.94</v>
      </c>
      <c r="U35" s="194">
        <v>1335.4984440000001</v>
      </c>
      <c r="V35" s="9"/>
      <c r="W35" s="9"/>
      <c r="X35" s="9" t="s">
        <v>896</v>
      </c>
      <c r="Y35" s="9">
        <v>73710</v>
      </c>
      <c r="Z35" s="19" t="s">
        <v>872</v>
      </c>
      <c r="AA35" s="9" t="s">
        <v>897</v>
      </c>
      <c r="AB35" s="9">
        <v>8</v>
      </c>
      <c r="AC35" s="9">
        <v>3462</v>
      </c>
      <c r="AD35" s="58"/>
      <c r="AE35" s="42"/>
      <c r="AF35" s="42"/>
      <c r="AG35" s="59"/>
      <c r="AH35" s="58"/>
      <c r="AI35" s="42"/>
      <c r="AJ35" s="42"/>
      <c r="AK35" s="59"/>
      <c r="AL35" s="87"/>
    </row>
    <row r="36" spans="1:38" x14ac:dyDescent="0.25">
      <c r="A36" s="9">
        <v>949</v>
      </c>
      <c r="B36" s="9" t="s">
        <v>28</v>
      </c>
      <c r="C36" s="9" t="s">
        <v>753</v>
      </c>
      <c r="D36" s="9" t="s">
        <v>870</v>
      </c>
      <c r="E36" s="9"/>
      <c r="F36" s="9" t="str">
        <f t="shared" si="1"/>
        <v>Смазочный ниппель UNI 7662−B ISO 228/1 − G 1/4" BUTTON HEA оцинков.</v>
      </c>
      <c r="G36" s="9"/>
      <c r="H36" s="9" t="s">
        <v>31</v>
      </c>
      <c r="I36" s="9"/>
      <c r="J36" s="9"/>
      <c r="K36" s="9">
        <v>5.9999999999999995E-5</v>
      </c>
      <c r="L36" s="9">
        <v>8.3999999999999993E-4</v>
      </c>
      <c r="M36" s="9">
        <v>14</v>
      </c>
      <c r="N36" s="9" t="s">
        <v>33</v>
      </c>
      <c r="O36" s="9">
        <f t="shared" si="2"/>
        <v>2.0159999999999997E-2</v>
      </c>
      <c r="P36" s="9">
        <f t="shared" si="3"/>
        <v>2.3519999999999996E-2</v>
      </c>
      <c r="Q36" s="9">
        <f t="shared" si="4"/>
        <v>1.3440000000000001E-2</v>
      </c>
      <c r="R36" s="9">
        <f t="shared" si="5"/>
        <v>1.0079999999999999E-2</v>
      </c>
      <c r="S36" s="18">
        <v>6.7199999999999996E-2</v>
      </c>
      <c r="T36" s="252">
        <v>105991.94</v>
      </c>
      <c r="U36" s="194">
        <v>89.033229599999999</v>
      </c>
      <c r="V36" s="9"/>
      <c r="W36" s="9"/>
      <c r="X36" s="9" t="s">
        <v>898</v>
      </c>
      <c r="Y36" s="9">
        <v>73710</v>
      </c>
      <c r="Z36" s="19" t="s">
        <v>872</v>
      </c>
      <c r="AA36" s="9" t="s">
        <v>899</v>
      </c>
      <c r="AB36" s="9">
        <v>9</v>
      </c>
      <c r="AC36" s="9">
        <v>3462</v>
      </c>
      <c r="AD36" s="58"/>
      <c r="AE36" s="42"/>
      <c r="AF36" s="42"/>
      <c r="AG36" s="59"/>
      <c r="AH36" s="58"/>
      <c r="AI36" s="42"/>
      <c r="AJ36" s="42"/>
      <c r="AK36" s="59"/>
      <c r="AL36" s="87"/>
    </row>
    <row r="37" spans="1:38" x14ac:dyDescent="0.25">
      <c r="A37" s="9">
        <v>950</v>
      </c>
      <c r="B37" s="9" t="s">
        <v>28</v>
      </c>
      <c r="C37" s="9" t="s">
        <v>753</v>
      </c>
      <c r="D37" s="9" t="s">
        <v>870</v>
      </c>
      <c r="E37" s="9"/>
      <c r="F37" s="9" t="str">
        <f t="shared" si="1"/>
        <v>Дюбель 
M12X100 −оцинк.стальной шестигранный винт -CL.8.8</v>
      </c>
      <c r="G37" s="9"/>
      <c r="H37" s="9" t="s">
        <v>31</v>
      </c>
      <c r="I37" s="9"/>
      <c r="J37" s="9"/>
      <c r="K37" s="9">
        <v>2.2000000000000001E-4</v>
      </c>
      <c r="L37" s="9">
        <v>8.8000000000000003E-4</v>
      </c>
      <c r="M37" s="9">
        <v>4</v>
      </c>
      <c r="N37" s="9" t="s">
        <v>33</v>
      </c>
      <c r="O37" s="9">
        <f t="shared" si="2"/>
        <v>2.112E-2</v>
      </c>
      <c r="P37" s="9">
        <f t="shared" si="3"/>
        <v>2.4639999999999999E-2</v>
      </c>
      <c r="Q37" s="9">
        <f t="shared" si="4"/>
        <v>1.4080000000000002E-2</v>
      </c>
      <c r="R37" s="9">
        <f t="shared" si="5"/>
        <v>1.056E-2</v>
      </c>
      <c r="S37" s="18">
        <v>7.0400000000000004E-2</v>
      </c>
      <c r="T37" s="252">
        <v>105991.94</v>
      </c>
      <c r="U37" s="194">
        <v>93.272907200000006</v>
      </c>
      <c r="V37" s="9"/>
      <c r="W37" s="9"/>
      <c r="X37" s="9" t="s">
        <v>776</v>
      </c>
      <c r="Y37" s="9">
        <v>73710</v>
      </c>
      <c r="Z37" s="19" t="s">
        <v>872</v>
      </c>
      <c r="AA37" s="9" t="s">
        <v>900</v>
      </c>
      <c r="AB37" s="9">
        <v>10</v>
      </c>
      <c r="AC37" s="9">
        <v>3462</v>
      </c>
      <c r="AD37" s="58"/>
      <c r="AE37" s="42"/>
      <c r="AF37" s="42"/>
      <c r="AG37" s="59"/>
      <c r="AH37" s="58"/>
      <c r="AI37" s="42"/>
      <c r="AJ37" s="42"/>
      <c r="AK37" s="59"/>
      <c r="AL37" s="87"/>
    </row>
    <row r="38" spans="1:38" x14ac:dyDescent="0.25">
      <c r="A38" s="9">
        <v>951</v>
      </c>
      <c r="B38" s="9" t="s">
        <v>28</v>
      </c>
      <c r="C38" s="9" t="s">
        <v>753</v>
      </c>
      <c r="D38" s="9" t="s">
        <v>870</v>
      </c>
      <c r="E38" s="9"/>
      <c r="F38" s="9" t="str">
        <f t="shared" si="1"/>
        <v>Дюбель 
M12X100 −оцинк.стальной шестигранный винт -CL.8.9</v>
      </c>
      <c r="G38" s="9"/>
      <c r="H38" s="9" t="s">
        <v>31</v>
      </c>
      <c r="I38" s="9"/>
      <c r="J38" s="9"/>
      <c r="K38" s="9">
        <v>2.2000000000000001E-4</v>
      </c>
      <c r="L38" s="9">
        <v>8.8000000000000003E-4</v>
      </c>
      <c r="M38" s="9">
        <v>4</v>
      </c>
      <c r="N38" s="9" t="s">
        <v>33</v>
      </c>
      <c r="O38" s="9">
        <f t="shared" si="2"/>
        <v>2.112E-2</v>
      </c>
      <c r="P38" s="9">
        <f t="shared" si="3"/>
        <v>2.4639999999999999E-2</v>
      </c>
      <c r="Q38" s="9">
        <f t="shared" si="4"/>
        <v>1.4080000000000002E-2</v>
      </c>
      <c r="R38" s="9">
        <f t="shared" si="5"/>
        <v>1.056E-2</v>
      </c>
      <c r="S38" s="18">
        <v>7.0400000000000004E-2</v>
      </c>
      <c r="T38" s="252">
        <v>105991.94</v>
      </c>
      <c r="U38" s="194">
        <v>93.272907200000006</v>
      </c>
      <c r="V38" s="9"/>
      <c r="W38" s="9"/>
      <c r="X38" s="9" t="s">
        <v>776</v>
      </c>
      <c r="Y38" s="9">
        <v>73710</v>
      </c>
      <c r="Z38" s="19" t="s">
        <v>872</v>
      </c>
      <c r="AA38" s="9" t="s">
        <v>901</v>
      </c>
      <c r="AB38" s="9">
        <v>11</v>
      </c>
      <c r="AC38" s="9">
        <v>3462</v>
      </c>
      <c r="AD38" s="126"/>
      <c r="AE38" s="72"/>
      <c r="AF38" s="72"/>
      <c r="AG38" s="127"/>
      <c r="AH38" s="126"/>
      <c r="AI38" s="72"/>
      <c r="AJ38" s="72"/>
      <c r="AK38" s="127"/>
      <c r="AL38" s="87"/>
    </row>
    <row r="39" spans="1:38" x14ac:dyDescent="0.25">
      <c r="A39" s="9">
        <v>952</v>
      </c>
      <c r="B39" s="9" t="s">
        <v>28</v>
      </c>
      <c r="C39" s="9" t="s">
        <v>753</v>
      </c>
      <c r="D39" s="9" t="s">
        <v>870</v>
      </c>
      <c r="E39" s="9"/>
      <c r="F39" s="9" t="str">
        <f t="shared" si="1"/>
        <v>Дюбель 
M10X80 −оцинк.стальной шестигранный винт -CL.8.10</v>
      </c>
      <c r="G39" s="9"/>
      <c r="H39" s="9" t="s">
        <v>31</v>
      </c>
      <c r="I39" s="9"/>
      <c r="J39" s="9"/>
      <c r="K39" s="9">
        <v>8.0000000000000007E-5</v>
      </c>
      <c r="L39" s="9">
        <v>2.3999999999999998E-4</v>
      </c>
      <c r="M39" s="9">
        <v>3</v>
      </c>
      <c r="N39" s="9" t="s">
        <v>33</v>
      </c>
      <c r="O39" s="9">
        <f t="shared" si="2"/>
        <v>5.7599999999999995E-3</v>
      </c>
      <c r="P39" s="9">
        <f t="shared" si="3"/>
        <v>6.7199999999999994E-3</v>
      </c>
      <c r="Q39" s="9">
        <f t="shared" si="4"/>
        <v>3.8399999999999997E-3</v>
      </c>
      <c r="R39" s="9">
        <f t="shared" si="5"/>
        <v>2.8799999999999997E-3</v>
      </c>
      <c r="S39" s="18">
        <v>1.9199999999999998E-2</v>
      </c>
      <c r="T39" s="252">
        <v>105991.94</v>
      </c>
      <c r="U39" s="194">
        <v>25.438065599999998</v>
      </c>
      <c r="V39" s="9"/>
      <c r="W39" s="9"/>
      <c r="X39" s="9" t="s">
        <v>902</v>
      </c>
      <c r="Y39" s="9">
        <v>73710</v>
      </c>
      <c r="Z39" s="19" t="s">
        <v>872</v>
      </c>
      <c r="AA39" s="9" t="s">
        <v>903</v>
      </c>
      <c r="AB39" s="9">
        <v>12</v>
      </c>
      <c r="AC39" s="9">
        <v>3462</v>
      </c>
      <c r="AD39" s="126"/>
      <c r="AE39" s="72"/>
      <c r="AF39" s="72"/>
      <c r="AG39" s="127"/>
      <c r="AH39" s="126"/>
      <c r="AI39" s="72"/>
      <c r="AJ39" s="72"/>
      <c r="AK39" s="127"/>
      <c r="AL39" s="87"/>
    </row>
    <row r="40" spans="1:38" x14ac:dyDescent="0.25">
      <c r="A40" s="9">
        <v>953</v>
      </c>
      <c r="B40" s="9" t="s">
        <v>28</v>
      </c>
      <c r="C40" s="9" t="s">
        <v>753</v>
      </c>
      <c r="D40" s="9" t="s">
        <v>870</v>
      </c>
      <c r="E40" s="9"/>
      <c r="F40" s="9" t="str">
        <f t="shared" si="1"/>
        <v>Ограждающий щит</v>
      </c>
      <c r="G40" s="9"/>
      <c r="H40" s="9" t="s">
        <v>31</v>
      </c>
      <c r="I40" s="9"/>
      <c r="J40" s="9"/>
      <c r="K40" s="9">
        <v>1.1599999999999999E-2</v>
      </c>
      <c r="L40" s="9">
        <v>1.1599999999999999E-2</v>
      </c>
      <c r="M40" s="9">
        <v>1</v>
      </c>
      <c r="N40" s="9" t="s">
        <v>33</v>
      </c>
      <c r="O40" s="9">
        <f t="shared" si="2"/>
        <v>0.27839999999999998</v>
      </c>
      <c r="P40" s="9">
        <f t="shared" si="3"/>
        <v>0.32479999999999998</v>
      </c>
      <c r="Q40" s="9">
        <f t="shared" si="4"/>
        <v>0.18559999999999999</v>
      </c>
      <c r="R40" s="9">
        <f t="shared" si="5"/>
        <v>0.13919999999999999</v>
      </c>
      <c r="S40" s="18">
        <v>0.92799999999999994</v>
      </c>
      <c r="T40" s="252">
        <v>105991.94</v>
      </c>
      <c r="U40" s="194">
        <v>1229.5065039999999</v>
      </c>
      <c r="V40" s="9"/>
      <c r="W40" s="9"/>
      <c r="X40" s="9" t="s">
        <v>904</v>
      </c>
      <c r="Y40" s="9">
        <v>73710</v>
      </c>
      <c r="Z40" s="19" t="s">
        <v>872</v>
      </c>
      <c r="AA40" s="9" t="s">
        <v>63</v>
      </c>
      <c r="AB40" s="9">
        <v>13</v>
      </c>
      <c r="AC40" s="9">
        <v>3462</v>
      </c>
      <c r="AD40" s="126"/>
      <c r="AE40" s="72"/>
      <c r="AF40" s="72"/>
      <c r="AG40" s="127"/>
      <c r="AH40" s="126"/>
      <c r="AI40" s="72"/>
      <c r="AJ40" s="72"/>
      <c r="AK40" s="127"/>
      <c r="AL40" s="87"/>
    </row>
    <row r="41" spans="1:38" x14ac:dyDescent="0.25">
      <c r="A41" s="9">
        <v>954</v>
      </c>
      <c r="B41" s="9" t="s">
        <v>28</v>
      </c>
      <c r="C41" s="9" t="s">
        <v>753</v>
      </c>
      <c r="D41" s="9" t="s">
        <v>870</v>
      </c>
      <c r="E41" s="9"/>
      <c r="F41" s="9" t="str">
        <f t="shared" si="1"/>
        <v>Ограждающий щит</v>
      </c>
      <c r="G41" s="9"/>
      <c r="H41" s="9" t="s">
        <v>31</v>
      </c>
      <c r="I41" s="9"/>
      <c r="J41" s="9"/>
      <c r="K41" s="9">
        <v>1.1599999999999999E-2</v>
      </c>
      <c r="L41" s="9">
        <v>1.1599999999999999E-2</v>
      </c>
      <c r="M41" s="9">
        <v>1</v>
      </c>
      <c r="N41" s="9" t="s">
        <v>33</v>
      </c>
      <c r="O41" s="9">
        <f t="shared" si="2"/>
        <v>0.27839999999999998</v>
      </c>
      <c r="P41" s="9">
        <f t="shared" si="3"/>
        <v>0.32479999999999998</v>
      </c>
      <c r="Q41" s="9">
        <f t="shared" si="4"/>
        <v>0.18559999999999999</v>
      </c>
      <c r="R41" s="9">
        <f t="shared" si="5"/>
        <v>0.13919999999999999</v>
      </c>
      <c r="S41" s="18">
        <v>0.92799999999999994</v>
      </c>
      <c r="T41" s="252">
        <v>105991.94</v>
      </c>
      <c r="U41" s="194">
        <v>1229.5065039999999</v>
      </c>
      <c r="V41" s="9"/>
      <c r="W41" s="9"/>
      <c r="X41" s="9" t="s">
        <v>904</v>
      </c>
      <c r="Y41" s="9">
        <v>73710</v>
      </c>
      <c r="Z41" s="19" t="s">
        <v>872</v>
      </c>
      <c r="AA41" s="9" t="s">
        <v>63</v>
      </c>
      <c r="AB41" s="9">
        <v>14</v>
      </c>
      <c r="AC41" s="9">
        <v>3462</v>
      </c>
      <c r="AD41" s="126"/>
      <c r="AE41" s="72"/>
      <c r="AF41" s="72"/>
      <c r="AG41" s="127"/>
      <c r="AH41" s="126"/>
      <c r="AI41" s="72"/>
      <c r="AJ41" s="72"/>
      <c r="AK41" s="127"/>
      <c r="AL41" s="87"/>
    </row>
    <row r="42" spans="1:38" x14ac:dyDescent="0.25">
      <c r="A42" s="9">
        <v>955</v>
      </c>
      <c r="B42" s="9" t="s">
        <v>28</v>
      </c>
      <c r="C42" s="9" t="s">
        <v>753</v>
      </c>
      <c r="D42" s="9" t="s">
        <v>870</v>
      </c>
      <c r="E42" s="9"/>
      <c r="F42" s="9" t="str">
        <f t="shared" si="1"/>
        <v>Ограждающий щит</v>
      </c>
      <c r="G42" s="9"/>
      <c r="H42" s="9" t="s">
        <v>31</v>
      </c>
      <c r="I42" s="9"/>
      <c r="J42" s="9"/>
      <c r="K42" s="9">
        <v>1.1599999999999999E-2</v>
      </c>
      <c r="L42" s="9">
        <v>1.1599999999999999E-2</v>
      </c>
      <c r="M42" s="9">
        <v>1</v>
      </c>
      <c r="N42" s="9" t="s">
        <v>33</v>
      </c>
      <c r="O42" s="9">
        <f t="shared" si="2"/>
        <v>0.27839999999999998</v>
      </c>
      <c r="P42" s="9">
        <f t="shared" si="3"/>
        <v>0.32479999999999998</v>
      </c>
      <c r="Q42" s="9">
        <f t="shared" si="4"/>
        <v>0.18559999999999999</v>
      </c>
      <c r="R42" s="9">
        <f t="shared" si="5"/>
        <v>0.13919999999999999</v>
      </c>
      <c r="S42" s="18">
        <v>0.92799999999999994</v>
      </c>
      <c r="T42" s="252">
        <v>105991.94</v>
      </c>
      <c r="U42" s="194">
        <v>1229.5065039999999</v>
      </c>
      <c r="V42" s="9"/>
      <c r="W42" s="9"/>
      <c r="X42" s="9" t="s">
        <v>904</v>
      </c>
      <c r="Y42" s="9">
        <v>73710</v>
      </c>
      <c r="Z42" s="19" t="s">
        <v>872</v>
      </c>
      <c r="AA42" s="9" t="s">
        <v>63</v>
      </c>
      <c r="AB42" s="9">
        <v>15</v>
      </c>
      <c r="AC42" s="9">
        <v>3462</v>
      </c>
      <c r="AD42" s="126"/>
      <c r="AE42" s="72"/>
      <c r="AF42" s="72"/>
      <c r="AG42" s="127"/>
      <c r="AH42" s="126"/>
      <c r="AI42" s="72"/>
      <c r="AJ42" s="72"/>
      <c r="AK42" s="127"/>
      <c r="AL42" s="87"/>
    </row>
    <row r="43" spans="1:38" x14ac:dyDescent="0.25">
      <c r="A43" s="9">
        <v>956</v>
      </c>
      <c r="B43" s="9" t="s">
        <v>28</v>
      </c>
      <c r="C43" s="9" t="s">
        <v>753</v>
      </c>
      <c r="D43" s="9" t="s">
        <v>870</v>
      </c>
      <c r="E43" s="9"/>
      <c r="F43" s="9" t="str">
        <f t="shared" si="1"/>
        <v>Ограждающий щит</v>
      </c>
      <c r="G43" s="9"/>
      <c r="H43" s="9" t="s">
        <v>31</v>
      </c>
      <c r="I43" s="9"/>
      <c r="J43" s="9"/>
      <c r="K43" s="9">
        <v>1.1599999999999999E-2</v>
      </c>
      <c r="L43" s="9">
        <v>1.1599999999999999E-2</v>
      </c>
      <c r="M43" s="9">
        <v>1</v>
      </c>
      <c r="N43" s="9" t="s">
        <v>33</v>
      </c>
      <c r="O43" s="9">
        <f t="shared" si="2"/>
        <v>0.27839999999999998</v>
      </c>
      <c r="P43" s="9">
        <f t="shared" si="3"/>
        <v>0.32479999999999998</v>
      </c>
      <c r="Q43" s="9">
        <f t="shared" si="4"/>
        <v>0.18559999999999999</v>
      </c>
      <c r="R43" s="9">
        <f t="shared" si="5"/>
        <v>0.13919999999999999</v>
      </c>
      <c r="S43" s="18">
        <v>0.92799999999999994</v>
      </c>
      <c r="T43" s="252">
        <v>105991.94</v>
      </c>
      <c r="U43" s="194">
        <v>1229.5065039999999</v>
      </c>
      <c r="V43" s="9"/>
      <c r="W43" s="9"/>
      <c r="X43" s="9" t="s">
        <v>904</v>
      </c>
      <c r="Y43" s="9">
        <v>73710</v>
      </c>
      <c r="Z43" s="19" t="s">
        <v>872</v>
      </c>
      <c r="AA43" s="9" t="s">
        <v>63</v>
      </c>
      <c r="AB43" s="9">
        <v>16</v>
      </c>
      <c r="AC43" s="9">
        <v>3462</v>
      </c>
      <c r="AD43" s="126"/>
      <c r="AE43" s="72"/>
      <c r="AF43" s="72"/>
      <c r="AG43" s="127"/>
      <c r="AH43" s="126"/>
      <c r="AI43" s="72"/>
      <c r="AJ43" s="72"/>
      <c r="AK43" s="127"/>
      <c r="AL43" s="87"/>
    </row>
    <row r="44" spans="1:38" x14ac:dyDescent="0.25">
      <c r="A44" s="9">
        <v>957</v>
      </c>
      <c r="B44" s="9" t="s">
        <v>28</v>
      </c>
      <c r="C44" s="9" t="s">
        <v>753</v>
      </c>
      <c r="D44" s="9" t="s">
        <v>870</v>
      </c>
      <c r="E44" s="9"/>
      <c r="F44" s="9" t="str">
        <f t="shared" si="1"/>
        <v>Ограждающий щит</v>
      </c>
      <c r="G44" s="9"/>
      <c r="H44" s="9" t="s">
        <v>31</v>
      </c>
      <c r="I44" s="9"/>
      <c r="J44" s="9"/>
      <c r="K44" s="9">
        <v>1.1599999999999999E-2</v>
      </c>
      <c r="L44" s="9">
        <v>1.1599999999999999E-2</v>
      </c>
      <c r="M44" s="9">
        <v>1</v>
      </c>
      <c r="N44" s="9" t="s">
        <v>33</v>
      </c>
      <c r="O44" s="9">
        <f t="shared" si="2"/>
        <v>0.27839999999999998</v>
      </c>
      <c r="P44" s="9">
        <f t="shared" si="3"/>
        <v>0.32479999999999998</v>
      </c>
      <c r="Q44" s="9">
        <f t="shared" si="4"/>
        <v>0.18559999999999999</v>
      </c>
      <c r="R44" s="9">
        <f t="shared" si="5"/>
        <v>0.13919999999999999</v>
      </c>
      <c r="S44" s="18">
        <v>0.92799999999999994</v>
      </c>
      <c r="T44" s="252">
        <v>105991.94</v>
      </c>
      <c r="U44" s="194">
        <v>1229.5065039999999</v>
      </c>
      <c r="V44" s="9"/>
      <c r="W44" s="9"/>
      <c r="X44" s="9" t="s">
        <v>904</v>
      </c>
      <c r="Y44" s="9">
        <v>73710</v>
      </c>
      <c r="Z44" s="19" t="s">
        <v>872</v>
      </c>
      <c r="AA44" s="9" t="s">
        <v>63</v>
      </c>
      <c r="AB44" s="9">
        <v>17</v>
      </c>
      <c r="AC44" s="9">
        <v>3462</v>
      </c>
      <c r="AD44" s="126"/>
      <c r="AE44" s="72"/>
      <c r="AF44" s="72"/>
      <c r="AG44" s="127"/>
      <c r="AH44" s="126"/>
      <c r="AI44" s="72"/>
      <c r="AJ44" s="72"/>
      <c r="AK44" s="127"/>
      <c r="AL44" s="87"/>
    </row>
    <row r="45" spans="1:38" x14ac:dyDescent="0.25">
      <c r="A45" s="9">
        <v>958</v>
      </c>
      <c r="B45" s="9" t="s">
        <v>28</v>
      </c>
      <c r="C45" s="9" t="s">
        <v>753</v>
      </c>
      <c r="D45" s="9" t="s">
        <v>870</v>
      </c>
      <c r="E45" s="9"/>
      <c r="F45" s="9" t="str">
        <f t="shared" si="1"/>
        <v>Ограждающий щит</v>
      </c>
      <c r="G45" s="9"/>
      <c r="H45" s="9" t="s">
        <v>31</v>
      </c>
      <c r="I45" s="9"/>
      <c r="J45" s="9"/>
      <c r="K45" s="9">
        <v>1.1599999999999999E-2</v>
      </c>
      <c r="L45" s="9">
        <v>1.1599999999999999E-2</v>
      </c>
      <c r="M45" s="9">
        <v>1</v>
      </c>
      <c r="N45" s="9" t="s">
        <v>33</v>
      </c>
      <c r="O45" s="9">
        <f t="shared" si="2"/>
        <v>0.27839999999999998</v>
      </c>
      <c r="P45" s="9">
        <f t="shared" si="3"/>
        <v>0.32479999999999998</v>
      </c>
      <c r="Q45" s="9">
        <f t="shared" si="4"/>
        <v>0.18559999999999999</v>
      </c>
      <c r="R45" s="9">
        <f t="shared" si="5"/>
        <v>0.13919999999999999</v>
      </c>
      <c r="S45" s="18">
        <v>0.92799999999999994</v>
      </c>
      <c r="T45" s="252">
        <v>105991.94</v>
      </c>
      <c r="U45" s="194">
        <v>1229.5065039999999</v>
      </c>
      <c r="V45" s="9"/>
      <c r="W45" s="9"/>
      <c r="X45" s="9" t="s">
        <v>904</v>
      </c>
      <c r="Y45" s="9">
        <v>73710</v>
      </c>
      <c r="Z45" s="19" t="s">
        <v>872</v>
      </c>
      <c r="AA45" s="9" t="s">
        <v>63</v>
      </c>
      <c r="AB45" s="9">
        <v>18</v>
      </c>
      <c r="AC45" s="9">
        <v>3462</v>
      </c>
      <c r="AD45" s="126"/>
      <c r="AE45" s="72"/>
      <c r="AF45" s="72"/>
      <c r="AG45" s="127"/>
      <c r="AH45" s="126"/>
      <c r="AI45" s="72"/>
      <c r="AJ45" s="72"/>
      <c r="AK45" s="127"/>
      <c r="AL45" s="87"/>
    </row>
    <row r="46" spans="1:38" x14ac:dyDescent="0.25">
      <c r="A46" s="9">
        <v>959</v>
      </c>
      <c r="B46" s="9" t="s">
        <v>28</v>
      </c>
      <c r="C46" s="9" t="s">
        <v>753</v>
      </c>
      <c r="D46" s="9" t="s">
        <v>870</v>
      </c>
      <c r="E46" s="9"/>
      <c r="F46" s="9" t="str">
        <f t="shared" si="1"/>
        <v>Ограждающий щит</v>
      </c>
      <c r="G46" s="9"/>
      <c r="H46" s="9" t="s">
        <v>31</v>
      </c>
      <c r="I46" s="9"/>
      <c r="J46" s="9"/>
      <c r="K46" s="9">
        <v>1.1599999999999999E-2</v>
      </c>
      <c r="L46" s="9">
        <v>1.1599999999999999E-2</v>
      </c>
      <c r="M46" s="9">
        <v>1</v>
      </c>
      <c r="N46" s="9" t="s">
        <v>33</v>
      </c>
      <c r="O46" s="9">
        <f t="shared" si="2"/>
        <v>0.27839999999999998</v>
      </c>
      <c r="P46" s="9">
        <f t="shared" si="3"/>
        <v>0.32479999999999998</v>
      </c>
      <c r="Q46" s="9">
        <f t="shared" si="4"/>
        <v>0.18559999999999999</v>
      </c>
      <c r="R46" s="9">
        <f t="shared" si="5"/>
        <v>0.13919999999999999</v>
      </c>
      <c r="S46" s="18">
        <v>0.92799999999999994</v>
      </c>
      <c r="T46" s="252">
        <v>105991.94</v>
      </c>
      <c r="U46" s="194">
        <v>1229.5065039999999</v>
      </c>
      <c r="V46" s="9"/>
      <c r="W46" s="9"/>
      <c r="X46" s="9" t="s">
        <v>904</v>
      </c>
      <c r="Y46" s="9">
        <v>73710</v>
      </c>
      <c r="Z46" s="19" t="s">
        <v>872</v>
      </c>
      <c r="AA46" s="9" t="s">
        <v>63</v>
      </c>
      <c r="AB46" s="9">
        <v>19</v>
      </c>
      <c r="AC46" s="9">
        <v>3462</v>
      </c>
      <c r="AD46" s="126"/>
      <c r="AE46" s="72"/>
      <c r="AF46" s="72"/>
      <c r="AG46" s="127"/>
      <c r="AH46" s="126"/>
      <c r="AI46" s="72"/>
      <c r="AJ46" s="72"/>
      <c r="AK46" s="127"/>
      <c r="AL46" s="87"/>
    </row>
    <row r="47" spans="1:38" x14ac:dyDescent="0.25">
      <c r="A47" s="9">
        <v>960</v>
      </c>
      <c r="B47" s="9" t="s">
        <v>28</v>
      </c>
      <c r="C47" s="9" t="s">
        <v>753</v>
      </c>
      <c r="D47" s="9" t="s">
        <v>870</v>
      </c>
      <c r="E47" s="9"/>
      <c r="F47" s="9" t="str">
        <f t="shared" si="1"/>
        <v>Направляющая</v>
      </c>
      <c r="G47" s="9"/>
      <c r="H47" s="9" t="s">
        <v>31</v>
      </c>
      <c r="I47" s="9"/>
      <c r="J47" s="9"/>
      <c r="K47" s="9">
        <v>1.6E-2</v>
      </c>
      <c r="L47" s="9">
        <v>1.6E-2</v>
      </c>
      <c r="M47" s="9">
        <v>1</v>
      </c>
      <c r="N47" s="9" t="s">
        <v>33</v>
      </c>
      <c r="O47" s="9">
        <f t="shared" si="2"/>
        <v>0.38400000000000001</v>
      </c>
      <c r="P47" s="9">
        <f t="shared" si="3"/>
        <v>0.44799999999999995</v>
      </c>
      <c r="Q47" s="9">
        <f t="shared" si="4"/>
        <v>0.25600000000000001</v>
      </c>
      <c r="R47" s="9">
        <f t="shared" si="5"/>
        <v>0.192</v>
      </c>
      <c r="S47" s="18">
        <v>1.28</v>
      </c>
      <c r="T47" s="252">
        <v>105991.94</v>
      </c>
      <c r="U47" s="194">
        <v>1695.87104</v>
      </c>
      <c r="V47" s="9"/>
      <c r="W47" s="9"/>
      <c r="X47" s="9" t="s">
        <v>905</v>
      </c>
      <c r="Y47" s="9">
        <v>73710</v>
      </c>
      <c r="Z47" s="19" t="s">
        <v>872</v>
      </c>
      <c r="AA47" s="9" t="s">
        <v>906</v>
      </c>
      <c r="AB47" s="9">
        <v>20</v>
      </c>
      <c r="AC47" s="9">
        <v>3462</v>
      </c>
      <c r="AD47" s="126"/>
      <c r="AE47" s="72"/>
      <c r="AF47" s="72"/>
      <c r="AG47" s="127"/>
      <c r="AH47" s="126"/>
      <c r="AI47" s="72"/>
      <c r="AJ47" s="72"/>
      <c r="AK47" s="127"/>
      <c r="AL47" s="87"/>
    </row>
    <row r="48" spans="1:38" x14ac:dyDescent="0.25">
      <c r="A48" s="9">
        <v>961</v>
      </c>
      <c r="B48" s="9" t="s">
        <v>28</v>
      </c>
      <c r="C48" s="9" t="s">
        <v>753</v>
      </c>
      <c r="D48" s="9" t="s">
        <v>870</v>
      </c>
      <c r="E48" s="9"/>
      <c r="F48" s="9" t="str">
        <f t="shared" si="1"/>
        <v>Направляющая</v>
      </c>
      <c r="G48" s="9"/>
      <c r="H48" s="9" t="s">
        <v>31</v>
      </c>
      <c r="I48" s="9"/>
      <c r="J48" s="9"/>
      <c r="K48" s="9">
        <v>1.6E-2</v>
      </c>
      <c r="L48" s="9">
        <v>1.6E-2</v>
      </c>
      <c r="M48" s="9">
        <v>1</v>
      </c>
      <c r="N48" s="9" t="s">
        <v>33</v>
      </c>
      <c r="O48" s="9">
        <f t="shared" si="2"/>
        <v>0.38400000000000001</v>
      </c>
      <c r="P48" s="9">
        <f t="shared" si="3"/>
        <v>0.44799999999999995</v>
      </c>
      <c r="Q48" s="9">
        <f t="shared" si="4"/>
        <v>0.25600000000000001</v>
      </c>
      <c r="R48" s="9">
        <f t="shared" si="5"/>
        <v>0.192</v>
      </c>
      <c r="S48" s="18">
        <v>1.28</v>
      </c>
      <c r="T48" s="252">
        <v>105991.94</v>
      </c>
      <c r="U48" s="194">
        <v>1695.87104</v>
      </c>
      <c r="V48" s="9"/>
      <c r="W48" s="9"/>
      <c r="X48" s="9" t="s">
        <v>905</v>
      </c>
      <c r="Y48" s="9">
        <v>73710</v>
      </c>
      <c r="Z48" s="19" t="s">
        <v>872</v>
      </c>
      <c r="AA48" s="9" t="s">
        <v>906</v>
      </c>
      <c r="AB48" s="9">
        <v>21</v>
      </c>
      <c r="AC48" s="9">
        <v>3462</v>
      </c>
      <c r="AD48" s="126"/>
      <c r="AE48" s="72"/>
      <c r="AF48" s="72"/>
      <c r="AG48" s="127"/>
      <c r="AH48" s="126"/>
      <c r="AI48" s="72"/>
      <c r="AJ48" s="72"/>
      <c r="AK48" s="127"/>
      <c r="AL48" s="87"/>
    </row>
    <row r="49" spans="1:38" x14ac:dyDescent="0.25">
      <c r="A49" s="9">
        <v>962</v>
      </c>
      <c r="B49" s="9" t="s">
        <v>28</v>
      </c>
      <c r="C49" s="9" t="s">
        <v>753</v>
      </c>
      <c r="D49" s="9" t="s">
        <v>870</v>
      </c>
      <c r="E49" s="9"/>
      <c r="F49" s="9" t="str">
        <f t="shared" si="1"/>
        <v>Направляющая</v>
      </c>
      <c r="G49" s="9"/>
      <c r="H49" s="9" t="s">
        <v>31</v>
      </c>
      <c r="I49" s="9"/>
      <c r="J49" s="9"/>
      <c r="K49" s="9">
        <v>1.6E-2</v>
      </c>
      <c r="L49" s="9">
        <v>1.6E-2</v>
      </c>
      <c r="M49" s="9">
        <v>1</v>
      </c>
      <c r="N49" s="9" t="s">
        <v>33</v>
      </c>
      <c r="O49" s="9">
        <f t="shared" si="2"/>
        <v>0.38400000000000001</v>
      </c>
      <c r="P49" s="9">
        <f t="shared" si="3"/>
        <v>0.44799999999999995</v>
      </c>
      <c r="Q49" s="9">
        <f t="shared" si="4"/>
        <v>0.25600000000000001</v>
      </c>
      <c r="R49" s="9">
        <f t="shared" si="5"/>
        <v>0.192</v>
      </c>
      <c r="S49" s="18">
        <v>1.28</v>
      </c>
      <c r="T49" s="252">
        <v>105991.94</v>
      </c>
      <c r="U49" s="194">
        <v>1695.87104</v>
      </c>
      <c r="V49" s="9"/>
      <c r="W49" s="9"/>
      <c r="X49" s="9" t="s">
        <v>905</v>
      </c>
      <c r="Y49" s="9">
        <v>73710</v>
      </c>
      <c r="Z49" s="19" t="s">
        <v>872</v>
      </c>
      <c r="AA49" s="9" t="s">
        <v>906</v>
      </c>
      <c r="AB49" s="9">
        <v>22</v>
      </c>
      <c r="AC49" s="9">
        <v>3462</v>
      </c>
      <c r="AD49" s="126"/>
      <c r="AE49" s="72"/>
      <c r="AF49" s="72"/>
      <c r="AG49" s="127"/>
      <c r="AH49" s="126"/>
      <c r="AI49" s="72"/>
      <c r="AJ49" s="72"/>
      <c r="AK49" s="127"/>
      <c r="AL49" s="87"/>
    </row>
    <row r="50" spans="1:38" x14ac:dyDescent="0.25">
      <c r="A50" s="9">
        <v>963</v>
      </c>
      <c r="B50" s="9" t="s">
        <v>28</v>
      </c>
      <c r="C50" s="9" t="s">
        <v>753</v>
      </c>
      <c r="D50" s="9" t="s">
        <v>870</v>
      </c>
      <c r="E50" s="9"/>
      <c r="F50" s="9" t="str">
        <f t="shared" si="1"/>
        <v>Направляющая</v>
      </c>
      <c r="G50" s="9"/>
      <c r="H50" s="9" t="s">
        <v>31</v>
      </c>
      <c r="I50" s="9"/>
      <c r="J50" s="9"/>
      <c r="K50" s="9">
        <v>1.6E-2</v>
      </c>
      <c r="L50" s="9">
        <v>1.6E-2</v>
      </c>
      <c r="M50" s="9">
        <v>1</v>
      </c>
      <c r="N50" s="9" t="s">
        <v>33</v>
      </c>
      <c r="O50" s="9">
        <f t="shared" si="2"/>
        <v>0.38400000000000001</v>
      </c>
      <c r="P50" s="9">
        <f t="shared" si="3"/>
        <v>0.44799999999999995</v>
      </c>
      <c r="Q50" s="9">
        <f t="shared" si="4"/>
        <v>0.25600000000000001</v>
      </c>
      <c r="R50" s="9">
        <f t="shared" si="5"/>
        <v>0.192</v>
      </c>
      <c r="S50" s="18">
        <v>1.28</v>
      </c>
      <c r="T50" s="252">
        <v>105991.94</v>
      </c>
      <c r="U50" s="194">
        <v>1695.87104</v>
      </c>
      <c r="V50" s="9"/>
      <c r="W50" s="9"/>
      <c r="X50" s="9" t="s">
        <v>905</v>
      </c>
      <c r="Y50" s="9">
        <v>73710</v>
      </c>
      <c r="Z50" s="19" t="s">
        <v>872</v>
      </c>
      <c r="AA50" s="9" t="s">
        <v>906</v>
      </c>
      <c r="AB50" s="9">
        <v>23</v>
      </c>
      <c r="AC50" s="9">
        <v>3462</v>
      </c>
      <c r="AD50" s="126"/>
      <c r="AE50" s="72"/>
      <c r="AF50" s="72"/>
      <c r="AG50" s="127"/>
      <c r="AH50" s="126"/>
      <c r="AI50" s="72"/>
      <c r="AJ50" s="72"/>
      <c r="AK50" s="127"/>
      <c r="AL50" s="87"/>
    </row>
    <row r="51" spans="1:38" x14ac:dyDescent="0.25">
      <c r="A51" s="9">
        <v>964</v>
      </c>
      <c r="B51" s="9" t="s">
        <v>28</v>
      </c>
      <c r="C51" s="9" t="s">
        <v>753</v>
      </c>
      <c r="D51" s="9" t="s">
        <v>870</v>
      </c>
      <c r="E51" s="9"/>
      <c r="F51" s="9" t="str">
        <f t="shared" si="1"/>
        <v>Направляющая</v>
      </c>
      <c r="G51" s="9"/>
      <c r="H51" s="9" t="s">
        <v>31</v>
      </c>
      <c r="I51" s="9"/>
      <c r="J51" s="9"/>
      <c r="K51" s="9">
        <v>1.6E-2</v>
      </c>
      <c r="L51" s="9">
        <v>1.6E-2</v>
      </c>
      <c r="M51" s="9">
        <v>1</v>
      </c>
      <c r="N51" s="9" t="s">
        <v>33</v>
      </c>
      <c r="O51" s="9">
        <f t="shared" si="2"/>
        <v>0.38400000000000001</v>
      </c>
      <c r="P51" s="9">
        <f t="shared" si="3"/>
        <v>0.44799999999999995</v>
      </c>
      <c r="Q51" s="9">
        <f t="shared" si="4"/>
        <v>0.25600000000000001</v>
      </c>
      <c r="R51" s="9">
        <f t="shared" si="5"/>
        <v>0.192</v>
      </c>
      <c r="S51" s="18">
        <v>1.28</v>
      </c>
      <c r="T51" s="252">
        <v>105991.94</v>
      </c>
      <c r="U51" s="194">
        <v>1695.87104</v>
      </c>
      <c r="V51" s="9"/>
      <c r="W51" s="9"/>
      <c r="X51" s="9" t="s">
        <v>905</v>
      </c>
      <c r="Y51" s="9">
        <v>73710</v>
      </c>
      <c r="Z51" s="19" t="s">
        <v>872</v>
      </c>
      <c r="AA51" s="9" t="s">
        <v>906</v>
      </c>
      <c r="AB51" s="9">
        <v>24</v>
      </c>
      <c r="AC51" s="9">
        <v>3462</v>
      </c>
      <c r="AD51" s="126"/>
      <c r="AE51" s="72"/>
      <c r="AF51" s="72"/>
      <c r="AG51" s="127"/>
      <c r="AH51" s="126"/>
      <c r="AI51" s="72"/>
      <c r="AJ51" s="72"/>
      <c r="AK51" s="127"/>
      <c r="AL51" s="87"/>
    </row>
    <row r="52" spans="1:38" x14ac:dyDescent="0.25">
      <c r="A52" s="9">
        <v>965</v>
      </c>
      <c r="B52" s="9" t="s">
        <v>28</v>
      </c>
      <c r="C52" s="9" t="s">
        <v>753</v>
      </c>
      <c r="D52" s="9" t="s">
        <v>870</v>
      </c>
      <c r="E52" s="9"/>
      <c r="F52" s="9" t="str">
        <f t="shared" si="1"/>
        <v>Направляющая</v>
      </c>
      <c r="G52" s="9"/>
      <c r="H52" s="9" t="s">
        <v>31</v>
      </c>
      <c r="I52" s="9"/>
      <c r="J52" s="9"/>
      <c r="K52" s="9">
        <v>1.6E-2</v>
      </c>
      <c r="L52" s="9">
        <v>1.6E-2</v>
      </c>
      <c r="M52" s="9">
        <v>1</v>
      </c>
      <c r="N52" s="9" t="s">
        <v>33</v>
      </c>
      <c r="O52" s="9">
        <f t="shared" si="2"/>
        <v>0.38400000000000001</v>
      </c>
      <c r="P52" s="9">
        <f t="shared" si="3"/>
        <v>0.44799999999999995</v>
      </c>
      <c r="Q52" s="9">
        <f t="shared" si="4"/>
        <v>0.25600000000000001</v>
      </c>
      <c r="R52" s="9">
        <f t="shared" si="5"/>
        <v>0.192</v>
      </c>
      <c r="S52" s="18">
        <v>1.28</v>
      </c>
      <c r="T52" s="252">
        <v>105991.94</v>
      </c>
      <c r="U52" s="194">
        <v>1695.87104</v>
      </c>
      <c r="V52" s="9"/>
      <c r="W52" s="9"/>
      <c r="X52" s="9" t="s">
        <v>905</v>
      </c>
      <c r="Y52" s="9">
        <v>73710</v>
      </c>
      <c r="Z52" s="19" t="s">
        <v>872</v>
      </c>
      <c r="AA52" s="9" t="s">
        <v>906</v>
      </c>
      <c r="AB52" s="9">
        <v>25</v>
      </c>
      <c r="AC52" s="9">
        <v>3462</v>
      </c>
      <c r="AD52" s="126"/>
      <c r="AE52" s="72"/>
      <c r="AF52" s="72"/>
      <c r="AG52" s="127"/>
      <c r="AH52" s="126"/>
      <c r="AI52" s="72"/>
      <c r="AJ52" s="72"/>
      <c r="AK52" s="127"/>
      <c r="AL52" s="87"/>
    </row>
    <row r="53" spans="1:38" x14ac:dyDescent="0.25">
      <c r="A53" s="9">
        <v>966</v>
      </c>
      <c r="B53" s="9" t="s">
        <v>28</v>
      </c>
      <c r="C53" s="9" t="s">
        <v>753</v>
      </c>
      <c r="D53" s="9" t="s">
        <v>870</v>
      </c>
      <c r="E53" s="9"/>
      <c r="F53" s="9" t="str">
        <f t="shared" si="1"/>
        <v>Направляющая</v>
      </c>
      <c r="G53" s="9"/>
      <c r="H53" s="9" t="s">
        <v>31</v>
      </c>
      <c r="I53" s="9"/>
      <c r="J53" s="9"/>
      <c r="K53" s="9">
        <v>1.6E-2</v>
      </c>
      <c r="L53" s="9">
        <v>1.6E-2</v>
      </c>
      <c r="M53" s="9">
        <v>1</v>
      </c>
      <c r="N53" s="9" t="s">
        <v>33</v>
      </c>
      <c r="O53" s="9">
        <f t="shared" si="2"/>
        <v>0.38400000000000001</v>
      </c>
      <c r="P53" s="9">
        <f t="shared" si="3"/>
        <v>0.44799999999999995</v>
      </c>
      <c r="Q53" s="9">
        <f t="shared" si="4"/>
        <v>0.25600000000000001</v>
      </c>
      <c r="R53" s="9">
        <f t="shared" si="5"/>
        <v>0.192</v>
      </c>
      <c r="S53" s="18">
        <v>1.28</v>
      </c>
      <c r="T53" s="252">
        <v>105991.94</v>
      </c>
      <c r="U53" s="194">
        <v>1695.87104</v>
      </c>
      <c r="V53" s="9"/>
      <c r="W53" s="9"/>
      <c r="X53" s="9" t="s">
        <v>905</v>
      </c>
      <c r="Y53" s="9">
        <v>73710</v>
      </c>
      <c r="Z53" s="19" t="s">
        <v>872</v>
      </c>
      <c r="AA53" s="9" t="s">
        <v>906</v>
      </c>
      <c r="AB53" s="9">
        <v>26</v>
      </c>
      <c r="AC53" s="9">
        <v>3462</v>
      </c>
      <c r="AD53" s="126"/>
      <c r="AE53" s="72"/>
      <c r="AF53" s="72"/>
      <c r="AG53" s="127"/>
      <c r="AH53" s="126"/>
      <c r="AI53" s="72"/>
      <c r="AJ53" s="72"/>
      <c r="AK53" s="127"/>
      <c r="AL53" s="87"/>
    </row>
    <row r="54" spans="1:38" x14ac:dyDescent="0.25">
      <c r="A54" s="9">
        <v>967</v>
      </c>
      <c r="B54" s="9" t="s">
        <v>28</v>
      </c>
      <c r="C54" s="9" t="s">
        <v>753</v>
      </c>
      <c r="D54" s="9" t="s">
        <v>870</v>
      </c>
      <c r="E54" s="9"/>
      <c r="F54" s="9" t="str">
        <f t="shared" si="1"/>
        <v>Направляющая</v>
      </c>
      <c r="G54" s="9"/>
      <c r="H54" s="9" t="s">
        <v>31</v>
      </c>
      <c r="I54" s="9"/>
      <c r="J54" s="9"/>
      <c r="K54" s="9">
        <v>1.6E-2</v>
      </c>
      <c r="L54" s="9">
        <v>1.6E-2</v>
      </c>
      <c r="M54" s="9">
        <v>1</v>
      </c>
      <c r="N54" s="9" t="s">
        <v>33</v>
      </c>
      <c r="O54" s="9">
        <f t="shared" si="2"/>
        <v>0.38400000000000001</v>
      </c>
      <c r="P54" s="9">
        <f t="shared" si="3"/>
        <v>0.44799999999999995</v>
      </c>
      <c r="Q54" s="9">
        <f t="shared" si="4"/>
        <v>0.25600000000000001</v>
      </c>
      <c r="R54" s="9">
        <f t="shared" si="5"/>
        <v>0.192</v>
      </c>
      <c r="S54" s="18">
        <v>1.28</v>
      </c>
      <c r="T54" s="252">
        <v>105991.94</v>
      </c>
      <c r="U54" s="194">
        <v>1695.87104</v>
      </c>
      <c r="V54" s="9"/>
      <c r="W54" s="9"/>
      <c r="X54" s="9" t="s">
        <v>905</v>
      </c>
      <c r="Y54" s="9">
        <v>73710</v>
      </c>
      <c r="Z54" s="19" t="s">
        <v>872</v>
      </c>
      <c r="AA54" s="9" t="s">
        <v>906</v>
      </c>
      <c r="AB54" s="9">
        <v>27</v>
      </c>
      <c r="AC54" s="9">
        <v>3462</v>
      </c>
      <c r="AD54" s="126"/>
      <c r="AE54" s="72"/>
      <c r="AF54" s="72"/>
      <c r="AG54" s="127"/>
      <c r="AH54" s="126"/>
      <c r="AI54" s="72"/>
      <c r="AJ54" s="72"/>
      <c r="AK54" s="127"/>
      <c r="AL54" s="87"/>
    </row>
    <row r="55" spans="1:38" x14ac:dyDescent="0.25">
      <c r="A55" s="9">
        <v>968</v>
      </c>
      <c r="B55" s="9" t="s">
        <v>28</v>
      </c>
      <c r="C55" s="9" t="s">
        <v>753</v>
      </c>
      <c r="D55" s="9" t="s">
        <v>870</v>
      </c>
      <c r="E55" s="9"/>
      <c r="F55" s="9" t="str">
        <f t="shared" si="1"/>
        <v>Направляющая</v>
      </c>
      <c r="G55" s="9"/>
      <c r="H55" s="9" t="s">
        <v>31</v>
      </c>
      <c r="I55" s="9"/>
      <c r="J55" s="9"/>
      <c r="K55" s="9">
        <v>1.6E-2</v>
      </c>
      <c r="L55" s="9">
        <v>1.6E-2</v>
      </c>
      <c r="M55" s="9">
        <v>1</v>
      </c>
      <c r="N55" s="9" t="s">
        <v>33</v>
      </c>
      <c r="O55" s="9">
        <f t="shared" si="2"/>
        <v>0.38400000000000001</v>
      </c>
      <c r="P55" s="9">
        <f t="shared" si="3"/>
        <v>0.44799999999999995</v>
      </c>
      <c r="Q55" s="9">
        <f t="shared" si="4"/>
        <v>0.25600000000000001</v>
      </c>
      <c r="R55" s="9">
        <f t="shared" si="5"/>
        <v>0.192</v>
      </c>
      <c r="S55" s="18">
        <v>1.28</v>
      </c>
      <c r="T55" s="252">
        <v>105991.94</v>
      </c>
      <c r="U55" s="194">
        <v>1695.87104</v>
      </c>
      <c r="V55" s="9"/>
      <c r="W55" s="9"/>
      <c r="X55" s="9" t="s">
        <v>905</v>
      </c>
      <c r="Y55" s="9">
        <v>73710</v>
      </c>
      <c r="Z55" s="19" t="s">
        <v>872</v>
      </c>
      <c r="AA55" s="9" t="s">
        <v>906</v>
      </c>
      <c r="AB55" s="9">
        <v>28</v>
      </c>
      <c r="AC55" s="9">
        <v>3462</v>
      </c>
      <c r="AD55" s="126"/>
      <c r="AE55" s="72"/>
      <c r="AF55" s="72"/>
      <c r="AG55" s="127"/>
      <c r="AH55" s="126"/>
      <c r="AI55" s="72"/>
      <c r="AJ55" s="72"/>
      <c r="AK55" s="127"/>
      <c r="AL55" s="87"/>
    </row>
    <row r="56" spans="1:38" x14ac:dyDescent="0.25">
      <c r="A56" s="9">
        <v>969</v>
      </c>
      <c r="B56" s="9" t="s">
        <v>28</v>
      </c>
      <c r="C56" s="9" t="s">
        <v>753</v>
      </c>
      <c r="D56" s="9" t="s">
        <v>870</v>
      </c>
      <c r="E56" s="9"/>
      <c r="F56" s="9" t="str">
        <f t="shared" si="1"/>
        <v>Направляющая</v>
      </c>
      <c r="G56" s="9"/>
      <c r="H56" s="9" t="s">
        <v>31</v>
      </c>
      <c r="I56" s="9"/>
      <c r="J56" s="9"/>
      <c r="K56" s="9">
        <v>1.6E-2</v>
      </c>
      <c r="L56" s="9">
        <v>1.6E-2</v>
      </c>
      <c r="M56" s="9">
        <v>1</v>
      </c>
      <c r="N56" s="9" t="s">
        <v>33</v>
      </c>
      <c r="O56" s="9">
        <f t="shared" si="2"/>
        <v>0.38400000000000001</v>
      </c>
      <c r="P56" s="9">
        <f t="shared" si="3"/>
        <v>0.44799999999999995</v>
      </c>
      <c r="Q56" s="9">
        <f t="shared" si="4"/>
        <v>0.25600000000000001</v>
      </c>
      <c r="R56" s="9">
        <f t="shared" si="5"/>
        <v>0.192</v>
      </c>
      <c r="S56" s="18">
        <v>1.28</v>
      </c>
      <c r="T56" s="252">
        <v>105991.94</v>
      </c>
      <c r="U56" s="194">
        <v>1695.87104</v>
      </c>
      <c r="V56" s="9"/>
      <c r="W56" s="9"/>
      <c r="X56" s="9" t="s">
        <v>905</v>
      </c>
      <c r="Y56" s="9">
        <v>73710</v>
      </c>
      <c r="Z56" s="19" t="s">
        <v>872</v>
      </c>
      <c r="AA56" s="9" t="s">
        <v>906</v>
      </c>
      <c r="AB56" s="9">
        <v>29</v>
      </c>
      <c r="AC56" s="9">
        <v>3462</v>
      </c>
      <c r="AD56" s="126"/>
      <c r="AE56" s="72"/>
      <c r="AF56" s="72"/>
      <c r="AG56" s="127"/>
      <c r="AH56" s="126"/>
      <c r="AI56" s="72"/>
      <c r="AJ56" s="72"/>
      <c r="AK56" s="127"/>
      <c r="AL56" s="87"/>
    </row>
    <row r="57" spans="1:38" x14ac:dyDescent="0.25">
      <c r="A57" s="9">
        <v>970</v>
      </c>
      <c r="B57" s="9" t="s">
        <v>28</v>
      </c>
      <c r="C57" s="9" t="s">
        <v>753</v>
      </c>
      <c r="D57" s="9" t="s">
        <v>870</v>
      </c>
      <c r="E57" s="9"/>
      <c r="F57" s="9" t="str">
        <f t="shared" si="1"/>
        <v>Направляющая</v>
      </c>
      <c r="G57" s="9"/>
      <c r="H57" s="9" t="s">
        <v>31</v>
      </c>
      <c r="I57" s="9"/>
      <c r="J57" s="9"/>
      <c r="K57" s="9">
        <v>1.6E-2</v>
      </c>
      <c r="L57" s="9">
        <v>1.6E-2</v>
      </c>
      <c r="M57" s="9">
        <v>1</v>
      </c>
      <c r="N57" s="9" t="s">
        <v>33</v>
      </c>
      <c r="O57" s="9">
        <f t="shared" si="2"/>
        <v>0.38400000000000001</v>
      </c>
      <c r="P57" s="9">
        <f t="shared" si="3"/>
        <v>0.44799999999999995</v>
      </c>
      <c r="Q57" s="9">
        <f t="shared" si="4"/>
        <v>0.25600000000000001</v>
      </c>
      <c r="R57" s="9">
        <f t="shared" si="5"/>
        <v>0.192</v>
      </c>
      <c r="S57" s="18">
        <v>1.28</v>
      </c>
      <c r="T57" s="252">
        <v>105991.94</v>
      </c>
      <c r="U57" s="194">
        <v>1695.87104</v>
      </c>
      <c r="V57" s="9"/>
      <c r="W57" s="9"/>
      <c r="X57" s="9" t="s">
        <v>905</v>
      </c>
      <c r="Y57" s="9">
        <v>73710</v>
      </c>
      <c r="Z57" s="19" t="s">
        <v>872</v>
      </c>
      <c r="AA57" s="9" t="s">
        <v>906</v>
      </c>
      <c r="AB57" s="9">
        <v>30</v>
      </c>
      <c r="AC57" s="9">
        <v>3462</v>
      </c>
      <c r="AD57" s="126"/>
      <c r="AE57" s="72"/>
      <c r="AF57" s="72"/>
      <c r="AG57" s="127"/>
      <c r="AH57" s="126"/>
      <c r="AI57" s="72"/>
      <c r="AJ57" s="72"/>
      <c r="AK57" s="127"/>
      <c r="AL57" s="87"/>
    </row>
    <row r="58" spans="1:38" x14ac:dyDescent="0.25">
      <c r="A58" s="9">
        <v>971</v>
      </c>
      <c r="B58" s="9" t="s">
        <v>28</v>
      </c>
      <c r="C58" s="9" t="s">
        <v>753</v>
      </c>
      <c r="D58" s="9" t="s">
        <v>870</v>
      </c>
      <c r="E58" s="9"/>
      <c r="F58" s="9" t="str">
        <f t="shared" si="1"/>
        <v>Направляющая</v>
      </c>
      <c r="G58" s="9"/>
      <c r="H58" s="9" t="s">
        <v>31</v>
      </c>
      <c r="I58" s="9"/>
      <c r="J58" s="9"/>
      <c r="K58" s="9">
        <v>1.6E-2</v>
      </c>
      <c r="L58" s="9">
        <v>1.6E-2</v>
      </c>
      <c r="M58" s="9">
        <v>1</v>
      </c>
      <c r="N58" s="9" t="s">
        <v>33</v>
      </c>
      <c r="O58" s="9">
        <f t="shared" si="2"/>
        <v>0.38400000000000001</v>
      </c>
      <c r="P58" s="9">
        <f t="shared" si="3"/>
        <v>0.44799999999999995</v>
      </c>
      <c r="Q58" s="9">
        <f t="shared" si="4"/>
        <v>0.25600000000000001</v>
      </c>
      <c r="R58" s="9">
        <f t="shared" si="5"/>
        <v>0.192</v>
      </c>
      <c r="S58" s="18">
        <v>1.28</v>
      </c>
      <c r="T58" s="252">
        <v>105991.94</v>
      </c>
      <c r="U58" s="194">
        <v>1695.87104</v>
      </c>
      <c r="V58" s="9"/>
      <c r="W58" s="9"/>
      <c r="X58" s="9" t="s">
        <v>905</v>
      </c>
      <c r="Y58" s="9">
        <v>73710</v>
      </c>
      <c r="Z58" s="19" t="s">
        <v>872</v>
      </c>
      <c r="AA58" s="9" t="s">
        <v>906</v>
      </c>
      <c r="AB58" s="9">
        <v>31</v>
      </c>
      <c r="AC58" s="9">
        <v>3462</v>
      </c>
      <c r="AD58" s="126"/>
      <c r="AE58" s="72"/>
      <c r="AF58" s="72"/>
      <c r="AG58" s="127"/>
      <c r="AH58" s="126"/>
      <c r="AI58" s="72"/>
      <c r="AJ58" s="72"/>
      <c r="AK58" s="127"/>
      <c r="AL58" s="87"/>
    </row>
    <row r="59" spans="1:38" x14ac:dyDescent="0.25">
      <c r="A59" s="9">
        <v>972</v>
      </c>
      <c r="B59" s="9" t="s">
        <v>28</v>
      </c>
      <c r="C59" s="9" t="s">
        <v>753</v>
      </c>
      <c r="D59" s="9" t="s">
        <v>870</v>
      </c>
      <c r="E59" s="9"/>
      <c r="F59" s="9" t="str">
        <f t="shared" si="1"/>
        <v>Направляющая</v>
      </c>
      <c r="G59" s="9"/>
      <c r="H59" s="9" t="s">
        <v>31</v>
      </c>
      <c r="I59" s="9"/>
      <c r="J59" s="9"/>
      <c r="K59" s="9">
        <v>1.6E-2</v>
      </c>
      <c r="L59" s="9">
        <v>1.6E-2</v>
      </c>
      <c r="M59" s="9">
        <v>1</v>
      </c>
      <c r="N59" s="9" t="s">
        <v>33</v>
      </c>
      <c r="O59" s="9">
        <f t="shared" si="2"/>
        <v>0.38400000000000001</v>
      </c>
      <c r="P59" s="9">
        <f t="shared" si="3"/>
        <v>0.44799999999999995</v>
      </c>
      <c r="Q59" s="9">
        <f t="shared" si="4"/>
        <v>0.25600000000000001</v>
      </c>
      <c r="R59" s="9">
        <f t="shared" si="5"/>
        <v>0.192</v>
      </c>
      <c r="S59" s="18">
        <v>1.28</v>
      </c>
      <c r="T59" s="252">
        <v>105991.94</v>
      </c>
      <c r="U59" s="194">
        <v>1695.87104</v>
      </c>
      <c r="V59" s="9"/>
      <c r="W59" s="9"/>
      <c r="X59" s="9" t="s">
        <v>905</v>
      </c>
      <c r="Y59" s="9">
        <v>73710</v>
      </c>
      <c r="Z59" s="19" t="s">
        <v>872</v>
      </c>
      <c r="AA59" s="9" t="s">
        <v>906</v>
      </c>
      <c r="AB59" s="9">
        <v>32</v>
      </c>
      <c r="AC59" s="9">
        <v>3462</v>
      </c>
      <c r="AD59" s="126"/>
      <c r="AE59" s="72"/>
      <c r="AF59" s="72"/>
      <c r="AG59" s="127"/>
      <c r="AH59" s="126"/>
      <c r="AI59" s="72"/>
      <c r="AJ59" s="72"/>
      <c r="AK59" s="127"/>
      <c r="AL59" s="87"/>
    </row>
    <row r="60" spans="1:38" x14ac:dyDescent="0.25">
      <c r="A60" s="9">
        <v>973</v>
      </c>
      <c r="B60" s="9" t="s">
        <v>28</v>
      </c>
      <c r="C60" s="9" t="s">
        <v>753</v>
      </c>
      <c r="D60" s="9" t="s">
        <v>870</v>
      </c>
      <c r="E60" s="9"/>
      <c r="F60" s="9" t="str">
        <f t="shared" si="1"/>
        <v>Направляющая</v>
      </c>
      <c r="G60" s="9"/>
      <c r="H60" s="9" t="s">
        <v>31</v>
      </c>
      <c r="I60" s="9"/>
      <c r="J60" s="9"/>
      <c r="K60" s="9">
        <v>1.6E-2</v>
      </c>
      <c r="L60" s="9">
        <v>1.6E-2</v>
      </c>
      <c r="M60" s="9">
        <v>1</v>
      </c>
      <c r="N60" s="9" t="s">
        <v>33</v>
      </c>
      <c r="O60" s="9">
        <f t="shared" si="2"/>
        <v>0.38400000000000001</v>
      </c>
      <c r="P60" s="9">
        <f t="shared" si="3"/>
        <v>0.44799999999999995</v>
      </c>
      <c r="Q60" s="9">
        <f t="shared" si="4"/>
        <v>0.25600000000000001</v>
      </c>
      <c r="R60" s="9">
        <f t="shared" si="5"/>
        <v>0.192</v>
      </c>
      <c r="S60" s="18">
        <v>1.28</v>
      </c>
      <c r="T60" s="252">
        <v>105991.94</v>
      </c>
      <c r="U60" s="194">
        <v>1695.87104</v>
      </c>
      <c r="V60" s="9"/>
      <c r="W60" s="9"/>
      <c r="X60" s="9" t="s">
        <v>905</v>
      </c>
      <c r="Y60" s="9">
        <v>73710</v>
      </c>
      <c r="Z60" s="19" t="s">
        <v>872</v>
      </c>
      <c r="AA60" s="9" t="s">
        <v>906</v>
      </c>
      <c r="AB60" s="9">
        <v>33</v>
      </c>
      <c r="AC60" s="9">
        <v>3462</v>
      </c>
      <c r="AD60" s="126"/>
      <c r="AE60" s="72"/>
      <c r="AF60" s="72"/>
      <c r="AG60" s="127"/>
      <c r="AH60" s="126"/>
      <c r="AI60" s="72"/>
      <c r="AJ60" s="72"/>
      <c r="AK60" s="127"/>
      <c r="AL60" s="87"/>
    </row>
    <row r="61" spans="1:38" x14ac:dyDescent="0.25">
      <c r="A61" s="9">
        <v>974</v>
      </c>
      <c r="B61" s="9" t="s">
        <v>28</v>
      </c>
      <c r="C61" s="9" t="s">
        <v>753</v>
      </c>
      <c r="D61" s="9" t="s">
        <v>870</v>
      </c>
      <c r="E61" s="9"/>
      <c r="F61" s="38" t="str">
        <f t="shared" si="1"/>
        <v>Нож в сборе D290</v>
      </c>
      <c r="G61" s="9"/>
      <c r="H61" s="9" t="s">
        <v>31</v>
      </c>
      <c r="I61" s="9"/>
      <c r="J61" s="9"/>
      <c r="K61" s="9">
        <v>0.124</v>
      </c>
      <c r="L61" s="9">
        <v>0.124</v>
      </c>
      <c r="M61" s="9">
        <v>1</v>
      </c>
      <c r="N61" s="9" t="s">
        <v>33</v>
      </c>
      <c r="O61" s="9">
        <f t="shared" si="2"/>
        <v>2.4180000000000001</v>
      </c>
      <c r="P61" s="9">
        <f t="shared" si="3"/>
        <v>2.8210000000000002</v>
      </c>
      <c r="Q61" s="9">
        <f t="shared" si="4"/>
        <v>1.6120000000000001</v>
      </c>
      <c r="R61" s="9">
        <f t="shared" si="5"/>
        <v>1.2090000000000001</v>
      </c>
      <c r="S61" s="18">
        <v>8.06</v>
      </c>
      <c r="T61" s="252">
        <v>105991.94</v>
      </c>
      <c r="U61" s="194">
        <v>13143.00056</v>
      </c>
      <c r="V61" s="9"/>
      <c r="W61" s="9"/>
      <c r="X61" s="9" t="s">
        <v>907</v>
      </c>
      <c r="Y61" s="9">
        <v>73710</v>
      </c>
      <c r="Z61" s="19" t="s">
        <v>872</v>
      </c>
      <c r="AA61" s="9" t="s">
        <v>908</v>
      </c>
      <c r="AB61" s="9">
        <v>34</v>
      </c>
      <c r="AC61" s="9">
        <v>3462</v>
      </c>
      <c r="AD61" s="126"/>
      <c r="AE61" s="72"/>
      <c r="AF61" s="72"/>
      <c r="AG61" s="127"/>
      <c r="AH61" s="126"/>
      <c r="AI61" s="72"/>
      <c r="AJ61" s="72"/>
      <c r="AK61" s="127"/>
      <c r="AL61" s="87"/>
    </row>
    <row r="62" spans="1:38" x14ac:dyDescent="0.25">
      <c r="A62" s="9">
        <v>975</v>
      </c>
      <c r="B62" s="9" t="s">
        <v>28</v>
      </c>
      <c r="C62" s="9" t="s">
        <v>753</v>
      </c>
      <c r="D62" s="9" t="s">
        <v>870</v>
      </c>
      <c r="E62" s="9"/>
      <c r="F62" s="38" t="str">
        <f t="shared" si="1"/>
        <v>Нож в сборе D290</v>
      </c>
      <c r="G62" s="9"/>
      <c r="H62" s="9" t="s">
        <v>31</v>
      </c>
      <c r="I62" s="9"/>
      <c r="J62" s="9"/>
      <c r="K62" s="9">
        <v>0.124</v>
      </c>
      <c r="L62" s="9">
        <v>0.124</v>
      </c>
      <c r="M62" s="9">
        <v>1</v>
      </c>
      <c r="N62" s="9" t="s">
        <v>33</v>
      </c>
      <c r="O62" s="9">
        <f t="shared" si="2"/>
        <v>2.4180000000000001</v>
      </c>
      <c r="P62" s="9">
        <f t="shared" si="3"/>
        <v>2.8210000000000002</v>
      </c>
      <c r="Q62" s="9">
        <f t="shared" si="4"/>
        <v>1.6120000000000001</v>
      </c>
      <c r="R62" s="9">
        <f t="shared" si="5"/>
        <v>1.2090000000000001</v>
      </c>
      <c r="S62" s="18">
        <v>8.06</v>
      </c>
      <c r="T62" s="252">
        <v>105991.94</v>
      </c>
      <c r="U62" s="194">
        <v>13143.00056</v>
      </c>
      <c r="V62" s="9"/>
      <c r="W62" s="9"/>
      <c r="X62" s="9" t="s">
        <v>907</v>
      </c>
      <c r="Y62" s="9">
        <v>73710</v>
      </c>
      <c r="Z62" s="19" t="s">
        <v>872</v>
      </c>
      <c r="AA62" s="9" t="s">
        <v>908</v>
      </c>
      <c r="AB62" s="9">
        <v>35</v>
      </c>
      <c r="AC62" s="9">
        <v>3462</v>
      </c>
      <c r="AD62" s="126"/>
      <c r="AE62" s="72"/>
      <c r="AF62" s="72"/>
      <c r="AG62" s="127"/>
      <c r="AH62" s="126"/>
      <c r="AI62" s="72"/>
      <c r="AJ62" s="72"/>
      <c r="AK62" s="127"/>
      <c r="AL62" s="87"/>
    </row>
    <row r="63" spans="1:38" x14ac:dyDescent="0.25">
      <c r="A63" s="9">
        <v>976</v>
      </c>
      <c r="B63" s="9" t="s">
        <v>28</v>
      </c>
      <c r="C63" s="9" t="s">
        <v>753</v>
      </c>
      <c r="D63" s="9" t="s">
        <v>870</v>
      </c>
      <c r="E63" s="9"/>
      <c r="F63" s="38" t="str">
        <f t="shared" si="1"/>
        <v>Нож в сборе D290</v>
      </c>
      <c r="G63" s="9"/>
      <c r="H63" s="9" t="s">
        <v>31</v>
      </c>
      <c r="I63" s="9"/>
      <c r="J63" s="9"/>
      <c r="K63" s="9">
        <v>0.124</v>
      </c>
      <c r="L63" s="9">
        <v>0.124</v>
      </c>
      <c r="M63" s="9">
        <v>1</v>
      </c>
      <c r="N63" s="9" t="s">
        <v>33</v>
      </c>
      <c r="O63" s="9">
        <f t="shared" si="2"/>
        <v>2.4180000000000001</v>
      </c>
      <c r="P63" s="9">
        <f t="shared" si="3"/>
        <v>2.8210000000000002</v>
      </c>
      <c r="Q63" s="9">
        <f t="shared" si="4"/>
        <v>1.6120000000000001</v>
      </c>
      <c r="R63" s="9">
        <f t="shared" si="5"/>
        <v>1.2090000000000001</v>
      </c>
      <c r="S63" s="18">
        <v>8.06</v>
      </c>
      <c r="T63" s="252">
        <v>105991.94</v>
      </c>
      <c r="U63" s="194">
        <v>13143.00056</v>
      </c>
      <c r="V63" s="9"/>
      <c r="W63" s="9"/>
      <c r="X63" s="9" t="s">
        <v>907</v>
      </c>
      <c r="Y63" s="9">
        <v>73710</v>
      </c>
      <c r="Z63" s="19" t="s">
        <v>872</v>
      </c>
      <c r="AA63" s="9" t="s">
        <v>908</v>
      </c>
      <c r="AB63" s="9">
        <v>36</v>
      </c>
      <c r="AC63" s="9">
        <v>3462</v>
      </c>
      <c r="AD63" s="126"/>
      <c r="AE63" s="72"/>
      <c r="AF63" s="72"/>
      <c r="AG63" s="127"/>
      <c r="AH63" s="126"/>
      <c r="AI63" s="72"/>
      <c r="AJ63" s="72"/>
      <c r="AK63" s="127"/>
      <c r="AL63" s="87"/>
    </row>
    <row r="64" spans="1:38" x14ac:dyDescent="0.25">
      <c r="A64" s="9">
        <v>977</v>
      </c>
      <c r="B64" s="9" t="s">
        <v>28</v>
      </c>
      <c r="C64" s="9" t="s">
        <v>753</v>
      </c>
      <c r="D64" s="9" t="s">
        <v>870</v>
      </c>
      <c r="E64" s="9"/>
      <c r="F64" s="38" t="str">
        <f t="shared" si="1"/>
        <v>Нож в сборе D290</v>
      </c>
      <c r="G64" s="9"/>
      <c r="H64" s="9" t="s">
        <v>31</v>
      </c>
      <c r="I64" s="9"/>
      <c r="J64" s="9"/>
      <c r="K64" s="9">
        <v>0.124</v>
      </c>
      <c r="L64" s="9">
        <v>0.124</v>
      </c>
      <c r="M64" s="9">
        <v>1</v>
      </c>
      <c r="N64" s="9" t="s">
        <v>33</v>
      </c>
      <c r="O64" s="9">
        <f t="shared" si="2"/>
        <v>2.4180000000000001</v>
      </c>
      <c r="P64" s="9">
        <f t="shared" si="3"/>
        <v>2.8210000000000002</v>
      </c>
      <c r="Q64" s="9">
        <f t="shared" si="4"/>
        <v>1.6120000000000001</v>
      </c>
      <c r="R64" s="9">
        <f t="shared" si="5"/>
        <v>1.2090000000000001</v>
      </c>
      <c r="S64" s="18">
        <v>8.06</v>
      </c>
      <c r="T64" s="252">
        <v>105991.94</v>
      </c>
      <c r="U64" s="194">
        <v>13143.00056</v>
      </c>
      <c r="V64" s="9"/>
      <c r="W64" s="9"/>
      <c r="X64" s="9" t="s">
        <v>907</v>
      </c>
      <c r="Y64" s="9">
        <v>73710</v>
      </c>
      <c r="Z64" s="19" t="s">
        <v>872</v>
      </c>
      <c r="AA64" s="9" t="s">
        <v>908</v>
      </c>
      <c r="AB64" s="9">
        <v>37</v>
      </c>
      <c r="AC64" s="9">
        <v>3462</v>
      </c>
      <c r="AD64" s="126"/>
      <c r="AE64" s="72"/>
      <c r="AF64" s="72"/>
      <c r="AG64" s="127"/>
      <c r="AH64" s="126"/>
      <c r="AI64" s="72"/>
      <c r="AJ64" s="72"/>
      <c r="AK64" s="127"/>
      <c r="AL64" s="87"/>
    </row>
    <row r="65" spans="1:38" x14ac:dyDescent="0.25">
      <c r="A65" s="9">
        <v>978</v>
      </c>
      <c r="B65" s="9" t="s">
        <v>28</v>
      </c>
      <c r="C65" s="9" t="s">
        <v>753</v>
      </c>
      <c r="D65" s="9" t="s">
        <v>870</v>
      </c>
      <c r="E65" s="9"/>
      <c r="F65" s="38" t="str">
        <f t="shared" si="1"/>
        <v>Нож в сборе D290</v>
      </c>
      <c r="G65" s="9"/>
      <c r="H65" s="9" t="s">
        <v>31</v>
      </c>
      <c r="I65" s="9"/>
      <c r="J65" s="9"/>
      <c r="K65" s="9">
        <v>0.124</v>
      </c>
      <c r="L65" s="9">
        <v>0.124</v>
      </c>
      <c r="M65" s="9">
        <v>1</v>
      </c>
      <c r="N65" s="9" t="s">
        <v>33</v>
      </c>
      <c r="O65" s="9">
        <f t="shared" si="2"/>
        <v>2.4180000000000001</v>
      </c>
      <c r="P65" s="9">
        <f t="shared" si="3"/>
        <v>2.8210000000000002</v>
      </c>
      <c r="Q65" s="9">
        <f t="shared" si="4"/>
        <v>1.6120000000000001</v>
      </c>
      <c r="R65" s="9">
        <f t="shared" si="5"/>
        <v>1.2090000000000001</v>
      </c>
      <c r="S65" s="18">
        <v>8.06</v>
      </c>
      <c r="T65" s="252">
        <v>105991.94</v>
      </c>
      <c r="U65" s="194">
        <v>13143.00056</v>
      </c>
      <c r="V65" s="9"/>
      <c r="W65" s="9"/>
      <c r="X65" s="9" t="s">
        <v>907</v>
      </c>
      <c r="Y65" s="9">
        <v>73710</v>
      </c>
      <c r="Z65" s="19" t="s">
        <v>872</v>
      </c>
      <c r="AA65" s="9" t="s">
        <v>908</v>
      </c>
      <c r="AB65" s="9">
        <v>38</v>
      </c>
      <c r="AC65" s="9">
        <v>3462</v>
      </c>
      <c r="AD65" s="20"/>
      <c r="AE65" s="8"/>
      <c r="AF65" s="8"/>
      <c r="AG65" s="21"/>
      <c r="AH65" s="20"/>
      <c r="AI65" s="8"/>
      <c r="AJ65" s="8"/>
      <c r="AK65" s="21"/>
      <c r="AL65" s="87"/>
    </row>
    <row r="66" spans="1:38" x14ac:dyDescent="0.25">
      <c r="A66" s="9">
        <v>979</v>
      </c>
      <c r="B66" s="9" t="s">
        <v>28</v>
      </c>
      <c r="C66" s="9" t="s">
        <v>753</v>
      </c>
      <c r="D66" s="9" t="s">
        <v>870</v>
      </c>
      <c r="E66" s="9"/>
      <c r="F66" s="38" t="str">
        <f t="shared" si="1"/>
        <v>Нож в сборе D290</v>
      </c>
      <c r="G66" s="9"/>
      <c r="H66" s="9" t="s">
        <v>31</v>
      </c>
      <c r="I66" s="9"/>
      <c r="J66" s="9"/>
      <c r="K66" s="9">
        <v>0.124</v>
      </c>
      <c r="L66" s="9">
        <v>0.124</v>
      </c>
      <c r="M66" s="9">
        <v>1</v>
      </c>
      <c r="N66" s="9" t="s">
        <v>33</v>
      </c>
      <c r="O66" s="9">
        <f t="shared" si="2"/>
        <v>2.4180000000000001</v>
      </c>
      <c r="P66" s="9">
        <f t="shared" si="3"/>
        <v>2.8210000000000002</v>
      </c>
      <c r="Q66" s="9">
        <f t="shared" si="4"/>
        <v>1.6120000000000001</v>
      </c>
      <c r="R66" s="9">
        <f t="shared" si="5"/>
        <v>1.2090000000000001</v>
      </c>
      <c r="S66" s="18">
        <v>8.06</v>
      </c>
      <c r="T66" s="252">
        <v>105991.94</v>
      </c>
      <c r="U66" s="194">
        <v>13143.00056</v>
      </c>
      <c r="V66" s="9"/>
      <c r="W66" s="9"/>
      <c r="X66" s="9" t="s">
        <v>907</v>
      </c>
      <c r="Y66" s="9">
        <v>73710</v>
      </c>
      <c r="Z66" s="19" t="s">
        <v>872</v>
      </c>
      <c r="AA66" s="9" t="s">
        <v>908</v>
      </c>
      <c r="AB66" s="9">
        <v>39</v>
      </c>
      <c r="AC66" s="9">
        <v>3462</v>
      </c>
      <c r="AD66" s="20"/>
      <c r="AE66" s="8"/>
      <c r="AF66" s="8"/>
      <c r="AG66" s="21"/>
      <c r="AH66" s="20"/>
      <c r="AI66" s="8"/>
      <c r="AJ66" s="8"/>
      <c r="AK66" s="21"/>
      <c r="AL66" s="87"/>
    </row>
    <row r="67" spans="1:38" x14ac:dyDescent="0.25">
      <c r="A67" s="9">
        <v>980</v>
      </c>
      <c r="B67" s="9" t="s">
        <v>28</v>
      </c>
      <c r="C67" s="9" t="s">
        <v>753</v>
      </c>
      <c r="D67" s="9" t="s">
        <v>870</v>
      </c>
      <c r="E67" s="9"/>
      <c r="F67" s="38" t="str">
        <f t="shared" si="1"/>
        <v>Нож в сборе D290</v>
      </c>
      <c r="G67" s="9"/>
      <c r="H67" s="9" t="s">
        <v>31</v>
      </c>
      <c r="I67" s="9"/>
      <c r="J67" s="9"/>
      <c r="K67" s="9">
        <v>0.124</v>
      </c>
      <c r="L67" s="9">
        <v>0.124</v>
      </c>
      <c r="M67" s="9">
        <v>1</v>
      </c>
      <c r="N67" s="9" t="s">
        <v>33</v>
      </c>
      <c r="O67" s="9">
        <f t="shared" si="2"/>
        <v>2.4180000000000001</v>
      </c>
      <c r="P67" s="9">
        <f t="shared" si="3"/>
        <v>2.8210000000000002</v>
      </c>
      <c r="Q67" s="9">
        <f t="shared" si="4"/>
        <v>1.6120000000000001</v>
      </c>
      <c r="R67" s="9">
        <f t="shared" si="5"/>
        <v>1.2090000000000001</v>
      </c>
      <c r="S67" s="18">
        <v>8.06</v>
      </c>
      <c r="T67" s="252">
        <v>105991.94</v>
      </c>
      <c r="U67" s="194">
        <v>13143.00056</v>
      </c>
      <c r="V67" s="9"/>
      <c r="W67" s="9"/>
      <c r="X67" s="9" t="s">
        <v>907</v>
      </c>
      <c r="Y67" s="9">
        <v>73710</v>
      </c>
      <c r="Z67" s="19" t="s">
        <v>872</v>
      </c>
      <c r="AA67" s="9" t="s">
        <v>908</v>
      </c>
      <c r="AB67" s="9">
        <v>40</v>
      </c>
      <c r="AC67" s="9">
        <v>3462</v>
      </c>
      <c r="AD67" s="20"/>
      <c r="AE67" s="8"/>
      <c r="AF67" s="8"/>
      <c r="AG67" s="21"/>
      <c r="AH67" s="20"/>
      <c r="AI67" s="8"/>
      <c r="AJ67" s="8"/>
      <c r="AK67" s="21"/>
      <c r="AL67" s="87"/>
    </row>
    <row r="68" spans="1:38" x14ac:dyDescent="0.25">
      <c r="A68" s="9">
        <v>981</v>
      </c>
      <c r="B68" s="9" t="s">
        <v>28</v>
      </c>
      <c r="C68" s="9" t="s">
        <v>753</v>
      </c>
      <c r="D68" s="9" t="s">
        <v>870</v>
      </c>
      <c r="E68" s="9"/>
      <c r="F68" s="9" t="str">
        <f t="shared" si="1"/>
        <v>Нож в сборе D250</v>
      </c>
      <c r="G68" s="9"/>
      <c r="H68" s="9" t="s">
        <v>31</v>
      </c>
      <c r="I68" s="9"/>
      <c r="J68" s="9"/>
      <c r="K68" s="9">
        <v>0.11899999999999999</v>
      </c>
      <c r="L68" s="9">
        <v>0.11899999999999999</v>
      </c>
      <c r="M68" s="9">
        <v>1</v>
      </c>
      <c r="N68" s="9" t="s">
        <v>33</v>
      </c>
      <c r="O68" s="9">
        <f t="shared" si="2"/>
        <v>2.3204999999999996</v>
      </c>
      <c r="P68" s="9">
        <f t="shared" si="3"/>
        <v>2.7072499999999997</v>
      </c>
      <c r="Q68" s="9">
        <f t="shared" si="4"/>
        <v>1.5469999999999999</v>
      </c>
      <c r="R68" s="9">
        <f t="shared" si="5"/>
        <v>1.1602499999999998</v>
      </c>
      <c r="S68" s="18">
        <v>7.7349999999999994</v>
      </c>
      <c r="T68" s="252">
        <v>105991.94</v>
      </c>
      <c r="U68" s="194">
        <v>12613.040859999999</v>
      </c>
      <c r="V68" s="9"/>
      <c r="W68" s="9"/>
      <c r="X68" s="9" t="s">
        <v>909</v>
      </c>
      <c r="Y68" s="9">
        <v>73710</v>
      </c>
      <c r="Z68" s="19" t="s">
        <v>872</v>
      </c>
      <c r="AA68" s="9" t="s">
        <v>910</v>
      </c>
      <c r="AB68" s="9">
        <v>41</v>
      </c>
      <c r="AC68" s="9">
        <v>3462</v>
      </c>
      <c r="AD68" s="20"/>
      <c r="AE68" s="8"/>
      <c r="AF68" s="8"/>
      <c r="AG68" s="21"/>
      <c r="AH68" s="20"/>
      <c r="AI68" s="8"/>
      <c r="AJ68" s="8"/>
      <c r="AK68" s="21"/>
      <c r="AL68" s="87"/>
    </row>
    <row r="69" spans="1:38" x14ac:dyDescent="0.25">
      <c r="A69" s="9">
        <v>982</v>
      </c>
      <c r="B69" s="9" t="s">
        <v>28</v>
      </c>
      <c r="C69" s="9" t="s">
        <v>753</v>
      </c>
      <c r="D69" s="9" t="s">
        <v>870</v>
      </c>
      <c r="E69" s="9"/>
      <c r="F69" s="9" t="str">
        <f t="shared" ref="F69:F81" si="6">AA69</f>
        <v>Нож в сборе D250</v>
      </c>
      <c r="G69" s="9"/>
      <c r="H69" s="9" t="s">
        <v>31</v>
      </c>
      <c r="I69" s="9"/>
      <c r="J69" s="9"/>
      <c r="K69" s="9">
        <v>0.11899999999999999</v>
      </c>
      <c r="L69" s="9">
        <v>0.11899999999999999</v>
      </c>
      <c r="M69" s="9">
        <v>1</v>
      </c>
      <c r="N69" s="9" t="s">
        <v>33</v>
      </c>
      <c r="O69" s="9">
        <f t="shared" si="2"/>
        <v>2.3204999999999996</v>
      </c>
      <c r="P69" s="9">
        <f t="shared" si="3"/>
        <v>2.7072499999999997</v>
      </c>
      <c r="Q69" s="9">
        <f t="shared" si="4"/>
        <v>1.5469999999999999</v>
      </c>
      <c r="R69" s="9">
        <f t="shared" si="5"/>
        <v>1.1602499999999998</v>
      </c>
      <c r="S69" s="18">
        <v>7.7349999999999994</v>
      </c>
      <c r="T69" s="252">
        <v>105991.94</v>
      </c>
      <c r="U69" s="194">
        <v>12613.040859999999</v>
      </c>
      <c r="V69" s="9"/>
      <c r="W69" s="9"/>
      <c r="X69" s="9" t="s">
        <v>909</v>
      </c>
      <c r="Y69" s="9">
        <v>73710</v>
      </c>
      <c r="Z69" s="19" t="s">
        <v>872</v>
      </c>
      <c r="AA69" s="9" t="s">
        <v>910</v>
      </c>
      <c r="AB69" s="9">
        <v>42</v>
      </c>
      <c r="AC69" s="9">
        <v>3462</v>
      </c>
      <c r="AD69" s="20"/>
      <c r="AE69" s="8"/>
      <c r="AF69" s="8"/>
      <c r="AG69" s="21"/>
      <c r="AH69" s="20"/>
      <c r="AI69" s="8"/>
      <c r="AJ69" s="8"/>
      <c r="AK69" s="21"/>
      <c r="AL69" s="87"/>
    </row>
    <row r="70" spans="1:38" x14ac:dyDescent="0.25">
      <c r="A70" s="9">
        <v>983</v>
      </c>
      <c r="B70" s="9" t="s">
        <v>28</v>
      </c>
      <c r="C70" s="9" t="s">
        <v>753</v>
      </c>
      <c r="D70" s="9" t="s">
        <v>870</v>
      </c>
      <c r="E70" s="9"/>
      <c r="F70" s="9" t="str">
        <f t="shared" si="6"/>
        <v>Нож в сборе D250</v>
      </c>
      <c r="G70" s="9"/>
      <c r="H70" s="9" t="s">
        <v>31</v>
      </c>
      <c r="I70" s="9"/>
      <c r="J70" s="9"/>
      <c r="K70" s="9">
        <v>0.11899999999999999</v>
      </c>
      <c r="L70" s="9">
        <v>0.11899999999999999</v>
      </c>
      <c r="M70" s="9">
        <v>1</v>
      </c>
      <c r="N70" s="9" t="s">
        <v>33</v>
      </c>
      <c r="O70" s="9">
        <f t="shared" ref="O70:O81" si="7">S70*0.3</f>
        <v>2.3204999999999996</v>
      </c>
      <c r="P70" s="9">
        <f t="shared" ref="P70:P81" si="8">S70*0.35</f>
        <v>2.7072499999999997</v>
      </c>
      <c r="Q70" s="9">
        <f t="shared" ref="Q70:Q81" si="9">S70*0.2</f>
        <v>1.5469999999999999</v>
      </c>
      <c r="R70" s="9">
        <f t="shared" ref="R70:R81" si="10">S70*0.15</f>
        <v>1.1602499999999998</v>
      </c>
      <c r="S70" s="18">
        <v>7.7349999999999994</v>
      </c>
      <c r="T70" s="252">
        <v>105991.94</v>
      </c>
      <c r="U70" s="194">
        <v>12613.040859999999</v>
      </c>
      <c r="V70" s="9"/>
      <c r="W70" s="9"/>
      <c r="X70" s="9" t="s">
        <v>909</v>
      </c>
      <c r="Y70" s="9">
        <v>73710</v>
      </c>
      <c r="Z70" s="19" t="s">
        <v>872</v>
      </c>
      <c r="AA70" s="9" t="s">
        <v>910</v>
      </c>
      <c r="AB70" s="9">
        <v>43</v>
      </c>
      <c r="AC70" s="9">
        <v>3462</v>
      </c>
      <c r="AD70" s="20"/>
      <c r="AE70" s="8"/>
      <c r="AF70" s="8"/>
      <c r="AG70" s="21"/>
      <c r="AH70" s="20"/>
      <c r="AI70" s="8"/>
      <c r="AJ70" s="8"/>
      <c r="AK70" s="21"/>
      <c r="AL70" s="87"/>
    </row>
    <row r="71" spans="1:38" x14ac:dyDescent="0.25">
      <c r="A71" s="9">
        <v>984</v>
      </c>
      <c r="B71" s="9" t="s">
        <v>28</v>
      </c>
      <c r="C71" s="9" t="s">
        <v>753</v>
      </c>
      <c r="D71" s="9" t="s">
        <v>870</v>
      </c>
      <c r="E71" s="9"/>
      <c r="F71" s="9" t="str">
        <f t="shared" si="6"/>
        <v>Нож в сборе D250</v>
      </c>
      <c r="G71" s="9"/>
      <c r="H71" s="9" t="s">
        <v>31</v>
      </c>
      <c r="I71" s="9"/>
      <c r="J71" s="9"/>
      <c r="K71" s="9">
        <v>0.11899999999999999</v>
      </c>
      <c r="L71" s="9">
        <v>0.11899999999999999</v>
      </c>
      <c r="M71" s="9">
        <v>1</v>
      </c>
      <c r="N71" s="9" t="s">
        <v>33</v>
      </c>
      <c r="O71" s="9">
        <f t="shared" si="7"/>
        <v>2.3204999999999996</v>
      </c>
      <c r="P71" s="9">
        <f t="shared" si="8"/>
        <v>2.7072499999999997</v>
      </c>
      <c r="Q71" s="9">
        <f t="shared" si="9"/>
        <v>1.5469999999999999</v>
      </c>
      <c r="R71" s="9">
        <f t="shared" si="10"/>
        <v>1.1602499999999998</v>
      </c>
      <c r="S71" s="18">
        <v>7.7349999999999994</v>
      </c>
      <c r="T71" s="252">
        <v>105991.94</v>
      </c>
      <c r="U71" s="194">
        <v>12613.040859999999</v>
      </c>
      <c r="V71" s="9"/>
      <c r="W71" s="9"/>
      <c r="X71" s="9" t="s">
        <v>909</v>
      </c>
      <c r="Y71" s="9">
        <v>73710</v>
      </c>
      <c r="Z71" s="19" t="s">
        <v>872</v>
      </c>
      <c r="AA71" s="9" t="s">
        <v>910</v>
      </c>
      <c r="AB71" s="9">
        <v>44</v>
      </c>
      <c r="AC71" s="9">
        <v>3462</v>
      </c>
      <c r="AD71" s="20"/>
      <c r="AE71" s="8"/>
      <c r="AF71" s="8"/>
      <c r="AG71" s="21"/>
      <c r="AH71" s="20"/>
      <c r="AI71" s="8"/>
      <c r="AJ71" s="8"/>
      <c r="AK71" s="21"/>
      <c r="AL71" s="87"/>
    </row>
    <row r="72" spans="1:38" x14ac:dyDescent="0.25">
      <c r="A72" s="9">
        <v>985</v>
      </c>
      <c r="B72" s="9" t="s">
        <v>28</v>
      </c>
      <c r="C72" s="9" t="s">
        <v>753</v>
      </c>
      <c r="D72" s="9" t="s">
        <v>870</v>
      </c>
      <c r="E72" s="9"/>
      <c r="F72" s="9" t="str">
        <f t="shared" si="6"/>
        <v>Нож в сборе D250</v>
      </c>
      <c r="G72" s="9"/>
      <c r="H72" s="9" t="s">
        <v>31</v>
      </c>
      <c r="I72" s="9"/>
      <c r="J72" s="9"/>
      <c r="K72" s="9">
        <v>0.11899999999999999</v>
      </c>
      <c r="L72" s="9">
        <v>0.11899999999999999</v>
      </c>
      <c r="M72" s="9">
        <v>1</v>
      </c>
      <c r="N72" s="9" t="s">
        <v>33</v>
      </c>
      <c r="O72" s="9">
        <f t="shared" si="7"/>
        <v>2.3204999999999996</v>
      </c>
      <c r="P72" s="9">
        <f t="shared" si="8"/>
        <v>2.7072499999999997</v>
      </c>
      <c r="Q72" s="9">
        <f t="shared" si="9"/>
        <v>1.5469999999999999</v>
      </c>
      <c r="R72" s="9">
        <f t="shared" si="10"/>
        <v>1.1602499999999998</v>
      </c>
      <c r="S72" s="18">
        <v>7.7349999999999994</v>
      </c>
      <c r="T72" s="252">
        <v>105991.94</v>
      </c>
      <c r="U72" s="194">
        <v>12613.040859999999</v>
      </c>
      <c r="V72" s="9"/>
      <c r="W72" s="9"/>
      <c r="X72" s="9" t="s">
        <v>909</v>
      </c>
      <c r="Y72" s="9">
        <v>73710</v>
      </c>
      <c r="Z72" s="19" t="s">
        <v>872</v>
      </c>
      <c r="AA72" s="9" t="s">
        <v>910</v>
      </c>
      <c r="AB72" s="9">
        <v>45</v>
      </c>
      <c r="AC72" s="9">
        <v>3462</v>
      </c>
      <c r="AD72" s="20"/>
      <c r="AE72" s="8"/>
      <c r="AF72" s="8"/>
      <c r="AG72" s="21"/>
      <c r="AH72" s="20"/>
      <c r="AI72" s="8"/>
      <c r="AJ72" s="8"/>
      <c r="AK72" s="21"/>
      <c r="AL72" s="87"/>
    </row>
    <row r="73" spans="1:38" x14ac:dyDescent="0.25">
      <c r="A73" s="9">
        <v>986</v>
      </c>
      <c r="B73" s="9" t="s">
        <v>28</v>
      </c>
      <c r="C73" s="9" t="s">
        <v>753</v>
      </c>
      <c r="D73" s="9" t="s">
        <v>870</v>
      </c>
      <c r="E73" s="9"/>
      <c r="F73" s="9" t="str">
        <f t="shared" si="6"/>
        <v>Нож в сборе D250</v>
      </c>
      <c r="G73" s="9"/>
      <c r="H73" s="9" t="s">
        <v>31</v>
      </c>
      <c r="I73" s="9"/>
      <c r="J73" s="9"/>
      <c r="K73" s="9">
        <v>0.11899999999999999</v>
      </c>
      <c r="L73" s="9">
        <v>0.11899999999999999</v>
      </c>
      <c r="M73" s="9">
        <v>1</v>
      </c>
      <c r="N73" s="9" t="s">
        <v>33</v>
      </c>
      <c r="O73" s="9">
        <f t="shared" si="7"/>
        <v>2.3204999999999996</v>
      </c>
      <c r="P73" s="9">
        <f t="shared" si="8"/>
        <v>2.7072499999999997</v>
      </c>
      <c r="Q73" s="9">
        <f t="shared" si="9"/>
        <v>1.5469999999999999</v>
      </c>
      <c r="R73" s="9">
        <f t="shared" si="10"/>
        <v>1.1602499999999998</v>
      </c>
      <c r="S73" s="18">
        <v>7.7349999999999994</v>
      </c>
      <c r="T73" s="252">
        <v>105991.94</v>
      </c>
      <c r="U73" s="194">
        <v>12613.040859999999</v>
      </c>
      <c r="V73" s="9"/>
      <c r="W73" s="9"/>
      <c r="X73" s="9" t="s">
        <v>909</v>
      </c>
      <c r="Y73" s="9">
        <v>73710</v>
      </c>
      <c r="Z73" s="19" t="s">
        <v>872</v>
      </c>
      <c r="AA73" s="9" t="s">
        <v>910</v>
      </c>
      <c r="AB73" s="9">
        <v>46</v>
      </c>
      <c r="AC73" s="9">
        <v>3462</v>
      </c>
      <c r="AD73" s="20"/>
      <c r="AE73" s="8"/>
      <c r="AF73" s="8"/>
      <c r="AG73" s="21"/>
      <c r="AH73" s="20"/>
      <c r="AI73" s="8"/>
      <c r="AJ73" s="8"/>
      <c r="AK73" s="21"/>
      <c r="AL73" s="87"/>
    </row>
    <row r="74" spans="1:38" x14ac:dyDescent="0.25">
      <c r="A74" s="9">
        <v>987</v>
      </c>
      <c r="B74" s="9" t="s">
        <v>28</v>
      </c>
      <c r="C74" s="9" t="s">
        <v>753</v>
      </c>
      <c r="D74" s="9" t="s">
        <v>870</v>
      </c>
      <c r="E74" s="9"/>
      <c r="F74" s="9" t="str">
        <f t="shared" si="6"/>
        <v>Нож в сборе D250</v>
      </c>
      <c r="G74" s="9"/>
      <c r="H74" s="9" t="s">
        <v>31</v>
      </c>
      <c r="I74" s="9"/>
      <c r="J74" s="9"/>
      <c r="K74" s="9">
        <v>0.11899999999999999</v>
      </c>
      <c r="L74" s="9">
        <v>0.11899999999999999</v>
      </c>
      <c r="M74" s="9">
        <v>1</v>
      </c>
      <c r="N74" s="9" t="s">
        <v>33</v>
      </c>
      <c r="O74" s="9">
        <f t="shared" si="7"/>
        <v>2.3204999999999996</v>
      </c>
      <c r="P74" s="9">
        <f t="shared" si="8"/>
        <v>2.7072499999999997</v>
      </c>
      <c r="Q74" s="9">
        <f t="shared" si="9"/>
        <v>1.5469999999999999</v>
      </c>
      <c r="R74" s="9">
        <f t="shared" si="10"/>
        <v>1.1602499999999998</v>
      </c>
      <c r="S74" s="18">
        <v>7.7349999999999994</v>
      </c>
      <c r="T74" s="252">
        <v>105991.94</v>
      </c>
      <c r="U74" s="194">
        <v>12613.040859999999</v>
      </c>
      <c r="V74" s="9"/>
      <c r="W74" s="9"/>
      <c r="X74" s="9" t="s">
        <v>909</v>
      </c>
      <c r="Y74" s="9">
        <v>73710</v>
      </c>
      <c r="Z74" s="19" t="s">
        <v>872</v>
      </c>
      <c r="AA74" s="9" t="s">
        <v>910</v>
      </c>
      <c r="AB74" s="9">
        <v>47</v>
      </c>
      <c r="AC74" s="9">
        <v>3462</v>
      </c>
      <c r="AD74" s="20"/>
      <c r="AE74" s="8"/>
      <c r="AF74" s="8"/>
      <c r="AG74" s="21"/>
      <c r="AH74" s="20"/>
      <c r="AI74" s="8"/>
      <c r="AJ74" s="8"/>
      <c r="AK74" s="21"/>
      <c r="AL74" s="87"/>
    </row>
    <row r="75" spans="1:38" x14ac:dyDescent="0.25">
      <c r="A75" s="9">
        <v>988</v>
      </c>
      <c r="B75" s="9" t="s">
        <v>28</v>
      </c>
      <c r="C75" s="9" t="s">
        <v>753</v>
      </c>
      <c r="D75" s="9" t="s">
        <v>870</v>
      </c>
      <c r="E75" s="9"/>
      <c r="F75" s="9" t="str">
        <f t="shared" si="6"/>
        <v>Нож в сборе D170</v>
      </c>
      <c r="G75" s="9"/>
      <c r="H75" s="9" t="s">
        <v>31</v>
      </c>
      <c r="I75" s="9"/>
      <c r="J75" s="9"/>
      <c r="K75" s="9">
        <v>0.104</v>
      </c>
      <c r="L75" s="9">
        <v>0.104</v>
      </c>
      <c r="M75" s="9">
        <v>1</v>
      </c>
      <c r="N75" s="9" t="s">
        <v>33</v>
      </c>
      <c r="O75" s="9">
        <f t="shared" si="7"/>
        <v>2.028</v>
      </c>
      <c r="P75" s="9">
        <f t="shared" si="8"/>
        <v>2.3659999999999997</v>
      </c>
      <c r="Q75" s="9">
        <f t="shared" si="9"/>
        <v>1.3520000000000001</v>
      </c>
      <c r="R75" s="9">
        <f t="shared" si="10"/>
        <v>1.014</v>
      </c>
      <c r="S75" s="18">
        <v>6.76</v>
      </c>
      <c r="T75" s="252">
        <v>105991.94</v>
      </c>
      <c r="U75" s="194">
        <v>11023.161759999999</v>
      </c>
      <c r="V75" s="9"/>
      <c r="W75" s="9"/>
      <c r="X75" s="9" t="s">
        <v>911</v>
      </c>
      <c r="Y75" s="9">
        <v>73710</v>
      </c>
      <c r="Z75" s="19" t="s">
        <v>872</v>
      </c>
      <c r="AA75" s="9" t="s">
        <v>912</v>
      </c>
      <c r="AB75" s="9">
        <v>48</v>
      </c>
      <c r="AC75" s="9">
        <v>3462</v>
      </c>
      <c r="AD75" s="20"/>
      <c r="AE75" s="8"/>
      <c r="AF75" s="8"/>
      <c r="AG75" s="21"/>
      <c r="AH75" s="20"/>
      <c r="AI75" s="8"/>
      <c r="AJ75" s="8"/>
      <c r="AK75" s="21"/>
      <c r="AL75" s="87"/>
    </row>
    <row r="76" spans="1:38" x14ac:dyDescent="0.25">
      <c r="A76" s="9">
        <v>989</v>
      </c>
      <c r="B76" s="9" t="s">
        <v>28</v>
      </c>
      <c r="C76" s="9" t="s">
        <v>753</v>
      </c>
      <c r="D76" s="9" t="s">
        <v>870</v>
      </c>
      <c r="E76" s="9"/>
      <c r="F76" s="9" t="str">
        <f t="shared" si="6"/>
        <v>Нож в сборе D170</v>
      </c>
      <c r="G76" s="9"/>
      <c r="H76" s="9" t="s">
        <v>31</v>
      </c>
      <c r="I76" s="9"/>
      <c r="J76" s="9"/>
      <c r="K76" s="9">
        <v>0.104</v>
      </c>
      <c r="L76" s="9">
        <v>0.104</v>
      </c>
      <c r="M76" s="9">
        <v>1</v>
      </c>
      <c r="N76" s="9" t="s">
        <v>33</v>
      </c>
      <c r="O76" s="9">
        <f t="shared" si="7"/>
        <v>2.028</v>
      </c>
      <c r="P76" s="9">
        <f t="shared" si="8"/>
        <v>2.3659999999999997</v>
      </c>
      <c r="Q76" s="9">
        <f t="shared" si="9"/>
        <v>1.3520000000000001</v>
      </c>
      <c r="R76" s="9">
        <f t="shared" si="10"/>
        <v>1.014</v>
      </c>
      <c r="S76" s="18">
        <v>6.76</v>
      </c>
      <c r="T76" s="252">
        <v>105991.94</v>
      </c>
      <c r="U76" s="194">
        <v>11023.161759999999</v>
      </c>
      <c r="V76" s="9"/>
      <c r="W76" s="9"/>
      <c r="X76" s="9" t="s">
        <v>911</v>
      </c>
      <c r="Y76" s="9">
        <v>73710</v>
      </c>
      <c r="Z76" s="19" t="s">
        <v>872</v>
      </c>
      <c r="AA76" s="9" t="s">
        <v>912</v>
      </c>
      <c r="AB76" s="9">
        <v>49</v>
      </c>
      <c r="AC76" s="9">
        <v>3462</v>
      </c>
      <c r="AD76" s="20"/>
      <c r="AE76" s="8"/>
      <c r="AF76" s="8"/>
      <c r="AG76" s="21"/>
      <c r="AH76" s="20"/>
      <c r="AI76" s="8"/>
      <c r="AJ76" s="8"/>
      <c r="AK76" s="21"/>
      <c r="AL76" s="87"/>
    </row>
    <row r="77" spans="1:38" x14ac:dyDescent="0.25">
      <c r="A77" s="9">
        <v>990</v>
      </c>
      <c r="B77" s="9" t="s">
        <v>28</v>
      </c>
      <c r="C77" s="9" t="s">
        <v>753</v>
      </c>
      <c r="D77" s="9" t="s">
        <v>870</v>
      </c>
      <c r="E77" s="9"/>
      <c r="F77" s="9" t="str">
        <f t="shared" si="6"/>
        <v>Нож в сборе D170</v>
      </c>
      <c r="G77" s="9"/>
      <c r="H77" s="9" t="s">
        <v>31</v>
      </c>
      <c r="I77" s="9"/>
      <c r="J77" s="9"/>
      <c r="K77" s="9">
        <v>0.104</v>
      </c>
      <c r="L77" s="9">
        <v>0.104</v>
      </c>
      <c r="M77" s="9">
        <v>1</v>
      </c>
      <c r="N77" s="9" t="s">
        <v>33</v>
      </c>
      <c r="O77" s="9">
        <f t="shared" si="7"/>
        <v>2.028</v>
      </c>
      <c r="P77" s="9">
        <f t="shared" si="8"/>
        <v>2.3659999999999997</v>
      </c>
      <c r="Q77" s="9">
        <f t="shared" si="9"/>
        <v>1.3520000000000001</v>
      </c>
      <c r="R77" s="9">
        <f t="shared" si="10"/>
        <v>1.014</v>
      </c>
      <c r="S77" s="18">
        <v>6.76</v>
      </c>
      <c r="T77" s="252">
        <v>105991.94</v>
      </c>
      <c r="U77" s="194">
        <v>11023.161759999999</v>
      </c>
      <c r="V77" s="9"/>
      <c r="W77" s="9"/>
      <c r="X77" s="9" t="s">
        <v>911</v>
      </c>
      <c r="Y77" s="9">
        <v>73710</v>
      </c>
      <c r="Z77" s="19" t="s">
        <v>872</v>
      </c>
      <c r="AA77" s="9" t="s">
        <v>912</v>
      </c>
      <c r="AB77" s="9">
        <v>50</v>
      </c>
      <c r="AC77" s="9">
        <v>3462</v>
      </c>
      <c r="AD77" s="20"/>
      <c r="AE77" s="8"/>
      <c r="AF77" s="8"/>
      <c r="AG77" s="21"/>
      <c r="AH77" s="20"/>
      <c r="AI77" s="8"/>
      <c r="AJ77" s="8"/>
      <c r="AK77" s="21"/>
      <c r="AL77" s="87"/>
    </row>
    <row r="78" spans="1:38" x14ac:dyDescent="0.25">
      <c r="A78" s="9">
        <v>991</v>
      </c>
      <c r="B78" s="9" t="s">
        <v>28</v>
      </c>
      <c r="C78" s="9" t="s">
        <v>753</v>
      </c>
      <c r="D78" s="9" t="s">
        <v>870</v>
      </c>
      <c r="E78" s="9"/>
      <c r="F78" s="9" t="str">
        <f t="shared" si="6"/>
        <v>Нож в сборе D170</v>
      </c>
      <c r="G78" s="9"/>
      <c r="H78" s="9" t="s">
        <v>31</v>
      </c>
      <c r="I78" s="9"/>
      <c r="J78" s="9"/>
      <c r="K78" s="9">
        <v>0.104</v>
      </c>
      <c r="L78" s="9">
        <v>0.104</v>
      </c>
      <c r="M78" s="9">
        <v>1</v>
      </c>
      <c r="N78" s="9" t="s">
        <v>33</v>
      </c>
      <c r="O78" s="9">
        <f t="shared" si="7"/>
        <v>2.028</v>
      </c>
      <c r="P78" s="9">
        <f t="shared" si="8"/>
        <v>2.3659999999999997</v>
      </c>
      <c r="Q78" s="9">
        <f t="shared" si="9"/>
        <v>1.3520000000000001</v>
      </c>
      <c r="R78" s="9">
        <f t="shared" si="10"/>
        <v>1.014</v>
      </c>
      <c r="S78" s="18">
        <v>6.76</v>
      </c>
      <c r="T78" s="252">
        <v>105991.94</v>
      </c>
      <c r="U78" s="194">
        <v>11023.161759999999</v>
      </c>
      <c r="V78" s="9"/>
      <c r="W78" s="9"/>
      <c r="X78" s="9" t="s">
        <v>911</v>
      </c>
      <c r="Y78" s="9">
        <v>73710</v>
      </c>
      <c r="Z78" s="19" t="s">
        <v>872</v>
      </c>
      <c r="AA78" s="9" t="s">
        <v>912</v>
      </c>
      <c r="AB78" s="9">
        <v>51</v>
      </c>
      <c r="AC78" s="9">
        <v>3462</v>
      </c>
      <c r="AD78" s="20"/>
      <c r="AE78" s="8"/>
      <c r="AF78" s="8"/>
      <c r="AG78" s="21"/>
      <c r="AH78" s="20"/>
      <c r="AI78" s="8"/>
      <c r="AJ78" s="8"/>
      <c r="AK78" s="21"/>
      <c r="AL78" s="87"/>
    </row>
    <row r="79" spans="1:38" x14ac:dyDescent="0.25">
      <c r="A79" s="9">
        <v>992</v>
      </c>
      <c r="B79" s="9" t="s">
        <v>28</v>
      </c>
      <c r="C79" s="9" t="s">
        <v>753</v>
      </c>
      <c r="D79" s="9" t="s">
        <v>870</v>
      </c>
      <c r="E79" s="9"/>
      <c r="F79" s="9" t="str">
        <f t="shared" si="6"/>
        <v>Нож в сборе D170</v>
      </c>
      <c r="G79" s="9"/>
      <c r="H79" s="9" t="s">
        <v>31</v>
      </c>
      <c r="I79" s="9"/>
      <c r="J79" s="9"/>
      <c r="K79" s="9">
        <v>0.104</v>
      </c>
      <c r="L79" s="9">
        <v>0.104</v>
      </c>
      <c r="M79" s="9">
        <v>1</v>
      </c>
      <c r="N79" s="9" t="s">
        <v>33</v>
      </c>
      <c r="O79" s="9">
        <f t="shared" si="7"/>
        <v>2.028</v>
      </c>
      <c r="P79" s="9">
        <f t="shared" si="8"/>
        <v>2.3659999999999997</v>
      </c>
      <c r="Q79" s="9">
        <f t="shared" si="9"/>
        <v>1.3520000000000001</v>
      </c>
      <c r="R79" s="9">
        <f t="shared" si="10"/>
        <v>1.014</v>
      </c>
      <c r="S79" s="18">
        <v>6.76</v>
      </c>
      <c r="T79" s="252">
        <v>105991.94</v>
      </c>
      <c r="U79" s="194">
        <v>11023.161759999999</v>
      </c>
      <c r="V79" s="9"/>
      <c r="W79" s="9"/>
      <c r="X79" s="9" t="s">
        <v>911</v>
      </c>
      <c r="Y79" s="9">
        <v>73710</v>
      </c>
      <c r="Z79" s="19" t="s">
        <v>872</v>
      </c>
      <c r="AA79" s="9" t="s">
        <v>912</v>
      </c>
      <c r="AB79" s="9">
        <v>52</v>
      </c>
      <c r="AC79" s="9">
        <v>3462</v>
      </c>
      <c r="AD79" s="20"/>
      <c r="AE79" s="8"/>
      <c r="AF79" s="8"/>
      <c r="AG79" s="21"/>
      <c r="AH79" s="20"/>
      <c r="AI79" s="8"/>
      <c r="AJ79" s="8"/>
      <c r="AK79" s="21"/>
      <c r="AL79" s="87"/>
    </row>
    <row r="80" spans="1:38" x14ac:dyDescent="0.25">
      <c r="A80" s="9">
        <v>993</v>
      </c>
      <c r="B80" s="9" t="s">
        <v>28</v>
      </c>
      <c r="C80" s="9" t="s">
        <v>753</v>
      </c>
      <c r="D80" s="9" t="s">
        <v>870</v>
      </c>
      <c r="E80" s="9"/>
      <c r="F80" s="9" t="str">
        <f t="shared" si="6"/>
        <v>Нож в сборе D170</v>
      </c>
      <c r="G80" s="9"/>
      <c r="H80" s="9" t="s">
        <v>31</v>
      </c>
      <c r="I80" s="9"/>
      <c r="J80" s="9"/>
      <c r="K80" s="9">
        <v>0.104</v>
      </c>
      <c r="L80" s="9">
        <v>0.104</v>
      </c>
      <c r="M80" s="9">
        <v>1</v>
      </c>
      <c r="N80" s="9" t="s">
        <v>33</v>
      </c>
      <c r="O80" s="9">
        <f t="shared" si="7"/>
        <v>2.028</v>
      </c>
      <c r="P80" s="9">
        <f t="shared" si="8"/>
        <v>2.3659999999999997</v>
      </c>
      <c r="Q80" s="9">
        <f t="shared" si="9"/>
        <v>1.3520000000000001</v>
      </c>
      <c r="R80" s="9">
        <f t="shared" si="10"/>
        <v>1.014</v>
      </c>
      <c r="S80" s="18">
        <v>6.76</v>
      </c>
      <c r="T80" s="252">
        <v>105991.94</v>
      </c>
      <c r="U80" s="194">
        <v>11023.161759999999</v>
      </c>
      <c r="V80" s="9"/>
      <c r="W80" s="9"/>
      <c r="X80" s="9" t="s">
        <v>911</v>
      </c>
      <c r="Y80" s="9">
        <v>73710</v>
      </c>
      <c r="Z80" s="19" t="s">
        <v>872</v>
      </c>
      <c r="AA80" s="9" t="s">
        <v>912</v>
      </c>
      <c r="AB80" s="9">
        <v>53</v>
      </c>
      <c r="AC80" s="9">
        <v>3462</v>
      </c>
      <c r="AD80" s="20"/>
      <c r="AE80" s="8"/>
      <c r="AF80" s="8"/>
      <c r="AG80" s="21"/>
      <c r="AH80" s="20"/>
      <c r="AI80" s="8"/>
      <c r="AJ80" s="8"/>
      <c r="AK80" s="21"/>
      <c r="AL80" s="87"/>
    </row>
    <row r="81" spans="1:43" ht="15.75" thickBot="1" x14ac:dyDescent="0.3">
      <c r="A81" s="9">
        <v>994</v>
      </c>
      <c r="B81" s="9" t="s">
        <v>28</v>
      </c>
      <c r="C81" s="9" t="s">
        <v>753</v>
      </c>
      <c r="D81" s="9" t="s">
        <v>870</v>
      </c>
      <c r="E81" s="9"/>
      <c r="F81" s="9" t="str">
        <f t="shared" si="6"/>
        <v>Нож в сборе D170</v>
      </c>
      <c r="G81" s="9"/>
      <c r="H81" s="9" t="s">
        <v>31</v>
      </c>
      <c r="I81" s="9"/>
      <c r="J81" s="9"/>
      <c r="K81" s="9">
        <v>0.104</v>
      </c>
      <c r="L81" s="9">
        <v>0.104</v>
      </c>
      <c r="M81" s="9">
        <v>1</v>
      </c>
      <c r="N81" s="9" t="s">
        <v>33</v>
      </c>
      <c r="O81" s="9">
        <f t="shared" si="7"/>
        <v>2.028</v>
      </c>
      <c r="P81" s="9">
        <f t="shared" si="8"/>
        <v>2.3659999999999997</v>
      </c>
      <c r="Q81" s="9">
        <f t="shared" si="9"/>
        <v>1.3520000000000001</v>
      </c>
      <c r="R81" s="9">
        <f t="shared" si="10"/>
        <v>1.014</v>
      </c>
      <c r="S81" s="18">
        <v>6.76</v>
      </c>
      <c r="T81" s="252">
        <v>105991.94</v>
      </c>
      <c r="U81" s="194">
        <v>11023.161759999999</v>
      </c>
      <c r="V81" s="9"/>
      <c r="W81" s="9"/>
      <c r="X81" s="9" t="s">
        <v>911</v>
      </c>
      <c r="Y81" s="9">
        <v>73710</v>
      </c>
      <c r="Z81" s="19" t="s">
        <v>872</v>
      </c>
      <c r="AA81" s="9" t="s">
        <v>912</v>
      </c>
      <c r="AB81" s="9">
        <v>54</v>
      </c>
      <c r="AC81" s="9">
        <v>3462</v>
      </c>
      <c r="AD81" s="190"/>
      <c r="AE81" s="96"/>
      <c r="AF81" s="96"/>
      <c r="AG81" s="22"/>
      <c r="AH81" s="190"/>
      <c r="AI81" s="96"/>
      <c r="AJ81" s="96"/>
      <c r="AK81" s="22"/>
      <c r="AL81" s="87"/>
    </row>
    <row r="82" spans="1:43" x14ac:dyDescent="0.25">
      <c r="AD82" s="17"/>
      <c r="AE82" s="17"/>
      <c r="AF82" s="17"/>
      <c r="AG82" s="17"/>
      <c r="AH82" s="17"/>
      <c r="AI82" s="17"/>
      <c r="AJ82" s="17"/>
      <c r="AK82" s="17"/>
      <c r="AN82"/>
      <c r="AO82"/>
      <c r="AP82"/>
      <c r="AQ82"/>
    </row>
    <row r="83" spans="1:43" x14ac:dyDescent="0.25">
      <c r="AD83" s="17"/>
      <c r="AE83" s="17"/>
      <c r="AF83" s="17"/>
      <c r="AG83" s="17"/>
      <c r="AH83" s="17"/>
      <c r="AI83" s="17"/>
      <c r="AJ83" s="17"/>
      <c r="AK83" s="17"/>
      <c r="AN83"/>
      <c r="AO83"/>
      <c r="AP83"/>
      <c r="AQ83"/>
    </row>
    <row r="84" spans="1:43" x14ac:dyDescent="0.25">
      <c r="AD84" s="17"/>
      <c r="AE84" s="17"/>
      <c r="AF84" s="17"/>
      <c r="AG84" s="17"/>
      <c r="AH84" s="17"/>
      <c r="AI84" s="17"/>
      <c r="AJ84" s="17"/>
      <c r="AK84" s="17"/>
      <c r="AN84"/>
      <c r="AO84"/>
      <c r="AP84"/>
      <c r="AQ84"/>
    </row>
    <row r="85" spans="1:43" x14ac:dyDescent="0.25">
      <c r="AD85" s="17"/>
      <c r="AE85" s="17"/>
      <c r="AF85" s="17"/>
      <c r="AG85" s="17"/>
      <c r="AH85" s="17"/>
      <c r="AI85" s="17"/>
      <c r="AJ85" s="17"/>
      <c r="AK85" s="17"/>
      <c r="AN85"/>
      <c r="AO85"/>
      <c r="AP85"/>
      <c r="AQ85"/>
    </row>
    <row r="86" spans="1:43" x14ac:dyDescent="0.25">
      <c r="AD86" s="17"/>
      <c r="AE86" s="17"/>
      <c r="AF86" s="17"/>
      <c r="AG86" s="17"/>
      <c r="AH86" s="17"/>
      <c r="AI86" s="17"/>
      <c r="AJ86" s="17"/>
      <c r="AK86" s="17"/>
      <c r="AN86"/>
      <c r="AO86"/>
      <c r="AP86"/>
      <c r="AQ86"/>
    </row>
    <row r="87" spans="1:43" x14ac:dyDescent="0.25">
      <c r="AD87" s="17"/>
      <c r="AE87" s="17"/>
      <c r="AF87" s="17"/>
      <c r="AG87" s="17"/>
      <c r="AH87" s="17"/>
      <c r="AI87" s="17"/>
      <c r="AJ87" s="17"/>
      <c r="AK87" s="17"/>
      <c r="AN87"/>
      <c r="AO87"/>
      <c r="AP87"/>
      <c r="AQ87"/>
    </row>
    <row r="88" spans="1:43" x14ac:dyDescent="0.25">
      <c r="AD88" s="17"/>
      <c r="AE88" s="17"/>
      <c r="AF88" s="17"/>
      <c r="AG88" s="17"/>
      <c r="AH88" s="17"/>
      <c r="AI88" s="17"/>
      <c r="AJ88" s="17"/>
      <c r="AK88" s="17"/>
      <c r="AN88"/>
      <c r="AO88"/>
      <c r="AP88"/>
      <c r="AQ88"/>
    </row>
    <row r="89" spans="1:43" x14ac:dyDescent="0.25">
      <c r="AD89" s="17"/>
      <c r="AE89" s="17"/>
      <c r="AF89" s="17"/>
      <c r="AG89" s="17"/>
      <c r="AH89" s="17"/>
      <c r="AI89" s="17"/>
      <c r="AJ89" s="17"/>
      <c r="AK89" s="17"/>
      <c r="AN89"/>
      <c r="AO89"/>
      <c r="AP89"/>
      <c r="AQ89"/>
    </row>
    <row r="90" spans="1:43" x14ac:dyDescent="0.25">
      <c r="AD90" s="17"/>
      <c r="AE90" s="17"/>
      <c r="AF90" s="17"/>
      <c r="AG90" s="17"/>
      <c r="AH90" s="17"/>
      <c r="AI90" s="17"/>
      <c r="AJ90" s="17"/>
      <c r="AK90" s="17"/>
      <c r="AN90"/>
      <c r="AO90"/>
      <c r="AP90"/>
      <c r="AQ90"/>
    </row>
    <row r="91" spans="1:43" x14ac:dyDescent="0.25">
      <c r="AD91" s="17"/>
      <c r="AE91" s="17"/>
      <c r="AF91" s="17"/>
      <c r="AG91" s="17"/>
      <c r="AH91" s="17"/>
      <c r="AI91" s="17"/>
      <c r="AJ91" s="17"/>
      <c r="AK91" s="17"/>
      <c r="AN91"/>
      <c r="AO91"/>
      <c r="AP91"/>
      <c r="AQ91"/>
    </row>
    <row r="92" spans="1:43" x14ac:dyDescent="0.25">
      <c r="AD92" s="17"/>
      <c r="AE92" s="17"/>
      <c r="AF92" s="17"/>
      <c r="AG92" s="17"/>
      <c r="AH92" s="17"/>
      <c r="AI92" s="17"/>
      <c r="AJ92" s="17"/>
      <c r="AK92" s="17"/>
      <c r="AN92"/>
      <c r="AO92"/>
      <c r="AP92"/>
      <c r="AQ92"/>
    </row>
    <row r="93" spans="1:43" x14ac:dyDescent="0.25">
      <c r="AD93" s="17"/>
      <c r="AE93" s="17"/>
      <c r="AF93" s="17"/>
      <c r="AG93" s="17"/>
      <c r="AH93" s="17"/>
      <c r="AI93" s="17"/>
      <c r="AJ93" s="17"/>
      <c r="AK93" s="17"/>
      <c r="AN93"/>
      <c r="AO93"/>
      <c r="AP93"/>
      <c r="AQ93"/>
    </row>
    <row r="94" spans="1:43" x14ac:dyDescent="0.25">
      <c r="AD94" s="17"/>
      <c r="AE94" s="17"/>
      <c r="AF94" s="17"/>
      <c r="AG94" s="17"/>
      <c r="AH94" s="17"/>
      <c r="AI94" s="17"/>
      <c r="AJ94" s="17"/>
      <c r="AK94" s="17"/>
      <c r="AN94"/>
      <c r="AO94"/>
      <c r="AP94"/>
      <c r="AQ94"/>
    </row>
    <row r="95" spans="1:43" x14ac:dyDescent="0.25">
      <c r="AD95" s="17"/>
      <c r="AE95" s="17"/>
      <c r="AF95" s="17"/>
      <c r="AG95" s="17"/>
      <c r="AH95" s="17"/>
      <c r="AI95" s="17"/>
      <c r="AJ95" s="17"/>
      <c r="AK95" s="17"/>
      <c r="AN95"/>
      <c r="AO95"/>
      <c r="AP95"/>
      <c r="AQ95"/>
    </row>
    <row r="96" spans="1:43" x14ac:dyDescent="0.25">
      <c r="AD96" s="17"/>
      <c r="AE96" s="17"/>
      <c r="AF96" s="17"/>
      <c r="AG96" s="17"/>
      <c r="AH96" s="17"/>
      <c r="AI96" s="17"/>
      <c r="AJ96" s="17"/>
      <c r="AK96" s="17"/>
      <c r="AN96"/>
      <c r="AO96"/>
      <c r="AP96"/>
      <c r="AQ96"/>
    </row>
    <row r="97" spans="30:43" x14ac:dyDescent="0.25">
      <c r="AD97" s="17"/>
      <c r="AE97" s="17"/>
      <c r="AF97" s="17"/>
      <c r="AG97" s="17"/>
      <c r="AH97" s="17"/>
      <c r="AI97" s="17"/>
      <c r="AJ97" s="17"/>
      <c r="AK97" s="17"/>
      <c r="AN97"/>
      <c r="AO97"/>
      <c r="AP97"/>
      <c r="AQ97"/>
    </row>
    <row r="98" spans="30:43" x14ac:dyDescent="0.25">
      <c r="AD98" s="17"/>
      <c r="AE98" s="17"/>
      <c r="AF98" s="17"/>
      <c r="AG98" s="17"/>
      <c r="AH98" s="17"/>
      <c r="AI98" s="17"/>
      <c r="AJ98" s="17"/>
      <c r="AK98" s="17"/>
      <c r="AN98"/>
      <c r="AO98"/>
      <c r="AP98"/>
      <c r="AQ98"/>
    </row>
    <row r="99" spans="30:43" x14ac:dyDescent="0.25">
      <c r="AD99" s="17"/>
      <c r="AE99" s="17"/>
      <c r="AF99" s="17"/>
      <c r="AG99" s="17"/>
      <c r="AH99" s="17"/>
      <c r="AI99" s="17"/>
      <c r="AJ99" s="17"/>
      <c r="AK99" s="17"/>
      <c r="AN99"/>
      <c r="AO99"/>
      <c r="AP99"/>
      <c r="AQ99"/>
    </row>
    <row r="100" spans="30:43" x14ac:dyDescent="0.25">
      <c r="AD100" s="17"/>
      <c r="AE100" s="17"/>
      <c r="AF100" s="17"/>
      <c r="AG100" s="17"/>
      <c r="AH100" s="17"/>
      <c r="AI100" s="17"/>
      <c r="AJ100" s="17"/>
      <c r="AK100" s="17"/>
      <c r="AN100"/>
      <c r="AO100"/>
      <c r="AP100"/>
      <c r="AQ100"/>
    </row>
    <row r="101" spans="30:43" x14ac:dyDescent="0.25">
      <c r="AD101" s="17"/>
      <c r="AE101" s="17"/>
      <c r="AF101" s="17"/>
      <c r="AG101" s="17"/>
      <c r="AH101" s="17"/>
      <c r="AI101" s="17"/>
      <c r="AJ101" s="17"/>
      <c r="AK101" s="17"/>
      <c r="AN101"/>
      <c r="AO101"/>
      <c r="AP101"/>
      <c r="AQ101"/>
    </row>
    <row r="102" spans="30:43" x14ac:dyDescent="0.25">
      <c r="AD102" s="17"/>
      <c r="AE102" s="17"/>
      <c r="AF102" s="17"/>
      <c r="AG102" s="17"/>
      <c r="AH102" s="17"/>
      <c r="AI102" s="17"/>
      <c r="AJ102" s="17"/>
      <c r="AK102" s="17"/>
      <c r="AN102"/>
      <c r="AO102"/>
      <c r="AP102"/>
      <c r="AQ102"/>
    </row>
    <row r="103" spans="30:43" x14ac:dyDescent="0.25">
      <c r="AD103" s="17"/>
      <c r="AE103" s="17"/>
      <c r="AF103" s="17"/>
      <c r="AG103" s="17"/>
      <c r="AH103" s="17"/>
      <c r="AI103" s="17"/>
      <c r="AJ103" s="17"/>
      <c r="AK103" s="17"/>
      <c r="AN103"/>
      <c r="AO103"/>
      <c r="AP103"/>
      <c r="AQ103"/>
    </row>
    <row r="104" spans="30:43" x14ac:dyDescent="0.25">
      <c r="AD104" s="17"/>
      <c r="AE104" s="17"/>
      <c r="AF104" s="17"/>
      <c r="AG104" s="17"/>
      <c r="AH104" s="17"/>
      <c r="AI104" s="17"/>
      <c r="AJ104" s="17"/>
      <c r="AK104" s="17"/>
      <c r="AN104"/>
      <c r="AO104"/>
      <c r="AP104"/>
      <c r="AQ104"/>
    </row>
    <row r="105" spans="30:43" x14ac:dyDescent="0.25">
      <c r="AD105" s="17"/>
      <c r="AE105" s="17"/>
      <c r="AF105" s="17"/>
      <c r="AG105" s="17"/>
      <c r="AH105" s="17"/>
      <c r="AI105" s="17"/>
      <c r="AJ105" s="17"/>
      <c r="AK105" s="17"/>
      <c r="AN105"/>
      <c r="AO105"/>
      <c r="AP105"/>
      <c r="AQ105"/>
    </row>
    <row r="106" spans="30:43" x14ac:dyDescent="0.25">
      <c r="AD106" s="17"/>
      <c r="AE106" s="17"/>
      <c r="AF106" s="17"/>
      <c r="AG106" s="17"/>
      <c r="AH106" s="17"/>
      <c r="AI106" s="17"/>
      <c r="AJ106" s="17"/>
      <c r="AK106" s="17"/>
      <c r="AN106"/>
      <c r="AO106"/>
      <c r="AP106"/>
      <c r="AQ106"/>
    </row>
    <row r="107" spans="30:43" x14ac:dyDescent="0.25">
      <c r="AD107" s="17"/>
      <c r="AE107" s="17"/>
      <c r="AF107" s="17"/>
      <c r="AG107" s="17"/>
      <c r="AH107" s="17"/>
      <c r="AI107" s="17"/>
      <c r="AJ107" s="17"/>
      <c r="AK107" s="17"/>
      <c r="AN107"/>
      <c r="AO107"/>
      <c r="AP107"/>
      <c r="AQ107"/>
    </row>
    <row r="108" spans="30:43" x14ac:dyDescent="0.25">
      <c r="AD108" s="17"/>
      <c r="AE108" s="17"/>
      <c r="AF108" s="17"/>
      <c r="AG108" s="17"/>
      <c r="AH108" s="17"/>
      <c r="AI108" s="17"/>
      <c r="AJ108" s="17"/>
      <c r="AK108" s="17"/>
      <c r="AN108"/>
      <c r="AO108"/>
      <c r="AP108"/>
      <c r="AQ108"/>
    </row>
    <row r="109" spans="30:43" x14ac:dyDescent="0.25">
      <c r="AD109" s="17"/>
      <c r="AE109" s="17"/>
      <c r="AF109" s="17"/>
      <c r="AG109" s="17"/>
      <c r="AH109" s="17"/>
      <c r="AI109" s="17"/>
      <c r="AJ109" s="17"/>
      <c r="AK109" s="17"/>
      <c r="AN109"/>
      <c r="AO109"/>
      <c r="AP109"/>
      <c r="AQ109"/>
    </row>
    <row r="110" spans="30:43" x14ac:dyDescent="0.25">
      <c r="AD110" s="17"/>
      <c r="AE110" s="17"/>
      <c r="AF110" s="17"/>
      <c r="AG110" s="17"/>
      <c r="AH110" s="17"/>
      <c r="AI110" s="17"/>
      <c r="AJ110" s="17"/>
      <c r="AK110" s="17"/>
      <c r="AN110"/>
      <c r="AO110"/>
      <c r="AP110"/>
      <c r="AQ110"/>
    </row>
    <row r="111" spans="30:43" x14ac:dyDescent="0.25">
      <c r="AD111" s="17"/>
      <c r="AE111" s="17"/>
      <c r="AF111" s="17"/>
      <c r="AG111" s="17"/>
      <c r="AH111" s="17"/>
      <c r="AI111" s="17"/>
      <c r="AJ111" s="17"/>
      <c r="AK111" s="17"/>
      <c r="AN111"/>
      <c r="AO111"/>
      <c r="AP111"/>
      <c r="AQ111"/>
    </row>
    <row r="112" spans="30:43" x14ac:dyDescent="0.25">
      <c r="AD112" s="17"/>
      <c r="AE112" s="17"/>
      <c r="AF112" s="17"/>
      <c r="AG112" s="17"/>
      <c r="AH112" s="17"/>
      <c r="AI112" s="17"/>
      <c r="AJ112" s="17"/>
      <c r="AK112" s="17"/>
      <c r="AN112"/>
      <c r="AO112"/>
      <c r="AP112"/>
      <c r="AQ112"/>
    </row>
    <row r="113" spans="30:43" x14ac:dyDescent="0.25">
      <c r="AD113" s="17"/>
      <c r="AE113" s="17"/>
      <c r="AF113" s="17"/>
      <c r="AG113" s="17"/>
      <c r="AH113" s="17"/>
      <c r="AI113" s="17"/>
      <c r="AJ113" s="17"/>
      <c r="AK113" s="17"/>
      <c r="AN113"/>
      <c r="AO113"/>
      <c r="AP113"/>
      <c r="AQ113"/>
    </row>
    <row r="114" spans="30:43" x14ac:dyDescent="0.25">
      <c r="AD114" s="17"/>
      <c r="AE114" s="17"/>
      <c r="AF114" s="17"/>
      <c r="AG114" s="17"/>
      <c r="AH114" s="17"/>
      <c r="AI114" s="17"/>
      <c r="AJ114" s="17"/>
      <c r="AK114" s="17"/>
      <c r="AN114"/>
      <c r="AO114"/>
      <c r="AP114"/>
      <c r="AQ114"/>
    </row>
    <row r="115" spans="30:43" x14ac:dyDescent="0.25">
      <c r="AD115" s="17"/>
      <c r="AE115" s="17"/>
      <c r="AF115" s="17"/>
      <c r="AG115" s="17"/>
      <c r="AH115" s="17"/>
      <c r="AI115" s="17"/>
      <c r="AJ115" s="17"/>
      <c r="AK115" s="17"/>
      <c r="AN115"/>
      <c r="AO115"/>
      <c r="AP115"/>
      <c r="AQ115"/>
    </row>
    <row r="116" spans="30:43" x14ac:dyDescent="0.25">
      <c r="AD116" s="17"/>
      <c r="AE116" s="17"/>
      <c r="AF116" s="17"/>
      <c r="AG116" s="17"/>
      <c r="AH116" s="17"/>
      <c r="AI116" s="17"/>
      <c r="AJ116" s="17"/>
      <c r="AK116" s="17"/>
      <c r="AN116"/>
      <c r="AO116"/>
      <c r="AP116"/>
      <c r="AQ116"/>
    </row>
    <row r="117" spans="30:43" x14ac:dyDescent="0.25">
      <c r="AD117" s="17"/>
      <c r="AE117" s="17"/>
      <c r="AF117" s="17"/>
      <c r="AG117" s="17"/>
      <c r="AH117" s="17"/>
      <c r="AI117" s="17"/>
      <c r="AJ117" s="17"/>
      <c r="AK117" s="17"/>
      <c r="AN117"/>
      <c r="AO117"/>
      <c r="AP117"/>
      <c r="AQ117"/>
    </row>
    <row r="118" spans="30:43" x14ac:dyDescent="0.25">
      <c r="AD118" s="17"/>
      <c r="AE118" s="17"/>
      <c r="AF118" s="17"/>
      <c r="AG118" s="17"/>
      <c r="AH118" s="17"/>
      <c r="AI118" s="17"/>
      <c r="AJ118" s="17"/>
      <c r="AK118" s="17"/>
      <c r="AN118"/>
      <c r="AO118"/>
      <c r="AP118"/>
      <c r="AQ118"/>
    </row>
    <row r="119" spans="30:43" x14ac:dyDescent="0.25">
      <c r="AD119" s="17"/>
      <c r="AE119" s="17"/>
      <c r="AF119" s="17"/>
      <c r="AG119" s="17"/>
      <c r="AH119" s="17"/>
      <c r="AI119" s="17"/>
      <c r="AJ119" s="17"/>
      <c r="AK119" s="17"/>
      <c r="AN119"/>
      <c r="AO119"/>
      <c r="AP119"/>
      <c r="AQ119"/>
    </row>
    <row r="120" spans="30:43" x14ac:dyDescent="0.25">
      <c r="AD120" s="17"/>
      <c r="AE120" s="17"/>
      <c r="AF120" s="17"/>
      <c r="AG120" s="17"/>
      <c r="AH120" s="17"/>
      <c r="AI120" s="17"/>
      <c r="AJ120" s="17"/>
      <c r="AK120" s="17"/>
      <c r="AN120"/>
      <c r="AO120"/>
      <c r="AP120"/>
      <c r="AQ120"/>
    </row>
    <row r="121" spans="30:43" x14ac:dyDescent="0.25">
      <c r="AD121" s="17"/>
      <c r="AE121" s="17"/>
      <c r="AF121" s="17"/>
      <c r="AG121" s="17"/>
      <c r="AH121" s="17"/>
      <c r="AI121" s="17"/>
      <c r="AJ121" s="17"/>
      <c r="AK121" s="17"/>
      <c r="AN121"/>
      <c r="AO121"/>
      <c r="AP121"/>
      <c r="AQ121"/>
    </row>
    <row r="122" spans="30:43" x14ac:dyDescent="0.25">
      <c r="AD122" s="17"/>
      <c r="AE122" s="17"/>
      <c r="AF122" s="17"/>
      <c r="AG122" s="17"/>
      <c r="AH122" s="17"/>
      <c r="AI122" s="17"/>
      <c r="AJ122" s="17"/>
      <c r="AK122" s="17"/>
      <c r="AN122"/>
      <c r="AO122"/>
      <c r="AP122"/>
      <c r="AQ122"/>
    </row>
    <row r="123" spans="30:43" x14ac:dyDescent="0.25">
      <c r="AD123" s="17"/>
      <c r="AE123" s="17"/>
      <c r="AF123" s="17"/>
      <c r="AG123" s="17"/>
      <c r="AH123" s="17"/>
      <c r="AI123" s="17"/>
      <c r="AJ123" s="17"/>
      <c r="AK123" s="17"/>
      <c r="AN123"/>
      <c r="AO123"/>
      <c r="AP123"/>
      <c r="AQ123"/>
    </row>
    <row r="124" spans="30:43" x14ac:dyDescent="0.25">
      <c r="AD124" s="17"/>
      <c r="AE124" s="17"/>
      <c r="AF124" s="17"/>
      <c r="AG124" s="17"/>
      <c r="AH124" s="17"/>
      <c r="AI124" s="17"/>
      <c r="AJ124" s="17"/>
      <c r="AK124" s="17"/>
      <c r="AN124"/>
      <c r="AO124"/>
      <c r="AP124"/>
      <c r="AQ124"/>
    </row>
    <row r="125" spans="30:43" x14ac:dyDescent="0.25">
      <c r="AD125" s="17"/>
      <c r="AE125" s="17"/>
      <c r="AF125" s="17"/>
      <c r="AG125" s="17"/>
      <c r="AH125" s="17"/>
      <c r="AI125" s="17"/>
      <c r="AJ125" s="17"/>
      <c r="AK125" s="17"/>
      <c r="AN125"/>
      <c r="AO125"/>
      <c r="AP125"/>
      <c r="AQ125"/>
    </row>
    <row r="126" spans="30:43" x14ac:dyDescent="0.25">
      <c r="AD126" s="17"/>
      <c r="AE126" s="17"/>
      <c r="AF126" s="17"/>
      <c r="AG126" s="17"/>
      <c r="AH126" s="17"/>
      <c r="AI126" s="17"/>
      <c r="AJ126" s="17"/>
      <c r="AK126" s="17"/>
      <c r="AN126"/>
      <c r="AO126"/>
      <c r="AP126"/>
      <c r="AQ126"/>
    </row>
    <row r="127" spans="30:43" x14ac:dyDescent="0.25">
      <c r="AD127" s="17"/>
      <c r="AE127" s="17"/>
      <c r="AF127" s="17"/>
      <c r="AG127" s="17"/>
      <c r="AH127" s="17"/>
      <c r="AI127" s="17"/>
      <c r="AJ127" s="17"/>
      <c r="AK127" s="17"/>
      <c r="AN127"/>
      <c r="AO127"/>
      <c r="AP127"/>
      <c r="AQ127"/>
    </row>
    <row r="128" spans="30:43" x14ac:dyDescent="0.25">
      <c r="AD128" s="17"/>
      <c r="AE128" s="17"/>
      <c r="AF128" s="17"/>
      <c r="AG128" s="17"/>
      <c r="AH128" s="17"/>
      <c r="AI128" s="17"/>
      <c r="AJ128" s="17"/>
      <c r="AK128" s="17"/>
      <c r="AN128"/>
      <c r="AO128"/>
      <c r="AP128"/>
      <c r="AQ128"/>
    </row>
    <row r="129" spans="30:43" x14ac:dyDescent="0.25">
      <c r="AD129" s="17"/>
      <c r="AE129" s="17"/>
      <c r="AF129" s="17"/>
      <c r="AG129" s="17"/>
      <c r="AH129" s="17"/>
      <c r="AI129" s="17"/>
      <c r="AJ129" s="17"/>
      <c r="AK129" s="17"/>
      <c r="AN129"/>
      <c r="AO129"/>
      <c r="AP129"/>
      <c r="AQ129"/>
    </row>
    <row r="130" spans="30:43" x14ac:dyDescent="0.25">
      <c r="AD130" s="17"/>
      <c r="AE130" s="17"/>
      <c r="AF130" s="17"/>
      <c r="AG130" s="17"/>
      <c r="AH130" s="17"/>
      <c r="AI130" s="17"/>
      <c r="AJ130" s="17"/>
      <c r="AK130" s="17"/>
      <c r="AN130"/>
      <c r="AO130"/>
      <c r="AP130"/>
      <c r="AQ130"/>
    </row>
    <row r="131" spans="30:43" x14ac:dyDescent="0.25">
      <c r="AD131" s="17"/>
      <c r="AE131" s="17"/>
      <c r="AF131" s="17"/>
      <c r="AG131" s="17"/>
      <c r="AH131" s="17"/>
      <c r="AI131" s="17"/>
      <c r="AJ131" s="17"/>
      <c r="AK131" s="17"/>
      <c r="AN131"/>
      <c r="AO131"/>
      <c r="AP131"/>
      <c r="AQ131"/>
    </row>
    <row r="132" spans="30:43" x14ac:dyDescent="0.25">
      <c r="AD132" s="17"/>
      <c r="AE132" s="17"/>
      <c r="AF132" s="17"/>
      <c r="AG132" s="17"/>
      <c r="AH132" s="17"/>
      <c r="AI132" s="17"/>
      <c r="AJ132" s="17"/>
      <c r="AK132" s="17"/>
      <c r="AN132"/>
      <c r="AO132"/>
      <c r="AP132"/>
      <c r="AQ132"/>
    </row>
    <row r="133" spans="30:43" x14ac:dyDescent="0.25">
      <c r="AD133" s="17"/>
      <c r="AE133" s="17"/>
      <c r="AF133" s="17"/>
      <c r="AG133" s="17"/>
      <c r="AH133" s="17"/>
      <c r="AI133" s="17"/>
      <c r="AJ133" s="17"/>
      <c r="AK133" s="17"/>
      <c r="AN133"/>
      <c r="AO133"/>
      <c r="AP133"/>
      <c r="AQ133"/>
    </row>
    <row r="134" spans="30:43" x14ac:dyDescent="0.25">
      <c r="AD134" s="17"/>
      <c r="AE134" s="17"/>
      <c r="AF134" s="17"/>
      <c r="AG134" s="17"/>
      <c r="AH134" s="17"/>
      <c r="AI134" s="17"/>
      <c r="AJ134" s="17"/>
      <c r="AK134" s="17"/>
      <c r="AN134"/>
      <c r="AO134"/>
      <c r="AP134"/>
      <c r="AQ134"/>
    </row>
    <row r="135" spans="30:43" x14ac:dyDescent="0.25">
      <c r="AD135" s="17"/>
      <c r="AE135" s="17"/>
      <c r="AF135" s="17"/>
      <c r="AG135" s="17"/>
      <c r="AH135" s="17"/>
      <c r="AI135" s="17"/>
      <c r="AJ135" s="17"/>
      <c r="AK135" s="17"/>
      <c r="AN135"/>
      <c r="AO135"/>
      <c r="AP135"/>
      <c r="AQ135"/>
    </row>
    <row r="136" spans="30:43" x14ac:dyDescent="0.25">
      <c r="AD136" s="17"/>
      <c r="AE136" s="17"/>
      <c r="AF136" s="17"/>
      <c r="AG136" s="17"/>
      <c r="AH136" s="17"/>
      <c r="AI136" s="17"/>
      <c r="AJ136" s="17"/>
      <c r="AK136" s="17"/>
      <c r="AN136"/>
      <c r="AO136"/>
      <c r="AP136"/>
      <c r="AQ136"/>
    </row>
    <row r="137" spans="30:43" x14ac:dyDescent="0.25">
      <c r="AD137" s="17"/>
      <c r="AE137" s="17"/>
      <c r="AF137" s="17"/>
      <c r="AG137" s="17"/>
      <c r="AH137" s="17"/>
      <c r="AI137" s="17"/>
      <c r="AJ137" s="17"/>
      <c r="AK137" s="17"/>
      <c r="AN137"/>
      <c r="AO137"/>
      <c r="AP137"/>
      <c r="AQ137"/>
    </row>
    <row r="138" spans="30:43" x14ac:dyDescent="0.25">
      <c r="AD138" s="17"/>
      <c r="AE138" s="17"/>
      <c r="AF138" s="17"/>
      <c r="AG138" s="17"/>
      <c r="AH138" s="17"/>
      <c r="AI138" s="17"/>
      <c r="AJ138" s="17"/>
      <c r="AK138" s="17"/>
      <c r="AN138"/>
      <c r="AO138"/>
      <c r="AP138"/>
      <c r="AQ138"/>
    </row>
    <row r="139" spans="30:43" x14ac:dyDescent="0.25">
      <c r="AD139" s="17"/>
      <c r="AE139" s="17"/>
      <c r="AF139" s="17"/>
      <c r="AG139" s="17"/>
      <c r="AH139" s="17"/>
      <c r="AI139" s="17"/>
      <c r="AJ139" s="17"/>
      <c r="AK139" s="17"/>
      <c r="AN139"/>
      <c r="AO139"/>
      <c r="AP139"/>
      <c r="AQ139"/>
    </row>
    <row r="140" spans="30:43" x14ac:dyDescent="0.25">
      <c r="AD140" s="17"/>
      <c r="AE140" s="17"/>
      <c r="AF140" s="17"/>
      <c r="AG140" s="17"/>
      <c r="AH140" s="17"/>
      <c r="AI140" s="17"/>
      <c r="AJ140" s="17"/>
      <c r="AK140" s="17"/>
      <c r="AN140"/>
      <c r="AO140"/>
      <c r="AP140"/>
      <c r="AQ140"/>
    </row>
    <row r="141" spans="30:43" x14ac:dyDescent="0.25">
      <c r="AD141" s="17"/>
      <c r="AE141" s="17"/>
      <c r="AF141" s="17"/>
      <c r="AG141" s="17"/>
      <c r="AH141" s="17"/>
      <c r="AI141" s="17"/>
      <c r="AJ141" s="17"/>
      <c r="AK141" s="17"/>
      <c r="AN141"/>
      <c r="AO141"/>
      <c r="AP141"/>
      <c r="AQ141"/>
    </row>
    <row r="142" spans="30:43" x14ac:dyDescent="0.25">
      <c r="AD142" s="17"/>
      <c r="AE142" s="17"/>
      <c r="AF142" s="17"/>
      <c r="AG142" s="17"/>
      <c r="AH142" s="17"/>
      <c r="AI142" s="17"/>
      <c r="AJ142" s="17"/>
      <c r="AK142" s="17"/>
      <c r="AN142"/>
      <c r="AO142"/>
      <c r="AP142"/>
      <c r="AQ142"/>
    </row>
    <row r="143" spans="30:43" x14ac:dyDescent="0.25">
      <c r="AD143" s="17"/>
      <c r="AE143" s="17"/>
      <c r="AF143" s="17"/>
      <c r="AG143" s="17"/>
      <c r="AH143" s="17"/>
      <c r="AI143" s="17"/>
      <c r="AJ143" s="17"/>
      <c r="AK143" s="17"/>
      <c r="AN143"/>
      <c r="AO143"/>
      <c r="AP143"/>
      <c r="AQ143"/>
    </row>
    <row r="144" spans="30:43" x14ac:dyDescent="0.25">
      <c r="AD144" s="17"/>
      <c r="AE144" s="17"/>
      <c r="AF144" s="17"/>
      <c r="AG144" s="17"/>
      <c r="AH144" s="17"/>
      <c r="AI144" s="17"/>
      <c r="AJ144" s="17"/>
      <c r="AK144" s="17"/>
      <c r="AN144"/>
      <c r="AO144"/>
      <c r="AP144"/>
      <c r="AQ144"/>
    </row>
    <row r="145" spans="30:43" x14ac:dyDescent="0.25">
      <c r="AD145" s="17"/>
      <c r="AE145" s="17"/>
      <c r="AF145" s="17"/>
      <c r="AG145" s="17"/>
      <c r="AH145" s="17"/>
      <c r="AI145" s="17"/>
      <c r="AJ145" s="17"/>
      <c r="AK145" s="17"/>
      <c r="AN145"/>
      <c r="AO145"/>
      <c r="AP145"/>
      <c r="AQ145"/>
    </row>
    <row r="146" spans="30:43" x14ac:dyDescent="0.25">
      <c r="AD146" s="17"/>
      <c r="AE146" s="17"/>
      <c r="AF146" s="17"/>
      <c r="AG146" s="17"/>
      <c r="AH146" s="17"/>
      <c r="AI146" s="17"/>
      <c r="AJ146" s="17"/>
      <c r="AK146" s="17"/>
      <c r="AN146"/>
      <c r="AO146"/>
      <c r="AP146"/>
      <c r="AQ146"/>
    </row>
    <row r="147" spans="30:43" x14ac:dyDescent="0.25">
      <c r="AD147" s="17"/>
      <c r="AE147" s="17"/>
      <c r="AF147" s="17"/>
      <c r="AG147" s="17"/>
      <c r="AH147" s="17"/>
      <c r="AI147" s="17"/>
      <c r="AJ147" s="17"/>
      <c r="AK147" s="17"/>
      <c r="AN147"/>
      <c r="AO147"/>
      <c r="AP147"/>
      <c r="AQ147"/>
    </row>
    <row r="148" spans="30:43" x14ac:dyDescent="0.25">
      <c r="AD148" s="17"/>
      <c r="AE148" s="17"/>
      <c r="AF148" s="17"/>
      <c r="AG148" s="17"/>
      <c r="AH148" s="17"/>
      <c r="AI148" s="17"/>
      <c r="AJ148" s="17"/>
      <c r="AK148" s="17"/>
      <c r="AN148"/>
      <c r="AO148"/>
      <c r="AP148"/>
      <c r="AQ148"/>
    </row>
    <row r="149" spans="30:43" x14ac:dyDescent="0.25">
      <c r="AD149" s="17"/>
      <c r="AE149" s="17"/>
      <c r="AF149" s="17"/>
      <c r="AG149" s="17"/>
      <c r="AH149" s="17"/>
      <c r="AI149" s="17"/>
      <c r="AJ149" s="17"/>
      <c r="AK149" s="17"/>
      <c r="AN149"/>
      <c r="AO149"/>
      <c r="AP149"/>
      <c r="AQ149"/>
    </row>
    <row r="150" spans="30:43" x14ac:dyDescent="0.25">
      <c r="AD150" s="17"/>
      <c r="AE150" s="17"/>
      <c r="AF150" s="17"/>
      <c r="AG150" s="17"/>
      <c r="AH150" s="17"/>
      <c r="AI150" s="17"/>
      <c r="AJ150" s="17"/>
      <c r="AK150" s="17"/>
      <c r="AN150"/>
      <c r="AO150"/>
      <c r="AP150"/>
      <c r="AQ150"/>
    </row>
    <row r="151" spans="30:43" x14ac:dyDescent="0.25">
      <c r="AD151" s="17"/>
      <c r="AE151" s="17"/>
      <c r="AF151" s="17"/>
      <c r="AG151" s="17"/>
      <c r="AH151" s="17"/>
      <c r="AI151" s="17"/>
      <c r="AJ151" s="17"/>
      <c r="AK151" s="17"/>
      <c r="AN151"/>
      <c r="AO151"/>
      <c r="AP151"/>
      <c r="AQ151"/>
    </row>
    <row r="152" spans="30:43" x14ac:dyDescent="0.25">
      <c r="AD152" s="17"/>
      <c r="AE152" s="17"/>
      <c r="AF152" s="17"/>
      <c r="AG152" s="17"/>
      <c r="AH152" s="17"/>
      <c r="AI152" s="17"/>
      <c r="AJ152" s="17"/>
      <c r="AK152" s="17"/>
      <c r="AN152"/>
      <c r="AO152"/>
      <c r="AP152"/>
      <c r="AQ152"/>
    </row>
    <row r="153" spans="30:43" x14ac:dyDescent="0.25">
      <c r="AD153" s="17"/>
      <c r="AE153" s="17"/>
      <c r="AF153" s="17"/>
      <c r="AG153" s="17"/>
      <c r="AH153" s="17"/>
      <c r="AI153" s="17"/>
      <c r="AJ153" s="17"/>
      <c r="AK153" s="17"/>
      <c r="AN153"/>
      <c r="AO153"/>
      <c r="AP153"/>
      <c r="AQ153"/>
    </row>
    <row r="154" spans="30:43" x14ac:dyDescent="0.25">
      <c r="AD154" s="17"/>
      <c r="AE154" s="17"/>
      <c r="AF154" s="17"/>
      <c r="AG154" s="17"/>
      <c r="AH154" s="17"/>
      <c r="AI154" s="17"/>
      <c r="AJ154" s="17"/>
      <c r="AK154" s="17"/>
      <c r="AN154"/>
      <c r="AO154"/>
      <c r="AP154"/>
      <c r="AQ154"/>
    </row>
    <row r="155" spans="30:43" x14ac:dyDescent="0.25">
      <c r="AD155" s="17"/>
      <c r="AE155" s="17"/>
      <c r="AF155" s="17"/>
      <c r="AG155" s="17"/>
      <c r="AH155" s="17"/>
      <c r="AI155" s="17"/>
      <c r="AJ155" s="17"/>
      <c r="AK155" s="17"/>
      <c r="AN155"/>
      <c r="AO155"/>
      <c r="AP155"/>
      <c r="AQ155"/>
    </row>
    <row r="156" spans="30:43" x14ac:dyDescent="0.25">
      <c r="AD156" s="17"/>
      <c r="AE156" s="17"/>
      <c r="AF156" s="17"/>
      <c r="AG156" s="17"/>
      <c r="AH156" s="17"/>
      <c r="AI156" s="17"/>
      <c r="AJ156" s="17"/>
      <c r="AK156" s="17"/>
      <c r="AN156"/>
      <c r="AO156"/>
      <c r="AP156"/>
      <c r="AQ156"/>
    </row>
    <row r="157" spans="30:43" x14ac:dyDescent="0.25">
      <c r="AD157" s="17"/>
      <c r="AE157" s="17"/>
      <c r="AF157" s="17"/>
      <c r="AG157" s="17"/>
      <c r="AH157" s="17"/>
      <c r="AI157" s="17"/>
      <c r="AJ157" s="17"/>
      <c r="AK157" s="17"/>
      <c r="AN157"/>
      <c r="AO157"/>
      <c r="AP157"/>
      <c r="AQ157"/>
    </row>
    <row r="158" spans="30:43" x14ac:dyDescent="0.25">
      <c r="AD158" s="17"/>
      <c r="AE158" s="17"/>
      <c r="AF158" s="17"/>
      <c r="AG158" s="17"/>
      <c r="AH158" s="17"/>
      <c r="AI158" s="17"/>
      <c r="AJ158" s="17"/>
      <c r="AK158" s="17"/>
      <c r="AN158"/>
      <c r="AO158"/>
      <c r="AP158"/>
      <c r="AQ158"/>
    </row>
    <row r="159" spans="30:43" x14ac:dyDescent="0.25">
      <c r="AD159" s="17"/>
      <c r="AE159" s="17"/>
      <c r="AF159" s="17"/>
      <c r="AG159" s="17"/>
      <c r="AH159" s="17"/>
      <c r="AI159" s="17"/>
      <c r="AJ159" s="17"/>
      <c r="AK159" s="17"/>
      <c r="AN159"/>
      <c r="AO159"/>
      <c r="AP159"/>
      <c r="AQ159"/>
    </row>
    <row r="160" spans="30:43" x14ac:dyDescent="0.25">
      <c r="AD160" s="17"/>
      <c r="AE160" s="17"/>
      <c r="AF160" s="17"/>
      <c r="AG160" s="17"/>
      <c r="AH160" s="17"/>
      <c r="AI160" s="17"/>
      <c r="AJ160" s="17"/>
      <c r="AK160" s="17"/>
      <c r="AN160"/>
      <c r="AO160"/>
      <c r="AP160"/>
      <c r="AQ160"/>
    </row>
    <row r="161" spans="30:43" x14ac:dyDescent="0.25">
      <c r="AD161" s="17"/>
      <c r="AE161" s="17"/>
      <c r="AF161" s="17"/>
      <c r="AG161" s="17"/>
      <c r="AH161" s="17"/>
      <c r="AI161" s="17"/>
      <c r="AJ161" s="17"/>
      <c r="AK161" s="17"/>
      <c r="AN161"/>
      <c r="AO161"/>
      <c r="AP161"/>
      <c r="AQ161"/>
    </row>
    <row r="162" spans="30:43" x14ac:dyDescent="0.25">
      <c r="AD162" s="17"/>
      <c r="AE162" s="17"/>
      <c r="AF162" s="17"/>
      <c r="AG162" s="17"/>
      <c r="AH162" s="17"/>
      <c r="AI162" s="17"/>
      <c r="AJ162" s="17"/>
      <c r="AK162" s="17"/>
      <c r="AN162"/>
      <c r="AO162"/>
      <c r="AP162"/>
      <c r="AQ162"/>
    </row>
    <row r="163" spans="30:43" x14ac:dyDescent="0.25">
      <c r="AD163" s="17"/>
      <c r="AE163" s="17"/>
      <c r="AF163" s="17"/>
      <c r="AG163" s="17"/>
      <c r="AH163" s="17"/>
      <c r="AI163" s="17"/>
      <c r="AJ163" s="17"/>
      <c r="AK163" s="17"/>
      <c r="AN163"/>
      <c r="AO163"/>
      <c r="AP163"/>
      <c r="AQ163"/>
    </row>
    <row r="164" spans="30:43" x14ac:dyDescent="0.25">
      <c r="AD164" s="17"/>
      <c r="AE164" s="17"/>
      <c r="AF164" s="17"/>
      <c r="AG164" s="17"/>
      <c r="AH164" s="17"/>
      <c r="AI164" s="17"/>
      <c r="AJ164" s="17"/>
      <c r="AK164" s="17"/>
      <c r="AN164"/>
      <c r="AO164"/>
      <c r="AP164"/>
      <c r="AQ164"/>
    </row>
    <row r="165" spans="30:43" x14ac:dyDescent="0.25">
      <c r="AD165" s="17"/>
      <c r="AE165" s="17"/>
      <c r="AF165" s="17"/>
      <c r="AG165" s="17"/>
      <c r="AH165" s="17"/>
      <c r="AI165" s="17"/>
      <c r="AJ165" s="17"/>
      <c r="AK165" s="17"/>
      <c r="AN165"/>
      <c r="AO165"/>
      <c r="AP165"/>
      <c r="AQ165"/>
    </row>
    <row r="166" spans="30:43" x14ac:dyDescent="0.25">
      <c r="AD166" s="17"/>
      <c r="AE166" s="17"/>
      <c r="AF166" s="17"/>
      <c r="AG166" s="17"/>
      <c r="AH166" s="17"/>
      <c r="AI166" s="17"/>
      <c r="AJ166" s="17"/>
      <c r="AK166" s="17"/>
      <c r="AN166"/>
      <c r="AO166"/>
      <c r="AP166"/>
      <c r="AQ166"/>
    </row>
    <row r="167" spans="30:43" x14ac:dyDescent="0.25">
      <c r="AD167" s="17"/>
      <c r="AE167" s="17"/>
      <c r="AF167" s="17"/>
      <c r="AG167" s="17"/>
      <c r="AH167" s="17"/>
      <c r="AI167" s="17"/>
      <c r="AJ167" s="17"/>
      <c r="AK167" s="17"/>
      <c r="AN167"/>
      <c r="AO167"/>
      <c r="AP167"/>
      <c r="AQ167"/>
    </row>
    <row r="168" spans="30:43" x14ac:dyDescent="0.25">
      <c r="AD168" s="17"/>
      <c r="AE168" s="17"/>
      <c r="AF168" s="17"/>
      <c r="AG168" s="17"/>
      <c r="AH168" s="17"/>
      <c r="AI168" s="17"/>
      <c r="AJ168" s="17"/>
      <c r="AK168" s="17"/>
      <c r="AN168"/>
      <c r="AO168"/>
      <c r="AP168"/>
      <c r="AQ168"/>
    </row>
    <row r="169" spans="30:43" x14ac:dyDescent="0.25">
      <c r="AD169" s="17"/>
      <c r="AE169" s="17"/>
      <c r="AF169" s="17"/>
      <c r="AG169" s="17"/>
      <c r="AH169" s="17"/>
      <c r="AI169" s="17"/>
      <c r="AJ169" s="17"/>
      <c r="AK169" s="17"/>
      <c r="AN169"/>
      <c r="AO169"/>
      <c r="AP169"/>
      <c r="AQ169"/>
    </row>
    <row r="170" spans="30:43" x14ac:dyDescent="0.25">
      <c r="AD170" s="17"/>
      <c r="AE170" s="17"/>
      <c r="AF170" s="17"/>
      <c r="AG170" s="17"/>
      <c r="AH170" s="17"/>
      <c r="AI170" s="17"/>
      <c r="AJ170" s="17"/>
      <c r="AK170" s="17"/>
      <c r="AN170"/>
      <c r="AO170"/>
      <c r="AP170"/>
      <c r="AQ170"/>
    </row>
    <row r="171" spans="30:43" x14ac:dyDescent="0.25">
      <c r="AD171" s="17"/>
      <c r="AE171" s="17"/>
      <c r="AF171" s="17"/>
      <c r="AG171" s="17"/>
      <c r="AH171" s="17"/>
      <c r="AI171" s="17"/>
      <c r="AJ171" s="17"/>
      <c r="AK171" s="17"/>
      <c r="AN171"/>
      <c r="AO171"/>
      <c r="AP171"/>
      <c r="AQ171"/>
    </row>
    <row r="172" spans="30:43" x14ac:dyDescent="0.25">
      <c r="AD172" s="17"/>
      <c r="AE172" s="17"/>
      <c r="AF172" s="17"/>
      <c r="AG172" s="17"/>
      <c r="AH172" s="17"/>
      <c r="AI172" s="17"/>
      <c r="AJ172" s="17"/>
      <c r="AK172" s="17"/>
      <c r="AN172"/>
      <c r="AO172"/>
      <c r="AP172"/>
      <c r="AQ172"/>
    </row>
    <row r="173" spans="30:43" x14ac:dyDescent="0.25">
      <c r="AD173" s="17"/>
      <c r="AE173" s="17"/>
      <c r="AF173" s="17"/>
      <c r="AG173" s="17"/>
      <c r="AH173" s="17"/>
      <c r="AI173" s="17"/>
      <c r="AJ173" s="17"/>
      <c r="AK173" s="17"/>
      <c r="AN173"/>
      <c r="AO173"/>
      <c r="AP173"/>
      <c r="AQ173"/>
    </row>
    <row r="174" spans="30:43" x14ac:dyDescent="0.25">
      <c r="AD174" s="17"/>
      <c r="AE174" s="17"/>
      <c r="AF174" s="17"/>
      <c r="AG174" s="17"/>
      <c r="AH174" s="17"/>
      <c r="AI174" s="17"/>
      <c r="AJ174" s="17"/>
      <c r="AK174" s="17"/>
      <c r="AN174"/>
      <c r="AO174"/>
      <c r="AP174"/>
      <c r="AQ174"/>
    </row>
    <row r="175" spans="30:43" x14ac:dyDescent="0.25">
      <c r="AD175" s="17"/>
      <c r="AE175" s="17"/>
      <c r="AF175" s="17"/>
      <c r="AG175" s="17"/>
      <c r="AH175" s="17"/>
      <c r="AI175" s="17"/>
      <c r="AJ175" s="17"/>
      <c r="AK175" s="17"/>
      <c r="AN175"/>
      <c r="AO175"/>
      <c r="AP175"/>
      <c r="AQ175"/>
    </row>
    <row r="176" spans="30:43" x14ac:dyDescent="0.25">
      <c r="AD176" s="17"/>
      <c r="AE176" s="17"/>
      <c r="AF176" s="17"/>
      <c r="AG176" s="17"/>
      <c r="AH176" s="17"/>
      <c r="AI176" s="17"/>
      <c r="AJ176" s="17"/>
      <c r="AK176" s="17"/>
      <c r="AN176"/>
      <c r="AO176"/>
      <c r="AP176"/>
      <c r="AQ176"/>
    </row>
    <row r="177" spans="30:43" x14ac:dyDescent="0.25">
      <c r="AD177" s="17"/>
      <c r="AE177" s="17"/>
      <c r="AF177" s="17"/>
      <c r="AG177" s="17"/>
      <c r="AH177" s="17"/>
      <c r="AI177" s="17"/>
      <c r="AJ177" s="17"/>
      <c r="AK177" s="17"/>
      <c r="AN177"/>
      <c r="AO177"/>
      <c r="AP177"/>
      <c r="AQ177"/>
    </row>
    <row r="178" spans="30:43" x14ac:dyDescent="0.25">
      <c r="AD178" s="17"/>
      <c r="AE178" s="17"/>
      <c r="AF178" s="17"/>
      <c r="AG178" s="17"/>
      <c r="AH178" s="17"/>
      <c r="AI178" s="17"/>
      <c r="AJ178" s="17"/>
      <c r="AK178" s="17"/>
      <c r="AN178"/>
      <c r="AO178"/>
      <c r="AP178"/>
      <c r="AQ178"/>
    </row>
    <row r="179" spans="30:43" x14ac:dyDescent="0.25">
      <c r="AD179" s="17"/>
      <c r="AE179" s="17"/>
      <c r="AF179" s="17"/>
      <c r="AG179" s="17"/>
      <c r="AH179" s="17"/>
      <c r="AI179" s="17"/>
      <c r="AJ179" s="17"/>
      <c r="AK179" s="17"/>
      <c r="AN179"/>
      <c r="AO179"/>
      <c r="AP179"/>
      <c r="AQ179"/>
    </row>
    <row r="180" spans="30:43" x14ac:dyDescent="0.25">
      <c r="AD180" s="17"/>
      <c r="AE180" s="17"/>
      <c r="AF180" s="17"/>
      <c r="AG180" s="17"/>
      <c r="AH180" s="17"/>
      <c r="AI180" s="17"/>
      <c r="AJ180" s="17"/>
      <c r="AK180" s="17"/>
      <c r="AN180"/>
      <c r="AO180"/>
      <c r="AP180"/>
      <c r="AQ180"/>
    </row>
    <row r="181" spans="30:43" x14ac:dyDescent="0.25">
      <c r="AD181" s="17"/>
      <c r="AE181" s="17"/>
      <c r="AF181" s="17"/>
      <c r="AG181" s="17"/>
      <c r="AH181" s="17"/>
      <c r="AI181" s="17"/>
      <c r="AJ181" s="17"/>
      <c r="AK181" s="17"/>
      <c r="AN181"/>
      <c r="AO181"/>
      <c r="AP181"/>
      <c r="AQ181"/>
    </row>
    <row r="182" spans="30:43" x14ac:dyDescent="0.25">
      <c r="AD182" s="17"/>
      <c r="AE182" s="17"/>
      <c r="AF182" s="17"/>
      <c r="AG182" s="17"/>
      <c r="AH182" s="17"/>
      <c r="AI182" s="17"/>
      <c r="AJ182" s="17"/>
      <c r="AK182" s="17"/>
      <c r="AN182"/>
      <c r="AO182"/>
      <c r="AP182"/>
      <c r="AQ182"/>
    </row>
    <row r="183" spans="30:43" x14ac:dyDescent="0.25">
      <c r="AD183" s="17"/>
      <c r="AE183" s="17"/>
      <c r="AF183" s="17"/>
      <c r="AG183" s="17"/>
      <c r="AH183" s="17"/>
      <c r="AI183" s="17"/>
      <c r="AJ183" s="17"/>
      <c r="AK183" s="17"/>
      <c r="AN183"/>
      <c r="AO183"/>
      <c r="AP183"/>
      <c r="AQ183"/>
    </row>
    <row r="184" spans="30:43" x14ac:dyDescent="0.25">
      <c r="AD184" s="17"/>
      <c r="AE184" s="17"/>
      <c r="AF184" s="17"/>
      <c r="AG184" s="17"/>
      <c r="AH184" s="17"/>
      <c r="AI184" s="17"/>
      <c r="AJ184" s="17"/>
      <c r="AK184" s="17"/>
      <c r="AN184"/>
      <c r="AO184"/>
      <c r="AP184"/>
      <c r="AQ184"/>
    </row>
    <row r="185" spans="30:43" x14ac:dyDescent="0.25">
      <c r="AD185" s="17"/>
      <c r="AE185" s="17"/>
      <c r="AF185" s="17"/>
      <c r="AG185" s="17"/>
      <c r="AH185" s="17"/>
      <c r="AI185" s="17"/>
      <c r="AJ185" s="17"/>
      <c r="AK185" s="17"/>
      <c r="AN185"/>
      <c r="AO185"/>
      <c r="AP185"/>
      <c r="AQ185"/>
    </row>
    <row r="186" spans="30:43" x14ac:dyDescent="0.25">
      <c r="AD186" s="17"/>
      <c r="AE186" s="17"/>
      <c r="AF186" s="17"/>
      <c r="AG186" s="17"/>
      <c r="AH186" s="17"/>
      <c r="AI186" s="17"/>
      <c r="AJ186" s="17"/>
      <c r="AK186" s="17"/>
      <c r="AN186"/>
      <c r="AO186"/>
      <c r="AP186"/>
      <c r="AQ186"/>
    </row>
    <row r="187" spans="30:43" x14ac:dyDescent="0.25">
      <c r="AD187" s="17"/>
      <c r="AE187" s="17"/>
      <c r="AF187" s="17"/>
      <c r="AG187" s="17"/>
      <c r="AH187" s="17"/>
      <c r="AI187" s="17"/>
      <c r="AJ187" s="17"/>
      <c r="AK187" s="17"/>
      <c r="AN187"/>
      <c r="AO187"/>
      <c r="AP187"/>
      <c r="AQ187"/>
    </row>
    <row r="188" spans="30:43" x14ac:dyDescent="0.25">
      <c r="AD188" s="17"/>
      <c r="AE188" s="17"/>
      <c r="AF188" s="17"/>
      <c r="AG188" s="17"/>
      <c r="AH188" s="17"/>
      <c r="AI188" s="17"/>
      <c r="AJ188" s="17"/>
      <c r="AK188" s="17"/>
      <c r="AN188"/>
      <c r="AO188"/>
      <c r="AP188"/>
      <c r="AQ188"/>
    </row>
    <row r="189" spans="30:43" x14ac:dyDescent="0.25">
      <c r="AD189" s="17"/>
      <c r="AE189" s="17"/>
      <c r="AF189" s="17"/>
      <c r="AG189" s="17"/>
      <c r="AH189" s="17"/>
      <c r="AI189" s="17"/>
      <c r="AJ189" s="17"/>
      <c r="AK189" s="17"/>
      <c r="AN189"/>
      <c r="AO189"/>
      <c r="AP189"/>
      <c r="AQ189"/>
    </row>
    <row r="190" spans="30:43" x14ac:dyDescent="0.25">
      <c r="AD190" s="17"/>
      <c r="AE190" s="17"/>
      <c r="AF190" s="17"/>
      <c r="AG190" s="17"/>
      <c r="AH190" s="17"/>
      <c r="AI190" s="17"/>
      <c r="AJ190" s="17"/>
      <c r="AK190" s="17"/>
      <c r="AN190"/>
      <c r="AO190"/>
      <c r="AP190"/>
      <c r="AQ190"/>
    </row>
    <row r="191" spans="30:43" x14ac:dyDescent="0.25">
      <c r="AD191" s="17"/>
      <c r="AE191" s="17"/>
      <c r="AF191" s="17"/>
      <c r="AG191" s="17"/>
      <c r="AH191" s="17"/>
      <c r="AI191" s="17"/>
      <c r="AJ191" s="17"/>
      <c r="AK191" s="17"/>
      <c r="AN191"/>
      <c r="AO191"/>
      <c r="AP191"/>
      <c r="AQ191"/>
    </row>
    <row r="192" spans="30:43" x14ac:dyDescent="0.25">
      <c r="AD192" s="17"/>
      <c r="AE192" s="17"/>
      <c r="AF192" s="17"/>
      <c r="AG192" s="17"/>
      <c r="AH192" s="17"/>
      <c r="AI192" s="17"/>
      <c r="AJ192" s="17"/>
      <c r="AK192" s="17"/>
      <c r="AN192"/>
      <c r="AO192"/>
      <c r="AP192"/>
      <c r="AQ192"/>
    </row>
    <row r="193" spans="30:43" x14ac:dyDescent="0.25">
      <c r="AD193" s="17"/>
      <c r="AE193" s="17"/>
      <c r="AF193" s="17"/>
      <c r="AG193" s="17"/>
      <c r="AH193" s="17"/>
      <c r="AI193" s="17"/>
      <c r="AJ193" s="17"/>
      <c r="AK193" s="17"/>
      <c r="AN193"/>
      <c r="AO193"/>
      <c r="AP193"/>
      <c r="AQ193"/>
    </row>
    <row r="194" spans="30:43" x14ac:dyDescent="0.25">
      <c r="AD194" s="17"/>
      <c r="AE194" s="17"/>
      <c r="AF194" s="17"/>
      <c r="AG194" s="17"/>
      <c r="AH194" s="17"/>
      <c r="AI194" s="17"/>
      <c r="AJ194" s="17"/>
      <c r="AK194" s="17"/>
      <c r="AN194"/>
      <c r="AO194"/>
      <c r="AP194"/>
      <c r="AQ194"/>
    </row>
    <row r="195" spans="30:43" x14ac:dyDescent="0.25">
      <c r="AD195" s="17"/>
      <c r="AE195" s="17"/>
      <c r="AF195" s="17"/>
      <c r="AG195" s="17"/>
      <c r="AH195" s="17"/>
      <c r="AI195" s="17"/>
      <c r="AJ195" s="17"/>
      <c r="AK195" s="17"/>
      <c r="AN195"/>
      <c r="AO195"/>
      <c r="AP195"/>
      <c r="AQ195"/>
    </row>
    <row r="196" spans="30:43" x14ac:dyDescent="0.25">
      <c r="AD196" s="17"/>
      <c r="AE196" s="17"/>
      <c r="AF196" s="17"/>
      <c r="AG196" s="17"/>
      <c r="AH196" s="17"/>
      <c r="AI196" s="17"/>
      <c r="AJ196" s="17"/>
      <c r="AK196" s="17"/>
      <c r="AN196"/>
      <c r="AO196"/>
      <c r="AP196"/>
      <c r="AQ196"/>
    </row>
    <row r="197" spans="30:43" x14ac:dyDescent="0.25">
      <c r="AD197" s="17"/>
      <c r="AE197" s="17"/>
      <c r="AF197" s="17"/>
      <c r="AG197" s="17"/>
      <c r="AH197" s="17"/>
      <c r="AI197" s="17"/>
      <c r="AJ197" s="17"/>
      <c r="AK197" s="17"/>
      <c r="AN197"/>
      <c r="AO197"/>
      <c r="AP197"/>
      <c r="AQ197"/>
    </row>
    <row r="198" spans="30:43" x14ac:dyDescent="0.25">
      <c r="AD198" s="17"/>
      <c r="AE198" s="17"/>
      <c r="AF198" s="17"/>
      <c r="AG198" s="17"/>
      <c r="AH198" s="17"/>
      <c r="AI198" s="17"/>
      <c r="AJ198" s="17"/>
      <c r="AK198" s="17"/>
      <c r="AN198"/>
      <c r="AO198"/>
      <c r="AP198"/>
      <c r="AQ198"/>
    </row>
    <row r="199" spans="30:43" x14ac:dyDescent="0.25">
      <c r="AD199" s="17"/>
      <c r="AE199" s="17"/>
      <c r="AF199" s="17"/>
      <c r="AG199" s="17"/>
      <c r="AH199" s="17"/>
      <c r="AI199" s="17"/>
      <c r="AJ199" s="17"/>
      <c r="AK199" s="17"/>
      <c r="AN199"/>
      <c r="AO199"/>
      <c r="AP199"/>
      <c r="AQ199"/>
    </row>
    <row r="200" spans="30:43" x14ac:dyDescent="0.25">
      <c r="AD200" s="17"/>
      <c r="AE200" s="17"/>
      <c r="AF200" s="17"/>
      <c r="AG200" s="17"/>
      <c r="AH200" s="17"/>
      <c r="AI200" s="17"/>
      <c r="AJ200" s="17"/>
      <c r="AK200" s="17"/>
      <c r="AN200"/>
      <c r="AO200"/>
      <c r="AP200"/>
      <c r="AQ200"/>
    </row>
    <row r="201" spans="30:43" x14ac:dyDescent="0.25">
      <c r="AD201" s="17"/>
      <c r="AE201" s="17"/>
      <c r="AF201" s="17"/>
      <c r="AG201" s="17"/>
      <c r="AH201" s="17"/>
      <c r="AI201" s="17"/>
      <c r="AJ201" s="17"/>
      <c r="AK201" s="17"/>
      <c r="AN201"/>
      <c r="AO201"/>
      <c r="AP201"/>
      <c r="AQ201"/>
    </row>
    <row r="202" spans="30:43" x14ac:dyDescent="0.25">
      <c r="AD202" s="17"/>
      <c r="AE202" s="17"/>
      <c r="AF202" s="17"/>
      <c r="AG202" s="17"/>
      <c r="AH202" s="17"/>
      <c r="AI202" s="17"/>
      <c r="AJ202" s="17"/>
      <c r="AK202" s="17"/>
      <c r="AN202"/>
      <c r="AO202"/>
      <c r="AP202"/>
      <c r="AQ202"/>
    </row>
    <row r="203" spans="30:43" x14ac:dyDescent="0.25">
      <c r="AD203" s="17"/>
      <c r="AE203" s="17"/>
      <c r="AF203" s="17"/>
      <c r="AG203" s="17"/>
      <c r="AH203" s="17"/>
      <c r="AI203" s="17"/>
      <c r="AJ203" s="17"/>
      <c r="AK203" s="17"/>
      <c r="AN203"/>
      <c r="AO203"/>
      <c r="AP203"/>
      <c r="AQ203"/>
    </row>
    <row r="204" spans="30:43" x14ac:dyDescent="0.25">
      <c r="AD204" s="17"/>
      <c r="AE204" s="17"/>
      <c r="AF204" s="17"/>
      <c r="AG204" s="17"/>
      <c r="AH204" s="17"/>
      <c r="AI204" s="17"/>
      <c r="AJ204" s="17"/>
      <c r="AK204" s="17"/>
      <c r="AN204"/>
      <c r="AO204"/>
      <c r="AP204"/>
      <c r="AQ204"/>
    </row>
    <row r="205" spans="30:43" x14ac:dyDescent="0.25">
      <c r="AD205" s="17"/>
      <c r="AE205" s="17"/>
      <c r="AF205" s="17"/>
      <c r="AG205" s="17"/>
      <c r="AH205" s="17"/>
      <c r="AI205" s="17"/>
      <c r="AJ205" s="17"/>
      <c r="AK205" s="17"/>
      <c r="AN205"/>
      <c r="AO205"/>
      <c r="AP205"/>
      <c r="AQ205"/>
    </row>
    <row r="206" spans="30:43" x14ac:dyDescent="0.25">
      <c r="AD206" s="17"/>
      <c r="AE206" s="17"/>
      <c r="AF206" s="17"/>
      <c r="AG206" s="17"/>
      <c r="AH206" s="17"/>
      <c r="AI206" s="17"/>
      <c r="AJ206" s="17"/>
      <c r="AK206" s="17"/>
      <c r="AN206"/>
      <c r="AO206"/>
      <c r="AP206"/>
      <c r="AQ206"/>
    </row>
    <row r="207" spans="30:43" x14ac:dyDescent="0.25">
      <c r="AD207" s="17"/>
      <c r="AE207" s="17"/>
      <c r="AF207" s="17"/>
      <c r="AG207" s="17"/>
      <c r="AH207" s="17"/>
      <c r="AI207" s="17"/>
      <c r="AJ207" s="17"/>
      <c r="AK207" s="17"/>
      <c r="AN207"/>
      <c r="AO207"/>
      <c r="AP207"/>
      <c r="AQ207"/>
    </row>
    <row r="208" spans="30:43" x14ac:dyDescent="0.25">
      <c r="AD208" s="17"/>
      <c r="AE208" s="17"/>
      <c r="AF208" s="17"/>
      <c r="AG208" s="17"/>
      <c r="AH208" s="17"/>
      <c r="AI208" s="17"/>
      <c r="AJ208" s="17"/>
      <c r="AK208" s="17"/>
      <c r="AN208"/>
      <c r="AO208"/>
      <c r="AP208"/>
      <c r="AQ208"/>
    </row>
    <row r="209" spans="30:43" x14ac:dyDescent="0.25">
      <c r="AD209" s="17"/>
      <c r="AE209" s="17"/>
      <c r="AF209" s="17"/>
      <c r="AG209" s="17"/>
      <c r="AH209" s="17"/>
      <c r="AI209" s="17"/>
      <c r="AJ209" s="17"/>
      <c r="AK209" s="17"/>
      <c r="AN209"/>
      <c r="AO209"/>
      <c r="AP209"/>
      <c r="AQ209"/>
    </row>
    <row r="210" spans="30:43" x14ac:dyDescent="0.25">
      <c r="AD210" s="17"/>
      <c r="AE210" s="17"/>
      <c r="AF210" s="17"/>
      <c r="AG210" s="17"/>
      <c r="AH210" s="17"/>
      <c r="AI210" s="17"/>
      <c r="AJ210" s="17"/>
      <c r="AK210" s="17"/>
      <c r="AN210"/>
      <c r="AO210"/>
      <c r="AP210"/>
      <c r="AQ210"/>
    </row>
    <row r="211" spans="30:43" x14ac:dyDescent="0.25">
      <c r="AD211" s="17"/>
      <c r="AE211" s="17"/>
      <c r="AF211" s="17"/>
      <c r="AG211" s="17"/>
      <c r="AH211" s="17"/>
      <c r="AI211" s="17"/>
      <c r="AJ211" s="17"/>
      <c r="AK211" s="17"/>
      <c r="AN211"/>
      <c r="AO211"/>
      <c r="AP211"/>
      <c r="AQ211"/>
    </row>
    <row r="212" spans="30:43" x14ac:dyDescent="0.25">
      <c r="AD212" s="17"/>
      <c r="AE212" s="17"/>
      <c r="AF212" s="17"/>
      <c r="AG212" s="17"/>
      <c r="AH212" s="17"/>
      <c r="AI212" s="17"/>
      <c r="AJ212" s="17"/>
      <c r="AK212" s="17"/>
      <c r="AN212"/>
      <c r="AO212"/>
      <c r="AP212"/>
      <c r="AQ212"/>
    </row>
    <row r="213" spans="30:43" x14ac:dyDescent="0.25">
      <c r="AD213" s="17"/>
      <c r="AE213" s="17"/>
      <c r="AF213" s="17"/>
      <c r="AG213" s="17"/>
      <c r="AH213" s="17"/>
      <c r="AI213" s="17"/>
      <c r="AJ213" s="17"/>
      <c r="AK213" s="17"/>
      <c r="AN213"/>
      <c r="AO213"/>
      <c r="AP213"/>
      <c r="AQ213"/>
    </row>
    <row r="214" spans="30:43" x14ac:dyDescent="0.25">
      <c r="AD214" s="17"/>
      <c r="AE214" s="17"/>
      <c r="AF214" s="17"/>
      <c r="AG214" s="17"/>
      <c r="AH214" s="17"/>
      <c r="AI214" s="17"/>
      <c r="AJ214" s="17"/>
      <c r="AK214" s="17"/>
      <c r="AN214"/>
      <c r="AO214"/>
      <c r="AP214"/>
      <c r="AQ214"/>
    </row>
    <row r="215" spans="30:43" x14ac:dyDescent="0.25">
      <c r="AD215" s="17"/>
      <c r="AE215" s="17"/>
      <c r="AF215" s="17"/>
      <c r="AG215" s="17"/>
      <c r="AH215" s="17"/>
      <c r="AI215" s="17"/>
      <c r="AJ215" s="17"/>
      <c r="AK215" s="17"/>
      <c r="AN215"/>
      <c r="AO215"/>
      <c r="AP215"/>
      <c r="AQ215"/>
    </row>
    <row r="216" spans="30:43" x14ac:dyDescent="0.25">
      <c r="AD216" s="17"/>
      <c r="AE216" s="17"/>
      <c r="AF216" s="17"/>
      <c r="AG216" s="17"/>
      <c r="AH216" s="17"/>
      <c r="AI216" s="17"/>
      <c r="AJ216" s="17"/>
      <c r="AK216" s="17"/>
      <c r="AN216"/>
      <c r="AO216"/>
      <c r="AP216"/>
      <c r="AQ216"/>
    </row>
    <row r="217" spans="30:43" x14ac:dyDescent="0.25">
      <c r="AD217" s="17"/>
      <c r="AE217" s="17"/>
      <c r="AF217" s="17"/>
      <c r="AG217" s="17"/>
      <c r="AH217" s="17"/>
      <c r="AI217" s="17"/>
      <c r="AJ217" s="17"/>
      <c r="AK217" s="17"/>
      <c r="AN217"/>
      <c r="AO217"/>
      <c r="AP217"/>
      <c r="AQ217"/>
    </row>
    <row r="218" spans="30:43" x14ac:dyDescent="0.25">
      <c r="AD218" s="17"/>
      <c r="AE218" s="17"/>
      <c r="AF218" s="17"/>
      <c r="AG218" s="17"/>
      <c r="AH218" s="17"/>
      <c r="AI218" s="17"/>
      <c r="AJ218" s="17"/>
      <c r="AK218" s="17"/>
      <c r="AN218"/>
      <c r="AO218"/>
      <c r="AP218"/>
      <c r="AQ218"/>
    </row>
    <row r="219" spans="30:43" x14ac:dyDescent="0.25">
      <c r="AD219" s="17"/>
      <c r="AE219" s="17"/>
      <c r="AF219" s="17"/>
      <c r="AG219" s="17"/>
      <c r="AH219" s="17"/>
      <c r="AI219" s="17"/>
      <c r="AJ219" s="17"/>
      <c r="AK219" s="17"/>
      <c r="AN219"/>
      <c r="AO219"/>
      <c r="AP219"/>
      <c r="AQ219"/>
    </row>
    <row r="220" spans="30:43" x14ac:dyDescent="0.25">
      <c r="AD220" s="17"/>
      <c r="AE220" s="17"/>
      <c r="AF220" s="17"/>
      <c r="AG220" s="17"/>
      <c r="AH220" s="17"/>
      <c r="AI220" s="17"/>
      <c r="AJ220" s="17"/>
      <c r="AK220" s="17"/>
      <c r="AN220"/>
      <c r="AO220"/>
      <c r="AP220"/>
      <c r="AQ220"/>
    </row>
    <row r="221" spans="30:43" x14ac:dyDescent="0.25">
      <c r="AD221" s="17"/>
      <c r="AE221" s="17"/>
      <c r="AF221" s="17"/>
      <c r="AG221" s="17"/>
      <c r="AH221" s="17"/>
      <c r="AI221" s="17"/>
      <c r="AJ221" s="17"/>
      <c r="AK221" s="17"/>
      <c r="AN221"/>
      <c r="AO221"/>
      <c r="AP221"/>
      <c r="AQ221"/>
    </row>
    <row r="222" spans="30:43" x14ac:dyDescent="0.25">
      <c r="AD222" s="17"/>
      <c r="AE222" s="17"/>
      <c r="AF222" s="17"/>
      <c r="AG222" s="17"/>
      <c r="AH222" s="17"/>
      <c r="AI222" s="17"/>
      <c r="AJ222" s="17"/>
      <c r="AK222" s="17"/>
      <c r="AN222"/>
      <c r="AO222"/>
      <c r="AP222"/>
      <c r="AQ222"/>
    </row>
    <row r="223" spans="30:43" x14ac:dyDescent="0.25">
      <c r="AD223" s="17"/>
      <c r="AE223" s="17"/>
      <c r="AF223" s="17"/>
      <c r="AG223" s="17"/>
      <c r="AH223" s="17"/>
      <c r="AI223" s="17"/>
      <c r="AJ223" s="17"/>
      <c r="AK223" s="17"/>
      <c r="AN223"/>
      <c r="AO223"/>
      <c r="AP223"/>
      <c r="AQ223"/>
    </row>
    <row r="224" spans="30:43" x14ac:dyDescent="0.25">
      <c r="AD224" s="17"/>
      <c r="AE224" s="17"/>
      <c r="AF224" s="17"/>
      <c r="AG224" s="17"/>
      <c r="AH224" s="17"/>
      <c r="AI224" s="17"/>
      <c r="AJ224" s="17"/>
      <c r="AK224" s="17"/>
      <c r="AN224"/>
      <c r="AO224"/>
      <c r="AP224"/>
      <c r="AQ224"/>
    </row>
    <row r="225" spans="30:43" x14ac:dyDescent="0.25">
      <c r="AD225" s="17"/>
      <c r="AE225" s="17"/>
      <c r="AF225" s="17"/>
      <c r="AG225" s="17"/>
      <c r="AH225" s="17"/>
      <c r="AI225" s="17"/>
      <c r="AJ225" s="17"/>
      <c r="AK225" s="17"/>
      <c r="AN225"/>
      <c r="AO225"/>
      <c r="AP225"/>
      <c r="AQ225"/>
    </row>
    <row r="226" spans="30:43" x14ac:dyDescent="0.25">
      <c r="AD226" s="17"/>
      <c r="AE226" s="17"/>
      <c r="AF226" s="17"/>
      <c r="AG226" s="17"/>
      <c r="AH226" s="17"/>
      <c r="AI226" s="17"/>
      <c r="AJ226" s="17"/>
      <c r="AK226" s="17"/>
      <c r="AN226"/>
      <c r="AO226"/>
      <c r="AP226"/>
      <c r="AQ226"/>
    </row>
    <row r="227" spans="30:43" x14ac:dyDescent="0.25">
      <c r="AD227" s="17"/>
      <c r="AE227" s="17"/>
      <c r="AF227" s="17"/>
      <c r="AG227" s="17"/>
      <c r="AH227" s="17"/>
      <c r="AI227" s="17"/>
      <c r="AJ227" s="17"/>
      <c r="AK227" s="17"/>
      <c r="AN227"/>
      <c r="AO227"/>
      <c r="AP227"/>
      <c r="AQ227"/>
    </row>
    <row r="228" spans="30:43" x14ac:dyDescent="0.25">
      <c r="AD228" s="17"/>
      <c r="AE228" s="17"/>
      <c r="AF228" s="17"/>
      <c r="AG228" s="17"/>
      <c r="AH228" s="17"/>
      <c r="AI228" s="17"/>
      <c r="AJ228" s="17"/>
      <c r="AK228" s="17"/>
      <c r="AN228"/>
      <c r="AO228"/>
      <c r="AP228"/>
      <c r="AQ228"/>
    </row>
    <row r="229" spans="30:43" x14ac:dyDescent="0.25">
      <c r="AD229" s="17"/>
      <c r="AE229" s="17"/>
      <c r="AF229" s="17"/>
      <c r="AG229" s="17"/>
      <c r="AH229" s="17"/>
      <c r="AI229" s="17"/>
      <c r="AJ229" s="17"/>
      <c r="AK229" s="17"/>
      <c r="AN229"/>
      <c r="AO229"/>
      <c r="AP229"/>
      <c r="AQ229"/>
    </row>
    <row r="230" spans="30:43" x14ac:dyDescent="0.25">
      <c r="AD230" s="17"/>
      <c r="AE230" s="17"/>
      <c r="AF230" s="17"/>
      <c r="AG230" s="17"/>
      <c r="AH230" s="17"/>
      <c r="AI230" s="17"/>
      <c r="AJ230" s="17"/>
      <c r="AK230" s="17"/>
      <c r="AN230"/>
      <c r="AO230"/>
      <c r="AP230"/>
      <c r="AQ230"/>
    </row>
    <row r="231" spans="30:43" x14ac:dyDescent="0.25">
      <c r="AD231" s="17"/>
      <c r="AE231" s="17"/>
      <c r="AF231" s="17"/>
      <c r="AG231" s="17"/>
      <c r="AH231" s="17"/>
      <c r="AI231" s="17"/>
      <c r="AJ231" s="17"/>
      <c r="AK231" s="17"/>
      <c r="AN231"/>
      <c r="AO231"/>
      <c r="AP231"/>
      <c r="AQ231"/>
    </row>
    <row r="232" spans="30:43" x14ac:dyDescent="0.25">
      <c r="AD232" s="17"/>
      <c r="AE232" s="17"/>
      <c r="AF232" s="17"/>
      <c r="AG232" s="17"/>
      <c r="AH232" s="17"/>
      <c r="AI232" s="17"/>
      <c r="AJ232" s="17"/>
      <c r="AK232" s="17"/>
      <c r="AN232"/>
      <c r="AO232"/>
      <c r="AP232"/>
      <c r="AQ232"/>
    </row>
    <row r="233" spans="30:43" x14ac:dyDescent="0.25">
      <c r="AD233" s="17"/>
      <c r="AE233" s="17"/>
      <c r="AF233" s="17"/>
      <c r="AG233" s="17"/>
      <c r="AH233" s="17"/>
      <c r="AI233" s="17"/>
      <c r="AJ233" s="17"/>
      <c r="AK233" s="17"/>
      <c r="AN233"/>
      <c r="AO233"/>
      <c r="AP233"/>
      <c r="AQ233"/>
    </row>
    <row r="234" spans="30:43" x14ac:dyDescent="0.25">
      <c r="AD234" s="17"/>
      <c r="AE234" s="17"/>
      <c r="AF234" s="17"/>
      <c r="AG234" s="17"/>
      <c r="AH234" s="17"/>
      <c r="AI234" s="17"/>
      <c r="AJ234" s="17"/>
      <c r="AK234" s="17"/>
      <c r="AN234"/>
      <c r="AO234"/>
      <c r="AP234"/>
      <c r="AQ234"/>
    </row>
    <row r="235" spans="30:43" x14ac:dyDescent="0.25">
      <c r="AD235" s="17"/>
      <c r="AE235" s="17"/>
      <c r="AF235" s="17"/>
      <c r="AG235" s="17"/>
      <c r="AH235" s="17"/>
      <c r="AI235" s="17"/>
      <c r="AJ235" s="17"/>
      <c r="AK235" s="17"/>
      <c r="AN235"/>
      <c r="AO235"/>
      <c r="AP235"/>
      <c r="AQ235"/>
    </row>
    <row r="236" spans="30:43" x14ac:dyDescent="0.25">
      <c r="AD236" s="17"/>
      <c r="AE236" s="17"/>
      <c r="AF236" s="17"/>
      <c r="AG236" s="17"/>
      <c r="AH236" s="17"/>
      <c r="AI236" s="17"/>
      <c r="AJ236" s="17"/>
      <c r="AK236" s="17"/>
      <c r="AN236"/>
      <c r="AO236"/>
      <c r="AP236"/>
      <c r="AQ236"/>
    </row>
    <row r="237" spans="30:43" x14ac:dyDescent="0.25">
      <c r="AD237" s="17"/>
      <c r="AE237" s="17"/>
      <c r="AF237" s="17"/>
      <c r="AG237" s="17"/>
      <c r="AH237" s="17"/>
      <c r="AI237" s="17"/>
      <c r="AJ237" s="17"/>
      <c r="AK237" s="17"/>
      <c r="AN237"/>
      <c r="AO237"/>
      <c r="AP237"/>
      <c r="AQ237"/>
    </row>
    <row r="238" spans="30:43" x14ac:dyDescent="0.25">
      <c r="AD238" s="17"/>
      <c r="AE238" s="17"/>
      <c r="AF238" s="17"/>
      <c r="AG238" s="17"/>
      <c r="AH238" s="17"/>
      <c r="AI238" s="17"/>
      <c r="AJ238" s="17"/>
      <c r="AK238" s="17"/>
      <c r="AN238"/>
      <c r="AO238"/>
      <c r="AP238"/>
      <c r="AQ238"/>
    </row>
    <row r="239" spans="30:43" x14ac:dyDescent="0.25">
      <c r="AD239" s="17"/>
      <c r="AE239" s="17"/>
      <c r="AF239" s="17"/>
      <c r="AG239" s="17"/>
      <c r="AH239" s="17"/>
      <c r="AI239" s="17"/>
      <c r="AJ239" s="17"/>
      <c r="AK239" s="17"/>
      <c r="AN239"/>
      <c r="AO239"/>
      <c r="AP239"/>
      <c r="AQ239"/>
    </row>
    <row r="240" spans="30:43" x14ac:dyDescent="0.25">
      <c r="AD240" s="17"/>
      <c r="AE240" s="17"/>
      <c r="AF240" s="17"/>
      <c r="AG240" s="17"/>
      <c r="AH240" s="17"/>
      <c r="AI240" s="17"/>
      <c r="AJ240" s="17"/>
      <c r="AK240" s="17"/>
      <c r="AN240"/>
      <c r="AO240"/>
      <c r="AP240"/>
      <c r="AQ240"/>
    </row>
    <row r="241" spans="30:43" x14ac:dyDescent="0.25">
      <c r="AD241" s="17"/>
      <c r="AE241" s="17"/>
      <c r="AF241" s="17"/>
      <c r="AG241" s="17"/>
      <c r="AH241" s="17"/>
      <c r="AI241" s="17"/>
      <c r="AJ241" s="17"/>
      <c r="AK241" s="17"/>
      <c r="AN241"/>
      <c r="AO241"/>
      <c r="AP241"/>
      <c r="AQ241"/>
    </row>
    <row r="242" spans="30:43" x14ac:dyDescent="0.25">
      <c r="AD242" s="17"/>
      <c r="AE242" s="17"/>
      <c r="AF242" s="17"/>
      <c r="AG242" s="17"/>
      <c r="AH242" s="17"/>
      <c r="AI242" s="17"/>
      <c r="AJ242" s="17"/>
      <c r="AK242" s="17"/>
      <c r="AN242"/>
      <c r="AO242"/>
      <c r="AP242"/>
      <c r="AQ242"/>
    </row>
    <row r="243" spans="30:43" x14ac:dyDescent="0.25">
      <c r="AD243" s="17"/>
      <c r="AE243" s="17"/>
      <c r="AF243" s="17"/>
      <c r="AG243" s="17"/>
      <c r="AH243" s="17"/>
      <c r="AI243" s="17"/>
      <c r="AJ243" s="17"/>
      <c r="AK243" s="17"/>
      <c r="AN243"/>
      <c r="AO243"/>
      <c r="AP243"/>
      <c r="AQ243"/>
    </row>
    <row r="244" spans="30:43" x14ac:dyDescent="0.25">
      <c r="AD244" s="17"/>
      <c r="AE244" s="17"/>
      <c r="AF244" s="17"/>
      <c r="AG244" s="17"/>
      <c r="AH244" s="17"/>
      <c r="AI244" s="17"/>
      <c r="AJ244" s="17"/>
      <c r="AK244" s="17"/>
      <c r="AN244"/>
      <c r="AO244"/>
      <c r="AP244"/>
      <c r="AQ244"/>
    </row>
    <row r="245" spans="30:43" x14ac:dyDescent="0.25">
      <c r="AD245" s="17"/>
      <c r="AE245" s="17"/>
      <c r="AF245" s="17"/>
      <c r="AG245" s="17"/>
      <c r="AH245" s="17"/>
      <c r="AI245" s="17"/>
      <c r="AJ245" s="17"/>
      <c r="AK245" s="17"/>
      <c r="AN245"/>
      <c r="AO245"/>
      <c r="AP245"/>
      <c r="AQ245"/>
    </row>
    <row r="246" spans="30:43" x14ac:dyDescent="0.25">
      <c r="AD246" s="17"/>
      <c r="AE246" s="17"/>
      <c r="AF246" s="17"/>
      <c r="AG246" s="17"/>
      <c r="AH246" s="17"/>
      <c r="AI246" s="17"/>
      <c r="AJ246" s="17"/>
      <c r="AK246" s="17"/>
      <c r="AN246"/>
      <c r="AO246"/>
      <c r="AP246"/>
      <c r="AQ246"/>
    </row>
    <row r="247" spans="30:43" x14ac:dyDescent="0.25">
      <c r="AD247" s="17"/>
      <c r="AE247" s="17"/>
      <c r="AF247" s="17"/>
      <c r="AG247" s="17"/>
      <c r="AH247" s="17"/>
      <c r="AI247" s="17"/>
      <c r="AJ247" s="17"/>
      <c r="AK247" s="17"/>
      <c r="AN247"/>
      <c r="AO247"/>
      <c r="AP247"/>
      <c r="AQ247"/>
    </row>
    <row r="248" spans="30:43" x14ac:dyDescent="0.25">
      <c r="AD248" s="17"/>
      <c r="AE248" s="17"/>
      <c r="AF248" s="17"/>
      <c r="AG248" s="17"/>
      <c r="AH248" s="17"/>
      <c r="AI248" s="17"/>
      <c r="AJ248" s="17"/>
      <c r="AK248" s="17"/>
      <c r="AN248"/>
      <c r="AO248"/>
      <c r="AP248"/>
      <c r="AQ248"/>
    </row>
    <row r="249" spans="30:43" x14ac:dyDescent="0.25">
      <c r="AD249" s="17"/>
      <c r="AE249" s="17"/>
      <c r="AF249" s="17"/>
      <c r="AG249" s="17"/>
      <c r="AH249" s="17"/>
      <c r="AI249" s="17"/>
      <c r="AJ249" s="17"/>
      <c r="AK249" s="17"/>
      <c r="AN249"/>
      <c r="AO249"/>
      <c r="AP249"/>
      <c r="AQ249"/>
    </row>
    <row r="250" spans="30:43" x14ac:dyDescent="0.25">
      <c r="AD250" s="17"/>
      <c r="AE250" s="17"/>
      <c r="AF250" s="17"/>
      <c r="AG250" s="17"/>
      <c r="AH250" s="17"/>
      <c r="AI250" s="17"/>
      <c r="AJ250" s="17"/>
      <c r="AK250" s="17"/>
      <c r="AN250"/>
      <c r="AO250"/>
      <c r="AP250"/>
      <c r="AQ250"/>
    </row>
    <row r="251" spans="30:43" x14ac:dyDescent="0.25">
      <c r="AD251" s="17"/>
      <c r="AE251" s="17"/>
      <c r="AF251" s="17"/>
      <c r="AG251" s="17"/>
      <c r="AH251" s="17"/>
      <c r="AI251" s="17"/>
      <c r="AJ251" s="17"/>
      <c r="AK251" s="17"/>
      <c r="AN251"/>
      <c r="AO251"/>
      <c r="AP251"/>
      <c r="AQ251"/>
    </row>
    <row r="252" spans="30:43" x14ac:dyDescent="0.25">
      <c r="AD252" s="17"/>
      <c r="AE252" s="17"/>
      <c r="AF252" s="17"/>
      <c r="AG252" s="17"/>
      <c r="AH252" s="17"/>
      <c r="AI252" s="17"/>
      <c r="AJ252" s="17"/>
      <c r="AK252" s="17"/>
      <c r="AN252"/>
      <c r="AO252"/>
      <c r="AP252"/>
      <c r="AQ252"/>
    </row>
    <row r="253" spans="30:43" x14ac:dyDescent="0.25">
      <c r="AD253" s="17"/>
      <c r="AE253" s="17"/>
      <c r="AF253" s="17"/>
      <c r="AG253" s="17"/>
      <c r="AH253" s="17"/>
      <c r="AI253" s="17"/>
      <c r="AJ253" s="17"/>
      <c r="AK253" s="17"/>
      <c r="AN253"/>
      <c r="AO253"/>
      <c r="AP253"/>
      <c r="AQ253"/>
    </row>
    <row r="254" spans="30:43" x14ac:dyDescent="0.25">
      <c r="AD254" s="17"/>
      <c r="AE254" s="17"/>
      <c r="AF254" s="17"/>
      <c r="AG254" s="17"/>
      <c r="AH254" s="17"/>
      <c r="AI254" s="17"/>
      <c r="AJ254" s="17"/>
      <c r="AK254" s="17"/>
      <c r="AN254"/>
      <c r="AO254"/>
      <c r="AP254"/>
      <c r="AQ254"/>
    </row>
    <row r="255" spans="30:43" x14ac:dyDescent="0.25">
      <c r="AD255" s="17"/>
      <c r="AE255" s="17"/>
      <c r="AF255" s="17"/>
      <c r="AG255" s="17"/>
      <c r="AH255" s="17"/>
      <c r="AI255" s="17"/>
      <c r="AJ255" s="17"/>
      <c r="AK255" s="17"/>
      <c r="AN255"/>
      <c r="AO255"/>
      <c r="AP255"/>
      <c r="AQ255"/>
    </row>
    <row r="256" spans="30:43" x14ac:dyDescent="0.25">
      <c r="AD256" s="17"/>
      <c r="AE256" s="17"/>
      <c r="AF256" s="17"/>
      <c r="AG256" s="17"/>
      <c r="AH256" s="17"/>
      <c r="AI256" s="17"/>
      <c r="AJ256" s="17"/>
      <c r="AK256" s="17"/>
      <c r="AN256"/>
      <c r="AO256"/>
      <c r="AP256"/>
      <c r="AQ256"/>
    </row>
    <row r="257" spans="30:43" x14ac:dyDescent="0.25">
      <c r="AD257" s="17"/>
      <c r="AE257" s="17"/>
      <c r="AF257" s="17"/>
      <c r="AG257" s="17"/>
      <c r="AH257" s="17"/>
      <c r="AI257" s="17"/>
      <c r="AJ257" s="17"/>
      <c r="AK257" s="17"/>
      <c r="AN257"/>
      <c r="AO257"/>
      <c r="AP257"/>
      <c r="AQ257"/>
    </row>
    <row r="258" spans="30:43" x14ac:dyDescent="0.25">
      <c r="AD258" s="17"/>
      <c r="AE258" s="17"/>
      <c r="AF258" s="17"/>
      <c r="AG258" s="17"/>
      <c r="AH258" s="17"/>
      <c r="AI258" s="17"/>
      <c r="AJ258" s="17"/>
      <c r="AK258" s="17"/>
      <c r="AN258"/>
      <c r="AO258"/>
      <c r="AP258"/>
      <c r="AQ258"/>
    </row>
    <row r="259" spans="30:43" x14ac:dyDescent="0.25">
      <c r="AD259" s="17"/>
      <c r="AE259" s="17"/>
      <c r="AF259" s="17"/>
      <c r="AG259" s="17"/>
      <c r="AH259" s="17"/>
      <c r="AI259" s="17"/>
      <c r="AJ259" s="17"/>
      <c r="AK259" s="17"/>
      <c r="AN259"/>
      <c r="AO259"/>
      <c r="AP259"/>
      <c r="AQ259"/>
    </row>
    <row r="260" spans="30:43" x14ac:dyDescent="0.25">
      <c r="AD260" s="17"/>
      <c r="AE260" s="17"/>
      <c r="AF260" s="17"/>
      <c r="AG260" s="17"/>
      <c r="AH260" s="17"/>
      <c r="AI260" s="17"/>
      <c r="AJ260" s="17"/>
      <c r="AK260" s="17"/>
      <c r="AN260"/>
      <c r="AO260"/>
      <c r="AP260"/>
      <c r="AQ260"/>
    </row>
    <row r="261" spans="30:43" x14ac:dyDescent="0.25">
      <c r="AD261" s="17"/>
      <c r="AE261" s="17"/>
      <c r="AF261" s="17"/>
      <c r="AG261" s="17"/>
      <c r="AH261" s="17"/>
      <c r="AI261" s="17"/>
      <c r="AJ261" s="17"/>
      <c r="AK261" s="17"/>
      <c r="AN261"/>
      <c r="AO261"/>
      <c r="AP261"/>
      <c r="AQ261"/>
    </row>
    <row r="262" spans="30:43" x14ac:dyDescent="0.25">
      <c r="AD262" s="17"/>
      <c r="AE262" s="17"/>
      <c r="AF262" s="17"/>
      <c r="AG262" s="17"/>
      <c r="AH262" s="17"/>
      <c r="AI262" s="17"/>
      <c r="AJ262" s="17"/>
      <c r="AK262" s="17"/>
      <c r="AN262"/>
      <c r="AO262"/>
      <c r="AP262"/>
      <c r="AQ262"/>
    </row>
    <row r="263" spans="30:43" x14ac:dyDescent="0.25">
      <c r="AD263" s="17"/>
      <c r="AE263" s="17"/>
      <c r="AF263" s="17"/>
      <c r="AG263" s="17"/>
      <c r="AH263" s="17"/>
      <c r="AI263" s="17"/>
      <c r="AJ263" s="17"/>
      <c r="AK263" s="17"/>
      <c r="AN263"/>
      <c r="AO263"/>
      <c r="AP263"/>
      <c r="AQ263"/>
    </row>
    <row r="264" spans="30:43" x14ac:dyDescent="0.25">
      <c r="AD264" s="17"/>
      <c r="AE264" s="17"/>
      <c r="AF264" s="17"/>
      <c r="AG264" s="17"/>
      <c r="AH264" s="17"/>
      <c r="AI264" s="17"/>
      <c r="AJ264" s="17"/>
      <c r="AK264" s="17"/>
      <c r="AN264"/>
      <c r="AO264"/>
      <c r="AP264"/>
      <c r="AQ264"/>
    </row>
    <row r="265" spans="30:43" x14ac:dyDescent="0.25">
      <c r="AD265" s="17"/>
      <c r="AE265" s="17"/>
      <c r="AF265" s="17"/>
      <c r="AG265" s="17"/>
      <c r="AH265" s="17"/>
      <c r="AI265" s="17"/>
      <c r="AJ265" s="17"/>
      <c r="AK265" s="17"/>
      <c r="AN265"/>
      <c r="AO265"/>
      <c r="AP265"/>
      <c r="AQ265"/>
    </row>
    <row r="266" spans="30:43" x14ac:dyDescent="0.25">
      <c r="AD266" s="17"/>
      <c r="AE266" s="17"/>
      <c r="AF266" s="17"/>
      <c r="AG266" s="17"/>
      <c r="AH266" s="17"/>
      <c r="AI266" s="17"/>
      <c r="AJ266" s="17"/>
      <c r="AK266" s="17"/>
      <c r="AN266"/>
      <c r="AO266"/>
      <c r="AP266"/>
      <c r="AQ266"/>
    </row>
    <row r="267" spans="30:43" x14ac:dyDescent="0.25">
      <c r="AD267" s="17"/>
      <c r="AE267" s="17"/>
      <c r="AF267" s="17"/>
      <c r="AG267" s="17"/>
      <c r="AH267" s="17"/>
      <c r="AI267" s="17"/>
      <c r="AJ267" s="17"/>
      <c r="AK267" s="17"/>
      <c r="AN267"/>
      <c r="AO267"/>
      <c r="AP267"/>
      <c r="AQ267"/>
    </row>
    <row r="268" spans="30:43" x14ac:dyDescent="0.25">
      <c r="AD268" s="17"/>
      <c r="AE268" s="17"/>
      <c r="AF268" s="17"/>
      <c r="AG268" s="17"/>
      <c r="AH268" s="17"/>
      <c r="AI268" s="17"/>
      <c r="AJ268" s="17"/>
      <c r="AK268" s="17"/>
      <c r="AN268"/>
      <c r="AO268"/>
      <c r="AP268"/>
      <c r="AQ268"/>
    </row>
    <row r="269" spans="30:43" x14ac:dyDescent="0.25">
      <c r="AD269" s="17"/>
      <c r="AE269" s="17"/>
      <c r="AF269" s="17"/>
      <c r="AG269" s="17"/>
      <c r="AH269" s="17"/>
      <c r="AI269" s="17"/>
      <c r="AJ269" s="17"/>
      <c r="AK269" s="17"/>
      <c r="AN269"/>
      <c r="AO269"/>
      <c r="AP269"/>
      <c r="AQ269"/>
    </row>
    <row r="270" spans="30:43" x14ac:dyDescent="0.25">
      <c r="AD270" s="17"/>
      <c r="AE270" s="17"/>
      <c r="AF270" s="17"/>
      <c r="AG270" s="17"/>
      <c r="AH270" s="17"/>
      <c r="AI270" s="17"/>
      <c r="AJ270" s="17"/>
      <c r="AK270" s="17"/>
      <c r="AN270"/>
      <c r="AO270"/>
      <c r="AP270"/>
      <c r="AQ270"/>
    </row>
    <row r="271" spans="30:43" x14ac:dyDescent="0.25">
      <c r="AD271" s="17"/>
      <c r="AE271" s="17"/>
      <c r="AF271" s="17"/>
      <c r="AG271" s="17"/>
      <c r="AH271" s="17"/>
      <c r="AI271" s="17"/>
      <c r="AJ271" s="17"/>
      <c r="AK271" s="17"/>
      <c r="AN271"/>
      <c r="AO271"/>
      <c r="AP271"/>
      <c r="AQ271"/>
    </row>
    <row r="272" spans="30:43" x14ac:dyDescent="0.25">
      <c r="AD272" s="17"/>
      <c r="AE272" s="17"/>
      <c r="AF272" s="17"/>
      <c r="AG272" s="17"/>
      <c r="AH272" s="17"/>
      <c r="AI272" s="17"/>
      <c r="AJ272" s="17"/>
      <c r="AK272" s="17"/>
      <c r="AN272"/>
      <c r="AO272"/>
      <c r="AP272"/>
      <c r="AQ272"/>
    </row>
    <row r="273" spans="30:43" x14ac:dyDescent="0.25">
      <c r="AD273" s="17"/>
      <c r="AE273" s="17"/>
      <c r="AF273" s="17"/>
      <c r="AG273" s="17"/>
      <c r="AH273" s="17"/>
      <c r="AI273" s="17"/>
      <c r="AJ273" s="17"/>
      <c r="AK273" s="17"/>
      <c r="AN273"/>
      <c r="AO273"/>
      <c r="AP273"/>
      <c r="AQ273"/>
    </row>
    <row r="274" spans="30:43" x14ac:dyDescent="0.25">
      <c r="AD274" s="17"/>
      <c r="AE274" s="17"/>
      <c r="AF274" s="17"/>
      <c r="AG274" s="17"/>
      <c r="AH274" s="17"/>
      <c r="AI274" s="17"/>
      <c r="AJ274" s="17"/>
      <c r="AK274" s="17"/>
      <c r="AN274"/>
      <c r="AO274"/>
      <c r="AP274"/>
      <c r="AQ274"/>
    </row>
    <row r="275" spans="30:43" x14ac:dyDescent="0.25">
      <c r="AD275" s="17"/>
      <c r="AE275" s="17"/>
      <c r="AF275" s="17"/>
      <c r="AG275" s="17"/>
      <c r="AH275" s="17"/>
      <c r="AI275" s="17"/>
      <c r="AJ275" s="17"/>
      <c r="AK275" s="17"/>
      <c r="AN275"/>
      <c r="AO275"/>
      <c r="AP275"/>
      <c r="AQ275"/>
    </row>
    <row r="276" spans="30:43" x14ac:dyDescent="0.25">
      <c r="AD276" s="17"/>
      <c r="AE276" s="17"/>
      <c r="AF276" s="17"/>
      <c r="AG276" s="17"/>
      <c r="AH276" s="17"/>
      <c r="AI276" s="17"/>
      <c r="AJ276" s="17"/>
      <c r="AK276" s="17"/>
      <c r="AN276"/>
      <c r="AO276"/>
      <c r="AP276"/>
      <c r="AQ276"/>
    </row>
    <row r="277" spans="30:43" x14ac:dyDescent="0.25">
      <c r="AD277" s="17"/>
      <c r="AE277" s="17"/>
      <c r="AF277" s="17"/>
      <c r="AG277" s="17"/>
      <c r="AH277" s="17"/>
      <c r="AI277" s="17"/>
      <c r="AJ277" s="17"/>
      <c r="AK277" s="17"/>
      <c r="AN277"/>
      <c r="AO277"/>
      <c r="AP277"/>
      <c r="AQ277"/>
    </row>
    <row r="278" spans="30:43" x14ac:dyDescent="0.25">
      <c r="AD278" s="17"/>
      <c r="AE278" s="17"/>
      <c r="AF278" s="17"/>
      <c r="AG278" s="17"/>
      <c r="AH278" s="17"/>
      <c r="AI278" s="17"/>
      <c r="AJ278" s="17"/>
      <c r="AK278" s="17"/>
      <c r="AN278"/>
      <c r="AO278"/>
      <c r="AP278"/>
      <c r="AQ278"/>
    </row>
    <row r="279" spans="30:43" x14ac:dyDescent="0.25">
      <c r="AD279" s="17"/>
      <c r="AE279" s="17"/>
      <c r="AF279" s="17"/>
      <c r="AG279" s="17"/>
      <c r="AH279" s="17"/>
      <c r="AI279" s="17"/>
      <c r="AJ279" s="17"/>
      <c r="AK279" s="17"/>
      <c r="AN279"/>
      <c r="AO279"/>
      <c r="AP279"/>
      <c r="AQ279"/>
    </row>
    <row r="280" spans="30:43" x14ac:dyDescent="0.25">
      <c r="AD280" s="17"/>
      <c r="AE280" s="17"/>
      <c r="AF280" s="17"/>
      <c r="AG280" s="17"/>
      <c r="AH280" s="17"/>
      <c r="AI280" s="17"/>
      <c r="AJ280" s="17"/>
      <c r="AK280" s="17"/>
      <c r="AN280"/>
      <c r="AO280"/>
      <c r="AP280"/>
      <c r="AQ280"/>
    </row>
    <row r="281" spans="30:43" x14ac:dyDescent="0.25">
      <c r="AD281" s="17"/>
      <c r="AE281" s="17"/>
      <c r="AF281" s="17"/>
      <c r="AG281" s="17"/>
      <c r="AH281" s="17"/>
      <c r="AI281" s="17"/>
      <c r="AJ281" s="17"/>
      <c r="AK281" s="17"/>
      <c r="AN281"/>
      <c r="AO281"/>
      <c r="AP281"/>
      <c r="AQ281"/>
    </row>
    <row r="282" spans="30:43" x14ac:dyDescent="0.25">
      <c r="AD282" s="17"/>
      <c r="AE282" s="17"/>
      <c r="AF282" s="17"/>
      <c r="AG282" s="17"/>
      <c r="AH282" s="17"/>
      <c r="AI282" s="17"/>
      <c r="AJ282" s="17"/>
      <c r="AK282" s="17"/>
      <c r="AN282"/>
      <c r="AO282"/>
      <c r="AP282"/>
      <c r="AQ282"/>
    </row>
    <row r="283" spans="30:43" x14ac:dyDescent="0.25">
      <c r="AD283" s="17"/>
      <c r="AE283" s="17"/>
      <c r="AF283" s="17"/>
      <c r="AG283" s="17"/>
      <c r="AH283" s="17"/>
      <c r="AI283" s="17"/>
      <c r="AJ283" s="17"/>
      <c r="AK283" s="17"/>
      <c r="AN283"/>
      <c r="AO283"/>
      <c r="AP283"/>
      <c r="AQ283"/>
    </row>
    <row r="284" spans="30:43" x14ac:dyDescent="0.25">
      <c r="AD284" s="17"/>
      <c r="AE284" s="17"/>
      <c r="AF284" s="17"/>
      <c r="AG284" s="17"/>
      <c r="AH284" s="17"/>
      <c r="AI284" s="17"/>
      <c r="AJ284" s="17"/>
      <c r="AK284" s="17"/>
      <c r="AN284"/>
      <c r="AO284"/>
      <c r="AP284"/>
      <c r="AQ284"/>
    </row>
    <row r="285" spans="30:43" x14ac:dyDescent="0.25">
      <c r="AD285" s="17"/>
      <c r="AE285" s="17"/>
      <c r="AF285" s="17"/>
      <c r="AG285" s="17"/>
      <c r="AH285" s="17"/>
      <c r="AI285" s="17"/>
      <c r="AJ285" s="17"/>
      <c r="AK285" s="17"/>
      <c r="AN285"/>
      <c r="AO285"/>
      <c r="AP285"/>
      <c r="AQ285"/>
    </row>
    <row r="286" spans="30:43" x14ac:dyDescent="0.25">
      <c r="AD286" s="17"/>
      <c r="AE286" s="17"/>
      <c r="AF286" s="17"/>
      <c r="AG286" s="17"/>
      <c r="AH286" s="17"/>
      <c r="AI286" s="17"/>
      <c r="AJ286" s="17"/>
      <c r="AK286" s="17"/>
      <c r="AN286"/>
      <c r="AO286"/>
      <c r="AP286"/>
      <c r="AQ286"/>
    </row>
    <row r="287" spans="30:43" x14ac:dyDescent="0.25">
      <c r="AD287" s="17"/>
      <c r="AE287" s="17"/>
      <c r="AF287" s="17"/>
      <c r="AG287" s="17"/>
      <c r="AH287" s="17"/>
      <c r="AI287" s="17"/>
      <c r="AJ287" s="17"/>
      <c r="AK287" s="17"/>
      <c r="AN287"/>
      <c r="AO287"/>
      <c r="AP287"/>
      <c r="AQ287"/>
    </row>
    <row r="288" spans="30:43" x14ac:dyDescent="0.25">
      <c r="AD288" s="17"/>
      <c r="AE288" s="17"/>
      <c r="AF288" s="17"/>
      <c r="AG288" s="17"/>
      <c r="AH288" s="17"/>
      <c r="AI288" s="17"/>
      <c r="AJ288" s="17"/>
      <c r="AK288" s="17"/>
      <c r="AN288"/>
      <c r="AO288"/>
      <c r="AP288"/>
      <c r="AQ288"/>
    </row>
    <row r="289" spans="30:43" x14ac:dyDescent="0.25">
      <c r="AD289" s="17"/>
      <c r="AE289" s="17"/>
      <c r="AF289" s="17"/>
      <c r="AG289" s="17"/>
      <c r="AH289" s="17"/>
      <c r="AI289" s="17"/>
      <c r="AJ289" s="17"/>
      <c r="AK289" s="17"/>
      <c r="AN289"/>
      <c r="AO289"/>
      <c r="AP289"/>
      <c r="AQ289"/>
    </row>
    <row r="290" spans="30:43" x14ac:dyDescent="0.25">
      <c r="AD290" s="17"/>
      <c r="AE290" s="17"/>
      <c r="AF290" s="17"/>
      <c r="AG290" s="17"/>
      <c r="AH290" s="17"/>
      <c r="AI290" s="17"/>
      <c r="AJ290" s="17"/>
      <c r="AK290" s="17"/>
      <c r="AN290"/>
      <c r="AO290"/>
      <c r="AP290"/>
      <c r="AQ290"/>
    </row>
    <row r="291" spans="30:43" x14ac:dyDescent="0.25">
      <c r="AD291" s="17"/>
      <c r="AE291" s="17"/>
      <c r="AF291" s="17"/>
      <c r="AG291" s="17"/>
      <c r="AH291" s="17"/>
      <c r="AI291" s="17"/>
      <c r="AJ291" s="17"/>
      <c r="AK291" s="17"/>
      <c r="AN291"/>
      <c r="AO291"/>
      <c r="AP291"/>
      <c r="AQ291"/>
    </row>
    <row r="292" spans="30:43" x14ac:dyDescent="0.25">
      <c r="AD292" s="17"/>
      <c r="AE292" s="17"/>
      <c r="AF292" s="17"/>
      <c r="AG292" s="17"/>
      <c r="AH292" s="17"/>
      <c r="AI292" s="17"/>
      <c r="AJ292" s="17"/>
      <c r="AK292" s="17"/>
      <c r="AN292"/>
      <c r="AO292"/>
      <c r="AP292"/>
      <c r="AQ292"/>
    </row>
    <row r="293" spans="30:43" x14ac:dyDescent="0.25">
      <c r="AD293" s="17"/>
      <c r="AE293" s="17"/>
      <c r="AF293" s="17"/>
      <c r="AG293" s="17"/>
      <c r="AH293" s="17"/>
      <c r="AI293" s="17"/>
      <c r="AJ293" s="17"/>
      <c r="AK293" s="17"/>
      <c r="AN293"/>
      <c r="AO293"/>
      <c r="AP293"/>
      <c r="AQ293"/>
    </row>
    <row r="294" spans="30:43" x14ac:dyDescent="0.25">
      <c r="AD294" s="17"/>
      <c r="AE294" s="17"/>
      <c r="AF294" s="17"/>
      <c r="AG294" s="17"/>
      <c r="AH294" s="17"/>
      <c r="AI294" s="17"/>
      <c r="AJ294" s="17"/>
      <c r="AK294" s="17"/>
      <c r="AN294"/>
      <c r="AO294"/>
      <c r="AP294"/>
      <c r="AQ294"/>
    </row>
    <row r="295" spans="30:43" x14ac:dyDescent="0.25">
      <c r="AD295" s="17"/>
      <c r="AE295" s="17"/>
      <c r="AF295" s="17"/>
      <c r="AG295" s="17"/>
      <c r="AH295" s="17"/>
      <c r="AI295" s="17"/>
      <c r="AJ295" s="17"/>
      <c r="AK295" s="17"/>
      <c r="AN295"/>
      <c r="AO295"/>
      <c r="AP295"/>
      <c r="AQ295"/>
    </row>
    <row r="296" spans="30:43" x14ac:dyDescent="0.25">
      <c r="AD296" s="17"/>
      <c r="AE296" s="17"/>
      <c r="AF296" s="17"/>
      <c r="AG296" s="17"/>
      <c r="AH296" s="17"/>
      <c r="AI296" s="17"/>
      <c r="AJ296" s="17"/>
      <c r="AK296" s="17"/>
      <c r="AN296"/>
      <c r="AO296"/>
      <c r="AP296"/>
      <c r="AQ296"/>
    </row>
    <row r="297" spans="30:43" x14ac:dyDescent="0.25">
      <c r="AD297" s="17"/>
      <c r="AE297" s="17"/>
      <c r="AF297" s="17"/>
      <c r="AG297" s="17"/>
      <c r="AH297" s="17"/>
      <c r="AI297" s="17"/>
      <c r="AJ297" s="17"/>
      <c r="AK297" s="17"/>
      <c r="AN297"/>
      <c r="AO297"/>
      <c r="AP297"/>
      <c r="AQ297"/>
    </row>
    <row r="298" spans="30:43" x14ac:dyDescent="0.25">
      <c r="AD298" s="17"/>
      <c r="AE298" s="17"/>
      <c r="AF298" s="17"/>
      <c r="AG298" s="17"/>
      <c r="AH298" s="17"/>
      <c r="AI298" s="17"/>
      <c r="AJ298" s="17"/>
      <c r="AK298" s="17"/>
      <c r="AN298"/>
      <c r="AO298"/>
      <c r="AP298"/>
      <c r="AQ298"/>
    </row>
    <row r="299" spans="30:43" x14ac:dyDescent="0.25">
      <c r="AD299" s="17"/>
      <c r="AE299" s="17"/>
      <c r="AF299" s="17"/>
      <c r="AG299" s="17"/>
      <c r="AH299" s="17"/>
      <c r="AI299" s="17"/>
      <c r="AJ299" s="17"/>
      <c r="AK299" s="17"/>
      <c r="AN299"/>
      <c r="AO299"/>
      <c r="AP299"/>
      <c r="AQ299"/>
    </row>
    <row r="300" spans="30:43" x14ac:dyDescent="0.25">
      <c r="AD300" s="17"/>
      <c r="AE300" s="17"/>
      <c r="AF300" s="17"/>
      <c r="AG300" s="17"/>
      <c r="AH300" s="17"/>
      <c r="AI300" s="17"/>
      <c r="AJ300" s="17"/>
      <c r="AK300" s="17"/>
      <c r="AN300"/>
      <c r="AO300"/>
      <c r="AP300"/>
      <c r="AQ300"/>
    </row>
    <row r="301" spans="30:43" x14ac:dyDescent="0.25">
      <c r="AD301" s="17"/>
      <c r="AE301" s="17"/>
      <c r="AF301" s="17"/>
      <c r="AG301" s="17"/>
      <c r="AH301" s="17"/>
      <c r="AI301" s="17"/>
      <c r="AJ301" s="17"/>
      <c r="AK301" s="17"/>
      <c r="AN301"/>
      <c r="AO301"/>
      <c r="AP301"/>
      <c r="AQ301"/>
    </row>
    <row r="302" spans="30:43" x14ac:dyDescent="0.25">
      <c r="AD302" s="17"/>
      <c r="AE302" s="17"/>
      <c r="AF302" s="17"/>
      <c r="AG302" s="17"/>
      <c r="AH302" s="17"/>
      <c r="AI302" s="17"/>
      <c r="AJ302" s="17"/>
      <c r="AK302" s="17"/>
      <c r="AN302"/>
      <c r="AO302"/>
      <c r="AP302"/>
      <c r="AQ302"/>
    </row>
    <row r="303" spans="30:43" x14ac:dyDescent="0.25">
      <c r="AD303" s="17"/>
      <c r="AE303" s="17"/>
      <c r="AF303" s="17"/>
      <c r="AG303" s="17"/>
      <c r="AH303" s="17"/>
      <c r="AI303" s="17"/>
      <c r="AJ303" s="17"/>
      <c r="AK303" s="17"/>
      <c r="AN303"/>
      <c r="AO303"/>
      <c r="AP303"/>
      <c r="AQ303"/>
    </row>
    <row r="304" spans="30:43" x14ac:dyDescent="0.25">
      <c r="AD304" s="17"/>
      <c r="AE304" s="17"/>
      <c r="AF304" s="17"/>
      <c r="AG304" s="17"/>
      <c r="AH304" s="17"/>
      <c r="AI304" s="17"/>
      <c r="AJ304" s="17"/>
      <c r="AK304" s="17"/>
      <c r="AN304"/>
      <c r="AO304"/>
      <c r="AP304"/>
      <c r="AQ304"/>
    </row>
    <row r="305" spans="30:43" x14ac:dyDescent="0.25">
      <c r="AD305" s="17"/>
      <c r="AE305" s="17"/>
      <c r="AF305" s="17"/>
      <c r="AG305" s="17"/>
      <c r="AH305" s="17"/>
      <c r="AI305" s="17"/>
      <c r="AJ305" s="17"/>
      <c r="AK305" s="17"/>
      <c r="AN305"/>
      <c r="AO305"/>
      <c r="AP305"/>
      <c r="AQ305"/>
    </row>
    <row r="306" spans="30:43" x14ac:dyDescent="0.25">
      <c r="AD306" s="17"/>
      <c r="AE306" s="17"/>
      <c r="AF306" s="17"/>
      <c r="AG306" s="17"/>
      <c r="AH306" s="17"/>
      <c r="AI306" s="17"/>
      <c r="AJ306" s="17"/>
      <c r="AK306" s="17"/>
      <c r="AN306"/>
      <c r="AO306"/>
      <c r="AP306"/>
      <c r="AQ306"/>
    </row>
    <row r="307" spans="30:43" x14ac:dyDescent="0.25">
      <c r="AD307" s="17"/>
      <c r="AE307" s="17"/>
      <c r="AF307" s="17"/>
      <c r="AG307" s="17"/>
      <c r="AH307" s="17"/>
      <c r="AI307" s="17"/>
      <c r="AJ307" s="17"/>
      <c r="AK307" s="17"/>
      <c r="AN307"/>
      <c r="AO307"/>
      <c r="AP307"/>
      <c r="AQ307"/>
    </row>
    <row r="308" spans="30:43" x14ac:dyDescent="0.25">
      <c r="AD308" s="17"/>
      <c r="AE308" s="17"/>
      <c r="AF308" s="17"/>
      <c r="AG308" s="17"/>
      <c r="AH308" s="17"/>
      <c r="AI308" s="17"/>
      <c r="AJ308" s="17"/>
      <c r="AK308" s="17"/>
      <c r="AN308"/>
      <c r="AO308"/>
      <c r="AP308"/>
      <c r="AQ308"/>
    </row>
    <row r="309" spans="30:43" x14ac:dyDescent="0.25">
      <c r="AD309" s="17"/>
      <c r="AE309" s="17"/>
      <c r="AF309" s="17"/>
      <c r="AG309" s="17"/>
      <c r="AH309" s="17"/>
      <c r="AI309" s="17"/>
      <c r="AJ309" s="17"/>
      <c r="AK309" s="17"/>
      <c r="AN309"/>
      <c r="AO309"/>
      <c r="AP309"/>
      <c r="AQ309"/>
    </row>
    <row r="310" spans="30:43" x14ac:dyDescent="0.25">
      <c r="AD310" s="17"/>
      <c r="AE310" s="17"/>
      <c r="AF310" s="17"/>
      <c r="AG310" s="17"/>
      <c r="AH310" s="17"/>
      <c r="AI310" s="17"/>
      <c r="AJ310" s="17"/>
      <c r="AK310" s="17"/>
      <c r="AN310"/>
      <c r="AO310"/>
      <c r="AP310"/>
      <c r="AQ310"/>
    </row>
    <row r="311" spans="30:43" x14ac:dyDescent="0.25">
      <c r="AD311" s="17"/>
      <c r="AE311" s="17"/>
      <c r="AF311" s="17"/>
      <c r="AG311" s="17"/>
      <c r="AH311" s="17"/>
      <c r="AI311" s="17"/>
      <c r="AJ311" s="17"/>
      <c r="AK311" s="17"/>
      <c r="AN311"/>
      <c r="AO311"/>
      <c r="AP311"/>
      <c r="AQ311"/>
    </row>
    <row r="312" spans="30:43" x14ac:dyDescent="0.25">
      <c r="AD312" s="17"/>
      <c r="AE312" s="17"/>
      <c r="AF312" s="17"/>
      <c r="AG312" s="17"/>
      <c r="AH312" s="17"/>
      <c r="AI312" s="17"/>
      <c r="AJ312" s="17"/>
      <c r="AK312" s="17"/>
      <c r="AN312"/>
      <c r="AO312"/>
      <c r="AP312"/>
      <c r="AQ312"/>
    </row>
    <row r="313" spans="30:43" x14ac:dyDescent="0.25">
      <c r="AD313" s="17"/>
      <c r="AE313" s="17"/>
      <c r="AF313" s="17"/>
      <c r="AG313" s="17"/>
      <c r="AH313" s="17"/>
      <c r="AI313" s="17"/>
      <c r="AJ313" s="17"/>
      <c r="AK313" s="17"/>
      <c r="AN313"/>
      <c r="AO313"/>
      <c r="AP313"/>
      <c r="AQ313"/>
    </row>
    <row r="314" spans="30:43" x14ac:dyDescent="0.25">
      <c r="AD314" s="17"/>
      <c r="AE314" s="17"/>
      <c r="AF314" s="17"/>
      <c r="AG314" s="17"/>
      <c r="AH314" s="17"/>
      <c r="AI314" s="17"/>
      <c r="AJ314" s="17"/>
      <c r="AK314" s="17"/>
      <c r="AN314"/>
      <c r="AO314"/>
      <c r="AP314"/>
      <c r="AQ314"/>
    </row>
    <row r="315" spans="30:43" x14ac:dyDescent="0.25">
      <c r="AD315" s="17"/>
      <c r="AE315" s="17"/>
      <c r="AF315" s="17"/>
      <c r="AG315" s="17"/>
      <c r="AH315" s="17"/>
      <c r="AI315" s="17"/>
      <c r="AJ315" s="17"/>
      <c r="AK315" s="17"/>
      <c r="AN315"/>
      <c r="AO315"/>
      <c r="AP315"/>
      <c r="AQ315"/>
    </row>
    <row r="316" spans="30:43" x14ac:dyDescent="0.25">
      <c r="AD316" s="17"/>
      <c r="AE316" s="17"/>
      <c r="AF316" s="17"/>
      <c r="AG316" s="17"/>
      <c r="AH316" s="17"/>
      <c r="AI316" s="17"/>
      <c r="AJ316" s="17"/>
      <c r="AK316" s="17"/>
      <c r="AN316"/>
      <c r="AO316"/>
      <c r="AP316"/>
      <c r="AQ316"/>
    </row>
    <row r="317" spans="30:43" x14ac:dyDescent="0.25">
      <c r="AD317" s="17"/>
      <c r="AE317" s="17"/>
      <c r="AF317" s="17"/>
      <c r="AG317" s="17"/>
      <c r="AH317" s="17"/>
      <c r="AI317" s="17"/>
      <c r="AJ317" s="17"/>
      <c r="AK317" s="17"/>
      <c r="AN317"/>
      <c r="AO317"/>
      <c r="AP317"/>
      <c r="AQ317"/>
    </row>
    <row r="318" spans="30:43" x14ac:dyDescent="0.25">
      <c r="AD318" s="17"/>
      <c r="AE318" s="17"/>
      <c r="AF318" s="17"/>
      <c r="AG318" s="17"/>
      <c r="AH318" s="17"/>
      <c r="AI318" s="17"/>
      <c r="AJ318" s="17"/>
      <c r="AK318" s="17"/>
      <c r="AN318"/>
      <c r="AO318"/>
      <c r="AP318"/>
      <c r="AQ318"/>
    </row>
    <row r="319" spans="30:43" x14ac:dyDescent="0.25">
      <c r="AD319" s="17"/>
      <c r="AE319" s="17"/>
      <c r="AF319" s="17"/>
      <c r="AG319" s="17"/>
      <c r="AH319" s="17"/>
      <c r="AI319" s="17"/>
      <c r="AJ319" s="17"/>
      <c r="AK319" s="17"/>
      <c r="AN319"/>
      <c r="AO319"/>
      <c r="AP319"/>
      <c r="AQ319"/>
    </row>
    <row r="320" spans="30:43" x14ac:dyDescent="0.25">
      <c r="AD320" s="17"/>
      <c r="AE320" s="17"/>
      <c r="AF320" s="17"/>
      <c r="AG320" s="17"/>
      <c r="AH320" s="17"/>
      <c r="AI320" s="17"/>
      <c r="AJ320" s="17"/>
      <c r="AK320" s="17"/>
      <c r="AN320"/>
      <c r="AO320"/>
      <c r="AP320"/>
      <c r="AQ320"/>
    </row>
    <row r="321" spans="30:43" x14ac:dyDescent="0.25">
      <c r="AD321" s="17"/>
      <c r="AE321" s="17"/>
      <c r="AF321" s="17"/>
      <c r="AG321" s="17"/>
      <c r="AH321" s="17"/>
      <c r="AI321" s="17"/>
      <c r="AJ321" s="17"/>
      <c r="AK321" s="17"/>
      <c r="AN321"/>
      <c r="AO321"/>
      <c r="AP321"/>
      <c r="AQ321"/>
    </row>
    <row r="322" spans="30:43" x14ac:dyDescent="0.25">
      <c r="AD322" s="17"/>
      <c r="AE322" s="17"/>
      <c r="AF322" s="17"/>
      <c r="AG322" s="17"/>
      <c r="AH322" s="17"/>
      <c r="AI322" s="17"/>
      <c r="AJ322" s="17"/>
      <c r="AK322" s="17"/>
      <c r="AN322"/>
      <c r="AO322"/>
      <c r="AP322"/>
      <c r="AQ322"/>
    </row>
    <row r="323" spans="30:43" x14ac:dyDescent="0.25">
      <c r="AD323" s="17"/>
      <c r="AE323" s="17"/>
      <c r="AF323" s="17"/>
      <c r="AG323" s="17"/>
      <c r="AH323" s="17"/>
      <c r="AI323" s="17"/>
      <c r="AJ323" s="17"/>
      <c r="AK323" s="17"/>
      <c r="AN323"/>
      <c r="AO323"/>
      <c r="AP323"/>
      <c r="AQ323"/>
    </row>
    <row r="324" spans="30:43" x14ac:dyDescent="0.25">
      <c r="AD324" s="17"/>
      <c r="AE324" s="17"/>
      <c r="AF324" s="17"/>
      <c r="AG324" s="17"/>
      <c r="AH324" s="17"/>
      <c r="AI324" s="17"/>
      <c r="AJ324" s="17"/>
      <c r="AK324" s="17"/>
      <c r="AN324"/>
      <c r="AO324"/>
      <c r="AP324"/>
      <c r="AQ324"/>
    </row>
    <row r="325" spans="30:43" x14ac:dyDescent="0.25">
      <c r="AD325" s="17"/>
      <c r="AE325" s="17"/>
      <c r="AF325" s="17"/>
      <c r="AG325" s="17"/>
      <c r="AH325" s="17"/>
      <c r="AI325" s="17"/>
      <c r="AJ325" s="17"/>
      <c r="AK325" s="17"/>
      <c r="AN325"/>
      <c r="AO325"/>
      <c r="AP325"/>
      <c r="AQ325"/>
    </row>
    <row r="326" spans="30:43" x14ac:dyDescent="0.25">
      <c r="AD326" s="17"/>
      <c r="AE326" s="17"/>
      <c r="AF326" s="17"/>
      <c r="AG326" s="17"/>
      <c r="AH326" s="17"/>
      <c r="AI326" s="17"/>
      <c r="AJ326" s="17"/>
      <c r="AK326" s="17"/>
      <c r="AN326"/>
      <c r="AO326"/>
      <c r="AP326"/>
      <c r="AQ326"/>
    </row>
    <row r="327" spans="30:43" x14ac:dyDescent="0.25">
      <c r="AD327" s="17"/>
      <c r="AE327" s="17"/>
      <c r="AF327" s="17"/>
      <c r="AG327" s="17"/>
      <c r="AH327" s="17"/>
      <c r="AI327" s="17"/>
      <c r="AJ327" s="17"/>
      <c r="AK327" s="17"/>
      <c r="AN327"/>
      <c r="AO327"/>
      <c r="AP327"/>
      <c r="AQ327"/>
    </row>
    <row r="328" spans="30:43" x14ac:dyDescent="0.25">
      <c r="AD328" s="17"/>
      <c r="AE328" s="17"/>
      <c r="AF328" s="17"/>
      <c r="AG328" s="17"/>
      <c r="AH328" s="17"/>
      <c r="AI328" s="17"/>
      <c r="AJ328" s="17"/>
      <c r="AK328" s="17"/>
      <c r="AN328"/>
      <c r="AO328"/>
      <c r="AP328"/>
      <c r="AQ328"/>
    </row>
    <row r="329" spans="30:43" x14ac:dyDescent="0.25">
      <c r="AD329" s="17"/>
      <c r="AE329" s="17"/>
      <c r="AF329" s="17"/>
      <c r="AG329" s="17"/>
      <c r="AH329" s="17"/>
      <c r="AI329" s="17"/>
      <c r="AJ329" s="17"/>
      <c r="AK329" s="17"/>
      <c r="AN329"/>
      <c r="AO329"/>
      <c r="AP329"/>
      <c r="AQ329"/>
    </row>
    <row r="330" spans="30:43" x14ac:dyDescent="0.25">
      <c r="AD330" s="17"/>
      <c r="AE330" s="17"/>
      <c r="AF330" s="17"/>
      <c r="AG330" s="17"/>
      <c r="AH330" s="17"/>
      <c r="AI330" s="17"/>
      <c r="AJ330" s="17"/>
      <c r="AK330" s="17"/>
      <c r="AN330"/>
      <c r="AO330"/>
      <c r="AP330"/>
      <c r="AQ330"/>
    </row>
    <row r="331" spans="30:43" x14ac:dyDescent="0.25">
      <c r="AD331" s="17"/>
      <c r="AE331" s="17"/>
      <c r="AF331" s="17"/>
      <c r="AG331" s="17"/>
      <c r="AH331" s="17"/>
      <c r="AI331" s="17"/>
      <c r="AJ331" s="17"/>
      <c r="AK331" s="17"/>
      <c r="AN331"/>
      <c r="AO331"/>
      <c r="AP331"/>
      <c r="AQ331"/>
    </row>
    <row r="332" spans="30:43" x14ac:dyDescent="0.25">
      <c r="AD332" s="17"/>
      <c r="AE332" s="17"/>
      <c r="AF332" s="17"/>
      <c r="AG332" s="17"/>
      <c r="AH332" s="17"/>
      <c r="AI332" s="17"/>
      <c r="AJ332" s="17"/>
      <c r="AK332" s="17"/>
      <c r="AN332"/>
      <c r="AO332"/>
      <c r="AP332"/>
      <c r="AQ332"/>
    </row>
    <row r="333" spans="30:43" x14ac:dyDescent="0.25">
      <c r="AD333" s="17"/>
      <c r="AE333" s="17"/>
      <c r="AF333" s="17"/>
      <c r="AG333" s="17"/>
      <c r="AH333" s="17"/>
      <c r="AI333" s="17"/>
      <c r="AJ333" s="17"/>
      <c r="AK333" s="17"/>
      <c r="AN333"/>
      <c r="AO333"/>
      <c r="AP333"/>
      <c r="AQ333"/>
    </row>
    <row r="334" spans="30:43" x14ac:dyDescent="0.25">
      <c r="AD334" s="17"/>
      <c r="AE334" s="17"/>
      <c r="AF334" s="17"/>
      <c r="AG334" s="17"/>
      <c r="AH334" s="17"/>
      <c r="AI334" s="17"/>
      <c r="AJ334" s="17"/>
      <c r="AK334" s="17"/>
      <c r="AN334"/>
      <c r="AO334"/>
      <c r="AP334"/>
      <c r="AQ334"/>
    </row>
    <row r="335" spans="30:43" x14ac:dyDescent="0.25">
      <c r="AD335" s="17"/>
      <c r="AE335" s="17"/>
      <c r="AF335" s="17"/>
      <c r="AG335" s="17"/>
      <c r="AH335" s="17"/>
      <c r="AI335" s="17"/>
      <c r="AJ335" s="17"/>
      <c r="AK335" s="17"/>
      <c r="AN335"/>
      <c r="AO335"/>
      <c r="AP335"/>
      <c r="AQ335"/>
    </row>
    <row r="336" spans="30:43" x14ac:dyDescent="0.25">
      <c r="AD336" s="17"/>
      <c r="AE336" s="17"/>
      <c r="AF336" s="17"/>
      <c r="AG336" s="17"/>
      <c r="AH336" s="17"/>
      <c r="AI336" s="17"/>
      <c r="AJ336" s="17"/>
      <c r="AK336" s="17"/>
      <c r="AN336"/>
      <c r="AO336"/>
      <c r="AP336"/>
      <c r="AQ336"/>
    </row>
    <row r="337" spans="30:43" x14ac:dyDescent="0.25">
      <c r="AD337" s="17"/>
      <c r="AE337" s="17"/>
      <c r="AF337" s="17"/>
      <c r="AG337" s="17"/>
      <c r="AH337" s="17"/>
      <c r="AI337" s="17"/>
      <c r="AJ337" s="17"/>
      <c r="AK337" s="17"/>
      <c r="AN337"/>
      <c r="AO337"/>
      <c r="AP337"/>
      <c r="AQ337"/>
    </row>
    <row r="338" spans="30:43" x14ac:dyDescent="0.25">
      <c r="AD338" s="17"/>
      <c r="AE338" s="17"/>
      <c r="AF338" s="17"/>
      <c r="AG338" s="17"/>
      <c r="AH338" s="17"/>
      <c r="AI338" s="17"/>
      <c r="AJ338" s="17"/>
      <c r="AK338" s="17"/>
      <c r="AN338"/>
      <c r="AO338"/>
      <c r="AP338"/>
      <c r="AQ338"/>
    </row>
    <row r="339" spans="30:43" x14ac:dyDescent="0.25">
      <c r="AD339" s="17"/>
      <c r="AE339" s="17"/>
      <c r="AF339" s="17"/>
      <c r="AG339" s="17"/>
      <c r="AH339" s="17"/>
      <c r="AI339" s="17"/>
      <c r="AJ339" s="17"/>
      <c r="AK339" s="17"/>
      <c r="AN339"/>
      <c r="AO339"/>
      <c r="AP339"/>
      <c r="AQ339"/>
    </row>
    <row r="340" spans="30:43" x14ac:dyDescent="0.25">
      <c r="AD340" s="17"/>
      <c r="AE340" s="17"/>
      <c r="AF340" s="17"/>
      <c r="AG340" s="17"/>
      <c r="AH340" s="17"/>
      <c r="AI340" s="17"/>
      <c r="AJ340" s="17"/>
      <c r="AK340" s="17"/>
      <c r="AN340"/>
      <c r="AO340"/>
      <c r="AP340"/>
      <c r="AQ340"/>
    </row>
    <row r="341" spans="30:43" x14ac:dyDescent="0.25">
      <c r="AD341" s="17"/>
      <c r="AE341" s="17"/>
      <c r="AF341" s="17"/>
      <c r="AG341" s="17"/>
      <c r="AH341" s="17"/>
      <c r="AI341" s="17"/>
      <c r="AJ341" s="17"/>
      <c r="AK341" s="17"/>
      <c r="AN341"/>
      <c r="AO341"/>
      <c r="AP341"/>
      <c r="AQ341"/>
    </row>
    <row r="342" spans="30:43" x14ac:dyDescent="0.25">
      <c r="AD342" s="17"/>
      <c r="AE342" s="17"/>
      <c r="AF342" s="17"/>
      <c r="AG342" s="17"/>
      <c r="AH342" s="17"/>
      <c r="AI342" s="17"/>
      <c r="AJ342" s="17"/>
      <c r="AK342" s="17"/>
      <c r="AN342"/>
      <c r="AO342"/>
      <c r="AP342"/>
      <c r="AQ342"/>
    </row>
    <row r="343" spans="30:43" x14ac:dyDescent="0.25">
      <c r="AD343" s="17"/>
      <c r="AE343" s="17"/>
      <c r="AF343" s="17"/>
      <c r="AG343" s="17"/>
      <c r="AH343" s="17"/>
      <c r="AI343" s="17"/>
      <c r="AJ343" s="17"/>
      <c r="AK343" s="17"/>
      <c r="AN343"/>
      <c r="AO343"/>
      <c r="AP343"/>
      <c r="AQ343"/>
    </row>
    <row r="344" spans="30:43" x14ac:dyDescent="0.25">
      <c r="AD344" s="17"/>
      <c r="AE344" s="17"/>
      <c r="AF344" s="17"/>
      <c r="AG344" s="17"/>
      <c r="AH344" s="17"/>
      <c r="AI344" s="17"/>
      <c r="AJ344" s="17"/>
      <c r="AK344" s="17"/>
      <c r="AN344"/>
      <c r="AO344"/>
      <c r="AP344"/>
      <c r="AQ344"/>
    </row>
    <row r="345" spans="30:43" x14ac:dyDescent="0.25">
      <c r="AD345" s="17"/>
      <c r="AE345" s="17"/>
      <c r="AF345" s="17"/>
      <c r="AG345" s="17"/>
      <c r="AH345" s="17"/>
      <c r="AI345" s="17"/>
      <c r="AJ345" s="17"/>
      <c r="AK345" s="17"/>
      <c r="AN345"/>
      <c r="AO345"/>
      <c r="AP345"/>
      <c r="AQ345"/>
    </row>
    <row r="346" spans="30:43" x14ac:dyDescent="0.25">
      <c r="AD346" s="17"/>
      <c r="AE346" s="17"/>
      <c r="AF346" s="17"/>
      <c r="AG346" s="17"/>
      <c r="AH346" s="17"/>
      <c r="AI346" s="17"/>
      <c r="AJ346" s="17"/>
      <c r="AK346" s="17"/>
      <c r="AN346"/>
      <c r="AO346"/>
      <c r="AP346"/>
      <c r="AQ346"/>
    </row>
    <row r="347" spans="30:43" x14ac:dyDescent="0.25">
      <c r="AD347" s="17"/>
      <c r="AE347" s="17"/>
      <c r="AF347" s="17"/>
      <c r="AG347" s="17"/>
      <c r="AH347" s="17"/>
      <c r="AI347" s="17"/>
      <c r="AJ347" s="17"/>
      <c r="AK347" s="17"/>
      <c r="AN347"/>
      <c r="AO347"/>
      <c r="AP347"/>
      <c r="AQ347"/>
    </row>
    <row r="348" spans="30:43" x14ac:dyDescent="0.25">
      <c r="AD348" s="17"/>
      <c r="AE348" s="17"/>
      <c r="AF348" s="17"/>
      <c r="AG348" s="17"/>
      <c r="AH348" s="17"/>
      <c r="AI348" s="17"/>
      <c r="AJ348" s="17"/>
      <c r="AK348" s="17"/>
      <c r="AN348"/>
      <c r="AO348"/>
      <c r="AP348"/>
      <c r="AQ348"/>
    </row>
    <row r="349" spans="30:43" x14ac:dyDescent="0.25">
      <c r="AD349" s="17"/>
      <c r="AE349" s="17"/>
      <c r="AF349" s="17"/>
      <c r="AG349" s="17"/>
      <c r="AH349" s="17"/>
      <c r="AI349" s="17"/>
      <c r="AJ349" s="17"/>
      <c r="AK349" s="17"/>
      <c r="AN349"/>
      <c r="AO349"/>
      <c r="AP349"/>
      <c r="AQ349"/>
    </row>
    <row r="350" spans="30:43" x14ac:dyDescent="0.25">
      <c r="AD350" s="17"/>
      <c r="AE350" s="17"/>
      <c r="AF350" s="17"/>
      <c r="AG350" s="17"/>
      <c r="AH350" s="17"/>
      <c r="AI350" s="17"/>
      <c r="AJ350" s="17"/>
      <c r="AK350" s="17"/>
      <c r="AN350"/>
      <c r="AO350"/>
      <c r="AP350"/>
      <c r="AQ350"/>
    </row>
    <row r="351" spans="30:43" x14ac:dyDescent="0.25">
      <c r="AD351" s="17"/>
      <c r="AE351" s="17"/>
      <c r="AF351" s="17"/>
      <c r="AG351" s="17"/>
      <c r="AH351" s="17"/>
      <c r="AI351" s="17"/>
      <c r="AJ351" s="17"/>
      <c r="AK351" s="17"/>
      <c r="AN351"/>
      <c r="AO351"/>
      <c r="AP351"/>
      <c r="AQ351"/>
    </row>
    <row r="352" spans="30:43" x14ac:dyDescent="0.25">
      <c r="AD352" s="17"/>
      <c r="AE352" s="17"/>
      <c r="AF352" s="17"/>
      <c r="AG352" s="17"/>
      <c r="AH352" s="17"/>
      <c r="AI352" s="17"/>
      <c r="AJ352" s="17"/>
      <c r="AK352" s="17"/>
      <c r="AN352"/>
      <c r="AO352"/>
      <c r="AP352"/>
      <c r="AQ352"/>
    </row>
    <row r="353" spans="30:43" x14ac:dyDescent="0.25">
      <c r="AD353" s="17"/>
      <c r="AE353" s="17"/>
      <c r="AF353" s="17"/>
      <c r="AG353" s="17"/>
      <c r="AH353" s="17"/>
      <c r="AI353" s="17"/>
      <c r="AJ353" s="17"/>
      <c r="AK353" s="17"/>
      <c r="AN353"/>
      <c r="AO353"/>
      <c r="AP353"/>
      <c r="AQ353"/>
    </row>
    <row r="354" spans="30:43" x14ac:dyDescent="0.25">
      <c r="AD354" s="17"/>
      <c r="AE354" s="17"/>
      <c r="AF354" s="17"/>
      <c r="AG354" s="17"/>
      <c r="AH354" s="17"/>
      <c r="AI354" s="17"/>
      <c r="AJ354" s="17"/>
      <c r="AK354" s="17"/>
      <c r="AN354"/>
      <c r="AO354"/>
      <c r="AP354"/>
      <c r="AQ354"/>
    </row>
    <row r="355" spans="30:43" x14ac:dyDescent="0.25">
      <c r="AD355" s="17"/>
      <c r="AE355" s="17"/>
      <c r="AF355" s="17"/>
      <c r="AG355" s="17"/>
      <c r="AH355" s="17"/>
      <c r="AI355" s="17"/>
      <c r="AJ355" s="17"/>
      <c r="AK355" s="17"/>
      <c r="AN355"/>
      <c r="AO355"/>
      <c r="AP355"/>
      <c r="AQ355"/>
    </row>
  </sheetData>
  <autoFilter ref="A3:Y3" xr:uid="{00000000-0009-0000-0000-000009000000}"/>
  <mergeCells count="3">
    <mergeCell ref="AO8:AP8"/>
    <mergeCell ref="AD1:AG1"/>
    <mergeCell ref="AH1:AK1"/>
  </mergeCells>
  <conditionalFormatting sqref="E1:E3">
    <cfRule type="duplicateValues" dxfId="32" priority="2"/>
  </conditionalFormatting>
  <conditionalFormatting sqref="F1:F3">
    <cfRule type="duplicateValues" dxfId="31" priority="1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filterMode="1"/>
  <dimension ref="A1:AU355"/>
  <sheetViews>
    <sheetView zoomScale="70" zoomScaleNormal="70" workbookViewId="0">
      <pane ySplit="3" topLeftCell="A50" activePane="bottomLeft" state="frozen"/>
      <selection pane="bottomLeft" activeCell="X11" sqref="X11:X50"/>
    </sheetView>
  </sheetViews>
  <sheetFormatPr defaultRowHeight="15" x14ac:dyDescent="0.25"/>
  <cols>
    <col min="1" max="1" width="8.85546875" style="180"/>
    <col min="2" max="2" width="6.7109375" style="180" customWidth="1"/>
    <col min="3" max="3" width="30.7109375" style="277" customWidth="1"/>
    <col min="4" max="4" width="11.7109375" style="180" hidden="1" customWidth="1"/>
    <col min="5" max="5" width="27.140625" style="180" bestFit="1" customWidth="1"/>
    <col min="6" max="6" width="0" style="180" hidden="1" customWidth="1"/>
    <col min="7" max="7" width="14.28515625" style="180" hidden="1" customWidth="1"/>
    <col min="8" max="8" width="0" style="180" hidden="1" customWidth="1"/>
    <col min="9" max="9" width="17.42578125" style="180" bestFit="1" customWidth="1"/>
    <col min="10" max="13" width="8.85546875" style="180"/>
    <col min="14" max="14" width="6.28515625" style="180" customWidth="1"/>
    <col min="15" max="15" width="5.7109375" style="180" customWidth="1"/>
    <col min="16" max="16" width="4.5703125" style="180" customWidth="1"/>
    <col min="17" max="17" width="4.7109375" style="180" customWidth="1"/>
    <col min="18" max="18" width="8.7109375" style="180" customWidth="1"/>
    <col min="19" max="19" width="13" style="180" hidden="1" customWidth="1"/>
    <col min="20" max="20" width="18.28515625" style="180" hidden="1" customWidth="1"/>
    <col min="21" max="21" width="8.28515625" style="180" hidden="1" customWidth="1"/>
    <col min="22" max="22" width="0" style="180" hidden="1" customWidth="1"/>
    <col min="23" max="23" width="17.42578125" style="180" hidden="1" customWidth="1"/>
    <col min="24" max="24" width="8.85546875" style="180"/>
    <col min="25" max="25" width="0" style="180" hidden="1" customWidth="1"/>
    <col min="26" max="26" width="22.5703125" style="180" hidden="1" customWidth="1"/>
    <col min="27" max="28" width="0" style="180" hidden="1" customWidth="1"/>
    <col min="29" max="32" width="7.5703125" style="32" hidden="1" customWidth="1"/>
    <col min="33" max="40" width="7.5703125" style="32" customWidth="1"/>
    <col min="41" max="41" width="8.85546875" style="180"/>
    <col min="42" max="42" width="13" style="180" customWidth="1"/>
    <col min="43" max="43" width="7.42578125" style="180" bestFit="1" customWidth="1"/>
    <col min="44" max="44" width="7.140625" style="180" bestFit="1" customWidth="1"/>
    <col min="45" max="45" width="7.42578125" style="180" bestFit="1" customWidth="1"/>
    <col min="46" max="46" width="7.140625" style="180" bestFit="1" customWidth="1"/>
    <col min="47" max="47" width="8.85546875" style="180"/>
  </cols>
  <sheetData>
    <row r="1" spans="1:47" ht="75.599999999999994" customHeight="1" x14ac:dyDescent="0.25">
      <c r="A1" s="1" t="s">
        <v>0</v>
      </c>
      <c r="B1" s="1" t="s">
        <v>1</v>
      </c>
      <c r="C1" s="1" t="s">
        <v>3</v>
      </c>
      <c r="D1" s="2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18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259</v>
      </c>
      <c r="O1" s="1" t="s">
        <v>259</v>
      </c>
      <c r="P1" s="1" t="s">
        <v>259</v>
      </c>
      <c r="Q1" s="1" t="s">
        <v>259</v>
      </c>
      <c r="R1" s="1" t="s">
        <v>13</v>
      </c>
      <c r="S1" s="1" t="s">
        <v>14</v>
      </c>
      <c r="T1" s="2" t="s">
        <v>15</v>
      </c>
      <c r="U1" s="2" t="s">
        <v>16</v>
      </c>
      <c r="V1" s="3" t="s">
        <v>17</v>
      </c>
      <c r="W1" s="1" t="s">
        <v>18</v>
      </c>
      <c r="X1" s="1" t="s">
        <v>19</v>
      </c>
      <c r="Y1" s="4" t="s">
        <v>20</v>
      </c>
      <c r="Z1" s="3" t="s">
        <v>21</v>
      </c>
      <c r="AA1" s="236" t="s">
        <v>22</v>
      </c>
      <c r="AB1" s="248" t="s">
        <v>913</v>
      </c>
      <c r="AC1" s="452" t="s">
        <v>646</v>
      </c>
      <c r="AD1" s="453"/>
      <c r="AE1" s="453"/>
      <c r="AF1" s="454"/>
      <c r="AG1" s="452" t="s">
        <v>979</v>
      </c>
      <c r="AH1" s="453"/>
      <c r="AI1" s="453"/>
      <c r="AJ1" s="454"/>
      <c r="AK1" s="452" t="s">
        <v>1145</v>
      </c>
      <c r="AL1" s="453"/>
      <c r="AM1" s="453"/>
      <c r="AN1" s="454"/>
      <c r="AO1" s="249" t="s">
        <v>23</v>
      </c>
      <c r="AP1" s="249" t="s">
        <v>24</v>
      </c>
      <c r="AQ1" s="15"/>
      <c r="AR1" s="15"/>
      <c r="AS1" s="15"/>
      <c r="AT1" s="15"/>
      <c r="AU1" s="15"/>
    </row>
    <row r="2" spans="1:47" ht="14.45" customHeight="1" x14ac:dyDescent="0.25">
      <c r="A2" s="1"/>
      <c r="B2" s="1"/>
      <c r="C2" s="1"/>
      <c r="D2" s="2"/>
      <c r="E2" s="1"/>
      <c r="F2" s="1"/>
      <c r="G2" s="1"/>
      <c r="H2" s="1"/>
      <c r="I2" s="1"/>
      <c r="J2" s="1"/>
      <c r="K2" s="1"/>
      <c r="L2" s="1"/>
      <c r="M2" s="1"/>
      <c r="N2" s="133">
        <v>0.3</v>
      </c>
      <c r="O2" s="133">
        <v>0.35</v>
      </c>
      <c r="P2" s="133">
        <v>0.2</v>
      </c>
      <c r="Q2" s="133">
        <v>0.15</v>
      </c>
      <c r="R2" s="1"/>
      <c r="S2" s="1"/>
      <c r="T2" s="2"/>
      <c r="U2" s="2"/>
      <c r="V2" s="3"/>
      <c r="W2" s="1"/>
      <c r="X2" s="1"/>
      <c r="Y2" s="4"/>
      <c r="Z2" s="3"/>
      <c r="AA2" s="236"/>
      <c r="AB2" s="296"/>
      <c r="AC2" s="36">
        <v>0.3</v>
      </c>
      <c r="AD2" s="36">
        <v>0.35</v>
      </c>
      <c r="AE2" s="36">
        <v>0.2</v>
      </c>
      <c r="AF2" s="36">
        <v>0.15</v>
      </c>
      <c r="AG2" s="36">
        <v>0.3</v>
      </c>
      <c r="AH2" s="36">
        <v>0.35</v>
      </c>
      <c r="AI2" s="36">
        <v>0.2</v>
      </c>
      <c r="AJ2" s="36">
        <v>0.15</v>
      </c>
      <c r="AK2" s="36">
        <v>0.3</v>
      </c>
      <c r="AL2" s="36">
        <v>0.35</v>
      </c>
      <c r="AM2" s="36">
        <v>0.2</v>
      </c>
      <c r="AN2" s="36">
        <v>0.15</v>
      </c>
      <c r="AO2" s="297"/>
      <c r="AP2" s="249"/>
      <c r="AQ2" s="23"/>
      <c r="AR2" s="23"/>
      <c r="AS2" s="23"/>
      <c r="AT2" s="23"/>
      <c r="AU2" s="23"/>
    </row>
    <row r="3" spans="1:47" ht="16.149999999999999" customHeight="1" x14ac:dyDescent="0.25">
      <c r="A3" s="1"/>
      <c r="B3" s="1"/>
      <c r="C3" s="1"/>
      <c r="D3" s="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2"/>
      <c r="U3" s="2"/>
      <c r="V3" s="3"/>
      <c r="W3" s="1"/>
      <c r="X3" s="1"/>
      <c r="Y3" s="4"/>
      <c r="Z3" s="3"/>
      <c r="AA3" s="236"/>
      <c r="AB3" s="296"/>
      <c r="AC3" s="91">
        <f t="shared" ref="AC3:AJ3" si="0">SUM(AC4:AC56)</f>
        <v>29.424000000000003</v>
      </c>
      <c r="AD3" s="91">
        <f t="shared" si="0"/>
        <v>7.21</v>
      </c>
      <c r="AE3" s="91">
        <f t="shared" si="0"/>
        <v>0</v>
      </c>
      <c r="AF3" s="91">
        <f t="shared" si="0"/>
        <v>0</v>
      </c>
      <c r="AG3" s="91">
        <f t="shared" si="0"/>
        <v>18.374999999999996</v>
      </c>
      <c r="AH3" s="91">
        <f t="shared" si="0"/>
        <v>17.737999999999996</v>
      </c>
      <c r="AI3" s="91">
        <f t="shared" si="0"/>
        <v>4.120000000000001</v>
      </c>
      <c r="AJ3" s="91">
        <f t="shared" si="0"/>
        <v>0</v>
      </c>
      <c r="AK3" s="91">
        <f t="shared" ref="AK3:AN3" si="1">SUM(AK4:AK56)</f>
        <v>0</v>
      </c>
      <c r="AL3" s="91">
        <f t="shared" si="1"/>
        <v>0</v>
      </c>
      <c r="AM3" s="91">
        <f t="shared" si="1"/>
        <v>0</v>
      </c>
      <c r="AN3" s="91">
        <f t="shared" si="1"/>
        <v>0</v>
      </c>
      <c r="AO3" s="297"/>
      <c r="AP3" s="249"/>
      <c r="AQ3" s="23"/>
      <c r="AR3" s="23"/>
      <c r="AS3" s="23"/>
      <c r="AT3" s="23"/>
      <c r="AU3" s="23"/>
    </row>
    <row r="4" spans="1:47" hidden="1" x14ac:dyDescent="0.25">
      <c r="A4" s="38">
        <v>1</v>
      </c>
      <c r="B4" s="38" t="s">
        <v>28</v>
      </c>
      <c r="C4" s="298"/>
      <c r="D4" s="38"/>
      <c r="E4" s="38"/>
      <c r="F4" s="38"/>
      <c r="G4" s="38" t="s">
        <v>31</v>
      </c>
      <c r="H4" s="38"/>
      <c r="I4" s="38"/>
      <c r="J4" s="38"/>
      <c r="K4" s="38">
        <v>160.04277799999997</v>
      </c>
      <c r="L4" s="38"/>
      <c r="M4" s="38"/>
      <c r="N4" s="38"/>
      <c r="O4" s="38"/>
      <c r="P4" s="38"/>
      <c r="Q4" s="38"/>
      <c r="R4" s="38">
        <v>6526.0137960000011</v>
      </c>
      <c r="S4" s="280"/>
      <c r="T4" s="280">
        <v>16963244.523209319</v>
      </c>
      <c r="U4" s="38"/>
      <c r="V4" s="38"/>
      <c r="W4" s="38"/>
      <c r="X4" s="38"/>
      <c r="Y4" s="38"/>
      <c r="Z4" s="143"/>
      <c r="AA4" s="9"/>
      <c r="AB4" s="16"/>
      <c r="AC4" s="122"/>
      <c r="AD4" s="123"/>
      <c r="AE4" s="123"/>
      <c r="AF4" s="93"/>
      <c r="AG4" s="122"/>
      <c r="AH4" s="123"/>
      <c r="AI4" s="123"/>
      <c r="AJ4" s="93"/>
      <c r="AK4" s="122"/>
      <c r="AL4" s="123"/>
      <c r="AM4" s="123"/>
      <c r="AN4" s="93"/>
      <c r="AO4" s="257"/>
      <c r="AP4" s="38"/>
      <c r="AQ4" s="253" t="s">
        <v>758</v>
      </c>
      <c r="AR4" s="17" t="s">
        <v>759</v>
      </c>
      <c r="AS4" s="253" t="s">
        <v>760</v>
      </c>
      <c r="AT4" s="17"/>
    </row>
    <row r="5" spans="1:47" ht="40.15" hidden="1" customHeight="1" x14ac:dyDescent="0.25">
      <c r="A5" s="268">
        <v>2</v>
      </c>
      <c r="B5" s="9" t="s">
        <v>28</v>
      </c>
      <c r="C5" s="269" t="s">
        <v>914</v>
      </c>
      <c r="D5" s="268"/>
      <c r="E5" s="270" t="s">
        <v>915</v>
      </c>
      <c r="F5" s="268"/>
      <c r="G5" s="9" t="s">
        <v>31</v>
      </c>
      <c r="H5" s="268"/>
      <c r="I5" s="268" t="s">
        <v>916</v>
      </c>
      <c r="J5" s="268">
        <v>5.8E-4</v>
      </c>
      <c r="K5" s="268">
        <v>0.22736000000000001</v>
      </c>
      <c r="L5" s="268">
        <v>392</v>
      </c>
      <c r="M5" s="268" t="s">
        <v>33</v>
      </c>
      <c r="N5" s="268">
        <f>R5*0.3</f>
        <v>5.5930560000000007</v>
      </c>
      <c r="O5" s="268">
        <f>R5*0.35</f>
        <v>6.5252320000000008</v>
      </c>
      <c r="P5" s="268">
        <f>R5*0.2</f>
        <v>3.7287040000000005</v>
      </c>
      <c r="Q5" s="268">
        <f>R5*0.15</f>
        <v>2.7965280000000003</v>
      </c>
      <c r="R5" s="292">
        <v>18.643520000000002</v>
      </c>
      <c r="S5" s="271">
        <v>105991.94</v>
      </c>
      <c r="T5" s="271">
        <v>24098.327478400002</v>
      </c>
      <c r="U5" s="268"/>
      <c r="V5" s="268"/>
      <c r="W5" s="268" t="s">
        <v>916</v>
      </c>
      <c r="X5" s="268">
        <v>177064</v>
      </c>
      <c r="Y5" s="272" t="s">
        <v>917</v>
      </c>
      <c r="Z5" s="270" t="s">
        <v>915</v>
      </c>
      <c r="AA5" s="268">
        <v>1</v>
      </c>
      <c r="AB5" s="273">
        <v>2992</v>
      </c>
      <c r="AC5" s="94"/>
      <c r="AD5" s="90"/>
      <c r="AE5" s="90"/>
      <c r="AF5" s="112"/>
      <c r="AG5" s="124"/>
      <c r="AH5" s="34"/>
      <c r="AI5" s="34"/>
      <c r="AJ5" s="95"/>
      <c r="AK5" s="124"/>
      <c r="AL5" s="34"/>
      <c r="AM5" s="34"/>
      <c r="AN5" s="95"/>
      <c r="AO5" s="274">
        <v>8.3808858051067148</v>
      </c>
      <c r="AP5" s="275">
        <v>92288</v>
      </c>
      <c r="AQ5" s="253">
        <v>6526.0137960000011</v>
      </c>
      <c r="AR5" s="17">
        <v>6869</v>
      </c>
      <c r="AS5" s="253">
        <v>342.98620399999891</v>
      </c>
      <c r="AT5" s="17" t="s">
        <v>649</v>
      </c>
    </row>
    <row r="6" spans="1:47" ht="49.15" hidden="1" customHeight="1" x14ac:dyDescent="0.25">
      <c r="A6" s="268">
        <v>3</v>
      </c>
      <c r="B6" s="9" t="s">
        <v>28</v>
      </c>
      <c r="C6" s="269" t="s">
        <v>914</v>
      </c>
      <c r="D6" s="172"/>
      <c r="E6" s="270" t="s">
        <v>918</v>
      </c>
      <c r="F6" s="172"/>
      <c r="G6" s="9" t="s">
        <v>31</v>
      </c>
      <c r="H6" s="172"/>
      <c r="I6" s="15" t="s">
        <v>919</v>
      </c>
      <c r="J6" s="268">
        <v>5.1999999999999995E-4</v>
      </c>
      <c r="K6" s="268">
        <v>0.17471999999999999</v>
      </c>
      <c r="L6" s="268">
        <v>336</v>
      </c>
      <c r="M6" s="268" t="s">
        <v>33</v>
      </c>
      <c r="N6" s="268">
        <f t="shared" ref="N6:N56" si="2">R6*0.3</f>
        <v>4.2981119999999997</v>
      </c>
      <c r="O6" s="268">
        <f t="shared" ref="O6:O56" si="3">R6*0.35</f>
        <v>5.0144639999999994</v>
      </c>
      <c r="P6" s="268">
        <f t="shared" ref="P6:P56" si="4">R6*0.2</f>
        <v>2.865408</v>
      </c>
      <c r="Q6" s="268">
        <f t="shared" ref="Q6:Q56" si="5">R6*0.15</f>
        <v>2.1490559999999999</v>
      </c>
      <c r="R6" s="292">
        <v>14.327039999999998</v>
      </c>
      <c r="S6" s="271">
        <v>105991.94</v>
      </c>
      <c r="T6" s="271">
        <v>18518.9117568</v>
      </c>
      <c r="U6" s="172"/>
      <c r="V6" s="172"/>
      <c r="W6" s="15" t="s">
        <v>919</v>
      </c>
      <c r="X6" s="268">
        <v>177064</v>
      </c>
      <c r="Y6" s="272" t="s">
        <v>917</v>
      </c>
      <c r="Z6" s="270" t="s">
        <v>918</v>
      </c>
      <c r="AA6" s="9">
        <v>2</v>
      </c>
      <c r="AB6" s="273">
        <v>2992</v>
      </c>
      <c r="AC6" s="51"/>
      <c r="AD6" s="48"/>
      <c r="AE6" s="48"/>
      <c r="AF6" s="49"/>
      <c r="AG6" s="58"/>
      <c r="AH6" s="42"/>
      <c r="AI6" s="42"/>
      <c r="AJ6" s="59"/>
      <c r="AK6" s="58"/>
      <c r="AL6" s="42"/>
      <c r="AM6" s="42"/>
      <c r="AN6" s="59"/>
      <c r="AO6" s="172"/>
      <c r="AP6" s="172"/>
      <c r="AQ6" s="17"/>
      <c r="AR6" s="17">
        <v>343.45000000000005</v>
      </c>
      <c r="AS6" s="17"/>
      <c r="AT6" s="17"/>
    </row>
    <row r="7" spans="1:47" ht="40.15" hidden="1" customHeight="1" thickBot="1" x14ac:dyDescent="0.25">
      <c r="A7" s="268">
        <v>4</v>
      </c>
      <c r="B7" s="9" t="s">
        <v>28</v>
      </c>
      <c r="C7" s="269" t="s">
        <v>914</v>
      </c>
      <c r="D7" s="172"/>
      <c r="E7" s="270" t="s">
        <v>920</v>
      </c>
      <c r="F7" s="172"/>
      <c r="G7" s="9" t="s">
        <v>31</v>
      </c>
      <c r="H7" s="172"/>
      <c r="I7" s="9" t="s">
        <v>921</v>
      </c>
      <c r="J7" s="268">
        <v>5.9000000000000003E-4</v>
      </c>
      <c r="K7" s="268">
        <v>9.912E-2</v>
      </c>
      <c r="L7" s="268">
        <v>168</v>
      </c>
      <c r="M7" s="268" t="s">
        <v>33</v>
      </c>
      <c r="N7" s="268">
        <f t="shared" si="2"/>
        <v>2.4383520000000001</v>
      </c>
      <c r="O7" s="268">
        <f t="shared" si="3"/>
        <v>2.8447439999999999</v>
      </c>
      <c r="P7" s="268">
        <f t="shared" si="4"/>
        <v>1.6255680000000003</v>
      </c>
      <c r="Q7" s="268">
        <f t="shared" si="5"/>
        <v>1.219176</v>
      </c>
      <c r="R7" s="292">
        <v>8.1278400000000008</v>
      </c>
      <c r="S7" s="271">
        <v>105991.94</v>
      </c>
      <c r="T7" s="271">
        <v>10505.921092799999</v>
      </c>
      <c r="U7" s="172"/>
      <c r="V7" s="172"/>
      <c r="W7" s="9" t="s">
        <v>921</v>
      </c>
      <c r="X7" s="268">
        <v>177064</v>
      </c>
      <c r="Y7" s="272" t="s">
        <v>917</v>
      </c>
      <c r="Z7" s="270" t="s">
        <v>920</v>
      </c>
      <c r="AA7" s="9">
        <v>3</v>
      </c>
      <c r="AB7" s="273">
        <v>2992</v>
      </c>
      <c r="AC7" s="51"/>
      <c r="AD7" s="48"/>
      <c r="AE7" s="48"/>
      <c r="AF7" s="49"/>
      <c r="AG7" s="58"/>
      <c r="AH7" s="42"/>
      <c r="AI7" s="42"/>
      <c r="AJ7" s="59"/>
      <c r="AK7" s="58"/>
      <c r="AL7" s="42"/>
      <c r="AM7" s="42"/>
      <c r="AN7" s="59"/>
      <c r="AO7" s="172"/>
      <c r="AP7" s="172"/>
      <c r="AQ7" s="17"/>
      <c r="AR7" s="17"/>
      <c r="AS7" s="17"/>
      <c r="AT7" s="17"/>
    </row>
    <row r="8" spans="1:47" ht="40.15" hidden="1" customHeight="1" thickBot="1" x14ac:dyDescent="0.3">
      <c r="A8" s="268">
        <v>5</v>
      </c>
      <c r="B8" s="9" t="s">
        <v>28</v>
      </c>
      <c r="C8" s="269" t="s">
        <v>914</v>
      </c>
      <c r="D8" s="172"/>
      <c r="E8" s="270" t="s">
        <v>915</v>
      </c>
      <c r="F8" s="172"/>
      <c r="G8" s="9" t="s">
        <v>31</v>
      </c>
      <c r="H8" s="172"/>
      <c r="I8" s="9" t="s">
        <v>916</v>
      </c>
      <c r="J8" s="268">
        <v>5.9999999999999995E-4</v>
      </c>
      <c r="K8" s="268">
        <v>2.3399999999999997E-2</v>
      </c>
      <c r="L8" s="268">
        <v>39</v>
      </c>
      <c r="M8" s="268" t="s">
        <v>33</v>
      </c>
      <c r="N8" s="268">
        <f t="shared" si="2"/>
        <v>0.57563999999999993</v>
      </c>
      <c r="O8" s="268">
        <f t="shared" si="3"/>
        <v>0.67157999999999995</v>
      </c>
      <c r="P8" s="268">
        <f t="shared" si="4"/>
        <v>0.38375999999999999</v>
      </c>
      <c r="Q8" s="268">
        <f t="shared" si="5"/>
        <v>0.28781999999999996</v>
      </c>
      <c r="R8" s="292">
        <v>1.9187999999999998</v>
      </c>
      <c r="S8" s="271">
        <v>105991.94</v>
      </c>
      <c r="T8" s="271">
        <v>2480.2113959999997</v>
      </c>
      <c r="U8" s="172"/>
      <c r="V8" s="172"/>
      <c r="W8" s="9" t="s">
        <v>916</v>
      </c>
      <c r="X8" s="268">
        <v>177065</v>
      </c>
      <c r="Y8" s="272" t="s">
        <v>917</v>
      </c>
      <c r="Z8" s="270" t="s">
        <v>915</v>
      </c>
      <c r="AA8" s="9">
        <v>1</v>
      </c>
      <c r="AB8" s="273">
        <v>2999</v>
      </c>
      <c r="AC8" s="51"/>
      <c r="AD8" s="48"/>
      <c r="AE8" s="48"/>
      <c r="AF8" s="49"/>
      <c r="AG8" s="58"/>
      <c r="AH8" s="42"/>
      <c r="AI8" s="42"/>
      <c r="AJ8" s="59"/>
      <c r="AK8" s="58"/>
      <c r="AL8" s="42"/>
      <c r="AM8" s="42"/>
      <c r="AN8" s="59"/>
      <c r="AO8" s="172"/>
      <c r="AP8" s="172"/>
      <c r="AR8" s="455" t="s">
        <v>658</v>
      </c>
      <c r="AS8" s="456"/>
      <c r="AT8" s="224" t="s">
        <v>659</v>
      </c>
    </row>
    <row r="9" spans="1:47" ht="40.15" hidden="1" customHeight="1" x14ac:dyDescent="0.25">
      <c r="A9" s="268">
        <v>6</v>
      </c>
      <c r="B9" s="9" t="s">
        <v>28</v>
      </c>
      <c r="C9" s="269" t="s">
        <v>914</v>
      </c>
      <c r="D9" s="172"/>
      <c r="E9" s="270" t="s">
        <v>922</v>
      </c>
      <c r="F9" s="172"/>
      <c r="G9" s="9" t="s">
        <v>31</v>
      </c>
      <c r="H9" s="172"/>
      <c r="I9" s="9" t="s">
        <v>923</v>
      </c>
      <c r="J9" s="268">
        <v>5.5000000000000003E-4</v>
      </c>
      <c r="K9" s="268">
        <v>3.6850000000000001E-2</v>
      </c>
      <c r="L9" s="9">
        <v>67</v>
      </c>
      <c r="M9" s="268" t="s">
        <v>33</v>
      </c>
      <c r="N9" s="268">
        <f t="shared" si="2"/>
        <v>0.90650999999999993</v>
      </c>
      <c r="O9" s="268">
        <f t="shared" si="3"/>
        <v>1.0575949999999998</v>
      </c>
      <c r="P9" s="268">
        <f t="shared" si="4"/>
        <v>0.6043400000000001</v>
      </c>
      <c r="Q9" s="268">
        <f t="shared" si="5"/>
        <v>0.45325499999999996</v>
      </c>
      <c r="R9" s="292">
        <v>3.0217000000000001</v>
      </c>
      <c r="S9" s="271">
        <v>105991.94</v>
      </c>
      <c r="T9" s="271">
        <v>3905.8029890000003</v>
      </c>
      <c r="U9" s="172"/>
      <c r="V9" s="172"/>
      <c r="W9" s="9" t="s">
        <v>923</v>
      </c>
      <c r="X9" s="268">
        <v>177065</v>
      </c>
      <c r="Y9" s="272" t="s">
        <v>917</v>
      </c>
      <c r="Z9" s="270" t="s">
        <v>922</v>
      </c>
      <c r="AA9" s="9">
        <v>2</v>
      </c>
      <c r="AB9" s="273">
        <v>2999</v>
      </c>
      <c r="AC9" s="51"/>
      <c r="AD9" s="48"/>
      <c r="AE9" s="48"/>
      <c r="AF9" s="49"/>
      <c r="AG9" s="58"/>
      <c r="AH9" s="42"/>
      <c r="AI9" s="42"/>
      <c r="AJ9" s="59"/>
      <c r="AK9" s="58"/>
      <c r="AL9" s="42"/>
      <c r="AM9" s="42"/>
      <c r="AN9" s="59"/>
      <c r="AO9" s="172"/>
      <c r="AP9" s="172"/>
      <c r="AR9" s="226" t="s">
        <v>660</v>
      </c>
      <c r="AS9" s="227">
        <v>0.05</v>
      </c>
      <c r="AT9" s="228">
        <v>82</v>
      </c>
    </row>
    <row r="10" spans="1:47" ht="40.15" hidden="1" customHeight="1" x14ac:dyDescent="0.25">
      <c r="A10" s="268">
        <v>7</v>
      </c>
      <c r="B10" s="9" t="s">
        <v>28</v>
      </c>
      <c r="C10" s="269" t="s">
        <v>914</v>
      </c>
      <c r="D10" s="172"/>
      <c r="E10" s="270" t="s">
        <v>924</v>
      </c>
      <c r="F10" s="172"/>
      <c r="G10" s="9" t="s">
        <v>31</v>
      </c>
      <c r="H10" s="172"/>
      <c r="I10" s="9" t="s">
        <v>921</v>
      </c>
      <c r="J10" s="268">
        <v>5.9999999999999995E-4</v>
      </c>
      <c r="K10" s="268">
        <v>2.0399999999999998E-2</v>
      </c>
      <c r="L10" s="9">
        <v>34</v>
      </c>
      <c r="M10" s="268" t="s">
        <v>33</v>
      </c>
      <c r="N10" s="268">
        <f t="shared" si="2"/>
        <v>0.50183999999999995</v>
      </c>
      <c r="O10" s="268">
        <f t="shared" si="3"/>
        <v>0.58547999999999989</v>
      </c>
      <c r="P10" s="268">
        <f t="shared" si="4"/>
        <v>0.33455999999999997</v>
      </c>
      <c r="Q10" s="268">
        <f t="shared" si="5"/>
        <v>0.25091999999999998</v>
      </c>
      <c r="R10" s="292">
        <v>1.6727999999999998</v>
      </c>
      <c r="S10" s="271">
        <v>105991.94</v>
      </c>
      <c r="T10" s="271">
        <v>2162.235576</v>
      </c>
      <c r="U10" s="172"/>
      <c r="V10" s="172"/>
      <c r="W10" s="9" t="s">
        <v>921</v>
      </c>
      <c r="X10" s="268">
        <v>177065</v>
      </c>
      <c r="Y10" s="272" t="s">
        <v>917</v>
      </c>
      <c r="Z10" s="270" t="s">
        <v>924</v>
      </c>
      <c r="AA10" s="9">
        <v>3</v>
      </c>
      <c r="AB10" s="273">
        <v>2999</v>
      </c>
      <c r="AC10" s="51"/>
      <c r="AD10" s="48"/>
      <c r="AE10" s="48"/>
      <c r="AF10" s="49"/>
      <c r="AG10" s="58"/>
      <c r="AH10" s="42"/>
      <c r="AI10" s="42"/>
      <c r="AJ10" s="59"/>
      <c r="AK10" s="58"/>
      <c r="AL10" s="42"/>
      <c r="AM10" s="42"/>
      <c r="AN10" s="59"/>
      <c r="AO10" s="172"/>
      <c r="AP10" s="172"/>
      <c r="AR10" s="229">
        <v>0.05</v>
      </c>
      <c r="AS10" s="230">
        <v>0.1</v>
      </c>
      <c r="AT10" s="231">
        <v>71</v>
      </c>
    </row>
    <row r="11" spans="1:47" ht="40.15" customHeight="1" x14ac:dyDescent="0.25">
      <c r="A11" s="301">
        <v>8</v>
      </c>
      <c r="B11" s="25" t="s">
        <v>28</v>
      </c>
      <c r="C11" s="302" t="s">
        <v>914</v>
      </c>
      <c r="D11" s="195"/>
      <c r="E11" s="25" t="s">
        <v>126</v>
      </c>
      <c r="F11" s="195"/>
      <c r="G11" s="25" t="s">
        <v>31</v>
      </c>
      <c r="H11" s="195"/>
      <c r="I11" s="25" t="s">
        <v>925</v>
      </c>
      <c r="J11" s="25">
        <v>3.6150000000000002</v>
      </c>
      <c r="K11" s="301">
        <v>3.6150000000000002</v>
      </c>
      <c r="L11" s="25">
        <v>1</v>
      </c>
      <c r="M11" s="301" t="s">
        <v>33</v>
      </c>
      <c r="N11" s="301">
        <f t="shared" si="2"/>
        <v>48.802500000000002</v>
      </c>
      <c r="O11" s="301">
        <f t="shared" si="3"/>
        <v>56.936250000000001</v>
      </c>
      <c r="P11" s="301">
        <f t="shared" si="4"/>
        <v>32.535000000000004</v>
      </c>
      <c r="Q11" s="301">
        <f t="shared" si="5"/>
        <v>24.401250000000001</v>
      </c>
      <c r="R11" s="292">
        <v>162.67500000000001</v>
      </c>
      <c r="S11" s="271">
        <v>105991.94</v>
      </c>
      <c r="T11" s="271">
        <v>383160.86310000002</v>
      </c>
      <c r="U11" s="172"/>
      <c r="V11" s="172"/>
      <c r="W11" s="9" t="s">
        <v>925</v>
      </c>
      <c r="X11" s="301">
        <v>73451</v>
      </c>
      <c r="Y11" s="272" t="s">
        <v>917</v>
      </c>
      <c r="Z11" s="9" t="s">
        <v>126</v>
      </c>
      <c r="AA11" s="9">
        <v>1</v>
      </c>
      <c r="AB11" s="273">
        <v>3453</v>
      </c>
      <c r="AC11" s="46">
        <f>K11*0.3</f>
        <v>1.0845</v>
      </c>
      <c r="AD11" s="41">
        <f>K11*0.35</f>
        <v>1.26525</v>
      </c>
      <c r="AE11" s="48"/>
      <c r="AF11" s="49"/>
      <c r="AG11" s="51"/>
      <c r="AH11" s="48"/>
      <c r="AI11" s="41">
        <f>K11*0.2</f>
        <v>0.72300000000000009</v>
      </c>
      <c r="AJ11" s="262"/>
      <c r="AK11" s="58"/>
      <c r="AL11" s="42"/>
      <c r="AM11" s="42"/>
      <c r="AN11" s="59"/>
      <c r="AO11" s="172"/>
      <c r="AP11" s="172"/>
      <c r="AR11" s="229">
        <v>0.1</v>
      </c>
      <c r="AS11" s="230">
        <v>0.5</v>
      </c>
      <c r="AT11" s="231">
        <v>62</v>
      </c>
    </row>
    <row r="12" spans="1:47" ht="40.15" customHeight="1" x14ac:dyDescent="0.25">
      <c r="A12" s="301">
        <v>9</v>
      </c>
      <c r="B12" s="25" t="s">
        <v>28</v>
      </c>
      <c r="C12" s="302" t="s">
        <v>914</v>
      </c>
      <c r="D12" s="195"/>
      <c r="E12" s="25" t="s">
        <v>926</v>
      </c>
      <c r="F12" s="195"/>
      <c r="G12" s="25" t="s">
        <v>31</v>
      </c>
      <c r="H12" s="195"/>
      <c r="I12" s="25" t="s">
        <v>927</v>
      </c>
      <c r="J12" s="25">
        <v>1.5349999999999999</v>
      </c>
      <c r="K12" s="301">
        <v>1.5349999999999999</v>
      </c>
      <c r="L12" s="25">
        <v>1</v>
      </c>
      <c r="M12" s="301" t="s">
        <v>33</v>
      </c>
      <c r="N12" s="301">
        <f t="shared" si="2"/>
        <v>20.7225</v>
      </c>
      <c r="O12" s="301">
        <f t="shared" si="3"/>
        <v>24.17625</v>
      </c>
      <c r="P12" s="301">
        <f t="shared" si="4"/>
        <v>13.815000000000001</v>
      </c>
      <c r="Q12" s="301">
        <f t="shared" si="5"/>
        <v>10.36125</v>
      </c>
      <c r="R12" s="292">
        <v>69.075000000000003</v>
      </c>
      <c r="S12" s="271">
        <v>105991.94</v>
      </c>
      <c r="T12" s="271">
        <v>162697.62789999999</v>
      </c>
      <c r="U12" s="172"/>
      <c r="V12" s="172"/>
      <c r="W12" s="9" t="s">
        <v>927</v>
      </c>
      <c r="X12" s="301">
        <v>73451</v>
      </c>
      <c r="Y12" s="272" t="s">
        <v>917</v>
      </c>
      <c r="Z12" s="9" t="s">
        <v>926</v>
      </c>
      <c r="AA12" s="9">
        <v>2</v>
      </c>
      <c r="AB12" s="273">
        <v>3453</v>
      </c>
      <c r="AC12" s="46">
        <f>K12*0.3</f>
        <v>0.46049999999999996</v>
      </c>
      <c r="AD12" s="41">
        <f t="shared" ref="AD12:AD18" si="6">K12*0.35</f>
        <v>0.53724999999999989</v>
      </c>
      <c r="AE12" s="48"/>
      <c r="AF12" s="49"/>
      <c r="AG12" s="51"/>
      <c r="AH12" s="48"/>
      <c r="AI12" s="41">
        <f t="shared" ref="AI12:AI18" si="7">K12*0.2</f>
        <v>0.307</v>
      </c>
      <c r="AJ12" s="262"/>
      <c r="AK12" s="58"/>
      <c r="AL12" s="42"/>
      <c r="AM12" s="42"/>
      <c r="AN12" s="59"/>
      <c r="AO12" s="172"/>
      <c r="AP12" s="172"/>
      <c r="AR12" s="229">
        <v>0.5</v>
      </c>
      <c r="AS12" s="230">
        <v>1</v>
      </c>
      <c r="AT12" s="231">
        <v>52</v>
      </c>
    </row>
    <row r="13" spans="1:47" ht="40.15" customHeight="1" x14ac:dyDescent="0.25">
      <c r="A13" s="301">
        <v>10</v>
      </c>
      <c r="B13" s="25" t="s">
        <v>28</v>
      </c>
      <c r="C13" s="302" t="s">
        <v>914</v>
      </c>
      <c r="D13" s="330"/>
      <c r="E13" s="301" t="s">
        <v>126</v>
      </c>
      <c r="F13" s="330"/>
      <c r="G13" s="25" t="s">
        <v>31</v>
      </c>
      <c r="H13" s="330"/>
      <c r="I13" s="301" t="s">
        <v>925</v>
      </c>
      <c r="J13" s="25">
        <v>3.6150000000000002</v>
      </c>
      <c r="K13" s="301">
        <v>3.6150000000000002</v>
      </c>
      <c r="L13" s="301">
        <v>1</v>
      </c>
      <c r="M13" s="301" t="s">
        <v>33</v>
      </c>
      <c r="N13" s="301">
        <f t="shared" si="2"/>
        <v>48.802500000000002</v>
      </c>
      <c r="O13" s="301">
        <f t="shared" si="3"/>
        <v>56.936250000000001</v>
      </c>
      <c r="P13" s="301">
        <f t="shared" si="4"/>
        <v>32.535000000000004</v>
      </c>
      <c r="Q13" s="301">
        <f t="shared" si="5"/>
        <v>24.401250000000001</v>
      </c>
      <c r="R13" s="292">
        <v>162.67500000000001</v>
      </c>
      <c r="S13" s="271">
        <v>105991.94</v>
      </c>
      <c r="T13" s="271">
        <v>383160.86310000002</v>
      </c>
      <c r="U13" s="276"/>
      <c r="V13" s="276"/>
      <c r="W13" s="268" t="s">
        <v>925</v>
      </c>
      <c r="X13" s="301">
        <v>73452</v>
      </c>
      <c r="Y13" s="272" t="s">
        <v>917</v>
      </c>
      <c r="Z13" s="268" t="s">
        <v>126</v>
      </c>
      <c r="AA13" s="9">
        <v>1</v>
      </c>
      <c r="AB13" s="273">
        <v>3453</v>
      </c>
      <c r="AC13" s="46">
        <f t="shared" ref="AC13:AC18" si="8">K13*0.3</f>
        <v>1.0845</v>
      </c>
      <c r="AD13" s="41">
        <f t="shared" si="6"/>
        <v>1.26525</v>
      </c>
      <c r="AE13" s="48"/>
      <c r="AF13" s="49"/>
      <c r="AG13" s="51"/>
      <c r="AH13" s="48"/>
      <c r="AI13" s="41">
        <f t="shared" si="7"/>
        <v>0.72300000000000009</v>
      </c>
      <c r="AJ13" s="262"/>
      <c r="AK13" s="58"/>
      <c r="AL13" s="42"/>
      <c r="AM13" s="42"/>
      <c r="AN13" s="59"/>
      <c r="AO13" s="276"/>
      <c r="AP13" s="276"/>
      <c r="AR13" s="229">
        <v>1</v>
      </c>
      <c r="AS13" s="230">
        <v>5</v>
      </c>
      <c r="AT13" s="231">
        <v>45</v>
      </c>
    </row>
    <row r="14" spans="1:47" ht="40.15" customHeight="1" x14ac:dyDescent="0.25">
      <c r="A14" s="301">
        <v>11</v>
      </c>
      <c r="B14" s="25" t="s">
        <v>28</v>
      </c>
      <c r="C14" s="302" t="s">
        <v>914</v>
      </c>
      <c r="D14" s="195"/>
      <c r="E14" s="195" t="s">
        <v>926</v>
      </c>
      <c r="F14" s="195"/>
      <c r="G14" s="25" t="s">
        <v>31</v>
      </c>
      <c r="H14" s="195"/>
      <c r="I14" s="301" t="s">
        <v>927</v>
      </c>
      <c r="J14" s="25">
        <v>1.5349999999999999</v>
      </c>
      <c r="K14" s="301">
        <v>1.5349999999999999</v>
      </c>
      <c r="L14" s="301">
        <v>1</v>
      </c>
      <c r="M14" s="301" t="s">
        <v>33</v>
      </c>
      <c r="N14" s="301">
        <f t="shared" si="2"/>
        <v>20.7225</v>
      </c>
      <c r="O14" s="301">
        <f t="shared" si="3"/>
        <v>24.17625</v>
      </c>
      <c r="P14" s="301">
        <f t="shared" si="4"/>
        <v>13.815000000000001</v>
      </c>
      <c r="Q14" s="301">
        <f t="shared" si="5"/>
        <v>10.36125</v>
      </c>
      <c r="R14" s="292">
        <v>69.075000000000003</v>
      </c>
      <c r="S14" s="271">
        <v>105991.94</v>
      </c>
      <c r="T14" s="271">
        <v>162697.62789999999</v>
      </c>
      <c r="U14" s="172"/>
      <c r="V14" s="172"/>
      <c r="W14" s="268" t="s">
        <v>927</v>
      </c>
      <c r="X14" s="301">
        <v>73452</v>
      </c>
      <c r="Y14" s="272" t="s">
        <v>917</v>
      </c>
      <c r="Z14" s="172" t="s">
        <v>926</v>
      </c>
      <c r="AA14" s="9">
        <v>2</v>
      </c>
      <c r="AB14" s="273">
        <v>3453</v>
      </c>
      <c r="AC14" s="46">
        <f t="shared" si="8"/>
        <v>0.46049999999999996</v>
      </c>
      <c r="AD14" s="41">
        <f t="shared" si="6"/>
        <v>0.53724999999999989</v>
      </c>
      <c r="AE14" s="48"/>
      <c r="AF14" s="49"/>
      <c r="AG14" s="51"/>
      <c r="AH14" s="48"/>
      <c r="AI14" s="41">
        <f t="shared" si="7"/>
        <v>0.307</v>
      </c>
      <c r="AJ14" s="262"/>
      <c r="AK14" s="58"/>
      <c r="AL14" s="42"/>
      <c r="AM14" s="42"/>
      <c r="AN14" s="59"/>
      <c r="AO14" s="172"/>
      <c r="AP14" s="172"/>
      <c r="AQ14" s="180" t="s">
        <v>498</v>
      </c>
      <c r="AR14" s="229">
        <v>5</v>
      </c>
      <c r="AS14" s="230">
        <v>10</v>
      </c>
      <c r="AT14" s="231">
        <v>39</v>
      </c>
    </row>
    <row r="15" spans="1:47" ht="40.15" customHeight="1" thickBot="1" x14ac:dyDescent="0.3">
      <c r="A15" s="301">
        <v>12</v>
      </c>
      <c r="B15" s="25" t="s">
        <v>28</v>
      </c>
      <c r="C15" s="302" t="s">
        <v>914</v>
      </c>
      <c r="D15" s="195"/>
      <c r="E15" s="195" t="s">
        <v>126</v>
      </c>
      <c r="F15" s="195"/>
      <c r="G15" s="25" t="s">
        <v>31</v>
      </c>
      <c r="H15" s="195"/>
      <c r="I15" s="301" t="s">
        <v>925</v>
      </c>
      <c r="J15" s="25">
        <v>3.6150000000000002</v>
      </c>
      <c r="K15" s="301">
        <v>3.6150000000000002</v>
      </c>
      <c r="L15" s="301">
        <v>1</v>
      </c>
      <c r="M15" s="301" t="s">
        <v>33</v>
      </c>
      <c r="N15" s="301">
        <f t="shared" si="2"/>
        <v>48.802500000000002</v>
      </c>
      <c r="O15" s="301">
        <f t="shared" si="3"/>
        <v>56.936250000000001</v>
      </c>
      <c r="P15" s="301">
        <f t="shared" si="4"/>
        <v>32.535000000000004</v>
      </c>
      <c r="Q15" s="301">
        <f t="shared" si="5"/>
        <v>24.401250000000001</v>
      </c>
      <c r="R15" s="292">
        <v>162.67500000000001</v>
      </c>
      <c r="S15" s="271">
        <v>105991.94</v>
      </c>
      <c r="T15" s="271">
        <v>383160.86310000002</v>
      </c>
      <c r="U15" s="172"/>
      <c r="V15" s="172"/>
      <c r="W15" s="268" t="s">
        <v>925</v>
      </c>
      <c r="X15" s="301">
        <v>73453</v>
      </c>
      <c r="Y15" s="272" t="s">
        <v>917</v>
      </c>
      <c r="Z15" s="172" t="s">
        <v>126</v>
      </c>
      <c r="AA15" s="9">
        <v>1</v>
      </c>
      <c r="AB15" s="273">
        <v>3453</v>
      </c>
      <c r="AC15" s="46">
        <f t="shared" si="8"/>
        <v>1.0845</v>
      </c>
      <c r="AD15" s="41">
        <f t="shared" si="6"/>
        <v>1.26525</v>
      </c>
      <c r="AE15" s="48"/>
      <c r="AF15" s="49"/>
      <c r="AG15" s="51"/>
      <c r="AH15" s="48"/>
      <c r="AI15" s="41">
        <f t="shared" si="7"/>
        <v>0.72300000000000009</v>
      </c>
      <c r="AJ15" s="262"/>
      <c r="AK15" s="58"/>
      <c r="AL15" s="42"/>
      <c r="AM15" s="42"/>
      <c r="AN15" s="59"/>
      <c r="AO15" s="172"/>
      <c r="AP15" s="172"/>
      <c r="AQ15" s="180" t="s">
        <v>498</v>
      </c>
      <c r="AR15" s="232" t="s">
        <v>669</v>
      </c>
      <c r="AS15" s="233">
        <v>10</v>
      </c>
      <c r="AT15" s="234">
        <v>18</v>
      </c>
    </row>
    <row r="16" spans="1:47" ht="40.15" customHeight="1" x14ac:dyDescent="0.25">
      <c r="A16" s="301">
        <v>13</v>
      </c>
      <c r="B16" s="25" t="s">
        <v>28</v>
      </c>
      <c r="C16" s="302" t="s">
        <v>914</v>
      </c>
      <c r="D16" s="195"/>
      <c r="E16" s="195" t="s">
        <v>926</v>
      </c>
      <c r="F16" s="195"/>
      <c r="G16" s="25" t="s">
        <v>31</v>
      </c>
      <c r="H16" s="195"/>
      <c r="I16" s="301" t="s">
        <v>928</v>
      </c>
      <c r="J16" s="25">
        <v>1.5349999999999999</v>
      </c>
      <c r="K16" s="301">
        <v>1.5349999999999999</v>
      </c>
      <c r="L16" s="301">
        <v>1</v>
      </c>
      <c r="M16" s="301" t="s">
        <v>33</v>
      </c>
      <c r="N16" s="301">
        <f t="shared" si="2"/>
        <v>20.7225</v>
      </c>
      <c r="O16" s="301">
        <f t="shared" si="3"/>
        <v>24.17625</v>
      </c>
      <c r="P16" s="301">
        <f t="shared" si="4"/>
        <v>13.815000000000001</v>
      </c>
      <c r="Q16" s="301">
        <f t="shared" si="5"/>
        <v>10.36125</v>
      </c>
      <c r="R16" s="292">
        <v>69.075000000000003</v>
      </c>
      <c r="S16" s="271">
        <v>105991.94</v>
      </c>
      <c r="T16" s="271">
        <v>162697.62789999999</v>
      </c>
      <c r="U16" s="172"/>
      <c r="V16" s="172"/>
      <c r="W16" s="268" t="s">
        <v>928</v>
      </c>
      <c r="X16" s="301">
        <v>73453</v>
      </c>
      <c r="Y16" s="272" t="s">
        <v>917</v>
      </c>
      <c r="Z16" s="172" t="s">
        <v>926</v>
      </c>
      <c r="AA16" s="9">
        <v>2</v>
      </c>
      <c r="AB16" s="273">
        <v>3453</v>
      </c>
      <c r="AC16" s="46">
        <f t="shared" si="8"/>
        <v>0.46049999999999996</v>
      </c>
      <c r="AD16" s="41">
        <f t="shared" si="6"/>
        <v>0.53724999999999989</v>
      </c>
      <c r="AE16" s="48"/>
      <c r="AF16" s="49"/>
      <c r="AG16" s="51"/>
      <c r="AH16" s="48"/>
      <c r="AI16" s="41">
        <f t="shared" si="7"/>
        <v>0.307</v>
      </c>
      <c r="AJ16" s="262"/>
      <c r="AK16" s="58"/>
      <c r="AL16" s="42"/>
      <c r="AM16" s="42"/>
      <c r="AN16" s="59"/>
      <c r="AO16" s="172"/>
      <c r="AP16" s="172"/>
      <c r="AQ16" s="172"/>
      <c r="AR16" s="172"/>
      <c r="AS16" s="172"/>
      <c r="AT16" s="172"/>
    </row>
    <row r="17" spans="1:46" ht="40.15" customHeight="1" x14ac:dyDescent="0.25">
      <c r="A17" s="301">
        <v>14</v>
      </c>
      <c r="B17" s="25" t="s">
        <v>28</v>
      </c>
      <c r="C17" s="302" t="s">
        <v>914</v>
      </c>
      <c r="D17" s="195"/>
      <c r="E17" s="195" t="s">
        <v>126</v>
      </c>
      <c r="F17" s="195"/>
      <c r="G17" s="25" t="s">
        <v>31</v>
      </c>
      <c r="H17" s="195"/>
      <c r="I17" s="301" t="s">
        <v>925</v>
      </c>
      <c r="J17" s="25">
        <v>3.6150000000000002</v>
      </c>
      <c r="K17" s="301">
        <v>3.6150000000000002</v>
      </c>
      <c r="L17" s="301">
        <v>1</v>
      </c>
      <c r="M17" s="301" t="s">
        <v>33</v>
      </c>
      <c r="N17" s="301">
        <f t="shared" si="2"/>
        <v>48.802500000000002</v>
      </c>
      <c r="O17" s="301">
        <f t="shared" si="3"/>
        <v>56.936250000000001</v>
      </c>
      <c r="P17" s="301">
        <f t="shared" si="4"/>
        <v>32.535000000000004</v>
      </c>
      <c r="Q17" s="301">
        <f t="shared" si="5"/>
        <v>24.401250000000001</v>
      </c>
      <c r="R17" s="292">
        <v>162.67500000000001</v>
      </c>
      <c r="S17" s="271">
        <v>105991.94</v>
      </c>
      <c r="T17" s="271">
        <v>383160.86310000002</v>
      </c>
      <c r="U17" s="172"/>
      <c r="V17" s="172"/>
      <c r="W17" s="268" t="s">
        <v>925</v>
      </c>
      <c r="X17" s="301">
        <v>73454</v>
      </c>
      <c r="Y17" s="272" t="s">
        <v>917</v>
      </c>
      <c r="Z17" s="172" t="s">
        <v>126</v>
      </c>
      <c r="AA17" s="9">
        <v>1</v>
      </c>
      <c r="AB17" s="273">
        <v>3453</v>
      </c>
      <c r="AC17" s="46">
        <f t="shared" si="8"/>
        <v>1.0845</v>
      </c>
      <c r="AD17" s="41">
        <f t="shared" si="6"/>
        <v>1.26525</v>
      </c>
      <c r="AE17" s="48"/>
      <c r="AF17" s="49"/>
      <c r="AG17" s="51"/>
      <c r="AH17" s="48"/>
      <c r="AI17" s="41">
        <f t="shared" si="7"/>
        <v>0.72300000000000009</v>
      </c>
      <c r="AJ17" s="262"/>
      <c r="AK17" s="58"/>
      <c r="AL17" s="42"/>
      <c r="AM17" s="42"/>
      <c r="AN17" s="59"/>
      <c r="AO17" s="172"/>
      <c r="AP17" s="172"/>
      <c r="AQ17" s="172"/>
      <c r="AR17" s="172"/>
      <c r="AS17" s="172"/>
      <c r="AT17" s="172"/>
    </row>
    <row r="18" spans="1:46" ht="40.15" customHeight="1" x14ac:dyDescent="0.25">
      <c r="A18" s="301">
        <v>15</v>
      </c>
      <c r="B18" s="25" t="s">
        <v>28</v>
      </c>
      <c r="C18" s="302" t="s">
        <v>914</v>
      </c>
      <c r="D18" s="195"/>
      <c r="E18" s="195" t="s">
        <v>926</v>
      </c>
      <c r="F18" s="195"/>
      <c r="G18" s="25" t="s">
        <v>31</v>
      </c>
      <c r="H18" s="195"/>
      <c r="I18" s="301" t="s">
        <v>927</v>
      </c>
      <c r="J18" s="25">
        <v>1.5349999999999999</v>
      </c>
      <c r="K18" s="301">
        <v>1.5349999999999999</v>
      </c>
      <c r="L18" s="301">
        <v>1</v>
      </c>
      <c r="M18" s="301" t="s">
        <v>33</v>
      </c>
      <c r="N18" s="301">
        <f t="shared" si="2"/>
        <v>20.7225</v>
      </c>
      <c r="O18" s="301">
        <f t="shared" si="3"/>
        <v>24.17625</v>
      </c>
      <c r="P18" s="301">
        <f t="shared" si="4"/>
        <v>13.815000000000001</v>
      </c>
      <c r="Q18" s="301">
        <f t="shared" si="5"/>
        <v>10.36125</v>
      </c>
      <c r="R18" s="292">
        <v>69.075000000000003</v>
      </c>
      <c r="S18" s="271">
        <v>105991.94</v>
      </c>
      <c r="T18" s="271">
        <v>162697.62789999999</v>
      </c>
      <c r="U18" s="172"/>
      <c r="V18" s="172"/>
      <c r="W18" s="268" t="s">
        <v>927</v>
      </c>
      <c r="X18" s="301">
        <v>73454</v>
      </c>
      <c r="Y18" s="272" t="s">
        <v>917</v>
      </c>
      <c r="Z18" s="172" t="s">
        <v>926</v>
      </c>
      <c r="AA18" s="9">
        <v>2</v>
      </c>
      <c r="AB18" s="273">
        <v>3453</v>
      </c>
      <c r="AC18" s="46">
        <f t="shared" si="8"/>
        <v>0.46049999999999996</v>
      </c>
      <c r="AD18" s="41">
        <f t="shared" si="6"/>
        <v>0.53724999999999989</v>
      </c>
      <c r="AE18" s="48"/>
      <c r="AF18" s="49"/>
      <c r="AG18" s="51"/>
      <c r="AH18" s="48"/>
      <c r="AI18" s="41">
        <f t="shared" si="7"/>
        <v>0.307</v>
      </c>
      <c r="AJ18" s="262"/>
      <c r="AK18" s="58"/>
      <c r="AL18" s="42"/>
      <c r="AM18" s="42"/>
      <c r="AN18" s="59"/>
      <c r="AO18" s="172"/>
      <c r="AP18" s="172"/>
      <c r="AQ18" s="172"/>
      <c r="AR18" s="172"/>
      <c r="AS18" s="172"/>
      <c r="AT18" s="172"/>
    </row>
    <row r="19" spans="1:46" ht="40.15" customHeight="1" x14ac:dyDescent="0.25">
      <c r="A19" s="301">
        <v>16</v>
      </c>
      <c r="B19" s="25" t="s">
        <v>28</v>
      </c>
      <c r="C19" s="302" t="s">
        <v>914</v>
      </c>
      <c r="D19" s="195"/>
      <c r="E19" s="195" t="s">
        <v>126</v>
      </c>
      <c r="F19" s="195"/>
      <c r="G19" s="25" t="s">
        <v>31</v>
      </c>
      <c r="H19" s="195"/>
      <c r="I19" s="290" t="s">
        <v>929</v>
      </c>
      <c r="J19" s="301">
        <v>9.3339999999999996</v>
      </c>
      <c r="K19" s="301">
        <v>9.3339999999999996</v>
      </c>
      <c r="L19" s="301">
        <v>1</v>
      </c>
      <c r="M19" s="301" t="s">
        <v>33</v>
      </c>
      <c r="N19" s="301">
        <f t="shared" si="2"/>
        <v>109.20780000000001</v>
      </c>
      <c r="O19" s="301">
        <f t="shared" si="3"/>
        <v>127.4091</v>
      </c>
      <c r="P19" s="301">
        <f t="shared" si="4"/>
        <v>72.805199999999999</v>
      </c>
      <c r="Q19" s="301">
        <f t="shared" si="5"/>
        <v>54.603900000000003</v>
      </c>
      <c r="R19" s="292">
        <v>364.02600000000001</v>
      </c>
      <c r="S19" s="271">
        <v>105991.94</v>
      </c>
      <c r="T19" s="271">
        <v>989328.76795999997</v>
      </c>
      <c r="U19" s="172"/>
      <c r="V19" s="172"/>
      <c r="W19" s="268" t="s">
        <v>929</v>
      </c>
      <c r="X19" s="301">
        <v>73458</v>
      </c>
      <c r="Y19" s="272" t="s">
        <v>917</v>
      </c>
      <c r="Z19" s="172" t="s">
        <v>126</v>
      </c>
      <c r="AA19" s="9">
        <v>1</v>
      </c>
      <c r="AB19" s="273">
        <v>3453</v>
      </c>
      <c r="AC19" s="46">
        <f t="shared" ref="AC19:AC26" si="9">K19*0.3</f>
        <v>2.8001999999999998</v>
      </c>
      <c r="AD19" s="48"/>
      <c r="AE19" s="48"/>
      <c r="AF19" s="49"/>
      <c r="AG19" s="51"/>
      <c r="AH19" s="41">
        <f>K19*0.35</f>
        <v>3.2668999999999997</v>
      </c>
      <c r="AI19" s="263"/>
      <c r="AJ19" s="262"/>
      <c r="AK19" s="58"/>
      <c r="AL19" s="42"/>
      <c r="AM19" s="42"/>
      <c r="AN19" s="59"/>
      <c r="AO19" s="172"/>
      <c r="AP19" s="172"/>
      <c r="AQ19" s="172"/>
      <c r="AR19" s="172"/>
      <c r="AS19" s="172"/>
      <c r="AT19" s="172"/>
    </row>
    <row r="20" spans="1:46" ht="40.15" customHeight="1" x14ac:dyDescent="0.25">
      <c r="A20" s="301">
        <v>17</v>
      </c>
      <c r="B20" s="25" t="s">
        <v>28</v>
      </c>
      <c r="C20" s="302" t="s">
        <v>914</v>
      </c>
      <c r="D20" s="195"/>
      <c r="E20" s="195" t="s">
        <v>168</v>
      </c>
      <c r="F20" s="195"/>
      <c r="G20" s="25" t="s">
        <v>31</v>
      </c>
      <c r="H20" s="195"/>
      <c r="I20" s="301" t="s">
        <v>930</v>
      </c>
      <c r="J20" s="301">
        <v>1.266</v>
      </c>
      <c r="K20" s="301">
        <v>1.266</v>
      </c>
      <c r="L20" s="301">
        <v>1</v>
      </c>
      <c r="M20" s="301" t="s">
        <v>33</v>
      </c>
      <c r="N20" s="301">
        <f t="shared" si="2"/>
        <v>17.090999999999998</v>
      </c>
      <c r="O20" s="301">
        <f t="shared" si="3"/>
        <v>19.939499999999999</v>
      </c>
      <c r="P20" s="301">
        <f t="shared" si="4"/>
        <v>11.394</v>
      </c>
      <c r="Q20" s="301">
        <f t="shared" si="5"/>
        <v>8.5454999999999988</v>
      </c>
      <c r="R20" s="292">
        <v>56.97</v>
      </c>
      <c r="S20" s="271">
        <v>105991.94</v>
      </c>
      <c r="T20" s="271">
        <v>134185.79604000002</v>
      </c>
      <c r="U20" s="172"/>
      <c r="V20" s="172"/>
      <c r="W20" s="268" t="s">
        <v>930</v>
      </c>
      <c r="X20" s="301">
        <v>73458</v>
      </c>
      <c r="Y20" s="272" t="s">
        <v>917</v>
      </c>
      <c r="Z20" s="172" t="s">
        <v>168</v>
      </c>
      <c r="AA20" s="9">
        <v>2</v>
      </c>
      <c r="AB20" s="273">
        <v>3482</v>
      </c>
      <c r="AC20" s="46">
        <f t="shared" si="9"/>
        <v>0.37979999999999997</v>
      </c>
      <c r="AD20" s="48"/>
      <c r="AE20" s="48"/>
      <c r="AF20" s="49"/>
      <c r="AG20" s="51"/>
      <c r="AH20" s="41">
        <f t="shared" ref="AH20:AH26" si="10">K20*0.35</f>
        <v>0.44309999999999999</v>
      </c>
      <c r="AI20" s="263"/>
      <c r="AJ20" s="262"/>
      <c r="AK20" s="58"/>
      <c r="AL20" s="42"/>
      <c r="AM20" s="42"/>
      <c r="AN20" s="59"/>
      <c r="AO20" s="172"/>
      <c r="AP20" s="172"/>
      <c r="AQ20" s="172"/>
      <c r="AR20" s="172"/>
      <c r="AS20" s="172"/>
      <c r="AT20" s="172"/>
    </row>
    <row r="21" spans="1:46" ht="40.15" customHeight="1" x14ac:dyDescent="0.25">
      <c r="A21" s="301">
        <v>18</v>
      </c>
      <c r="B21" s="25" t="s">
        <v>28</v>
      </c>
      <c r="C21" s="302" t="s">
        <v>914</v>
      </c>
      <c r="D21" s="195"/>
      <c r="E21" s="195" t="s">
        <v>126</v>
      </c>
      <c r="F21" s="195"/>
      <c r="G21" s="25" t="s">
        <v>31</v>
      </c>
      <c r="H21" s="195"/>
      <c r="I21" s="290" t="s">
        <v>929</v>
      </c>
      <c r="J21" s="301">
        <v>9.4339999999999993</v>
      </c>
      <c r="K21" s="301">
        <v>9.4339999999999993</v>
      </c>
      <c r="L21" s="301">
        <v>1</v>
      </c>
      <c r="M21" s="301" t="s">
        <v>33</v>
      </c>
      <c r="N21" s="301">
        <f t="shared" si="2"/>
        <v>110.37779999999999</v>
      </c>
      <c r="O21" s="301">
        <f t="shared" si="3"/>
        <v>128.77409999999998</v>
      </c>
      <c r="P21" s="301">
        <f t="shared" si="4"/>
        <v>73.5852</v>
      </c>
      <c r="Q21" s="301">
        <f t="shared" si="5"/>
        <v>55.188899999999997</v>
      </c>
      <c r="R21" s="292">
        <v>367.92599999999999</v>
      </c>
      <c r="S21" s="271">
        <v>105991.94</v>
      </c>
      <c r="T21" s="271">
        <v>999927.96195999999</v>
      </c>
      <c r="U21" s="172"/>
      <c r="V21" s="172"/>
      <c r="W21" s="268" t="s">
        <v>929</v>
      </c>
      <c r="X21" s="301">
        <v>73459</v>
      </c>
      <c r="Y21" s="272" t="s">
        <v>917</v>
      </c>
      <c r="Z21" s="172" t="s">
        <v>126</v>
      </c>
      <c r="AA21" s="9">
        <v>1</v>
      </c>
      <c r="AB21" s="273">
        <v>3453</v>
      </c>
      <c r="AC21" s="46">
        <f t="shared" si="9"/>
        <v>2.8301999999999996</v>
      </c>
      <c r="AD21" s="48"/>
      <c r="AE21" s="48"/>
      <c r="AF21" s="49"/>
      <c r="AG21" s="51"/>
      <c r="AH21" s="41">
        <f t="shared" si="10"/>
        <v>3.3018999999999994</v>
      </c>
      <c r="AI21" s="263"/>
      <c r="AJ21" s="262"/>
      <c r="AK21" s="58"/>
      <c r="AL21" s="42"/>
      <c r="AM21" s="42"/>
      <c r="AN21" s="59"/>
      <c r="AO21" s="172"/>
      <c r="AP21" s="172"/>
      <c r="AQ21" s="172"/>
      <c r="AR21" s="172"/>
      <c r="AS21" s="172"/>
      <c r="AT21" s="172"/>
    </row>
    <row r="22" spans="1:46" ht="40.15" customHeight="1" x14ac:dyDescent="0.25">
      <c r="A22" s="301">
        <v>19</v>
      </c>
      <c r="B22" s="25" t="s">
        <v>28</v>
      </c>
      <c r="C22" s="302" t="s">
        <v>914</v>
      </c>
      <c r="D22" s="195"/>
      <c r="E22" s="195" t="s">
        <v>168</v>
      </c>
      <c r="F22" s="195"/>
      <c r="G22" s="25" t="s">
        <v>31</v>
      </c>
      <c r="H22" s="195"/>
      <c r="I22" s="301" t="s">
        <v>930</v>
      </c>
      <c r="J22" s="301">
        <v>1.266</v>
      </c>
      <c r="K22" s="301">
        <v>1.266</v>
      </c>
      <c r="L22" s="301">
        <v>1</v>
      </c>
      <c r="M22" s="301" t="s">
        <v>33</v>
      </c>
      <c r="N22" s="301">
        <f t="shared" si="2"/>
        <v>17.090999999999998</v>
      </c>
      <c r="O22" s="301">
        <f t="shared" si="3"/>
        <v>19.939499999999999</v>
      </c>
      <c r="P22" s="301">
        <f t="shared" si="4"/>
        <v>11.394</v>
      </c>
      <c r="Q22" s="301">
        <f t="shared" si="5"/>
        <v>8.5454999999999988</v>
      </c>
      <c r="R22" s="292">
        <v>56.97</v>
      </c>
      <c r="S22" s="271">
        <v>105991.94</v>
      </c>
      <c r="T22" s="271">
        <v>134185.79604000002</v>
      </c>
      <c r="U22" s="172"/>
      <c r="V22" s="172"/>
      <c r="W22" s="268" t="s">
        <v>930</v>
      </c>
      <c r="X22" s="301">
        <v>73459</v>
      </c>
      <c r="Y22" s="272" t="s">
        <v>917</v>
      </c>
      <c r="Z22" s="172" t="s">
        <v>168</v>
      </c>
      <c r="AA22" s="9">
        <v>2</v>
      </c>
      <c r="AB22" s="273">
        <v>3482</v>
      </c>
      <c r="AC22" s="46">
        <f t="shared" si="9"/>
        <v>0.37979999999999997</v>
      </c>
      <c r="AD22" s="48"/>
      <c r="AE22" s="48"/>
      <c r="AF22" s="49"/>
      <c r="AG22" s="51"/>
      <c r="AH22" s="41">
        <f t="shared" si="10"/>
        <v>0.44309999999999999</v>
      </c>
      <c r="AI22" s="263"/>
      <c r="AJ22" s="262"/>
      <c r="AK22" s="58"/>
      <c r="AL22" s="42"/>
      <c r="AM22" s="42"/>
      <c r="AN22" s="59"/>
      <c r="AO22" s="172"/>
      <c r="AP22" s="172"/>
      <c r="AQ22" s="172"/>
      <c r="AR22" s="172"/>
      <c r="AS22" s="172"/>
      <c r="AT22" s="172"/>
    </row>
    <row r="23" spans="1:46" ht="40.15" customHeight="1" x14ac:dyDescent="0.25">
      <c r="A23" s="301">
        <v>20</v>
      </c>
      <c r="B23" s="25" t="s">
        <v>28</v>
      </c>
      <c r="C23" s="302" t="s">
        <v>914</v>
      </c>
      <c r="D23" s="195"/>
      <c r="E23" s="195" t="s">
        <v>126</v>
      </c>
      <c r="F23" s="195"/>
      <c r="G23" s="25" t="s">
        <v>31</v>
      </c>
      <c r="H23" s="195"/>
      <c r="I23" s="290" t="s">
        <v>929</v>
      </c>
      <c r="J23" s="301">
        <v>9.4339999999999993</v>
      </c>
      <c r="K23" s="301">
        <v>9.4339999999999993</v>
      </c>
      <c r="L23" s="301">
        <v>1</v>
      </c>
      <c r="M23" s="301" t="s">
        <v>33</v>
      </c>
      <c r="N23" s="301">
        <f t="shared" si="2"/>
        <v>110.37779999999999</v>
      </c>
      <c r="O23" s="301">
        <f t="shared" si="3"/>
        <v>128.77409999999998</v>
      </c>
      <c r="P23" s="301">
        <f t="shared" si="4"/>
        <v>73.5852</v>
      </c>
      <c r="Q23" s="301">
        <f t="shared" si="5"/>
        <v>55.188899999999997</v>
      </c>
      <c r="R23" s="292">
        <v>367.92599999999999</v>
      </c>
      <c r="S23" s="271">
        <v>105991.94</v>
      </c>
      <c r="T23" s="271">
        <v>999927.96195999999</v>
      </c>
      <c r="U23" s="172"/>
      <c r="V23" s="172"/>
      <c r="W23" s="268" t="s">
        <v>929</v>
      </c>
      <c r="X23" s="301">
        <v>73460</v>
      </c>
      <c r="Y23" s="272" t="s">
        <v>917</v>
      </c>
      <c r="Z23" s="172" t="s">
        <v>126</v>
      </c>
      <c r="AA23" s="9">
        <v>1</v>
      </c>
      <c r="AB23" s="273">
        <v>3453</v>
      </c>
      <c r="AC23" s="46">
        <f t="shared" si="9"/>
        <v>2.8301999999999996</v>
      </c>
      <c r="AD23" s="48"/>
      <c r="AE23" s="48"/>
      <c r="AF23" s="49"/>
      <c r="AG23" s="51"/>
      <c r="AH23" s="41">
        <f t="shared" si="10"/>
        <v>3.3018999999999994</v>
      </c>
      <c r="AI23" s="263"/>
      <c r="AJ23" s="262"/>
      <c r="AK23" s="58"/>
      <c r="AL23" s="42"/>
      <c r="AM23" s="42"/>
      <c r="AN23" s="59"/>
      <c r="AO23" s="172"/>
      <c r="AP23" s="172"/>
      <c r="AQ23" s="172"/>
      <c r="AR23" s="172"/>
      <c r="AS23" s="172"/>
      <c r="AT23" s="172"/>
    </row>
    <row r="24" spans="1:46" ht="40.15" customHeight="1" x14ac:dyDescent="0.25">
      <c r="A24" s="301">
        <v>21</v>
      </c>
      <c r="B24" s="25" t="s">
        <v>28</v>
      </c>
      <c r="C24" s="302" t="s">
        <v>914</v>
      </c>
      <c r="D24" s="195"/>
      <c r="E24" s="195" t="s">
        <v>168</v>
      </c>
      <c r="F24" s="195"/>
      <c r="G24" s="25" t="s">
        <v>31</v>
      </c>
      <c r="H24" s="195"/>
      <c r="I24" s="301" t="s">
        <v>930</v>
      </c>
      <c r="J24" s="301">
        <v>1.266</v>
      </c>
      <c r="K24" s="301">
        <v>1.266</v>
      </c>
      <c r="L24" s="301">
        <v>1</v>
      </c>
      <c r="M24" s="301" t="s">
        <v>33</v>
      </c>
      <c r="N24" s="301">
        <f t="shared" si="2"/>
        <v>17.090999999999998</v>
      </c>
      <c r="O24" s="301">
        <f t="shared" si="3"/>
        <v>19.939499999999999</v>
      </c>
      <c r="P24" s="301">
        <f t="shared" si="4"/>
        <v>11.394</v>
      </c>
      <c r="Q24" s="301">
        <f t="shared" si="5"/>
        <v>8.5454999999999988</v>
      </c>
      <c r="R24" s="292">
        <v>56.97</v>
      </c>
      <c r="S24" s="271">
        <v>105991.94</v>
      </c>
      <c r="T24" s="271">
        <v>134185.79604000002</v>
      </c>
      <c r="U24" s="172"/>
      <c r="V24" s="172"/>
      <c r="W24" s="268" t="s">
        <v>930</v>
      </c>
      <c r="X24" s="301">
        <v>73460</v>
      </c>
      <c r="Y24" s="272" t="s">
        <v>917</v>
      </c>
      <c r="Z24" s="172" t="s">
        <v>168</v>
      </c>
      <c r="AA24" s="9">
        <v>2</v>
      </c>
      <c r="AB24" s="273">
        <v>3482</v>
      </c>
      <c r="AC24" s="46">
        <f t="shared" si="9"/>
        <v>0.37979999999999997</v>
      </c>
      <c r="AD24" s="48"/>
      <c r="AE24" s="48"/>
      <c r="AF24" s="49"/>
      <c r="AG24" s="51"/>
      <c r="AH24" s="41">
        <f t="shared" si="10"/>
        <v>0.44309999999999999</v>
      </c>
      <c r="AI24" s="263"/>
      <c r="AJ24" s="262"/>
      <c r="AK24" s="58"/>
      <c r="AL24" s="42"/>
      <c r="AM24" s="42"/>
      <c r="AN24" s="59"/>
      <c r="AO24" s="172"/>
      <c r="AP24" s="172"/>
      <c r="AQ24" s="172"/>
      <c r="AR24" s="172"/>
      <c r="AS24" s="172"/>
      <c r="AT24" s="172"/>
    </row>
    <row r="25" spans="1:46" ht="40.15" customHeight="1" x14ac:dyDescent="0.25">
      <c r="A25" s="301">
        <v>22</v>
      </c>
      <c r="B25" s="25" t="s">
        <v>28</v>
      </c>
      <c r="C25" s="302" t="s">
        <v>914</v>
      </c>
      <c r="D25" s="195"/>
      <c r="E25" s="195" t="s">
        <v>126</v>
      </c>
      <c r="F25" s="195"/>
      <c r="G25" s="25" t="s">
        <v>31</v>
      </c>
      <c r="H25" s="195"/>
      <c r="I25" s="290" t="s">
        <v>929</v>
      </c>
      <c r="J25" s="301">
        <v>9.4339999999999993</v>
      </c>
      <c r="K25" s="301">
        <v>9.4339999999999993</v>
      </c>
      <c r="L25" s="301">
        <v>1</v>
      </c>
      <c r="M25" s="301" t="s">
        <v>33</v>
      </c>
      <c r="N25" s="301">
        <f t="shared" si="2"/>
        <v>110.37779999999999</v>
      </c>
      <c r="O25" s="301">
        <f t="shared" si="3"/>
        <v>128.77409999999998</v>
      </c>
      <c r="P25" s="301">
        <f t="shared" si="4"/>
        <v>73.5852</v>
      </c>
      <c r="Q25" s="301">
        <f t="shared" si="5"/>
        <v>55.188899999999997</v>
      </c>
      <c r="R25" s="292">
        <v>367.92599999999999</v>
      </c>
      <c r="S25" s="271">
        <v>105991.94</v>
      </c>
      <c r="T25" s="271">
        <v>999927.96195999999</v>
      </c>
      <c r="U25" s="172"/>
      <c r="V25" s="172"/>
      <c r="W25" s="268" t="s">
        <v>929</v>
      </c>
      <c r="X25" s="301">
        <v>73461</v>
      </c>
      <c r="Y25" s="272" t="s">
        <v>917</v>
      </c>
      <c r="Z25" s="172" t="s">
        <v>126</v>
      </c>
      <c r="AA25" s="9">
        <v>1</v>
      </c>
      <c r="AB25" s="273">
        <v>3453</v>
      </c>
      <c r="AC25" s="46">
        <f t="shared" si="9"/>
        <v>2.8301999999999996</v>
      </c>
      <c r="AD25" s="48"/>
      <c r="AE25" s="48"/>
      <c r="AF25" s="49"/>
      <c r="AG25" s="51"/>
      <c r="AH25" s="41">
        <f t="shared" si="10"/>
        <v>3.3018999999999994</v>
      </c>
      <c r="AI25" s="263"/>
      <c r="AJ25" s="262"/>
      <c r="AK25" s="58"/>
      <c r="AL25" s="42"/>
      <c r="AM25" s="42"/>
      <c r="AN25" s="59"/>
      <c r="AO25" s="172"/>
      <c r="AP25" s="172"/>
      <c r="AQ25" s="172"/>
      <c r="AR25" s="172"/>
      <c r="AS25" s="172"/>
      <c r="AT25" s="172"/>
    </row>
    <row r="26" spans="1:46" ht="40.15" customHeight="1" x14ac:dyDescent="0.25">
      <c r="A26" s="301">
        <v>23</v>
      </c>
      <c r="B26" s="25" t="s">
        <v>28</v>
      </c>
      <c r="C26" s="302" t="s">
        <v>914</v>
      </c>
      <c r="D26" s="195"/>
      <c r="E26" s="195" t="s">
        <v>168</v>
      </c>
      <c r="F26" s="195"/>
      <c r="G26" s="25" t="s">
        <v>31</v>
      </c>
      <c r="H26" s="195"/>
      <c r="I26" s="301" t="s">
        <v>930</v>
      </c>
      <c r="J26" s="301">
        <v>1.266</v>
      </c>
      <c r="K26" s="301">
        <v>1.266</v>
      </c>
      <c r="L26" s="301">
        <v>1</v>
      </c>
      <c r="M26" s="301" t="s">
        <v>33</v>
      </c>
      <c r="N26" s="301">
        <f t="shared" si="2"/>
        <v>17.090999999999998</v>
      </c>
      <c r="O26" s="301">
        <f t="shared" si="3"/>
        <v>19.939499999999999</v>
      </c>
      <c r="P26" s="301">
        <f t="shared" si="4"/>
        <v>11.394</v>
      </c>
      <c r="Q26" s="301">
        <f t="shared" si="5"/>
        <v>8.5454999999999988</v>
      </c>
      <c r="R26" s="292">
        <v>56.97</v>
      </c>
      <c r="S26" s="271">
        <v>105991.94</v>
      </c>
      <c r="T26" s="271">
        <v>134185.79604000002</v>
      </c>
      <c r="U26" s="172"/>
      <c r="V26" s="172"/>
      <c r="W26" s="268" t="s">
        <v>930</v>
      </c>
      <c r="X26" s="301">
        <v>73461</v>
      </c>
      <c r="Y26" s="272" t="s">
        <v>917</v>
      </c>
      <c r="Z26" s="172" t="s">
        <v>168</v>
      </c>
      <c r="AA26" s="9">
        <v>2</v>
      </c>
      <c r="AB26" s="273">
        <v>3482</v>
      </c>
      <c r="AC26" s="46">
        <f t="shared" si="9"/>
        <v>0.37979999999999997</v>
      </c>
      <c r="AD26" s="48"/>
      <c r="AE26" s="48"/>
      <c r="AF26" s="49"/>
      <c r="AG26" s="51"/>
      <c r="AH26" s="41">
        <f t="shared" si="10"/>
        <v>0.44309999999999999</v>
      </c>
      <c r="AI26" s="263"/>
      <c r="AJ26" s="262"/>
      <c r="AK26" s="58"/>
      <c r="AL26" s="42"/>
      <c r="AM26" s="42"/>
      <c r="AN26" s="59"/>
      <c r="AO26" s="172"/>
      <c r="AP26" s="172"/>
      <c r="AQ26" s="172"/>
      <c r="AR26" s="172"/>
      <c r="AS26" s="172"/>
      <c r="AT26" s="172"/>
    </row>
    <row r="27" spans="1:46" ht="40.15" customHeight="1" x14ac:dyDescent="0.25">
      <c r="A27" s="301">
        <v>24</v>
      </c>
      <c r="B27" s="25" t="s">
        <v>28</v>
      </c>
      <c r="C27" s="302" t="s">
        <v>914</v>
      </c>
      <c r="D27" s="195"/>
      <c r="E27" s="195" t="s">
        <v>126</v>
      </c>
      <c r="F27" s="195"/>
      <c r="G27" s="25" t="s">
        <v>31</v>
      </c>
      <c r="H27" s="195"/>
      <c r="I27" s="301" t="s">
        <v>931</v>
      </c>
      <c r="J27" s="301">
        <v>6.7510000000000003</v>
      </c>
      <c r="K27" s="301">
        <v>6.7510000000000003</v>
      </c>
      <c r="L27" s="301">
        <v>1</v>
      </c>
      <c r="M27" s="301" t="s">
        <v>33</v>
      </c>
      <c r="N27" s="301">
        <f t="shared" si="2"/>
        <v>78.986699999999999</v>
      </c>
      <c r="O27" s="301">
        <f t="shared" si="3"/>
        <v>92.151149999999987</v>
      </c>
      <c r="P27" s="301">
        <f t="shared" si="4"/>
        <v>52.657800000000002</v>
      </c>
      <c r="Q27" s="301">
        <f t="shared" si="5"/>
        <v>39.49335</v>
      </c>
      <c r="R27" s="292">
        <v>263.28899999999999</v>
      </c>
      <c r="S27" s="271">
        <v>105991.94</v>
      </c>
      <c r="T27" s="271">
        <v>715551.58694000007</v>
      </c>
      <c r="U27" s="172"/>
      <c r="V27" s="172"/>
      <c r="W27" s="268" t="s">
        <v>931</v>
      </c>
      <c r="X27" s="301">
        <v>73465</v>
      </c>
      <c r="Y27" s="272" t="s">
        <v>917</v>
      </c>
      <c r="Z27" s="172" t="s">
        <v>126</v>
      </c>
      <c r="AA27" s="268">
        <v>1</v>
      </c>
      <c r="AB27" s="273">
        <v>3453</v>
      </c>
      <c r="AC27" s="46">
        <f t="shared" ref="AC27:AC32" si="11">K27*0.3</f>
        <v>2.0253000000000001</v>
      </c>
      <c r="AD27" s="48"/>
      <c r="AE27" s="48"/>
      <c r="AF27" s="49"/>
      <c r="AG27" s="51"/>
      <c r="AH27" s="41">
        <f>K27*0.35</f>
        <v>2.3628499999999999</v>
      </c>
      <c r="AI27" s="263"/>
      <c r="AJ27" s="59"/>
      <c r="AK27" s="51"/>
      <c r="AL27" s="48"/>
      <c r="AM27" s="42"/>
      <c r="AN27" s="59"/>
      <c r="AO27" s="172"/>
      <c r="AP27" s="172"/>
      <c r="AQ27" s="172"/>
      <c r="AR27" s="172"/>
      <c r="AS27" s="172"/>
      <c r="AT27" s="172"/>
    </row>
    <row r="28" spans="1:46" ht="40.15" customHeight="1" x14ac:dyDescent="0.25">
      <c r="A28" s="301">
        <v>25</v>
      </c>
      <c r="B28" s="25" t="s">
        <v>28</v>
      </c>
      <c r="C28" s="302" t="s">
        <v>914</v>
      </c>
      <c r="D28" s="195"/>
      <c r="E28" s="195" t="s">
        <v>168</v>
      </c>
      <c r="F28" s="195"/>
      <c r="G28" s="25" t="s">
        <v>31</v>
      </c>
      <c r="H28" s="195"/>
      <c r="I28" s="301" t="s">
        <v>932</v>
      </c>
      <c r="J28" s="301">
        <v>1.2290000000000001</v>
      </c>
      <c r="K28" s="301">
        <v>1.2290000000000001</v>
      </c>
      <c r="L28" s="301">
        <v>1</v>
      </c>
      <c r="M28" s="301" t="s">
        <v>33</v>
      </c>
      <c r="N28" s="301">
        <f t="shared" si="2"/>
        <v>16.5915</v>
      </c>
      <c r="O28" s="301">
        <f t="shared" si="3"/>
        <v>19.356750000000002</v>
      </c>
      <c r="P28" s="301">
        <f t="shared" si="4"/>
        <v>11.061000000000002</v>
      </c>
      <c r="Q28" s="301">
        <f t="shared" si="5"/>
        <v>8.29575</v>
      </c>
      <c r="R28" s="292">
        <v>55.305000000000007</v>
      </c>
      <c r="S28" s="271">
        <v>105991.94</v>
      </c>
      <c r="T28" s="271">
        <v>130264.09426000001</v>
      </c>
      <c r="U28" s="172"/>
      <c r="V28" s="172"/>
      <c r="W28" s="268" t="s">
        <v>932</v>
      </c>
      <c r="X28" s="301">
        <v>73465</v>
      </c>
      <c r="Y28" s="272" t="s">
        <v>917</v>
      </c>
      <c r="Z28" s="172" t="s">
        <v>168</v>
      </c>
      <c r="AA28" s="268">
        <v>2</v>
      </c>
      <c r="AB28" s="273">
        <v>3482</v>
      </c>
      <c r="AC28" s="46">
        <f t="shared" si="11"/>
        <v>0.36870000000000003</v>
      </c>
      <c r="AD28" s="48"/>
      <c r="AE28" s="48"/>
      <c r="AF28" s="49"/>
      <c r="AG28" s="51"/>
      <c r="AH28" s="41">
        <f>K28*0.35</f>
        <v>0.43015000000000003</v>
      </c>
      <c r="AI28" s="263"/>
      <c r="AJ28" s="59"/>
      <c r="AK28" s="51"/>
      <c r="AL28" s="48"/>
      <c r="AM28" s="42"/>
      <c r="AN28" s="59"/>
      <c r="AO28" s="172"/>
      <c r="AP28" s="172"/>
      <c r="AQ28" s="172"/>
      <c r="AR28" s="172"/>
      <c r="AS28" s="172"/>
      <c r="AT28" s="172"/>
    </row>
    <row r="29" spans="1:46" ht="40.15" customHeight="1" x14ac:dyDescent="0.25">
      <c r="A29" s="301">
        <v>26</v>
      </c>
      <c r="B29" s="25" t="s">
        <v>28</v>
      </c>
      <c r="C29" s="302" t="s">
        <v>914</v>
      </c>
      <c r="D29" s="195"/>
      <c r="E29" s="195" t="s">
        <v>126</v>
      </c>
      <c r="F29" s="195"/>
      <c r="G29" s="25" t="s">
        <v>31</v>
      </c>
      <c r="H29" s="195"/>
      <c r="I29" s="301" t="s">
        <v>931</v>
      </c>
      <c r="J29" s="301">
        <v>6.7709999999999999</v>
      </c>
      <c r="K29" s="301">
        <v>6.7709999999999999</v>
      </c>
      <c r="L29" s="301">
        <v>1</v>
      </c>
      <c r="M29" s="301" t="s">
        <v>33</v>
      </c>
      <c r="N29" s="301">
        <f t="shared" si="2"/>
        <v>79.220700000000008</v>
      </c>
      <c r="O29" s="301">
        <f t="shared" si="3"/>
        <v>92.424149999999997</v>
      </c>
      <c r="P29" s="301">
        <f t="shared" si="4"/>
        <v>52.813800000000008</v>
      </c>
      <c r="Q29" s="301">
        <f t="shared" si="5"/>
        <v>39.610350000000004</v>
      </c>
      <c r="R29" s="292">
        <v>264.06900000000002</v>
      </c>
      <c r="S29" s="271">
        <v>105991.94</v>
      </c>
      <c r="T29" s="271">
        <v>717671.42573999998</v>
      </c>
      <c r="U29" s="172"/>
      <c r="V29" s="172"/>
      <c r="W29" s="268" t="s">
        <v>931</v>
      </c>
      <c r="X29" s="301">
        <v>73466</v>
      </c>
      <c r="Y29" s="272" t="s">
        <v>917</v>
      </c>
      <c r="Z29" s="172" t="s">
        <v>126</v>
      </c>
      <c r="AA29" s="268">
        <v>1</v>
      </c>
      <c r="AB29" s="273">
        <v>3453</v>
      </c>
      <c r="AC29" s="46">
        <f t="shared" si="11"/>
        <v>2.0312999999999999</v>
      </c>
      <c r="AD29" s="48"/>
      <c r="AE29" s="48"/>
      <c r="AF29" s="49"/>
      <c r="AG29" s="51"/>
      <c r="AH29" s="263"/>
      <c r="AI29" s="263"/>
      <c r="AJ29" s="59"/>
      <c r="AK29" s="58"/>
      <c r="AL29" s="42"/>
      <c r="AM29" s="42"/>
      <c r="AN29" s="59"/>
      <c r="AO29" s="172"/>
      <c r="AP29" s="172"/>
      <c r="AQ29" s="172"/>
      <c r="AR29" s="172"/>
      <c r="AS29" s="172"/>
      <c r="AT29" s="172"/>
    </row>
    <row r="30" spans="1:46" ht="40.15" customHeight="1" x14ac:dyDescent="0.25">
      <c r="A30" s="301">
        <v>27</v>
      </c>
      <c r="B30" s="25" t="s">
        <v>28</v>
      </c>
      <c r="C30" s="302" t="s">
        <v>914</v>
      </c>
      <c r="D30" s="195"/>
      <c r="E30" s="195" t="s">
        <v>168</v>
      </c>
      <c r="F30" s="195"/>
      <c r="G30" s="25" t="s">
        <v>31</v>
      </c>
      <c r="H30" s="195"/>
      <c r="I30" s="301" t="s">
        <v>932</v>
      </c>
      <c r="J30" s="301">
        <v>1.2290000000000001</v>
      </c>
      <c r="K30" s="301">
        <v>1.2290000000000001</v>
      </c>
      <c r="L30" s="301">
        <v>1</v>
      </c>
      <c r="M30" s="301" t="s">
        <v>33</v>
      </c>
      <c r="N30" s="301">
        <f t="shared" si="2"/>
        <v>16.5915</v>
      </c>
      <c r="O30" s="301">
        <f t="shared" si="3"/>
        <v>19.356750000000002</v>
      </c>
      <c r="P30" s="301">
        <f t="shared" si="4"/>
        <v>11.061000000000002</v>
      </c>
      <c r="Q30" s="301">
        <f t="shared" si="5"/>
        <v>8.29575</v>
      </c>
      <c r="R30" s="292">
        <v>55.305000000000007</v>
      </c>
      <c r="S30" s="271">
        <v>105991.94</v>
      </c>
      <c r="T30" s="271">
        <v>130264.09426000001</v>
      </c>
      <c r="U30" s="172"/>
      <c r="V30" s="172"/>
      <c r="W30" s="268" t="s">
        <v>932</v>
      </c>
      <c r="X30" s="301">
        <v>73466</v>
      </c>
      <c r="Y30" s="272" t="s">
        <v>917</v>
      </c>
      <c r="Z30" s="172" t="s">
        <v>168</v>
      </c>
      <c r="AA30" s="268">
        <v>2</v>
      </c>
      <c r="AB30" s="273">
        <v>3482</v>
      </c>
      <c r="AC30" s="46">
        <f t="shared" si="11"/>
        <v>0.36870000000000003</v>
      </c>
      <c r="AD30" s="48"/>
      <c r="AE30" s="48"/>
      <c r="AF30" s="49"/>
      <c r="AG30" s="51"/>
      <c r="AH30" s="263"/>
      <c r="AI30" s="263"/>
      <c r="AJ30" s="59"/>
      <c r="AK30" s="58"/>
      <c r="AL30" s="42"/>
      <c r="AM30" s="42"/>
      <c r="AN30" s="59"/>
      <c r="AO30" s="172"/>
      <c r="AP30" s="172"/>
      <c r="AQ30" s="172"/>
      <c r="AR30" s="172"/>
      <c r="AS30" s="172"/>
      <c r="AT30" s="172"/>
    </row>
    <row r="31" spans="1:46" ht="40.15" customHeight="1" x14ac:dyDescent="0.25">
      <c r="A31" s="301">
        <v>28</v>
      </c>
      <c r="B31" s="25" t="s">
        <v>28</v>
      </c>
      <c r="C31" s="302" t="s">
        <v>914</v>
      </c>
      <c r="D31" s="195"/>
      <c r="E31" s="195" t="s">
        <v>126</v>
      </c>
      <c r="F31" s="195"/>
      <c r="G31" s="25" t="s">
        <v>31</v>
      </c>
      <c r="H31" s="195"/>
      <c r="I31" s="301" t="s">
        <v>931</v>
      </c>
      <c r="J31" s="301">
        <v>6.7709999999999999</v>
      </c>
      <c r="K31" s="301">
        <v>6.7709999999999999</v>
      </c>
      <c r="L31" s="301">
        <v>1</v>
      </c>
      <c r="M31" s="301" t="s">
        <v>33</v>
      </c>
      <c r="N31" s="301">
        <f t="shared" si="2"/>
        <v>79.220700000000008</v>
      </c>
      <c r="O31" s="301">
        <f t="shared" si="3"/>
        <v>92.424149999999997</v>
      </c>
      <c r="P31" s="301">
        <f t="shared" si="4"/>
        <v>52.813800000000008</v>
      </c>
      <c r="Q31" s="301">
        <f t="shared" si="5"/>
        <v>39.610350000000004</v>
      </c>
      <c r="R31" s="292">
        <v>264.06900000000002</v>
      </c>
      <c r="S31" s="271">
        <v>105991.94</v>
      </c>
      <c r="T31" s="271">
        <v>717671.42573999998</v>
      </c>
      <c r="U31" s="172"/>
      <c r="V31" s="172"/>
      <c r="W31" s="268" t="s">
        <v>931</v>
      </c>
      <c r="X31" s="301">
        <v>73467</v>
      </c>
      <c r="Y31" s="272" t="s">
        <v>917</v>
      </c>
      <c r="Z31" s="172" t="s">
        <v>126</v>
      </c>
      <c r="AA31" s="268">
        <v>1</v>
      </c>
      <c r="AB31" s="273">
        <v>3453</v>
      </c>
      <c r="AC31" s="46">
        <f t="shared" si="11"/>
        <v>2.0312999999999999</v>
      </c>
      <c r="AD31" s="48"/>
      <c r="AE31" s="48"/>
      <c r="AF31" s="49"/>
      <c r="AG31" s="51"/>
      <c r="AH31" s="263"/>
      <c r="AI31" s="263"/>
      <c r="AJ31" s="59"/>
      <c r="AK31" s="58"/>
      <c r="AL31" s="42"/>
      <c r="AM31" s="42"/>
      <c r="AN31" s="59"/>
      <c r="AO31" s="172"/>
      <c r="AP31" s="172"/>
      <c r="AQ31" s="172"/>
      <c r="AR31" s="172"/>
      <c r="AS31" s="172"/>
      <c r="AT31" s="172"/>
    </row>
    <row r="32" spans="1:46" ht="40.15" customHeight="1" x14ac:dyDescent="0.25">
      <c r="A32" s="301">
        <v>29</v>
      </c>
      <c r="B32" s="25" t="s">
        <v>28</v>
      </c>
      <c r="C32" s="302" t="s">
        <v>914</v>
      </c>
      <c r="D32" s="195"/>
      <c r="E32" s="195" t="s">
        <v>168</v>
      </c>
      <c r="F32" s="195"/>
      <c r="G32" s="25" t="s">
        <v>31</v>
      </c>
      <c r="H32" s="195"/>
      <c r="I32" s="301" t="s">
        <v>932</v>
      </c>
      <c r="J32" s="301">
        <v>1.2290000000000001</v>
      </c>
      <c r="K32" s="301">
        <v>1.2290000000000001</v>
      </c>
      <c r="L32" s="301">
        <v>1</v>
      </c>
      <c r="M32" s="301" t="s">
        <v>33</v>
      </c>
      <c r="N32" s="301">
        <f t="shared" si="2"/>
        <v>16.5915</v>
      </c>
      <c r="O32" s="301">
        <f t="shared" si="3"/>
        <v>19.356750000000002</v>
      </c>
      <c r="P32" s="301">
        <f t="shared" si="4"/>
        <v>11.061000000000002</v>
      </c>
      <c r="Q32" s="301">
        <f t="shared" si="5"/>
        <v>8.29575</v>
      </c>
      <c r="R32" s="292">
        <v>55.305000000000007</v>
      </c>
      <c r="S32" s="271">
        <v>105991.94</v>
      </c>
      <c r="T32" s="271">
        <v>130264.09426000001</v>
      </c>
      <c r="U32" s="172"/>
      <c r="V32" s="172"/>
      <c r="W32" s="268" t="s">
        <v>932</v>
      </c>
      <c r="X32" s="301">
        <v>73467</v>
      </c>
      <c r="Y32" s="272" t="s">
        <v>917</v>
      </c>
      <c r="Z32" s="172" t="s">
        <v>168</v>
      </c>
      <c r="AA32" s="268">
        <v>2</v>
      </c>
      <c r="AB32" s="273">
        <v>3482</v>
      </c>
      <c r="AC32" s="46">
        <f t="shared" si="11"/>
        <v>0.36870000000000003</v>
      </c>
      <c r="AD32" s="48"/>
      <c r="AE32" s="48"/>
      <c r="AF32" s="49"/>
      <c r="AG32" s="51"/>
      <c r="AH32" s="263"/>
      <c r="AI32" s="263"/>
      <c r="AJ32" s="59"/>
      <c r="AK32" s="58"/>
      <c r="AL32" s="42"/>
      <c r="AM32" s="42"/>
      <c r="AN32" s="59"/>
      <c r="AO32" s="172"/>
      <c r="AP32" s="172"/>
      <c r="AQ32" s="172"/>
      <c r="AR32" s="172"/>
      <c r="AS32" s="172"/>
      <c r="AT32" s="172"/>
    </row>
    <row r="33" spans="1:46" ht="40.15" customHeight="1" x14ac:dyDescent="0.25">
      <c r="A33" s="301">
        <v>30</v>
      </c>
      <c r="B33" s="25" t="s">
        <v>28</v>
      </c>
      <c r="C33" s="302" t="s">
        <v>914</v>
      </c>
      <c r="D33" s="195"/>
      <c r="E33" s="195" t="s">
        <v>126</v>
      </c>
      <c r="F33" s="195"/>
      <c r="G33" s="25" t="s">
        <v>31</v>
      </c>
      <c r="H33" s="195"/>
      <c r="I33" s="301" t="s">
        <v>931</v>
      </c>
      <c r="J33" s="301">
        <v>6.7709999999999999</v>
      </c>
      <c r="K33" s="301">
        <v>6.7709999999999999</v>
      </c>
      <c r="L33" s="301">
        <v>1</v>
      </c>
      <c r="M33" s="301" t="s">
        <v>33</v>
      </c>
      <c r="N33" s="301">
        <f t="shared" si="2"/>
        <v>79.220700000000008</v>
      </c>
      <c r="O33" s="301">
        <f t="shared" si="3"/>
        <v>92.424149999999997</v>
      </c>
      <c r="P33" s="301">
        <f t="shared" si="4"/>
        <v>52.813800000000008</v>
      </c>
      <c r="Q33" s="301">
        <f t="shared" si="5"/>
        <v>39.610350000000004</v>
      </c>
      <c r="R33" s="292">
        <v>264.06900000000002</v>
      </c>
      <c r="S33" s="271">
        <v>105991.94</v>
      </c>
      <c r="T33" s="271">
        <v>717671.42573999998</v>
      </c>
      <c r="U33" s="172"/>
      <c r="V33" s="172"/>
      <c r="W33" s="268" t="s">
        <v>931</v>
      </c>
      <c r="X33" s="301">
        <v>73468</v>
      </c>
      <c r="Y33" s="272" t="s">
        <v>917</v>
      </c>
      <c r="Z33" s="172" t="s">
        <v>126</v>
      </c>
      <c r="AA33" s="268">
        <v>1</v>
      </c>
      <c r="AB33" s="273">
        <v>3453</v>
      </c>
      <c r="AC33" s="51"/>
      <c r="AD33" s="48"/>
      <c r="AE33" s="48"/>
      <c r="AF33" s="49"/>
      <c r="AG33" s="169">
        <f t="shared" ref="AG33:AG34" si="12">K33*0.3</f>
        <v>2.0312999999999999</v>
      </c>
      <c r="AH33" s="263"/>
      <c r="AI33" s="263"/>
      <c r="AJ33" s="59"/>
      <c r="AK33" s="58"/>
      <c r="AL33" s="42"/>
      <c r="AM33" s="42"/>
      <c r="AN33" s="59"/>
      <c r="AO33" s="172"/>
      <c r="AP33" s="172"/>
      <c r="AQ33" s="172"/>
      <c r="AR33" s="172"/>
      <c r="AS33" s="172"/>
      <c r="AT33" s="172"/>
    </row>
    <row r="34" spans="1:46" ht="40.15" customHeight="1" x14ac:dyDescent="0.25">
      <c r="A34" s="301">
        <v>31</v>
      </c>
      <c r="B34" s="25" t="s">
        <v>28</v>
      </c>
      <c r="C34" s="302" t="s">
        <v>914</v>
      </c>
      <c r="D34" s="195"/>
      <c r="E34" s="195" t="s">
        <v>168</v>
      </c>
      <c r="F34" s="195"/>
      <c r="G34" s="25" t="s">
        <v>31</v>
      </c>
      <c r="H34" s="195"/>
      <c r="I34" s="301" t="s">
        <v>933</v>
      </c>
      <c r="J34" s="301">
        <v>1.2290000000000001</v>
      </c>
      <c r="K34" s="301">
        <v>1.2290000000000001</v>
      </c>
      <c r="L34" s="301">
        <v>1</v>
      </c>
      <c r="M34" s="301" t="s">
        <v>33</v>
      </c>
      <c r="N34" s="301">
        <f t="shared" si="2"/>
        <v>16.5915</v>
      </c>
      <c r="O34" s="301">
        <f t="shared" si="3"/>
        <v>19.356750000000002</v>
      </c>
      <c r="P34" s="301">
        <f t="shared" si="4"/>
        <v>11.061000000000002</v>
      </c>
      <c r="Q34" s="301">
        <f t="shared" si="5"/>
        <v>8.29575</v>
      </c>
      <c r="R34" s="292">
        <v>55.305000000000007</v>
      </c>
      <c r="S34" s="271">
        <v>105991.94</v>
      </c>
      <c r="T34" s="271">
        <v>130264.09426000001</v>
      </c>
      <c r="U34" s="172"/>
      <c r="V34" s="172"/>
      <c r="W34" s="268" t="s">
        <v>933</v>
      </c>
      <c r="X34" s="301">
        <v>73468</v>
      </c>
      <c r="Y34" s="272" t="s">
        <v>917</v>
      </c>
      <c r="Z34" s="172" t="s">
        <v>168</v>
      </c>
      <c r="AA34" s="268">
        <v>2</v>
      </c>
      <c r="AB34" s="273">
        <v>3482</v>
      </c>
      <c r="AC34" s="51"/>
      <c r="AD34" s="48"/>
      <c r="AE34" s="48"/>
      <c r="AF34" s="49"/>
      <c r="AG34" s="169">
        <f t="shared" si="12"/>
        <v>0.36870000000000003</v>
      </c>
      <c r="AH34" s="263"/>
      <c r="AI34" s="263"/>
      <c r="AJ34" s="59"/>
      <c r="AK34" s="58"/>
      <c r="AL34" s="42"/>
      <c r="AM34" s="42"/>
      <c r="AN34" s="59"/>
      <c r="AO34" s="172"/>
      <c r="AP34" s="172"/>
      <c r="AQ34" s="172"/>
      <c r="AR34" s="172"/>
      <c r="AS34" s="172"/>
      <c r="AT34" s="172"/>
    </row>
    <row r="35" spans="1:46" ht="40.15" customHeight="1" x14ac:dyDescent="0.25">
      <c r="A35" s="301">
        <v>32</v>
      </c>
      <c r="B35" s="25" t="s">
        <v>28</v>
      </c>
      <c r="C35" s="302" t="s">
        <v>914</v>
      </c>
      <c r="D35" s="195"/>
      <c r="E35" s="195" t="s">
        <v>126</v>
      </c>
      <c r="F35" s="195"/>
      <c r="G35" s="25" t="s">
        <v>31</v>
      </c>
      <c r="H35" s="195"/>
      <c r="I35" s="301" t="s">
        <v>931</v>
      </c>
      <c r="J35" s="301">
        <v>8.7680000000000007</v>
      </c>
      <c r="K35" s="301">
        <v>8.7680000000000007</v>
      </c>
      <c r="L35" s="301">
        <v>1</v>
      </c>
      <c r="M35" s="301" t="s">
        <v>33</v>
      </c>
      <c r="N35" s="301">
        <f t="shared" si="2"/>
        <v>102.5856</v>
      </c>
      <c r="O35" s="301">
        <f t="shared" si="3"/>
        <v>119.68319999999999</v>
      </c>
      <c r="P35" s="301">
        <f t="shared" si="4"/>
        <v>68.3904</v>
      </c>
      <c r="Q35" s="301">
        <f t="shared" si="5"/>
        <v>51.2928</v>
      </c>
      <c r="R35" s="292">
        <v>341.952</v>
      </c>
      <c r="S35" s="271">
        <v>105991.94</v>
      </c>
      <c r="T35" s="271">
        <v>929337.32992000005</v>
      </c>
      <c r="U35" s="172"/>
      <c r="V35" s="172"/>
      <c r="W35" s="268" t="s">
        <v>931</v>
      </c>
      <c r="X35" s="301">
        <v>73472</v>
      </c>
      <c r="Y35" s="272" t="s">
        <v>917</v>
      </c>
      <c r="Z35" s="172" t="s">
        <v>126</v>
      </c>
      <c r="AA35" s="268">
        <v>1</v>
      </c>
      <c r="AB35" s="273">
        <v>3453</v>
      </c>
      <c r="AC35" s="46">
        <f t="shared" ref="AC35:AC37" si="13">K35*0.3</f>
        <v>2.6304000000000003</v>
      </c>
      <c r="AD35" s="48"/>
      <c r="AE35" s="48"/>
      <c r="AF35" s="49"/>
      <c r="AG35" s="51"/>
      <c r="AH35" s="263"/>
      <c r="AI35" s="263"/>
      <c r="AJ35" s="59"/>
      <c r="AK35" s="58"/>
      <c r="AL35" s="42"/>
      <c r="AM35" s="42"/>
      <c r="AN35" s="59"/>
      <c r="AO35" s="172"/>
      <c r="AP35" s="172"/>
      <c r="AQ35" s="172"/>
      <c r="AR35" s="172"/>
      <c r="AS35" s="172"/>
      <c r="AT35" s="172"/>
    </row>
    <row r="36" spans="1:46" ht="40.15" customHeight="1" x14ac:dyDescent="0.25">
      <c r="A36" s="301">
        <v>33</v>
      </c>
      <c r="B36" s="25" t="s">
        <v>28</v>
      </c>
      <c r="C36" s="302" t="s">
        <v>914</v>
      </c>
      <c r="D36" s="195"/>
      <c r="E36" s="195" t="s">
        <v>126</v>
      </c>
      <c r="F36" s="195"/>
      <c r="G36" s="25" t="s">
        <v>31</v>
      </c>
      <c r="H36" s="195"/>
      <c r="I36" s="290" t="s">
        <v>934</v>
      </c>
      <c r="J36" s="301">
        <v>0.76600000000000001</v>
      </c>
      <c r="K36" s="301">
        <v>0.76600000000000001</v>
      </c>
      <c r="L36" s="301">
        <v>1</v>
      </c>
      <c r="M36" s="301" t="s">
        <v>33</v>
      </c>
      <c r="N36" s="301">
        <f t="shared" si="2"/>
        <v>11.9496</v>
      </c>
      <c r="O36" s="301">
        <f t="shared" si="3"/>
        <v>13.9412</v>
      </c>
      <c r="P36" s="301">
        <f t="shared" si="4"/>
        <v>7.9664000000000001</v>
      </c>
      <c r="Q36" s="301">
        <f t="shared" si="5"/>
        <v>5.9748000000000001</v>
      </c>
      <c r="R36" s="292">
        <v>39.832000000000001</v>
      </c>
      <c r="S36" s="271">
        <v>105991.94</v>
      </c>
      <c r="T36" s="271">
        <v>81189.82604</v>
      </c>
      <c r="U36" s="172"/>
      <c r="V36" s="172"/>
      <c r="W36" s="268" t="s">
        <v>934</v>
      </c>
      <c r="X36" s="301">
        <v>73472</v>
      </c>
      <c r="Y36" s="272" t="s">
        <v>917</v>
      </c>
      <c r="Z36" s="172" t="s">
        <v>126</v>
      </c>
      <c r="AA36" s="268">
        <v>2</v>
      </c>
      <c r="AB36" s="273">
        <v>3453</v>
      </c>
      <c r="AC36" s="46">
        <f t="shared" si="13"/>
        <v>0.2298</v>
      </c>
      <c r="AD36" s="48"/>
      <c r="AE36" s="48"/>
      <c r="AF36" s="49"/>
      <c r="AG36" s="51"/>
      <c r="AH36" s="263"/>
      <c r="AI36" s="263"/>
      <c r="AJ36" s="59"/>
      <c r="AK36" s="58"/>
      <c r="AL36" s="42"/>
      <c r="AM36" s="42"/>
      <c r="AN36" s="59"/>
      <c r="AO36" s="172"/>
      <c r="AP36" s="172"/>
      <c r="AQ36" s="172"/>
      <c r="AR36" s="172"/>
      <c r="AS36" s="172"/>
      <c r="AT36" s="172"/>
    </row>
    <row r="37" spans="1:46" ht="40.15" customHeight="1" x14ac:dyDescent="0.25">
      <c r="A37" s="301">
        <v>34</v>
      </c>
      <c r="B37" s="25" t="s">
        <v>28</v>
      </c>
      <c r="C37" s="302" t="s">
        <v>914</v>
      </c>
      <c r="D37" s="195"/>
      <c r="E37" s="195" t="s">
        <v>168</v>
      </c>
      <c r="F37" s="195"/>
      <c r="G37" s="25" t="s">
        <v>31</v>
      </c>
      <c r="H37" s="195"/>
      <c r="I37" s="301" t="s">
        <v>930</v>
      </c>
      <c r="J37" s="301">
        <v>1.266</v>
      </c>
      <c r="K37" s="301">
        <v>1.266</v>
      </c>
      <c r="L37" s="301">
        <v>1</v>
      </c>
      <c r="M37" s="301" t="s">
        <v>33</v>
      </c>
      <c r="N37" s="301">
        <f t="shared" si="2"/>
        <v>17.090999999999998</v>
      </c>
      <c r="O37" s="301">
        <f t="shared" si="3"/>
        <v>19.939499999999999</v>
      </c>
      <c r="P37" s="301">
        <f t="shared" si="4"/>
        <v>11.394</v>
      </c>
      <c r="Q37" s="301">
        <f t="shared" si="5"/>
        <v>8.5454999999999988</v>
      </c>
      <c r="R37" s="292">
        <v>56.97</v>
      </c>
      <c r="S37" s="271">
        <v>105991.94</v>
      </c>
      <c r="T37" s="271">
        <v>134185.79604000002</v>
      </c>
      <c r="U37" s="172"/>
      <c r="V37" s="172"/>
      <c r="W37" s="268" t="s">
        <v>930</v>
      </c>
      <c r="X37" s="301">
        <v>73472</v>
      </c>
      <c r="Y37" s="272" t="s">
        <v>917</v>
      </c>
      <c r="Z37" s="172" t="s">
        <v>168</v>
      </c>
      <c r="AA37" s="268">
        <v>3</v>
      </c>
      <c r="AB37" s="273">
        <v>3482</v>
      </c>
      <c r="AC37" s="46">
        <f t="shared" si="13"/>
        <v>0.37979999999999997</v>
      </c>
      <c r="AD37" s="48"/>
      <c r="AE37" s="48"/>
      <c r="AF37" s="49"/>
      <c r="AG37" s="51"/>
      <c r="AH37" s="263"/>
      <c r="AI37" s="263"/>
      <c r="AJ37" s="59"/>
      <c r="AK37" s="58"/>
      <c r="AL37" s="42"/>
      <c r="AM37" s="42"/>
      <c r="AN37" s="59"/>
      <c r="AO37" s="172"/>
      <c r="AP37" s="172"/>
      <c r="AQ37" s="172"/>
      <c r="AR37" s="172"/>
      <c r="AS37" s="172"/>
      <c r="AT37" s="172"/>
    </row>
    <row r="38" spans="1:46" ht="40.15" customHeight="1" x14ac:dyDescent="0.25">
      <c r="A38" s="301">
        <v>35</v>
      </c>
      <c r="B38" s="25" t="s">
        <v>28</v>
      </c>
      <c r="C38" s="302" t="s">
        <v>914</v>
      </c>
      <c r="D38" s="195"/>
      <c r="E38" s="195" t="s">
        <v>126</v>
      </c>
      <c r="F38" s="195"/>
      <c r="G38" s="25" t="s">
        <v>31</v>
      </c>
      <c r="H38" s="195"/>
      <c r="I38" s="301" t="s">
        <v>931</v>
      </c>
      <c r="J38" s="301">
        <v>8.7680000000000007</v>
      </c>
      <c r="K38" s="301">
        <v>8.7680000000000007</v>
      </c>
      <c r="L38" s="301">
        <v>1</v>
      </c>
      <c r="M38" s="301" t="s">
        <v>33</v>
      </c>
      <c r="N38" s="301">
        <f t="shared" si="2"/>
        <v>102.5856</v>
      </c>
      <c r="O38" s="301">
        <f t="shared" si="3"/>
        <v>119.68319999999999</v>
      </c>
      <c r="P38" s="301">
        <f t="shared" si="4"/>
        <v>68.3904</v>
      </c>
      <c r="Q38" s="301">
        <f t="shared" si="5"/>
        <v>51.2928</v>
      </c>
      <c r="R38" s="292">
        <v>341.952</v>
      </c>
      <c r="S38" s="271">
        <v>105991.94</v>
      </c>
      <c r="T38" s="271">
        <v>929337.32992000005</v>
      </c>
      <c r="U38" s="172"/>
      <c r="V38" s="172"/>
      <c r="W38" s="268" t="s">
        <v>931</v>
      </c>
      <c r="X38" s="301">
        <v>73473</v>
      </c>
      <c r="Y38" s="272" t="s">
        <v>917</v>
      </c>
      <c r="Z38" s="172" t="s">
        <v>126</v>
      </c>
      <c r="AA38" s="268">
        <v>1</v>
      </c>
      <c r="AB38" s="273">
        <v>3453</v>
      </c>
      <c r="AC38" s="141"/>
      <c r="AD38" s="163"/>
      <c r="AE38" s="163"/>
      <c r="AF38" s="164"/>
      <c r="AG38" s="169">
        <f>K38*0.3</f>
        <v>2.6304000000000003</v>
      </c>
      <c r="AH38" s="265"/>
      <c r="AI38" s="72"/>
      <c r="AJ38" s="127"/>
      <c r="AK38" s="126"/>
      <c r="AL38" s="72"/>
      <c r="AM38" s="72"/>
      <c r="AN38" s="127"/>
      <c r="AO38" s="172"/>
      <c r="AP38" s="172"/>
      <c r="AQ38" s="172"/>
      <c r="AR38" s="172"/>
      <c r="AS38" s="172"/>
      <c r="AT38" s="172"/>
    </row>
    <row r="39" spans="1:46" ht="40.15" customHeight="1" x14ac:dyDescent="0.25">
      <c r="A39" s="301">
        <v>36</v>
      </c>
      <c r="B39" s="25" t="s">
        <v>28</v>
      </c>
      <c r="C39" s="302" t="s">
        <v>914</v>
      </c>
      <c r="D39" s="195"/>
      <c r="E39" s="195" t="s">
        <v>126</v>
      </c>
      <c r="F39" s="195"/>
      <c r="G39" s="25" t="s">
        <v>31</v>
      </c>
      <c r="H39" s="195"/>
      <c r="I39" s="290" t="s">
        <v>934</v>
      </c>
      <c r="J39" s="301">
        <v>0.76600000000000001</v>
      </c>
      <c r="K39" s="301">
        <v>0.76600000000000001</v>
      </c>
      <c r="L39" s="301">
        <v>1</v>
      </c>
      <c r="M39" s="301" t="s">
        <v>33</v>
      </c>
      <c r="N39" s="301">
        <f t="shared" si="2"/>
        <v>11.9496</v>
      </c>
      <c r="O39" s="301">
        <f t="shared" si="3"/>
        <v>13.9412</v>
      </c>
      <c r="P39" s="301">
        <f t="shared" si="4"/>
        <v>7.9664000000000001</v>
      </c>
      <c r="Q39" s="301">
        <f t="shared" si="5"/>
        <v>5.9748000000000001</v>
      </c>
      <c r="R39" s="292">
        <v>39.832000000000001</v>
      </c>
      <c r="S39" s="271">
        <v>105991.94</v>
      </c>
      <c r="T39" s="271">
        <v>81189.82604</v>
      </c>
      <c r="U39" s="172"/>
      <c r="V39" s="172"/>
      <c r="W39" s="268" t="s">
        <v>934</v>
      </c>
      <c r="X39" s="301">
        <v>73473</v>
      </c>
      <c r="Y39" s="272" t="s">
        <v>917</v>
      </c>
      <c r="Z39" s="172" t="s">
        <v>126</v>
      </c>
      <c r="AA39" s="268">
        <v>2</v>
      </c>
      <c r="AB39" s="273">
        <v>3453</v>
      </c>
      <c r="AC39" s="141"/>
      <c r="AD39" s="163"/>
      <c r="AE39" s="163"/>
      <c r="AF39" s="164"/>
      <c r="AG39" s="169">
        <f t="shared" ref="AG39:AG47" si="14">K39*0.3</f>
        <v>0.2298</v>
      </c>
      <c r="AH39" s="265"/>
      <c r="AI39" s="72"/>
      <c r="AJ39" s="127"/>
      <c r="AK39" s="126"/>
      <c r="AL39" s="72"/>
      <c r="AM39" s="72"/>
      <c r="AN39" s="127"/>
      <c r="AO39" s="172"/>
      <c r="AP39" s="172"/>
      <c r="AQ39" s="172"/>
      <c r="AR39" s="172"/>
      <c r="AS39" s="172"/>
      <c r="AT39" s="172"/>
    </row>
    <row r="40" spans="1:46" ht="40.15" customHeight="1" x14ac:dyDescent="0.25">
      <c r="A40" s="301">
        <v>37</v>
      </c>
      <c r="B40" s="25" t="s">
        <v>28</v>
      </c>
      <c r="C40" s="302" t="s">
        <v>914</v>
      </c>
      <c r="D40" s="195"/>
      <c r="E40" s="195" t="s">
        <v>168</v>
      </c>
      <c r="F40" s="195"/>
      <c r="G40" s="25" t="s">
        <v>31</v>
      </c>
      <c r="H40" s="195"/>
      <c r="I40" s="301" t="s">
        <v>930</v>
      </c>
      <c r="J40" s="301">
        <v>1.266</v>
      </c>
      <c r="K40" s="301">
        <v>1.266</v>
      </c>
      <c r="L40" s="301">
        <v>1</v>
      </c>
      <c r="M40" s="301" t="s">
        <v>33</v>
      </c>
      <c r="N40" s="301">
        <f t="shared" si="2"/>
        <v>17.090999999999998</v>
      </c>
      <c r="O40" s="301">
        <f t="shared" si="3"/>
        <v>19.939499999999999</v>
      </c>
      <c r="P40" s="301">
        <f t="shared" si="4"/>
        <v>11.394</v>
      </c>
      <c r="Q40" s="301">
        <f t="shared" si="5"/>
        <v>8.5454999999999988</v>
      </c>
      <c r="R40" s="292">
        <v>56.97</v>
      </c>
      <c r="S40" s="271">
        <v>105991.94</v>
      </c>
      <c r="T40" s="271">
        <v>134185.79604000002</v>
      </c>
      <c r="U40" s="172"/>
      <c r="V40" s="172"/>
      <c r="W40" s="268" t="s">
        <v>930</v>
      </c>
      <c r="X40" s="301">
        <v>73473</v>
      </c>
      <c r="Y40" s="272" t="s">
        <v>917</v>
      </c>
      <c r="Z40" s="172" t="s">
        <v>168</v>
      </c>
      <c r="AA40" s="268">
        <v>3</v>
      </c>
      <c r="AB40" s="273">
        <v>3482</v>
      </c>
      <c r="AC40" s="141"/>
      <c r="AD40" s="163"/>
      <c r="AE40" s="163"/>
      <c r="AF40" s="164"/>
      <c r="AG40" s="169">
        <f t="shared" si="14"/>
        <v>0.37979999999999997</v>
      </c>
      <c r="AH40" s="265"/>
      <c r="AI40" s="72"/>
      <c r="AJ40" s="127"/>
      <c r="AK40" s="141"/>
      <c r="AL40" s="72"/>
      <c r="AM40" s="72"/>
      <c r="AN40" s="127"/>
      <c r="AO40" s="172"/>
      <c r="AP40" s="172"/>
      <c r="AQ40" s="172"/>
      <c r="AR40" s="172"/>
      <c r="AS40" s="172"/>
      <c r="AT40" s="172"/>
    </row>
    <row r="41" spans="1:46" ht="40.15" customHeight="1" x14ac:dyDescent="0.25">
      <c r="A41" s="301">
        <v>38</v>
      </c>
      <c r="B41" s="25" t="s">
        <v>28</v>
      </c>
      <c r="C41" s="302" t="s">
        <v>914</v>
      </c>
      <c r="D41" s="195"/>
      <c r="E41" s="195" t="s">
        <v>126</v>
      </c>
      <c r="F41" s="195"/>
      <c r="G41" s="25" t="s">
        <v>31</v>
      </c>
      <c r="H41" s="195"/>
      <c r="I41" s="301" t="s">
        <v>931</v>
      </c>
      <c r="J41" s="301">
        <v>8.7680000000000007</v>
      </c>
      <c r="K41" s="301">
        <v>8.7680000000000007</v>
      </c>
      <c r="L41" s="301">
        <v>1</v>
      </c>
      <c r="M41" s="301" t="s">
        <v>33</v>
      </c>
      <c r="N41" s="301">
        <f t="shared" si="2"/>
        <v>102.5856</v>
      </c>
      <c r="O41" s="301">
        <f t="shared" si="3"/>
        <v>119.68319999999999</v>
      </c>
      <c r="P41" s="301">
        <f t="shared" si="4"/>
        <v>68.3904</v>
      </c>
      <c r="Q41" s="301">
        <f t="shared" si="5"/>
        <v>51.2928</v>
      </c>
      <c r="R41" s="292">
        <v>341.952</v>
      </c>
      <c r="S41" s="271">
        <v>105991.94</v>
      </c>
      <c r="T41" s="271">
        <v>929337.32992000005</v>
      </c>
      <c r="U41" s="172"/>
      <c r="V41" s="172"/>
      <c r="W41" s="268" t="s">
        <v>931</v>
      </c>
      <c r="X41" s="301">
        <v>73474</v>
      </c>
      <c r="Y41" s="272" t="s">
        <v>917</v>
      </c>
      <c r="Z41" s="172" t="s">
        <v>126</v>
      </c>
      <c r="AA41" s="268">
        <v>1</v>
      </c>
      <c r="AB41" s="273">
        <v>3453</v>
      </c>
      <c r="AC41" s="141"/>
      <c r="AD41" s="163"/>
      <c r="AE41" s="163"/>
      <c r="AF41" s="164"/>
      <c r="AG41" s="169">
        <f t="shared" si="14"/>
        <v>2.6304000000000003</v>
      </c>
      <c r="AH41" s="265"/>
      <c r="AI41" s="72"/>
      <c r="AJ41" s="127"/>
      <c r="AK41" s="141"/>
      <c r="AL41" s="72"/>
      <c r="AM41" s="72"/>
      <c r="AN41" s="127"/>
      <c r="AO41" s="172"/>
      <c r="AP41" s="172"/>
      <c r="AQ41" s="172"/>
      <c r="AR41" s="172"/>
      <c r="AS41" s="172"/>
      <c r="AT41" s="172"/>
    </row>
    <row r="42" spans="1:46" ht="40.15" customHeight="1" x14ac:dyDescent="0.25">
      <c r="A42" s="301">
        <v>39</v>
      </c>
      <c r="B42" s="25" t="s">
        <v>28</v>
      </c>
      <c r="C42" s="302" t="s">
        <v>914</v>
      </c>
      <c r="D42" s="195"/>
      <c r="E42" s="195" t="s">
        <v>126</v>
      </c>
      <c r="F42" s="195"/>
      <c r="G42" s="25" t="s">
        <v>31</v>
      </c>
      <c r="H42" s="195"/>
      <c r="I42" s="290" t="s">
        <v>934</v>
      </c>
      <c r="J42" s="301">
        <v>0.76600000000000001</v>
      </c>
      <c r="K42" s="301">
        <v>0.76600000000000001</v>
      </c>
      <c r="L42" s="301">
        <v>1</v>
      </c>
      <c r="M42" s="301" t="s">
        <v>33</v>
      </c>
      <c r="N42" s="301">
        <f t="shared" si="2"/>
        <v>11.9496</v>
      </c>
      <c r="O42" s="301">
        <f t="shared" si="3"/>
        <v>13.9412</v>
      </c>
      <c r="P42" s="301">
        <f t="shared" si="4"/>
        <v>7.9664000000000001</v>
      </c>
      <c r="Q42" s="301">
        <f t="shared" si="5"/>
        <v>5.9748000000000001</v>
      </c>
      <c r="R42" s="292">
        <v>39.832000000000001</v>
      </c>
      <c r="S42" s="271">
        <v>105991.94</v>
      </c>
      <c r="T42" s="271">
        <v>81189.82604</v>
      </c>
      <c r="U42" s="172"/>
      <c r="V42" s="172"/>
      <c r="W42" s="268" t="s">
        <v>934</v>
      </c>
      <c r="X42" s="301">
        <v>73474</v>
      </c>
      <c r="Y42" s="272" t="s">
        <v>917</v>
      </c>
      <c r="Z42" s="172" t="s">
        <v>126</v>
      </c>
      <c r="AA42" s="268">
        <v>2</v>
      </c>
      <c r="AB42" s="273">
        <v>3453</v>
      </c>
      <c r="AC42" s="141"/>
      <c r="AD42" s="163"/>
      <c r="AE42" s="163"/>
      <c r="AF42" s="164"/>
      <c r="AG42" s="169">
        <f t="shared" si="14"/>
        <v>0.2298</v>
      </c>
      <c r="AH42" s="265"/>
      <c r="AI42" s="72"/>
      <c r="AJ42" s="127"/>
      <c r="AK42" s="141"/>
      <c r="AL42" s="72"/>
      <c r="AM42" s="72"/>
      <c r="AN42" s="127"/>
      <c r="AO42" s="172"/>
      <c r="AP42" s="172"/>
      <c r="AQ42" s="172"/>
      <c r="AR42" s="172"/>
      <c r="AS42" s="172"/>
      <c r="AT42" s="172"/>
    </row>
    <row r="43" spans="1:46" ht="40.15" customHeight="1" x14ac:dyDescent="0.25">
      <c r="A43" s="301">
        <v>40</v>
      </c>
      <c r="B43" s="25" t="s">
        <v>28</v>
      </c>
      <c r="C43" s="302" t="s">
        <v>914</v>
      </c>
      <c r="D43" s="195"/>
      <c r="E43" s="195" t="s">
        <v>168</v>
      </c>
      <c r="F43" s="195"/>
      <c r="G43" s="25" t="s">
        <v>31</v>
      </c>
      <c r="H43" s="195"/>
      <c r="I43" s="301" t="s">
        <v>930</v>
      </c>
      <c r="J43" s="301">
        <v>1.266</v>
      </c>
      <c r="K43" s="301">
        <v>1.266</v>
      </c>
      <c r="L43" s="301">
        <v>1</v>
      </c>
      <c r="M43" s="301" t="s">
        <v>33</v>
      </c>
      <c r="N43" s="301">
        <f t="shared" si="2"/>
        <v>17.090999999999998</v>
      </c>
      <c r="O43" s="301">
        <f t="shared" si="3"/>
        <v>19.939499999999999</v>
      </c>
      <c r="P43" s="301">
        <f t="shared" si="4"/>
        <v>11.394</v>
      </c>
      <c r="Q43" s="301">
        <f t="shared" si="5"/>
        <v>8.5454999999999988</v>
      </c>
      <c r="R43" s="292">
        <v>56.97</v>
      </c>
      <c r="S43" s="271">
        <v>105991.94</v>
      </c>
      <c r="T43" s="271">
        <v>134185.79604000002</v>
      </c>
      <c r="U43" s="172"/>
      <c r="V43" s="172"/>
      <c r="W43" s="268" t="s">
        <v>930</v>
      </c>
      <c r="X43" s="301">
        <v>73474</v>
      </c>
      <c r="Y43" s="272" t="s">
        <v>917</v>
      </c>
      <c r="Z43" s="172" t="s">
        <v>168</v>
      </c>
      <c r="AA43" s="268">
        <v>3</v>
      </c>
      <c r="AB43" s="273">
        <v>3482</v>
      </c>
      <c r="AC43" s="141"/>
      <c r="AD43" s="163"/>
      <c r="AE43" s="163"/>
      <c r="AF43" s="164"/>
      <c r="AG43" s="169">
        <f t="shared" si="14"/>
        <v>0.37979999999999997</v>
      </c>
      <c r="AH43" s="265"/>
      <c r="AI43" s="72"/>
      <c r="AJ43" s="127"/>
      <c r="AK43" s="141"/>
      <c r="AL43" s="72"/>
      <c r="AM43" s="72"/>
      <c r="AN43" s="127"/>
      <c r="AO43" s="172"/>
      <c r="AP43" s="172"/>
      <c r="AQ43" s="172"/>
      <c r="AR43" s="172"/>
      <c r="AS43" s="172"/>
      <c r="AT43" s="172"/>
    </row>
    <row r="44" spans="1:46" ht="40.15" customHeight="1" x14ac:dyDescent="0.25">
      <c r="A44" s="301">
        <v>41</v>
      </c>
      <c r="B44" s="25" t="s">
        <v>28</v>
      </c>
      <c r="C44" s="302" t="s">
        <v>914</v>
      </c>
      <c r="D44" s="195"/>
      <c r="E44" s="195" t="s">
        <v>126</v>
      </c>
      <c r="F44" s="195"/>
      <c r="G44" s="25" t="s">
        <v>31</v>
      </c>
      <c r="H44" s="195"/>
      <c r="I44" s="301" t="s">
        <v>931</v>
      </c>
      <c r="J44" s="301">
        <v>8.8179999999999996</v>
      </c>
      <c r="K44" s="301">
        <v>8.8179999999999996</v>
      </c>
      <c r="L44" s="301">
        <v>1</v>
      </c>
      <c r="M44" s="301" t="s">
        <v>33</v>
      </c>
      <c r="N44" s="301">
        <f t="shared" si="2"/>
        <v>103.17059999999999</v>
      </c>
      <c r="O44" s="301">
        <f t="shared" si="3"/>
        <v>120.36569999999999</v>
      </c>
      <c r="P44" s="301">
        <f t="shared" si="4"/>
        <v>68.7804</v>
      </c>
      <c r="Q44" s="301">
        <f t="shared" si="5"/>
        <v>51.585299999999997</v>
      </c>
      <c r="R44" s="292">
        <v>343.90199999999999</v>
      </c>
      <c r="S44" s="271">
        <v>105991.94</v>
      </c>
      <c r="T44" s="271">
        <v>934636.92692</v>
      </c>
      <c r="U44" s="172"/>
      <c r="V44" s="172"/>
      <c r="W44" s="268" t="s">
        <v>931</v>
      </c>
      <c r="X44" s="301">
        <v>73475</v>
      </c>
      <c r="Y44" s="272" t="s">
        <v>917</v>
      </c>
      <c r="Z44" s="172" t="s">
        <v>126</v>
      </c>
      <c r="AA44" s="268">
        <v>1</v>
      </c>
      <c r="AB44" s="273">
        <v>3453</v>
      </c>
      <c r="AC44" s="141"/>
      <c r="AD44" s="163"/>
      <c r="AE44" s="163"/>
      <c r="AF44" s="164"/>
      <c r="AG44" s="169">
        <f t="shared" si="14"/>
        <v>2.6454</v>
      </c>
      <c r="AH44" s="265"/>
      <c r="AI44" s="72"/>
      <c r="AJ44" s="127"/>
      <c r="AK44" s="141"/>
      <c r="AL44" s="72"/>
      <c r="AM44" s="72"/>
      <c r="AN44" s="127"/>
      <c r="AO44" s="172"/>
      <c r="AP44" s="172"/>
      <c r="AQ44" s="172"/>
      <c r="AR44" s="172"/>
      <c r="AS44" s="172"/>
      <c r="AT44" s="172"/>
    </row>
    <row r="45" spans="1:46" ht="40.15" customHeight="1" x14ac:dyDescent="0.25">
      <c r="A45" s="301">
        <v>42</v>
      </c>
      <c r="B45" s="25" t="s">
        <v>28</v>
      </c>
      <c r="C45" s="302" t="s">
        <v>914</v>
      </c>
      <c r="D45" s="195"/>
      <c r="E45" s="195" t="s">
        <v>126</v>
      </c>
      <c r="F45" s="195"/>
      <c r="G45" s="25" t="s">
        <v>31</v>
      </c>
      <c r="H45" s="195"/>
      <c r="I45" s="290" t="s">
        <v>934</v>
      </c>
      <c r="J45" s="301">
        <v>0.76600000000000001</v>
      </c>
      <c r="K45" s="301">
        <v>0.76600000000000001</v>
      </c>
      <c r="L45" s="301">
        <v>1</v>
      </c>
      <c r="M45" s="301" t="s">
        <v>33</v>
      </c>
      <c r="N45" s="301">
        <f t="shared" si="2"/>
        <v>11.9496</v>
      </c>
      <c r="O45" s="301">
        <f t="shared" si="3"/>
        <v>13.9412</v>
      </c>
      <c r="P45" s="301">
        <f t="shared" si="4"/>
        <v>7.9664000000000001</v>
      </c>
      <c r="Q45" s="301">
        <f t="shared" si="5"/>
        <v>5.9748000000000001</v>
      </c>
      <c r="R45" s="292">
        <v>39.832000000000001</v>
      </c>
      <c r="S45" s="271">
        <v>105991.94</v>
      </c>
      <c r="T45" s="271">
        <v>81189.82604</v>
      </c>
      <c r="U45" s="172"/>
      <c r="V45" s="172"/>
      <c r="W45" s="268" t="s">
        <v>934</v>
      </c>
      <c r="X45" s="301">
        <v>73475</v>
      </c>
      <c r="Y45" s="272" t="s">
        <v>917</v>
      </c>
      <c r="Z45" s="172" t="s">
        <v>126</v>
      </c>
      <c r="AA45" s="268">
        <v>2</v>
      </c>
      <c r="AB45" s="273">
        <v>3453</v>
      </c>
      <c r="AC45" s="141"/>
      <c r="AD45" s="163"/>
      <c r="AE45" s="163"/>
      <c r="AF45" s="164"/>
      <c r="AG45" s="169">
        <f t="shared" si="14"/>
        <v>0.2298</v>
      </c>
      <c r="AH45" s="265"/>
      <c r="AI45" s="72"/>
      <c r="AJ45" s="127"/>
      <c r="AK45" s="141"/>
      <c r="AL45" s="72"/>
      <c r="AM45" s="72"/>
      <c r="AN45" s="127"/>
      <c r="AO45" s="172"/>
      <c r="AP45" s="172"/>
      <c r="AQ45" s="172"/>
      <c r="AR45" s="172"/>
      <c r="AS45" s="172"/>
      <c r="AT45" s="172"/>
    </row>
    <row r="46" spans="1:46" ht="40.15" customHeight="1" x14ac:dyDescent="0.25">
      <c r="A46" s="301">
        <v>43</v>
      </c>
      <c r="B46" s="25" t="s">
        <v>28</v>
      </c>
      <c r="C46" s="302" t="s">
        <v>914</v>
      </c>
      <c r="D46" s="195"/>
      <c r="E46" s="195" t="s">
        <v>168</v>
      </c>
      <c r="F46" s="195"/>
      <c r="G46" s="25" t="s">
        <v>31</v>
      </c>
      <c r="H46" s="195"/>
      <c r="I46" s="301" t="s">
        <v>930</v>
      </c>
      <c r="J46" s="301">
        <v>1.266</v>
      </c>
      <c r="K46" s="301">
        <v>1.266</v>
      </c>
      <c r="L46" s="301">
        <v>1</v>
      </c>
      <c r="M46" s="301" t="s">
        <v>33</v>
      </c>
      <c r="N46" s="301">
        <f t="shared" si="2"/>
        <v>17.090999999999998</v>
      </c>
      <c r="O46" s="301">
        <f t="shared" si="3"/>
        <v>19.939499999999999</v>
      </c>
      <c r="P46" s="301">
        <f t="shared" si="4"/>
        <v>11.394</v>
      </c>
      <c r="Q46" s="301">
        <f t="shared" si="5"/>
        <v>8.5454999999999988</v>
      </c>
      <c r="R46" s="292">
        <v>56.97</v>
      </c>
      <c r="S46" s="271">
        <v>105991.94</v>
      </c>
      <c r="T46" s="271">
        <v>134185.79604000002</v>
      </c>
      <c r="U46" s="172"/>
      <c r="V46" s="172"/>
      <c r="W46" s="268" t="s">
        <v>930</v>
      </c>
      <c r="X46" s="301">
        <v>73475</v>
      </c>
      <c r="Y46" s="272" t="s">
        <v>917</v>
      </c>
      <c r="Z46" s="172" t="s">
        <v>168</v>
      </c>
      <c r="AA46" s="268">
        <v>3</v>
      </c>
      <c r="AB46" s="273">
        <v>3482</v>
      </c>
      <c r="AC46" s="141"/>
      <c r="AD46" s="163"/>
      <c r="AE46" s="163"/>
      <c r="AF46" s="164"/>
      <c r="AG46" s="169">
        <f t="shared" si="14"/>
        <v>0.37979999999999997</v>
      </c>
      <c r="AH46" s="265"/>
      <c r="AI46" s="72"/>
      <c r="AJ46" s="127"/>
      <c r="AK46" s="141"/>
      <c r="AL46" s="72"/>
      <c r="AM46" s="72"/>
      <c r="AN46" s="127"/>
      <c r="AO46" s="172"/>
      <c r="AP46" s="172"/>
      <c r="AQ46" s="172"/>
      <c r="AR46" s="172"/>
      <c r="AS46" s="172"/>
      <c r="AT46" s="172"/>
    </row>
    <row r="47" spans="1:46" ht="40.15" customHeight="1" x14ac:dyDescent="0.25">
      <c r="A47" s="301">
        <v>44</v>
      </c>
      <c r="B47" s="25" t="s">
        <v>28</v>
      </c>
      <c r="C47" s="302" t="s">
        <v>914</v>
      </c>
      <c r="D47" s="195"/>
      <c r="E47" s="195" t="s">
        <v>126</v>
      </c>
      <c r="F47" s="195"/>
      <c r="G47" s="25" t="s">
        <v>31</v>
      </c>
      <c r="H47" s="195"/>
      <c r="I47" s="301" t="s">
        <v>935</v>
      </c>
      <c r="J47" s="301">
        <v>5.2</v>
      </c>
      <c r="K47" s="301">
        <v>5.2</v>
      </c>
      <c r="L47" s="301">
        <v>1</v>
      </c>
      <c r="M47" s="301" t="s">
        <v>33</v>
      </c>
      <c r="N47" s="301">
        <f t="shared" si="2"/>
        <v>60.84</v>
      </c>
      <c r="O47" s="301">
        <f t="shared" si="3"/>
        <v>70.98</v>
      </c>
      <c r="P47" s="301">
        <f t="shared" si="4"/>
        <v>40.56</v>
      </c>
      <c r="Q47" s="301">
        <f t="shared" si="5"/>
        <v>30.42</v>
      </c>
      <c r="R47" s="292">
        <v>202.8</v>
      </c>
      <c r="S47" s="271">
        <v>105991.94</v>
      </c>
      <c r="T47" s="271">
        <v>551158.08799999999</v>
      </c>
      <c r="U47" s="172"/>
      <c r="V47" s="172"/>
      <c r="W47" s="268" t="s">
        <v>935</v>
      </c>
      <c r="X47" s="301">
        <v>73479</v>
      </c>
      <c r="Y47" s="272" t="s">
        <v>917</v>
      </c>
      <c r="Z47" s="172" t="s">
        <v>126</v>
      </c>
      <c r="AA47" s="268">
        <v>1</v>
      </c>
      <c r="AB47" s="273">
        <v>3453</v>
      </c>
      <c r="AC47" s="141"/>
      <c r="AD47" s="163"/>
      <c r="AE47" s="163"/>
      <c r="AF47" s="164"/>
      <c r="AG47" s="169">
        <f t="shared" si="14"/>
        <v>1.56</v>
      </c>
      <c r="AH47" s="265"/>
      <c r="AI47" s="265"/>
      <c r="AJ47" s="127"/>
      <c r="AK47" s="141"/>
      <c r="AL47" s="72"/>
      <c r="AM47" s="72"/>
      <c r="AN47" s="127"/>
      <c r="AO47" s="172"/>
      <c r="AP47" s="172"/>
      <c r="AQ47" s="172"/>
      <c r="AR47" s="172"/>
      <c r="AS47" s="172"/>
      <c r="AT47" s="172"/>
    </row>
    <row r="48" spans="1:46" ht="40.15" customHeight="1" x14ac:dyDescent="0.25">
      <c r="A48" s="301">
        <v>45</v>
      </c>
      <c r="B48" s="25" t="s">
        <v>28</v>
      </c>
      <c r="C48" s="302" t="s">
        <v>914</v>
      </c>
      <c r="D48" s="330"/>
      <c r="E48" s="195" t="s">
        <v>126</v>
      </c>
      <c r="F48" s="330"/>
      <c r="G48" s="25" t="s">
        <v>31</v>
      </c>
      <c r="H48" s="330"/>
      <c r="I48" s="301" t="s">
        <v>935</v>
      </c>
      <c r="J48" s="301">
        <v>5.2</v>
      </c>
      <c r="K48" s="301">
        <v>5.2</v>
      </c>
      <c r="L48" s="301">
        <v>1</v>
      </c>
      <c r="M48" s="301" t="s">
        <v>33</v>
      </c>
      <c r="N48" s="301">
        <f t="shared" si="2"/>
        <v>60.84</v>
      </c>
      <c r="O48" s="301">
        <f t="shared" si="3"/>
        <v>70.98</v>
      </c>
      <c r="P48" s="301">
        <f t="shared" si="4"/>
        <v>40.56</v>
      </c>
      <c r="Q48" s="301">
        <f t="shared" si="5"/>
        <v>30.42</v>
      </c>
      <c r="R48" s="292">
        <v>202.8</v>
      </c>
      <c r="S48" s="271">
        <v>105991.94</v>
      </c>
      <c r="T48" s="271">
        <v>551158.08799999999</v>
      </c>
      <c r="U48" s="276"/>
      <c r="V48" s="276"/>
      <c r="W48" s="268" t="s">
        <v>935</v>
      </c>
      <c r="X48" s="301">
        <v>73480</v>
      </c>
      <c r="Y48" s="272" t="s">
        <v>917</v>
      </c>
      <c r="Z48" s="172" t="s">
        <v>126</v>
      </c>
      <c r="AA48" s="268">
        <v>1</v>
      </c>
      <c r="AB48" s="273">
        <v>3453</v>
      </c>
      <c r="AC48" s="141"/>
      <c r="AD48" s="163"/>
      <c r="AE48" s="163"/>
      <c r="AF48" s="164"/>
      <c r="AG48" s="169">
        <f>K48*0.3</f>
        <v>1.56</v>
      </c>
      <c r="AH48" s="265"/>
      <c r="AI48" s="265"/>
      <c r="AJ48" s="127"/>
      <c r="AK48" s="141"/>
      <c r="AL48" s="72"/>
      <c r="AM48" s="72"/>
      <c r="AN48" s="127"/>
      <c r="AO48" s="276"/>
      <c r="AP48" s="276"/>
      <c r="AQ48" s="276"/>
      <c r="AR48" s="276"/>
      <c r="AS48" s="276"/>
      <c r="AT48" s="276"/>
    </row>
    <row r="49" spans="1:47" ht="40.15" customHeight="1" x14ac:dyDescent="0.25">
      <c r="A49" s="301">
        <v>46</v>
      </c>
      <c r="B49" s="25" t="s">
        <v>28</v>
      </c>
      <c r="C49" s="302" t="s">
        <v>914</v>
      </c>
      <c r="D49" s="195"/>
      <c r="E49" s="195" t="s">
        <v>126</v>
      </c>
      <c r="F49" s="195"/>
      <c r="G49" s="25" t="s">
        <v>31</v>
      </c>
      <c r="H49" s="195"/>
      <c r="I49" s="305" t="s">
        <v>936</v>
      </c>
      <c r="J49" s="301">
        <v>5.2</v>
      </c>
      <c r="K49" s="301">
        <v>5.2</v>
      </c>
      <c r="L49" s="301">
        <v>1</v>
      </c>
      <c r="M49" s="301" t="s">
        <v>33</v>
      </c>
      <c r="N49" s="301">
        <f t="shared" si="2"/>
        <v>60.84</v>
      </c>
      <c r="O49" s="301">
        <f t="shared" si="3"/>
        <v>70.98</v>
      </c>
      <c r="P49" s="301">
        <f t="shared" si="4"/>
        <v>40.56</v>
      </c>
      <c r="Q49" s="301">
        <f t="shared" si="5"/>
        <v>30.42</v>
      </c>
      <c r="R49" s="292">
        <v>202.8</v>
      </c>
      <c r="S49" s="271">
        <v>105991.94</v>
      </c>
      <c r="T49" s="271">
        <v>551158.08799999999</v>
      </c>
      <c r="U49" s="172"/>
      <c r="V49" s="172"/>
      <c r="W49" s="270" t="s">
        <v>936</v>
      </c>
      <c r="X49" s="301">
        <v>73481</v>
      </c>
      <c r="Y49" s="272" t="s">
        <v>917</v>
      </c>
      <c r="Z49" s="172" t="s">
        <v>126</v>
      </c>
      <c r="AA49" s="268">
        <v>1</v>
      </c>
      <c r="AB49" s="273">
        <v>3453</v>
      </c>
      <c r="AC49" s="141"/>
      <c r="AD49" s="163"/>
      <c r="AE49" s="163"/>
      <c r="AF49" s="164"/>
      <c r="AG49" s="169">
        <f t="shared" ref="AG49:AG50" si="15">K49*0.3</f>
        <v>1.56</v>
      </c>
      <c r="AH49" s="265"/>
      <c r="AI49" s="265"/>
      <c r="AJ49" s="127"/>
      <c r="AK49" s="141"/>
      <c r="AL49" s="72"/>
      <c r="AM49" s="72"/>
      <c r="AN49" s="127"/>
      <c r="AO49" s="172"/>
      <c r="AP49" s="172"/>
      <c r="AQ49" s="172"/>
      <c r="AR49" s="172"/>
      <c r="AS49" s="172"/>
      <c r="AT49" s="172"/>
    </row>
    <row r="50" spans="1:47" ht="40.15" customHeight="1" x14ac:dyDescent="0.25">
      <c r="A50" s="301">
        <v>47</v>
      </c>
      <c r="B50" s="25" t="s">
        <v>28</v>
      </c>
      <c r="C50" s="302" t="s">
        <v>914</v>
      </c>
      <c r="D50" s="195"/>
      <c r="E50" s="195" t="s">
        <v>126</v>
      </c>
      <c r="F50" s="195"/>
      <c r="G50" s="25" t="s">
        <v>31</v>
      </c>
      <c r="H50" s="195"/>
      <c r="I50" s="301" t="s">
        <v>935</v>
      </c>
      <c r="J50" s="301">
        <v>5.2</v>
      </c>
      <c r="K50" s="301">
        <v>5.2</v>
      </c>
      <c r="L50" s="301">
        <v>1</v>
      </c>
      <c r="M50" s="301" t="s">
        <v>33</v>
      </c>
      <c r="N50" s="301">
        <f t="shared" si="2"/>
        <v>60.84</v>
      </c>
      <c r="O50" s="301">
        <f t="shared" si="3"/>
        <v>70.98</v>
      </c>
      <c r="P50" s="301">
        <f t="shared" si="4"/>
        <v>40.56</v>
      </c>
      <c r="Q50" s="301">
        <f t="shared" si="5"/>
        <v>30.42</v>
      </c>
      <c r="R50" s="292">
        <v>202.8</v>
      </c>
      <c r="S50" s="271">
        <v>105991.94</v>
      </c>
      <c r="T50" s="271">
        <v>551158.08799999999</v>
      </c>
      <c r="U50" s="172"/>
      <c r="V50" s="172"/>
      <c r="W50" s="268" t="s">
        <v>935</v>
      </c>
      <c r="X50" s="301">
        <v>73482</v>
      </c>
      <c r="Y50" s="272" t="s">
        <v>917</v>
      </c>
      <c r="Z50" s="172" t="s">
        <v>126</v>
      </c>
      <c r="AA50" s="268">
        <v>1</v>
      </c>
      <c r="AB50" s="273">
        <v>3453</v>
      </c>
      <c r="AC50" s="141"/>
      <c r="AD50" s="163"/>
      <c r="AE50" s="163"/>
      <c r="AF50" s="164"/>
      <c r="AG50" s="169">
        <f t="shared" si="15"/>
        <v>1.56</v>
      </c>
      <c r="AH50" s="265"/>
      <c r="AI50" s="265"/>
      <c r="AJ50" s="127"/>
      <c r="AK50" s="141"/>
      <c r="AL50" s="72"/>
      <c r="AM50" s="72"/>
      <c r="AN50" s="127"/>
      <c r="AO50" s="172"/>
      <c r="AP50" s="172"/>
      <c r="AQ50" s="172"/>
      <c r="AR50" s="172"/>
      <c r="AS50" s="172"/>
      <c r="AT50" s="172"/>
    </row>
    <row r="51" spans="1:47" ht="40.15" hidden="1" customHeight="1" x14ac:dyDescent="0.25">
      <c r="A51" s="268">
        <v>48</v>
      </c>
      <c r="B51" s="9" t="s">
        <v>28</v>
      </c>
      <c r="C51" s="269" t="s">
        <v>914</v>
      </c>
      <c r="D51" s="172"/>
      <c r="E51" s="221" t="s">
        <v>937</v>
      </c>
      <c r="F51" s="172"/>
      <c r="G51" s="9" t="s">
        <v>31</v>
      </c>
      <c r="H51" s="172"/>
      <c r="I51" s="270" t="s">
        <v>938</v>
      </c>
      <c r="J51" s="268">
        <v>4.5000000000000003E-5</v>
      </c>
      <c r="K51" s="268">
        <v>5.0400000000000002E-3</v>
      </c>
      <c r="L51" s="268">
        <v>112</v>
      </c>
      <c r="M51" s="268" t="s">
        <v>33</v>
      </c>
      <c r="N51" s="268">
        <f t="shared" si="2"/>
        <v>0.12398400000000001</v>
      </c>
      <c r="O51" s="268">
        <f t="shared" si="3"/>
        <v>0.144648</v>
      </c>
      <c r="P51" s="268">
        <f t="shared" si="4"/>
        <v>8.2656000000000007E-2</v>
      </c>
      <c r="Q51" s="268">
        <f t="shared" si="5"/>
        <v>6.1992000000000005E-2</v>
      </c>
      <c r="R51" s="292">
        <v>0.41328000000000004</v>
      </c>
      <c r="S51" s="271">
        <v>105991.94</v>
      </c>
      <c r="T51" s="271">
        <v>534.19937760000005</v>
      </c>
      <c r="U51" s="172"/>
      <c r="V51" s="172"/>
      <c r="W51" s="270" t="s">
        <v>938</v>
      </c>
      <c r="X51" s="268">
        <v>177312</v>
      </c>
      <c r="Y51" s="272" t="s">
        <v>917</v>
      </c>
      <c r="Z51" s="221" t="s">
        <v>937</v>
      </c>
      <c r="AA51" s="268">
        <v>1</v>
      </c>
      <c r="AB51" s="273">
        <v>2991</v>
      </c>
      <c r="AC51" s="141"/>
      <c r="AD51" s="163"/>
      <c r="AE51" s="163"/>
      <c r="AF51" s="164"/>
      <c r="AG51" s="126"/>
      <c r="AH51" s="72"/>
      <c r="AI51" s="72"/>
      <c r="AJ51" s="127"/>
      <c r="AK51" s="126"/>
      <c r="AL51" s="72"/>
      <c r="AM51" s="72"/>
      <c r="AN51" s="127"/>
      <c r="AO51" s="172"/>
      <c r="AP51" s="172"/>
      <c r="AQ51" s="172"/>
      <c r="AR51" s="172"/>
      <c r="AS51" s="172"/>
      <c r="AT51" s="172"/>
    </row>
    <row r="52" spans="1:47" ht="40.15" hidden="1" customHeight="1" x14ac:dyDescent="0.25">
      <c r="A52" s="268">
        <v>49</v>
      </c>
      <c r="B52" s="9" t="s">
        <v>28</v>
      </c>
      <c r="C52" s="269" t="s">
        <v>914</v>
      </c>
      <c r="D52" s="172"/>
      <c r="E52" s="221" t="s">
        <v>937</v>
      </c>
      <c r="F52" s="172"/>
      <c r="G52" s="9" t="s">
        <v>31</v>
      </c>
      <c r="H52" s="172"/>
      <c r="I52" s="268" t="s">
        <v>939</v>
      </c>
      <c r="J52" s="268">
        <v>4.5000000000000003E-5</v>
      </c>
      <c r="K52" s="268">
        <v>5.0400000000000002E-3</v>
      </c>
      <c r="L52" s="268">
        <v>112</v>
      </c>
      <c r="M52" s="268" t="s">
        <v>33</v>
      </c>
      <c r="N52" s="268">
        <f t="shared" si="2"/>
        <v>0.12398400000000001</v>
      </c>
      <c r="O52" s="268">
        <f t="shared" si="3"/>
        <v>0.144648</v>
      </c>
      <c r="P52" s="268">
        <f t="shared" si="4"/>
        <v>8.2656000000000007E-2</v>
      </c>
      <c r="Q52" s="268">
        <f t="shared" si="5"/>
        <v>6.1992000000000005E-2</v>
      </c>
      <c r="R52" s="292">
        <v>0.41328000000000004</v>
      </c>
      <c r="S52" s="271">
        <v>105991.94</v>
      </c>
      <c r="T52" s="271">
        <v>534.19937760000005</v>
      </c>
      <c r="U52" s="172"/>
      <c r="V52" s="172"/>
      <c r="W52" s="268" t="s">
        <v>939</v>
      </c>
      <c r="X52" s="268">
        <v>177312</v>
      </c>
      <c r="Y52" s="272" t="s">
        <v>917</v>
      </c>
      <c r="Z52" s="221" t="s">
        <v>937</v>
      </c>
      <c r="AA52" s="268">
        <v>2</v>
      </c>
      <c r="AB52" s="273">
        <v>2998</v>
      </c>
      <c r="AC52" s="141"/>
      <c r="AD52" s="163"/>
      <c r="AE52" s="163"/>
      <c r="AF52" s="164"/>
      <c r="AG52" s="126"/>
      <c r="AH52" s="72"/>
      <c r="AI52" s="72"/>
      <c r="AJ52" s="127"/>
      <c r="AK52" s="126"/>
      <c r="AL52" s="72"/>
      <c r="AM52" s="72"/>
      <c r="AN52" s="127"/>
      <c r="AO52" s="172"/>
      <c r="AP52" s="172"/>
      <c r="AQ52" s="172"/>
      <c r="AR52" s="172"/>
      <c r="AS52" s="172"/>
      <c r="AT52" s="172"/>
    </row>
    <row r="53" spans="1:47" ht="40.15" hidden="1" customHeight="1" x14ac:dyDescent="0.25">
      <c r="A53" s="268">
        <v>50</v>
      </c>
      <c r="B53" s="9" t="s">
        <v>28</v>
      </c>
      <c r="C53" s="269" t="s">
        <v>914</v>
      </c>
      <c r="D53" s="172"/>
      <c r="E53" s="221" t="s">
        <v>940</v>
      </c>
      <c r="F53" s="172"/>
      <c r="G53" s="9" t="s">
        <v>31</v>
      </c>
      <c r="H53" s="172"/>
      <c r="I53" s="268" t="s">
        <v>941</v>
      </c>
      <c r="J53" s="268">
        <v>4.0000000000000003E-5</v>
      </c>
      <c r="K53" s="268">
        <v>1.7920000000000002E-2</v>
      </c>
      <c r="L53" s="268">
        <v>448</v>
      </c>
      <c r="M53" s="268" t="s">
        <v>33</v>
      </c>
      <c r="N53" s="268">
        <f t="shared" si="2"/>
        <v>0.440832</v>
      </c>
      <c r="O53" s="268">
        <f t="shared" si="3"/>
        <v>0.51430399999999998</v>
      </c>
      <c r="P53" s="268">
        <f t="shared" si="4"/>
        <v>0.29388800000000004</v>
      </c>
      <c r="Q53" s="268">
        <f t="shared" si="5"/>
        <v>0.220416</v>
      </c>
      <c r="R53" s="292">
        <v>1.4694400000000001</v>
      </c>
      <c r="S53" s="271">
        <v>105991.94</v>
      </c>
      <c r="T53" s="271">
        <v>1899.3755648000003</v>
      </c>
      <c r="U53" s="172"/>
      <c r="V53" s="172"/>
      <c r="W53" s="268" t="s">
        <v>941</v>
      </c>
      <c r="X53" s="268">
        <v>177334</v>
      </c>
      <c r="Y53" s="272" t="s">
        <v>917</v>
      </c>
      <c r="Z53" s="221" t="s">
        <v>940</v>
      </c>
      <c r="AA53" s="268">
        <v>1</v>
      </c>
      <c r="AB53" s="273">
        <v>2991</v>
      </c>
      <c r="AC53" s="141"/>
      <c r="AD53" s="163"/>
      <c r="AE53" s="163"/>
      <c r="AF53" s="164"/>
      <c r="AG53" s="126"/>
      <c r="AH53" s="72"/>
      <c r="AI53" s="72"/>
      <c r="AJ53" s="127"/>
      <c r="AK53" s="126"/>
      <c r="AL53" s="72"/>
      <c r="AM53" s="72"/>
      <c r="AN53" s="127"/>
      <c r="AO53" s="172"/>
      <c r="AP53" s="172"/>
      <c r="AQ53" s="172"/>
      <c r="AR53" s="172"/>
      <c r="AS53" s="172"/>
      <c r="AT53" s="172"/>
    </row>
    <row r="54" spans="1:47" ht="40.15" hidden="1" customHeight="1" x14ac:dyDescent="0.25">
      <c r="A54" s="268">
        <v>51</v>
      </c>
      <c r="B54" s="9" t="s">
        <v>28</v>
      </c>
      <c r="C54" s="269" t="s">
        <v>914</v>
      </c>
      <c r="D54" s="172"/>
      <c r="E54" s="221" t="s">
        <v>942</v>
      </c>
      <c r="F54" s="172"/>
      <c r="G54" s="9" t="s">
        <v>31</v>
      </c>
      <c r="H54" s="172"/>
      <c r="I54" s="268" t="s">
        <v>943</v>
      </c>
      <c r="J54" s="268">
        <v>1.9000000000000001E-5</v>
      </c>
      <c r="K54" s="268">
        <v>2.1280000000000001E-3</v>
      </c>
      <c r="L54" s="268">
        <v>112</v>
      </c>
      <c r="M54" s="268" t="s">
        <v>33</v>
      </c>
      <c r="N54" s="268">
        <f t="shared" si="2"/>
        <v>5.2348800000000001E-2</v>
      </c>
      <c r="O54" s="268">
        <f t="shared" si="3"/>
        <v>6.1073599999999999E-2</v>
      </c>
      <c r="P54" s="268">
        <f t="shared" si="4"/>
        <v>3.4899200000000005E-2</v>
      </c>
      <c r="Q54" s="268">
        <f t="shared" si="5"/>
        <v>2.61744E-2</v>
      </c>
      <c r="R54" s="292">
        <v>0.17449600000000001</v>
      </c>
      <c r="S54" s="271">
        <v>105991.94</v>
      </c>
      <c r="T54" s="271">
        <v>225.55084832000003</v>
      </c>
      <c r="U54" s="172"/>
      <c r="V54" s="172"/>
      <c r="W54" s="268" t="s">
        <v>943</v>
      </c>
      <c r="X54" s="268">
        <v>177334</v>
      </c>
      <c r="Y54" s="272" t="s">
        <v>917</v>
      </c>
      <c r="Z54" s="221" t="s">
        <v>942</v>
      </c>
      <c r="AA54" s="268">
        <v>2</v>
      </c>
      <c r="AB54" s="273">
        <v>2991</v>
      </c>
      <c r="AC54" s="141"/>
      <c r="AD54" s="163"/>
      <c r="AE54" s="163"/>
      <c r="AF54" s="164"/>
      <c r="AG54" s="126"/>
      <c r="AH54" s="72"/>
      <c r="AI54" s="72"/>
      <c r="AJ54" s="127"/>
      <c r="AK54" s="126"/>
      <c r="AL54" s="72"/>
      <c r="AM54" s="72"/>
      <c r="AN54" s="127"/>
      <c r="AO54" s="172"/>
      <c r="AP54" s="172"/>
      <c r="AQ54" s="172"/>
      <c r="AR54" s="172"/>
      <c r="AS54" s="172"/>
      <c r="AT54" s="172"/>
    </row>
    <row r="55" spans="1:47" ht="40.15" hidden="1" customHeight="1" x14ac:dyDescent="0.25">
      <c r="A55" s="268">
        <v>52</v>
      </c>
      <c r="B55" s="9" t="s">
        <v>28</v>
      </c>
      <c r="C55" s="269" t="s">
        <v>914</v>
      </c>
      <c r="D55" s="172"/>
      <c r="E55" s="221" t="s">
        <v>944</v>
      </c>
      <c r="F55" s="172"/>
      <c r="G55" s="9" t="s">
        <v>31</v>
      </c>
      <c r="H55" s="172"/>
      <c r="I55" s="268" t="s">
        <v>941</v>
      </c>
      <c r="J55" s="268">
        <v>2.0000000000000001E-4</v>
      </c>
      <c r="K55" s="268">
        <v>8.9599999999999999E-2</v>
      </c>
      <c r="L55" s="268">
        <v>448</v>
      </c>
      <c r="M55" s="268" t="s">
        <v>33</v>
      </c>
      <c r="N55" s="268">
        <f t="shared" si="2"/>
        <v>2.2041599999999999</v>
      </c>
      <c r="O55" s="268">
        <f t="shared" si="3"/>
        <v>2.57152</v>
      </c>
      <c r="P55" s="268">
        <f t="shared" si="4"/>
        <v>1.4694400000000001</v>
      </c>
      <c r="Q55" s="268">
        <f t="shared" si="5"/>
        <v>1.1020799999999999</v>
      </c>
      <c r="R55" s="292">
        <v>7.3472</v>
      </c>
      <c r="S55" s="271">
        <v>105991.94</v>
      </c>
      <c r="T55" s="271">
        <v>9496.8778239999992</v>
      </c>
      <c r="U55" s="172"/>
      <c r="V55" s="172"/>
      <c r="W55" s="268" t="s">
        <v>941</v>
      </c>
      <c r="X55" s="268">
        <v>177965</v>
      </c>
      <c r="Y55" s="272" t="s">
        <v>917</v>
      </c>
      <c r="Z55" s="221" t="s">
        <v>944</v>
      </c>
      <c r="AA55" s="268">
        <v>1</v>
      </c>
      <c r="AB55" s="273">
        <v>2998</v>
      </c>
      <c r="AC55" s="141"/>
      <c r="AD55" s="163"/>
      <c r="AE55" s="163"/>
      <c r="AF55" s="164"/>
      <c r="AG55" s="126"/>
      <c r="AH55" s="72"/>
      <c r="AI55" s="72"/>
      <c r="AJ55" s="127"/>
      <c r="AK55" s="126"/>
      <c r="AL55" s="72"/>
      <c r="AM55" s="72"/>
      <c r="AN55" s="127"/>
      <c r="AO55" s="172"/>
      <c r="AP55" s="172"/>
      <c r="AQ55" s="172"/>
      <c r="AR55" s="172"/>
      <c r="AS55" s="172"/>
      <c r="AT55" s="172"/>
    </row>
    <row r="56" spans="1:47" ht="40.15" hidden="1" customHeight="1" x14ac:dyDescent="0.25">
      <c r="A56" s="268">
        <v>53</v>
      </c>
      <c r="B56" s="9" t="s">
        <v>28</v>
      </c>
      <c r="C56" s="269" t="s">
        <v>914</v>
      </c>
      <c r="D56" s="172"/>
      <c r="E56" s="221" t="s">
        <v>945</v>
      </c>
      <c r="F56" s="172"/>
      <c r="G56" s="9" t="s">
        <v>31</v>
      </c>
      <c r="H56" s="172"/>
      <c r="I56" s="268" t="s">
        <v>943</v>
      </c>
      <c r="J56" s="268">
        <v>1E-4</v>
      </c>
      <c r="K56" s="268">
        <v>1.12E-2</v>
      </c>
      <c r="L56" s="268">
        <v>112</v>
      </c>
      <c r="M56" s="268" t="s">
        <v>33</v>
      </c>
      <c r="N56" s="268">
        <f t="shared" si="2"/>
        <v>0.27551999999999999</v>
      </c>
      <c r="O56" s="268">
        <f t="shared" si="3"/>
        <v>0.32144</v>
      </c>
      <c r="P56" s="268">
        <f t="shared" si="4"/>
        <v>0.18368000000000001</v>
      </c>
      <c r="Q56" s="268">
        <f t="shared" si="5"/>
        <v>0.13775999999999999</v>
      </c>
      <c r="R56" s="292">
        <v>0.91839999999999999</v>
      </c>
      <c r="S56" s="271">
        <v>105991.94</v>
      </c>
      <c r="T56" s="271">
        <v>1187.1097279999999</v>
      </c>
      <c r="U56" s="172"/>
      <c r="V56" s="172"/>
      <c r="W56" s="268" t="s">
        <v>943</v>
      </c>
      <c r="X56" s="268">
        <v>177965</v>
      </c>
      <c r="Y56" s="272" t="s">
        <v>917</v>
      </c>
      <c r="Z56" s="221" t="s">
        <v>945</v>
      </c>
      <c r="AA56" s="268">
        <v>2</v>
      </c>
      <c r="AB56" s="273">
        <v>2998</v>
      </c>
      <c r="AC56" s="141"/>
      <c r="AD56" s="163"/>
      <c r="AE56" s="163"/>
      <c r="AF56" s="164"/>
      <c r="AG56" s="126"/>
      <c r="AH56" s="72"/>
      <c r="AI56" s="72"/>
      <c r="AJ56" s="127"/>
      <c r="AK56" s="126"/>
      <c r="AL56" s="72"/>
      <c r="AM56" s="72"/>
      <c r="AN56" s="127"/>
      <c r="AO56" s="172"/>
      <c r="AP56" s="172"/>
      <c r="AQ56" s="172"/>
      <c r="AR56" s="172"/>
      <c r="AS56" s="172"/>
      <c r="AT56" s="172"/>
    </row>
    <row r="57" spans="1:47" x14ac:dyDescent="0.25">
      <c r="AC57" s="180"/>
      <c r="AD57" s="180"/>
      <c r="AE57" s="180"/>
      <c r="AF57" s="180"/>
      <c r="AG57" s="180"/>
      <c r="AH57" s="180"/>
      <c r="AI57" s="180"/>
      <c r="AJ57"/>
      <c r="AK57" s="180"/>
      <c r="AL57" s="180"/>
      <c r="AM57" s="180"/>
      <c r="AN57"/>
      <c r="AO57"/>
      <c r="AP57"/>
      <c r="AQ57"/>
      <c r="AR57"/>
      <c r="AS57"/>
      <c r="AT57"/>
      <c r="AU57"/>
    </row>
    <row r="58" spans="1:47" x14ac:dyDescent="0.25">
      <c r="AC58" s="180"/>
      <c r="AD58" s="180"/>
      <c r="AE58" s="180"/>
      <c r="AF58" s="180"/>
      <c r="AG58" s="180"/>
      <c r="AH58" s="180"/>
      <c r="AI58" s="180"/>
      <c r="AJ58"/>
      <c r="AK58" s="180"/>
      <c r="AL58" s="180"/>
      <c r="AM58" s="180"/>
      <c r="AN58"/>
      <c r="AO58"/>
      <c r="AP58"/>
      <c r="AQ58"/>
      <c r="AR58"/>
      <c r="AS58"/>
      <c r="AT58"/>
      <c r="AU58"/>
    </row>
    <row r="59" spans="1:47" x14ac:dyDescent="0.25">
      <c r="AC59" s="180"/>
      <c r="AD59" s="180"/>
      <c r="AE59" s="180"/>
      <c r="AF59" s="180"/>
      <c r="AG59" s="180"/>
      <c r="AH59" s="180"/>
      <c r="AI59" s="180"/>
      <c r="AJ59"/>
      <c r="AK59" s="180"/>
      <c r="AL59" s="180"/>
      <c r="AM59" s="180"/>
      <c r="AN59"/>
      <c r="AO59"/>
      <c r="AP59"/>
      <c r="AQ59"/>
      <c r="AR59"/>
      <c r="AS59"/>
      <c r="AT59"/>
      <c r="AU59"/>
    </row>
    <row r="60" spans="1:47" x14ac:dyDescent="0.25">
      <c r="AC60" s="180"/>
      <c r="AD60" s="180"/>
      <c r="AE60" s="180"/>
      <c r="AF60" s="180"/>
      <c r="AG60" s="180"/>
      <c r="AH60" s="180"/>
      <c r="AI60" s="180"/>
      <c r="AJ60"/>
      <c r="AK60" s="180"/>
      <c r="AL60" s="180"/>
      <c r="AM60" s="180"/>
      <c r="AN60"/>
      <c r="AO60"/>
      <c r="AP60"/>
      <c r="AQ60"/>
      <c r="AR60"/>
      <c r="AS60"/>
      <c r="AT60"/>
      <c r="AU60"/>
    </row>
    <row r="61" spans="1:47" x14ac:dyDescent="0.25">
      <c r="AC61" s="180"/>
      <c r="AD61" s="180"/>
      <c r="AE61" s="180"/>
      <c r="AF61" s="180"/>
      <c r="AG61" s="180"/>
      <c r="AH61" s="180"/>
      <c r="AI61" s="180"/>
      <c r="AJ61"/>
      <c r="AK61" s="180"/>
      <c r="AL61" s="180"/>
      <c r="AM61" s="180"/>
      <c r="AN61"/>
      <c r="AO61"/>
      <c r="AP61"/>
      <c r="AQ61"/>
      <c r="AR61"/>
      <c r="AS61"/>
      <c r="AT61"/>
      <c r="AU61"/>
    </row>
    <row r="62" spans="1:47" x14ac:dyDescent="0.25">
      <c r="L62" s="180">
        <v>73451</v>
      </c>
      <c r="AC62" s="180"/>
      <c r="AD62" s="180"/>
      <c r="AE62" s="180"/>
      <c r="AF62" s="180"/>
      <c r="AG62" s="180"/>
      <c r="AH62" s="180"/>
      <c r="AI62" s="180"/>
      <c r="AJ62"/>
      <c r="AK62" s="180"/>
      <c r="AL62" s="180"/>
      <c r="AM62" s="180"/>
      <c r="AN62"/>
      <c r="AO62"/>
      <c r="AP62"/>
      <c r="AQ62"/>
      <c r="AR62"/>
      <c r="AS62"/>
      <c r="AT62"/>
      <c r="AU62"/>
    </row>
    <row r="63" spans="1:47" x14ac:dyDescent="0.25">
      <c r="L63" s="180">
        <v>73451</v>
      </c>
      <c r="AC63" s="180"/>
      <c r="AD63" s="180"/>
      <c r="AE63" s="180"/>
      <c r="AF63" s="180"/>
      <c r="AG63" s="180"/>
      <c r="AH63" s="180"/>
      <c r="AI63" s="180"/>
      <c r="AJ63"/>
      <c r="AK63" s="180"/>
      <c r="AL63" s="180"/>
      <c r="AM63" s="180"/>
      <c r="AN63"/>
      <c r="AO63"/>
      <c r="AP63"/>
      <c r="AQ63"/>
      <c r="AR63"/>
      <c r="AS63"/>
      <c r="AT63"/>
      <c r="AU63"/>
    </row>
    <row r="64" spans="1:47" x14ac:dyDescent="0.25">
      <c r="L64" s="180">
        <v>73452</v>
      </c>
      <c r="AC64" s="180"/>
      <c r="AD64" s="180"/>
      <c r="AE64" s="180"/>
      <c r="AF64" s="180"/>
      <c r="AG64" s="180"/>
      <c r="AH64" s="180"/>
      <c r="AI64" s="180"/>
      <c r="AJ64"/>
      <c r="AK64" s="180"/>
      <c r="AL64" s="180"/>
      <c r="AM64" s="180"/>
      <c r="AN64"/>
      <c r="AO64"/>
      <c r="AP64"/>
      <c r="AQ64"/>
      <c r="AR64"/>
      <c r="AS64"/>
      <c r="AT64"/>
      <c r="AU64"/>
    </row>
    <row r="65" spans="12:47" x14ac:dyDescent="0.25">
      <c r="L65" s="180">
        <v>73452</v>
      </c>
      <c r="AC65" s="180"/>
      <c r="AD65" s="180"/>
      <c r="AE65" s="180"/>
      <c r="AF65" s="180"/>
      <c r="AG65" s="180"/>
      <c r="AH65" s="180"/>
      <c r="AI65" s="180"/>
      <c r="AJ65"/>
      <c r="AK65" s="180"/>
      <c r="AL65" s="180"/>
      <c r="AM65" s="180"/>
      <c r="AN65"/>
      <c r="AO65"/>
      <c r="AP65"/>
      <c r="AQ65"/>
      <c r="AR65"/>
      <c r="AS65"/>
      <c r="AT65"/>
      <c r="AU65"/>
    </row>
    <row r="66" spans="12:47" x14ac:dyDescent="0.25">
      <c r="L66" s="180">
        <v>73453</v>
      </c>
      <c r="AC66" s="180"/>
      <c r="AD66" s="180"/>
      <c r="AE66" s="180"/>
      <c r="AF66" s="180"/>
      <c r="AG66" s="180"/>
      <c r="AH66" s="180"/>
      <c r="AI66" s="180"/>
      <c r="AJ66"/>
      <c r="AK66" s="180"/>
      <c r="AL66" s="180"/>
      <c r="AM66" s="180"/>
      <c r="AN66"/>
      <c r="AO66"/>
      <c r="AP66"/>
      <c r="AQ66"/>
      <c r="AR66"/>
      <c r="AS66"/>
      <c r="AT66"/>
      <c r="AU66"/>
    </row>
    <row r="67" spans="12:47" x14ac:dyDescent="0.25">
      <c r="L67" s="180">
        <v>73453</v>
      </c>
      <c r="AC67" s="180"/>
      <c r="AD67" s="180"/>
      <c r="AE67" s="180"/>
      <c r="AF67" s="180"/>
      <c r="AG67" s="180"/>
      <c r="AH67" s="180"/>
      <c r="AI67" s="180"/>
      <c r="AJ67"/>
      <c r="AK67" s="180"/>
      <c r="AL67" s="180"/>
      <c r="AM67" s="180"/>
      <c r="AN67"/>
      <c r="AO67"/>
      <c r="AP67"/>
      <c r="AQ67"/>
      <c r="AR67"/>
      <c r="AS67"/>
      <c r="AT67"/>
      <c r="AU67"/>
    </row>
    <row r="68" spans="12:47" x14ac:dyDescent="0.25">
      <c r="L68" s="180">
        <v>73454</v>
      </c>
      <c r="AC68" s="180"/>
      <c r="AD68" s="180"/>
      <c r="AE68" s="180"/>
      <c r="AF68" s="180"/>
      <c r="AG68" s="180"/>
      <c r="AH68" s="180"/>
      <c r="AI68" s="180"/>
      <c r="AJ68"/>
      <c r="AK68" s="180"/>
      <c r="AL68" s="180"/>
      <c r="AM68" s="180"/>
      <c r="AN68"/>
      <c r="AO68"/>
      <c r="AP68"/>
      <c r="AQ68"/>
      <c r="AR68"/>
      <c r="AS68"/>
      <c r="AT68"/>
      <c r="AU68"/>
    </row>
    <row r="69" spans="12:47" x14ac:dyDescent="0.25">
      <c r="L69" s="180">
        <v>73454</v>
      </c>
      <c r="AC69" s="180"/>
      <c r="AD69" s="180"/>
      <c r="AE69" s="180"/>
      <c r="AF69" s="180"/>
      <c r="AG69" s="180"/>
      <c r="AH69" s="180"/>
      <c r="AI69" s="180"/>
      <c r="AJ69"/>
      <c r="AK69" s="180"/>
      <c r="AL69" s="180"/>
      <c r="AM69" s="180"/>
      <c r="AN69"/>
      <c r="AO69"/>
      <c r="AP69"/>
      <c r="AQ69"/>
      <c r="AR69"/>
      <c r="AS69"/>
      <c r="AT69"/>
      <c r="AU69"/>
    </row>
    <row r="70" spans="12:47" x14ac:dyDescent="0.25">
      <c r="L70" s="180">
        <v>73458</v>
      </c>
      <c r="AC70" s="180"/>
      <c r="AD70" s="180"/>
      <c r="AE70" s="180"/>
      <c r="AF70" s="180"/>
      <c r="AG70" s="180"/>
      <c r="AH70" s="180"/>
      <c r="AI70" s="180"/>
      <c r="AJ70"/>
      <c r="AK70" s="180"/>
      <c r="AL70" s="180"/>
      <c r="AM70" s="180"/>
      <c r="AN70"/>
      <c r="AO70"/>
      <c r="AP70"/>
      <c r="AQ70"/>
      <c r="AR70"/>
      <c r="AS70"/>
      <c r="AT70"/>
      <c r="AU70"/>
    </row>
    <row r="71" spans="12:47" x14ac:dyDescent="0.25">
      <c r="L71" s="180">
        <v>73458</v>
      </c>
      <c r="AC71" s="180"/>
      <c r="AD71" s="180"/>
      <c r="AE71" s="180"/>
      <c r="AF71" s="180"/>
      <c r="AG71" s="180"/>
      <c r="AH71" s="180"/>
      <c r="AI71" s="180"/>
      <c r="AJ71"/>
      <c r="AK71" s="180"/>
      <c r="AL71" s="180"/>
      <c r="AM71" s="180"/>
      <c r="AN71"/>
      <c r="AO71"/>
      <c r="AP71"/>
      <c r="AQ71"/>
      <c r="AR71"/>
      <c r="AS71"/>
      <c r="AT71"/>
      <c r="AU71"/>
    </row>
    <row r="72" spans="12:47" x14ac:dyDescent="0.25">
      <c r="L72" s="180">
        <v>73459</v>
      </c>
      <c r="AC72" s="180"/>
      <c r="AD72" s="180"/>
      <c r="AE72" s="180"/>
      <c r="AF72" s="180"/>
      <c r="AG72" s="180"/>
      <c r="AH72" s="180"/>
      <c r="AI72" s="180"/>
      <c r="AJ72"/>
      <c r="AK72" s="180"/>
      <c r="AL72" s="180"/>
      <c r="AM72" s="180"/>
      <c r="AN72"/>
      <c r="AO72"/>
      <c r="AP72"/>
      <c r="AQ72"/>
      <c r="AR72"/>
      <c r="AS72"/>
      <c r="AT72"/>
      <c r="AU72"/>
    </row>
    <row r="73" spans="12:47" x14ac:dyDescent="0.25">
      <c r="L73" s="180">
        <v>73459</v>
      </c>
      <c r="AC73" s="180"/>
      <c r="AD73" s="180"/>
      <c r="AE73" s="180"/>
      <c r="AF73" s="180"/>
      <c r="AG73" s="180"/>
      <c r="AH73" s="180"/>
      <c r="AI73" s="180"/>
      <c r="AJ73"/>
      <c r="AK73" s="180"/>
      <c r="AL73" s="180"/>
      <c r="AM73" s="180"/>
      <c r="AN73"/>
      <c r="AO73"/>
      <c r="AP73"/>
      <c r="AQ73"/>
      <c r="AR73"/>
      <c r="AS73"/>
      <c r="AT73"/>
      <c r="AU73"/>
    </row>
    <row r="74" spans="12:47" x14ac:dyDescent="0.25">
      <c r="L74" s="180">
        <v>73460</v>
      </c>
      <c r="AC74" s="180"/>
      <c r="AD74" s="180"/>
      <c r="AE74" s="180"/>
      <c r="AF74" s="180"/>
      <c r="AG74" s="180"/>
      <c r="AH74" s="180"/>
      <c r="AI74" s="180"/>
      <c r="AJ74"/>
      <c r="AK74" s="180"/>
      <c r="AL74" s="180"/>
      <c r="AM74" s="180"/>
      <c r="AN74"/>
      <c r="AO74"/>
      <c r="AP74"/>
      <c r="AQ74"/>
      <c r="AR74"/>
      <c r="AS74"/>
      <c r="AT74"/>
      <c r="AU74"/>
    </row>
    <row r="75" spans="12:47" x14ac:dyDescent="0.25">
      <c r="L75" s="180">
        <v>73460</v>
      </c>
      <c r="AC75"/>
      <c r="AD75"/>
      <c r="AE75"/>
      <c r="AF75"/>
      <c r="AG75"/>
      <c r="AH75"/>
      <c r="AI75"/>
      <c r="AJ75"/>
      <c r="AK75"/>
      <c r="AL75"/>
      <c r="AM75"/>
      <c r="AN75"/>
    </row>
    <row r="76" spans="12:47" x14ac:dyDescent="0.25">
      <c r="L76" s="180">
        <v>73461</v>
      </c>
      <c r="AC76"/>
      <c r="AD76"/>
      <c r="AE76"/>
      <c r="AF76"/>
      <c r="AG76"/>
      <c r="AH76"/>
      <c r="AI76"/>
      <c r="AJ76"/>
      <c r="AK76"/>
      <c r="AL76"/>
      <c r="AM76"/>
      <c r="AN76"/>
    </row>
    <row r="77" spans="12:47" x14ac:dyDescent="0.25">
      <c r="L77" s="180">
        <v>73461</v>
      </c>
      <c r="AC77"/>
      <c r="AD77"/>
      <c r="AE77"/>
      <c r="AF77"/>
      <c r="AG77"/>
      <c r="AH77"/>
      <c r="AI77"/>
      <c r="AJ77"/>
      <c r="AK77"/>
      <c r="AL77"/>
      <c r="AM77"/>
      <c r="AN77"/>
    </row>
    <row r="78" spans="12:47" x14ac:dyDescent="0.25">
      <c r="L78" s="180">
        <v>73465</v>
      </c>
      <c r="AC78"/>
      <c r="AD78"/>
      <c r="AE78"/>
      <c r="AF78"/>
      <c r="AG78"/>
      <c r="AH78"/>
      <c r="AI78"/>
      <c r="AJ78"/>
      <c r="AK78"/>
      <c r="AL78"/>
      <c r="AM78"/>
      <c r="AN78"/>
    </row>
    <row r="79" spans="12:47" x14ac:dyDescent="0.25">
      <c r="L79" s="180">
        <v>73465</v>
      </c>
      <c r="AC79"/>
      <c r="AD79"/>
      <c r="AE79"/>
      <c r="AF79"/>
      <c r="AG79"/>
      <c r="AH79"/>
      <c r="AI79"/>
      <c r="AJ79"/>
      <c r="AK79"/>
      <c r="AL79"/>
      <c r="AM79"/>
      <c r="AN79"/>
    </row>
    <row r="80" spans="12:47" x14ac:dyDescent="0.25">
      <c r="L80" s="180">
        <v>73466</v>
      </c>
      <c r="AC80"/>
      <c r="AD80"/>
      <c r="AE80"/>
      <c r="AF80"/>
      <c r="AG80"/>
      <c r="AH80"/>
      <c r="AI80"/>
      <c r="AJ80"/>
      <c r="AK80"/>
      <c r="AL80"/>
      <c r="AM80"/>
      <c r="AN80"/>
    </row>
    <row r="81" spans="12:40" x14ac:dyDescent="0.25">
      <c r="L81" s="180">
        <v>73466</v>
      </c>
      <c r="AC81"/>
      <c r="AD81"/>
      <c r="AE81"/>
      <c r="AF81"/>
      <c r="AG81"/>
      <c r="AH81"/>
      <c r="AI81"/>
      <c r="AJ81"/>
      <c r="AK81"/>
      <c r="AL81"/>
      <c r="AM81"/>
      <c r="AN81"/>
    </row>
    <row r="82" spans="12:40" x14ac:dyDescent="0.25">
      <c r="L82" s="180">
        <v>73467</v>
      </c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</row>
    <row r="83" spans="12:40" x14ac:dyDescent="0.25">
      <c r="L83" s="180">
        <v>73467</v>
      </c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</row>
    <row r="84" spans="12:40" x14ac:dyDescent="0.25">
      <c r="L84" s="180">
        <v>73468</v>
      </c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</row>
    <row r="85" spans="12:40" x14ac:dyDescent="0.25">
      <c r="L85" s="180">
        <v>73468</v>
      </c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</row>
    <row r="86" spans="12:40" x14ac:dyDescent="0.25">
      <c r="L86" s="180">
        <v>73472</v>
      </c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</row>
    <row r="87" spans="12:40" x14ac:dyDescent="0.25">
      <c r="L87" s="180">
        <v>73472</v>
      </c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</row>
    <row r="88" spans="12:40" x14ac:dyDescent="0.25">
      <c r="L88" s="180">
        <v>73472</v>
      </c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</row>
    <row r="89" spans="12:40" x14ac:dyDescent="0.25">
      <c r="L89" s="180">
        <v>73473</v>
      </c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</row>
    <row r="90" spans="12:40" x14ac:dyDescent="0.25">
      <c r="L90" s="180">
        <v>73473</v>
      </c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</row>
    <row r="91" spans="12:40" x14ac:dyDescent="0.25">
      <c r="L91" s="180">
        <v>73473</v>
      </c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</row>
    <row r="92" spans="12:40" x14ac:dyDescent="0.25">
      <c r="L92" s="180">
        <v>73474</v>
      </c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</row>
    <row r="93" spans="12:40" x14ac:dyDescent="0.25">
      <c r="L93" s="180">
        <v>73474</v>
      </c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</row>
    <row r="94" spans="12:40" x14ac:dyDescent="0.25">
      <c r="L94" s="180">
        <v>73474</v>
      </c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</row>
    <row r="95" spans="12:40" x14ac:dyDescent="0.25">
      <c r="L95" s="180">
        <v>73475</v>
      </c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</row>
    <row r="96" spans="12:40" x14ac:dyDescent="0.25">
      <c r="L96" s="180">
        <v>73475</v>
      </c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</row>
    <row r="97" spans="12:40" x14ac:dyDescent="0.25">
      <c r="L97" s="180">
        <v>73475</v>
      </c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</row>
    <row r="98" spans="12:40" x14ac:dyDescent="0.25">
      <c r="L98" s="180">
        <v>73479</v>
      </c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</row>
    <row r="99" spans="12:40" x14ac:dyDescent="0.25">
      <c r="L99" s="180">
        <v>73480</v>
      </c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</row>
    <row r="100" spans="12:40" x14ac:dyDescent="0.25">
      <c r="L100" s="180">
        <v>73481</v>
      </c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</row>
    <row r="101" spans="12:40" x14ac:dyDescent="0.25">
      <c r="L101" s="180">
        <v>73482</v>
      </c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</row>
    <row r="102" spans="12:40" x14ac:dyDescent="0.25"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</row>
    <row r="103" spans="12:40" x14ac:dyDescent="0.25"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</row>
    <row r="104" spans="12:40" x14ac:dyDescent="0.25"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</row>
    <row r="105" spans="12:40" x14ac:dyDescent="0.25"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</row>
    <row r="106" spans="12:40" x14ac:dyDescent="0.25"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</row>
    <row r="107" spans="12:40" x14ac:dyDescent="0.25"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</row>
    <row r="108" spans="12:40" x14ac:dyDescent="0.25"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</row>
    <row r="109" spans="12:40" x14ac:dyDescent="0.25"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</row>
    <row r="110" spans="12:40" x14ac:dyDescent="0.25"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</row>
    <row r="111" spans="12:40" x14ac:dyDescent="0.25"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</row>
    <row r="112" spans="12:40" x14ac:dyDescent="0.25"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</row>
    <row r="113" spans="29:40" x14ac:dyDescent="0.25"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</row>
    <row r="114" spans="29:40" x14ac:dyDescent="0.25"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</row>
    <row r="115" spans="29:40" x14ac:dyDescent="0.25"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</row>
    <row r="116" spans="29:40" x14ac:dyDescent="0.25"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</row>
    <row r="117" spans="29:40" x14ac:dyDescent="0.25"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</row>
    <row r="118" spans="29:40" x14ac:dyDescent="0.25"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</row>
    <row r="119" spans="29:40" x14ac:dyDescent="0.25"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</row>
    <row r="120" spans="29:40" x14ac:dyDescent="0.25"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</row>
    <row r="121" spans="29:40" x14ac:dyDescent="0.25"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</row>
    <row r="122" spans="29:40" x14ac:dyDescent="0.25"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</row>
    <row r="123" spans="29:40" x14ac:dyDescent="0.25"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</row>
    <row r="124" spans="29:40" x14ac:dyDescent="0.25"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</row>
    <row r="125" spans="29:40" x14ac:dyDescent="0.25"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</row>
    <row r="126" spans="29:40" x14ac:dyDescent="0.25"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</row>
    <row r="127" spans="29:40" x14ac:dyDescent="0.25"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</row>
    <row r="128" spans="29:40" x14ac:dyDescent="0.25"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</row>
    <row r="129" spans="29:40" x14ac:dyDescent="0.25"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</row>
    <row r="130" spans="29:40" x14ac:dyDescent="0.25"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</row>
    <row r="131" spans="29:40" x14ac:dyDescent="0.25"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</row>
    <row r="132" spans="29:40" x14ac:dyDescent="0.25"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</row>
    <row r="133" spans="29:40" x14ac:dyDescent="0.25"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</row>
    <row r="134" spans="29:40" x14ac:dyDescent="0.25"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</row>
    <row r="135" spans="29:40" x14ac:dyDescent="0.25"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</row>
    <row r="136" spans="29:40" x14ac:dyDescent="0.25"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</row>
    <row r="137" spans="29:40" x14ac:dyDescent="0.25"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</row>
    <row r="138" spans="29:40" x14ac:dyDescent="0.25"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</row>
    <row r="139" spans="29:40" x14ac:dyDescent="0.25"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</row>
    <row r="140" spans="29:40" x14ac:dyDescent="0.25"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</row>
    <row r="141" spans="29:40" x14ac:dyDescent="0.25"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</row>
    <row r="142" spans="29:40" x14ac:dyDescent="0.25"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</row>
    <row r="143" spans="29:40" x14ac:dyDescent="0.25"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</row>
    <row r="144" spans="29:40" x14ac:dyDescent="0.25"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</row>
    <row r="145" spans="29:40" x14ac:dyDescent="0.25"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</row>
    <row r="146" spans="29:40" x14ac:dyDescent="0.25"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</row>
    <row r="147" spans="29:40" x14ac:dyDescent="0.25"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</row>
    <row r="148" spans="29:40" x14ac:dyDescent="0.25"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</row>
    <row r="149" spans="29:40" x14ac:dyDescent="0.25"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</row>
    <row r="150" spans="29:40" x14ac:dyDescent="0.25"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</row>
    <row r="151" spans="29:40" x14ac:dyDescent="0.25"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</row>
    <row r="152" spans="29:40" x14ac:dyDescent="0.25"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</row>
    <row r="153" spans="29:40" x14ac:dyDescent="0.25"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</row>
    <row r="154" spans="29:40" x14ac:dyDescent="0.25"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</row>
    <row r="155" spans="29:40" x14ac:dyDescent="0.25"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</row>
    <row r="156" spans="29:40" x14ac:dyDescent="0.25"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</row>
    <row r="157" spans="29:40" x14ac:dyDescent="0.25"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</row>
    <row r="158" spans="29:40" x14ac:dyDescent="0.25"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</row>
    <row r="159" spans="29:40" x14ac:dyDescent="0.25"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</row>
    <row r="160" spans="29:40" x14ac:dyDescent="0.25"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</row>
    <row r="161" spans="29:40" x14ac:dyDescent="0.25"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</row>
    <row r="162" spans="29:40" x14ac:dyDescent="0.25"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</row>
    <row r="163" spans="29:40" x14ac:dyDescent="0.25"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</row>
    <row r="164" spans="29:40" x14ac:dyDescent="0.25"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</row>
    <row r="165" spans="29:40" x14ac:dyDescent="0.25"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</row>
    <row r="166" spans="29:40" x14ac:dyDescent="0.25"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</row>
    <row r="167" spans="29:40" x14ac:dyDescent="0.25"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</row>
    <row r="168" spans="29:40" x14ac:dyDescent="0.25"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</row>
    <row r="169" spans="29:40" x14ac:dyDescent="0.25"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</row>
    <row r="170" spans="29:40" x14ac:dyDescent="0.25"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</row>
    <row r="171" spans="29:40" x14ac:dyDescent="0.25"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</row>
    <row r="172" spans="29:40" x14ac:dyDescent="0.25"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</row>
    <row r="173" spans="29:40" x14ac:dyDescent="0.25"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</row>
    <row r="174" spans="29:40" x14ac:dyDescent="0.25"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</row>
    <row r="175" spans="29:40" x14ac:dyDescent="0.25"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</row>
    <row r="176" spans="29:40" x14ac:dyDescent="0.25"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</row>
    <row r="177" spans="29:40" x14ac:dyDescent="0.25"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</row>
    <row r="178" spans="29:40" x14ac:dyDescent="0.25"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</row>
    <row r="179" spans="29:40" x14ac:dyDescent="0.25"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</row>
    <row r="180" spans="29:40" x14ac:dyDescent="0.25"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</row>
    <row r="181" spans="29:40" x14ac:dyDescent="0.25"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</row>
    <row r="182" spans="29:40" x14ac:dyDescent="0.25"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</row>
    <row r="183" spans="29:40" x14ac:dyDescent="0.25"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</row>
    <row r="184" spans="29:40" x14ac:dyDescent="0.25"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</row>
    <row r="185" spans="29:40" x14ac:dyDescent="0.25"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</row>
    <row r="186" spans="29:40" x14ac:dyDescent="0.25"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</row>
    <row r="187" spans="29:40" x14ac:dyDescent="0.25"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</row>
    <row r="188" spans="29:40" x14ac:dyDescent="0.25"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</row>
    <row r="189" spans="29:40" x14ac:dyDescent="0.25"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</row>
    <row r="190" spans="29:40" x14ac:dyDescent="0.25"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</row>
    <row r="191" spans="29:40" x14ac:dyDescent="0.25"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</row>
    <row r="192" spans="29:40" x14ac:dyDescent="0.25"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</row>
    <row r="193" spans="29:40" x14ac:dyDescent="0.25"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</row>
    <row r="194" spans="29:40" x14ac:dyDescent="0.25"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</row>
    <row r="195" spans="29:40" x14ac:dyDescent="0.25"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</row>
    <row r="196" spans="29:40" x14ac:dyDescent="0.25"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</row>
    <row r="197" spans="29:40" x14ac:dyDescent="0.25"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</row>
    <row r="198" spans="29:40" x14ac:dyDescent="0.25"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</row>
    <row r="199" spans="29:40" x14ac:dyDescent="0.25"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</row>
    <row r="200" spans="29:40" x14ac:dyDescent="0.25"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</row>
    <row r="201" spans="29:40" x14ac:dyDescent="0.25"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</row>
    <row r="202" spans="29:40" x14ac:dyDescent="0.25"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</row>
    <row r="203" spans="29:40" x14ac:dyDescent="0.25"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</row>
    <row r="204" spans="29:40" x14ac:dyDescent="0.25"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</row>
    <row r="205" spans="29:40" x14ac:dyDescent="0.25"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</row>
    <row r="206" spans="29:40" x14ac:dyDescent="0.25"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</row>
    <row r="207" spans="29:40" x14ac:dyDescent="0.25"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</row>
    <row r="208" spans="29:40" x14ac:dyDescent="0.25"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</row>
    <row r="209" spans="29:40" x14ac:dyDescent="0.25"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</row>
    <row r="210" spans="29:40" x14ac:dyDescent="0.25"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</row>
    <row r="211" spans="29:40" x14ac:dyDescent="0.25"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</row>
    <row r="212" spans="29:40" x14ac:dyDescent="0.25"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</row>
    <row r="213" spans="29:40" x14ac:dyDescent="0.25"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</row>
    <row r="214" spans="29:40" x14ac:dyDescent="0.25"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</row>
    <row r="215" spans="29:40" x14ac:dyDescent="0.25"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</row>
    <row r="216" spans="29:40" x14ac:dyDescent="0.25"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</row>
    <row r="217" spans="29:40" x14ac:dyDescent="0.25"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</row>
    <row r="218" spans="29:40" x14ac:dyDescent="0.25"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</row>
    <row r="219" spans="29:40" x14ac:dyDescent="0.25"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</row>
    <row r="220" spans="29:40" x14ac:dyDescent="0.25"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</row>
    <row r="221" spans="29:40" x14ac:dyDescent="0.25"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</row>
    <row r="222" spans="29:40" x14ac:dyDescent="0.25"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</row>
    <row r="223" spans="29:40" x14ac:dyDescent="0.25"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</row>
    <row r="224" spans="29:40" x14ac:dyDescent="0.25"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</row>
    <row r="225" spans="29:40" x14ac:dyDescent="0.25"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</row>
    <row r="226" spans="29:40" x14ac:dyDescent="0.25"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</row>
    <row r="227" spans="29:40" x14ac:dyDescent="0.25"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</row>
    <row r="228" spans="29:40" x14ac:dyDescent="0.25"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</row>
    <row r="229" spans="29:40" x14ac:dyDescent="0.25"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</row>
    <row r="230" spans="29:40" x14ac:dyDescent="0.25"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</row>
    <row r="231" spans="29:40" x14ac:dyDescent="0.25"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</row>
    <row r="232" spans="29:40" x14ac:dyDescent="0.25"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</row>
    <row r="233" spans="29:40" x14ac:dyDescent="0.25"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</row>
    <row r="234" spans="29:40" x14ac:dyDescent="0.25"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</row>
    <row r="235" spans="29:40" x14ac:dyDescent="0.25"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</row>
    <row r="236" spans="29:40" x14ac:dyDescent="0.25"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</row>
    <row r="237" spans="29:40" x14ac:dyDescent="0.25"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</row>
    <row r="238" spans="29:40" x14ac:dyDescent="0.25"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</row>
    <row r="239" spans="29:40" x14ac:dyDescent="0.25"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</row>
    <row r="240" spans="29:40" x14ac:dyDescent="0.25"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</row>
    <row r="241" spans="29:40" x14ac:dyDescent="0.25"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</row>
    <row r="242" spans="29:40" x14ac:dyDescent="0.25"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</row>
    <row r="243" spans="29:40" x14ac:dyDescent="0.25"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</row>
    <row r="244" spans="29:40" x14ac:dyDescent="0.25"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</row>
    <row r="245" spans="29:40" x14ac:dyDescent="0.25"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</row>
    <row r="246" spans="29:40" x14ac:dyDescent="0.25"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</row>
    <row r="247" spans="29:40" x14ac:dyDescent="0.25"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</row>
    <row r="248" spans="29:40" x14ac:dyDescent="0.25"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</row>
    <row r="249" spans="29:40" x14ac:dyDescent="0.25"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</row>
    <row r="250" spans="29:40" x14ac:dyDescent="0.25"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</row>
    <row r="251" spans="29:40" x14ac:dyDescent="0.25"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</row>
    <row r="252" spans="29:40" x14ac:dyDescent="0.25"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</row>
    <row r="253" spans="29:40" x14ac:dyDescent="0.25"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</row>
    <row r="254" spans="29:40" x14ac:dyDescent="0.25"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</row>
    <row r="255" spans="29:40" x14ac:dyDescent="0.25"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</row>
    <row r="256" spans="29:40" x14ac:dyDescent="0.25"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</row>
    <row r="257" spans="29:40" x14ac:dyDescent="0.25"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</row>
    <row r="258" spans="29:40" x14ac:dyDescent="0.25"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</row>
    <row r="259" spans="29:40" x14ac:dyDescent="0.25"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</row>
    <row r="260" spans="29:40" x14ac:dyDescent="0.25"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</row>
    <row r="261" spans="29:40" x14ac:dyDescent="0.25"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</row>
    <row r="262" spans="29:40" x14ac:dyDescent="0.25"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</row>
    <row r="263" spans="29:40" x14ac:dyDescent="0.25"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</row>
    <row r="264" spans="29:40" x14ac:dyDescent="0.25"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</row>
    <row r="265" spans="29:40" x14ac:dyDescent="0.25"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</row>
    <row r="266" spans="29:40" x14ac:dyDescent="0.25"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</row>
    <row r="267" spans="29:40" x14ac:dyDescent="0.25"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</row>
    <row r="268" spans="29:40" x14ac:dyDescent="0.25"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</row>
    <row r="269" spans="29:40" x14ac:dyDescent="0.25"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</row>
    <row r="270" spans="29:40" x14ac:dyDescent="0.25"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</row>
    <row r="271" spans="29:40" x14ac:dyDescent="0.25"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</row>
    <row r="272" spans="29:40" x14ac:dyDescent="0.25"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</row>
    <row r="273" spans="29:40" x14ac:dyDescent="0.25"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</row>
    <row r="274" spans="29:40" x14ac:dyDescent="0.25"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</row>
    <row r="275" spans="29:40" x14ac:dyDescent="0.25"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</row>
    <row r="276" spans="29:40" x14ac:dyDescent="0.25"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</row>
    <row r="277" spans="29:40" x14ac:dyDescent="0.25"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</row>
    <row r="278" spans="29:40" x14ac:dyDescent="0.25"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</row>
    <row r="279" spans="29:40" x14ac:dyDescent="0.25"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</row>
    <row r="280" spans="29:40" x14ac:dyDescent="0.25"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</row>
    <row r="281" spans="29:40" x14ac:dyDescent="0.25"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</row>
    <row r="282" spans="29:40" x14ac:dyDescent="0.25"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</row>
    <row r="283" spans="29:40" x14ac:dyDescent="0.25"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</row>
    <row r="284" spans="29:40" x14ac:dyDescent="0.25"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</row>
    <row r="285" spans="29:40" x14ac:dyDescent="0.25"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</row>
    <row r="286" spans="29:40" x14ac:dyDescent="0.25"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</row>
    <row r="287" spans="29:40" x14ac:dyDescent="0.25"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</row>
    <row r="288" spans="29:40" x14ac:dyDescent="0.25"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</row>
    <row r="289" spans="29:40" x14ac:dyDescent="0.25"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</row>
    <row r="290" spans="29:40" x14ac:dyDescent="0.25"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</row>
    <row r="291" spans="29:40" x14ac:dyDescent="0.25"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</row>
    <row r="292" spans="29:40" x14ac:dyDescent="0.25"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</row>
    <row r="293" spans="29:40" x14ac:dyDescent="0.25"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</row>
    <row r="294" spans="29:40" x14ac:dyDescent="0.25"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</row>
    <row r="295" spans="29:40" x14ac:dyDescent="0.25"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</row>
    <row r="296" spans="29:40" x14ac:dyDescent="0.25"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</row>
    <row r="297" spans="29:40" x14ac:dyDescent="0.25"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</row>
    <row r="298" spans="29:40" x14ac:dyDescent="0.25"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</row>
    <row r="299" spans="29:40" x14ac:dyDescent="0.25"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</row>
    <row r="300" spans="29:40" x14ac:dyDescent="0.25"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</row>
    <row r="301" spans="29:40" x14ac:dyDescent="0.25"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</row>
    <row r="302" spans="29:40" x14ac:dyDescent="0.25"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</row>
    <row r="303" spans="29:40" x14ac:dyDescent="0.25"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</row>
    <row r="304" spans="29:40" x14ac:dyDescent="0.25"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</row>
    <row r="305" spans="29:40" x14ac:dyDescent="0.25"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</row>
    <row r="306" spans="29:40" x14ac:dyDescent="0.25"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</row>
    <row r="307" spans="29:40" x14ac:dyDescent="0.25"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</row>
    <row r="308" spans="29:40" x14ac:dyDescent="0.25"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</row>
    <row r="309" spans="29:40" x14ac:dyDescent="0.25"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</row>
    <row r="310" spans="29:40" x14ac:dyDescent="0.25"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</row>
    <row r="311" spans="29:40" x14ac:dyDescent="0.25"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</row>
    <row r="312" spans="29:40" x14ac:dyDescent="0.25"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</row>
    <row r="313" spans="29:40" x14ac:dyDescent="0.25"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</row>
    <row r="314" spans="29:40" x14ac:dyDescent="0.25"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</row>
    <row r="315" spans="29:40" x14ac:dyDescent="0.25"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</row>
    <row r="316" spans="29:40" x14ac:dyDescent="0.25"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</row>
    <row r="317" spans="29:40" x14ac:dyDescent="0.25"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</row>
    <row r="318" spans="29:40" x14ac:dyDescent="0.25"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</row>
    <row r="319" spans="29:40" x14ac:dyDescent="0.25"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</row>
    <row r="320" spans="29:40" x14ac:dyDescent="0.25"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</row>
    <row r="321" spans="29:40" x14ac:dyDescent="0.25"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</row>
    <row r="322" spans="29:40" x14ac:dyDescent="0.25"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</row>
    <row r="323" spans="29:40" x14ac:dyDescent="0.25"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</row>
    <row r="324" spans="29:40" x14ac:dyDescent="0.25"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</row>
    <row r="325" spans="29:40" x14ac:dyDescent="0.25"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</row>
    <row r="326" spans="29:40" x14ac:dyDescent="0.25"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</row>
    <row r="327" spans="29:40" x14ac:dyDescent="0.25"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</row>
    <row r="328" spans="29:40" x14ac:dyDescent="0.25"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</row>
    <row r="329" spans="29:40" x14ac:dyDescent="0.25"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</row>
    <row r="330" spans="29:40" x14ac:dyDescent="0.25"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</row>
    <row r="331" spans="29:40" x14ac:dyDescent="0.25"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</row>
    <row r="332" spans="29:40" x14ac:dyDescent="0.25"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</row>
    <row r="333" spans="29:40" x14ac:dyDescent="0.25"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</row>
    <row r="334" spans="29:40" x14ac:dyDescent="0.25"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</row>
    <row r="335" spans="29:40" x14ac:dyDescent="0.25"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</row>
    <row r="336" spans="29:40" x14ac:dyDescent="0.25"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</row>
    <row r="337" spans="29:40" x14ac:dyDescent="0.25"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</row>
    <row r="338" spans="29:40" x14ac:dyDescent="0.25"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</row>
    <row r="339" spans="29:40" x14ac:dyDescent="0.25"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</row>
    <row r="340" spans="29:40" x14ac:dyDescent="0.25"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</row>
    <row r="341" spans="29:40" x14ac:dyDescent="0.25"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</row>
    <row r="342" spans="29:40" x14ac:dyDescent="0.25"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</row>
    <row r="343" spans="29:40" x14ac:dyDescent="0.25"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</row>
    <row r="344" spans="29:40" x14ac:dyDescent="0.25"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</row>
    <row r="345" spans="29:40" x14ac:dyDescent="0.25"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</row>
    <row r="346" spans="29:40" x14ac:dyDescent="0.25"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</row>
    <row r="347" spans="29:40" x14ac:dyDescent="0.25"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</row>
    <row r="348" spans="29:40" x14ac:dyDescent="0.25"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</row>
    <row r="349" spans="29:40" x14ac:dyDescent="0.25"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</row>
    <row r="350" spans="29:40" x14ac:dyDescent="0.25"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</row>
    <row r="351" spans="29:40" x14ac:dyDescent="0.25"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</row>
    <row r="352" spans="29:40" x14ac:dyDescent="0.25"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</row>
    <row r="353" spans="29:40" x14ac:dyDescent="0.25"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</row>
    <row r="354" spans="29:40" x14ac:dyDescent="0.25"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</row>
    <row r="355" spans="29:40" x14ac:dyDescent="0.25"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</row>
  </sheetData>
  <autoFilter ref="A3:X56" xr:uid="{00000000-0009-0000-0000-00000A000000}">
    <filterColumn colId="23">
      <colorFilter dxfId="5"/>
    </filterColumn>
  </autoFilter>
  <mergeCells count="4">
    <mergeCell ref="AR8:AS8"/>
    <mergeCell ref="AC1:AF1"/>
    <mergeCell ref="AG1:AJ1"/>
    <mergeCell ref="AK1:AN1"/>
  </mergeCells>
  <conditionalFormatting sqref="E1:E3">
    <cfRule type="duplicateValues" dxfId="30" priority="1"/>
  </conditionalFormatting>
  <conditionalFormatting sqref="D1:D3">
    <cfRule type="duplicateValues" dxfId="29" priority="2"/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filterMode="1"/>
  <dimension ref="A1:AW355"/>
  <sheetViews>
    <sheetView zoomScale="70" zoomScaleNormal="70" workbookViewId="0">
      <pane ySplit="3" topLeftCell="A46" activePane="bottomLeft" state="frozen"/>
      <selection pane="bottomLeft" activeCell="X91" sqref="X91"/>
    </sheetView>
  </sheetViews>
  <sheetFormatPr defaultRowHeight="15" x14ac:dyDescent="0.25"/>
  <cols>
    <col min="1" max="1" width="6.140625" style="180" customWidth="1"/>
    <col min="2" max="2" width="8" style="180" customWidth="1"/>
    <col min="3" max="3" width="14.140625" style="277" hidden="1" customWidth="1"/>
    <col min="4" max="4" width="30.7109375" style="180" customWidth="1"/>
    <col min="5" max="5" width="11.7109375" style="180" hidden="1" customWidth="1"/>
    <col min="6" max="6" width="23.5703125" style="180" bestFit="1" customWidth="1"/>
    <col min="7" max="7" width="0" style="180" hidden="1" customWidth="1"/>
    <col min="8" max="9" width="14.28515625" style="180" hidden="1" customWidth="1"/>
    <col min="10" max="10" width="8.7109375" style="180" hidden="1" customWidth="1"/>
    <col min="11" max="12" width="7.7109375" style="180" bestFit="1" customWidth="1"/>
    <col min="13" max="13" width="7.140625" style="180" bestFit="1" customWidth="1"/>
    <col min="14" max="14" width="7.28515625" style="180" bestFit="1" customWidth="1"/>
    <col min="15" max="15" width="6.85546875" style="180" customWidth="1"/>
    <col min="16" max="16" width="5.7109375" style="180" customWidth="1"/>
    <col min="17" max="17" width="6.5703125" style="180" customWidth="1"/>
    <col min="18" max="18" width="6.28515625" style="180" customWidth="1"/>
    <col min="19" max="19" width="7.140625" style="180" bestFit="1" customWidth="1"/>
    <col min="20" max="20" width="11.42578125" style="180" hidden="1" customWidth="1"/>
    <col min="21" max="21" width="15" style="180" hidden="1" customWidth="1"/>
    <col min="22" max="22" width="6" style="180" hidden="1" customWidth="1"/>
    <col min="23" max="23" width="5.28515625" style="180" hidden="1" customWidth="1"/>
    <col min="24" max="24" width="15" style="180" bestFit="1" customWidth="1"/>
    <col min="25" max="25" width="9.28515625" style="180" bestFit="1" customWidth="1"/>
    <col min="26" max="26" width="0" style="180" hidden="1" customWidth="1"/>
    <col min="27" max="27" width="23.5703125" style="180" hidden="1" customWidth="1"/>
    <col min="28" max="28" width="7.85546875" style="180" hidden="1" customWidth="1"/>
    <col min="29" max="29" width="8.5703125" style="180" hidden="1" customWidth="1"/>
    <col min="30" max="30" width="12" style="180" hidden="1" customWidth="1"/>
    <col min="31" max="31" width="11.7109375" style="180" hidden="1" customWidth="1"/>
    <col min="32" max="32" width="7.140625" style="180" hidden="1" customWidth="1"/>
    <col min="33" max="36" width="7.5703125" style="32" hidden="1" customWidth="1"/>
    <col min="37" max="44" width="7.5703125" style="32" customWidth="1"/>
    <col min="45" max="45" width="9.5703125" style="180" bestFit="1" customWidth="1"/>
    <col min="46" max="46" width="7.140625" style="180" bestFit="1" customWidth="1"/>
    <col min="47" max="47" width="10.28515625" style="180" bestFit="1" customWidth="1"/>
    <col min="48" max="48" width="7.140625" style="180" bestFit="1" customWidth="1"/>
    <col min="49" max="49" width="8.85546875" style="180"/>
  </cols>
  <sheetData>
    <row r="1" spans="1:49" ht="67.15000000000000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750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259</v>
      </c>
      <c r="P1" s="1" t="s">
        <v>259</v>
      </c>
      <c r="Q1" s="1" t="s">
        <v>259</v>
      </c>
      <c r="R1" s="1" t="s">
        <v>259</v>
      </c>
      <c r="S1" s="1" t="s">
        <v>13</v>
      </c>
      <c r="T1" s="1" t="s">
        <v>14</v>
      </c>
      <c r="U1" s="1" t="s">
        <v>15</v>
      </c>
      <c r="V1" s="247" t="s">
        <v>16</v>
      </c>
      <c r="W1" s="1" t="s">
        <v>17</v>
      </c>
      <c r="X1" s="1" t="s">
        <v>18</v>
      </c>
      <c r="Y1" s="2" t="s">
        <v>19</v>
      </c>
      <c r="Z1" s="2" t="s">
        <v>20</v>
      </c>
      <c r="AA1" s="3" t="s">
        <v>21</v>
      </c>
      <c r="AB1" s="1" t="s">
        <v>22</v>
      </c>
      <c r="AC1" s="1" t="s">
        <v>913</v>
      </c>
      <c r="AD1" s="4" t="s">
        <v>23</v>
      </c>
      <c r="AE1" s="3" t="s">
        <v>24</v>
      </c>
      <c r="AF1" s="236"/>
      <c r="AG1" s="452" t="s">
        <v>646</v>
      </c>
      <c r="AH1" s="453"/>
      <c r="AI1" s="453"/>
      <c r="AJ1" s="454"/>
      <c r="AK1" s="452" t="s">
        <v>979</v>
      </c>
      <c r="AL1" s="453"/>
      <c r="AM1" s="453"/>
      <c r="AN1" s="454"/>
      <c r="AO1" s="452" t="s">
        <v>1145</v>
      </c>
      <c r="AP1" s="453"/>
      <c r="AQ1" s="453"/>
      <c r="AR1" s="454"/>
      <c r="AS1" s="248"/>
      <c r="AT1" s="249"/>
      <c r="AU1" s="249"/>
      <c r="AV1" s="15"/>
      <c r="AW1" s="15"/>
    </row>
    <row r="2" spans="1:49" x14ac:dyDescent="0.25">
      <c r="A2" s="1"/>
      <c r="B2" s="1"/>
      <c r="C2" s="1"/>
      <c r="D2" s="287"/>
      <c r="E2" s="1"/>
      <c r="F2" s="1"/>
      <c r="G2" s="1"/>
      <c r="H2" s="2"/>
      <c r="I2" s="1"/>
      <c r="J2" s="1"/>
      <c r="K2" s="1"/>
      <c r="L2" s="1"/>
      <c r="M2" s="1"/>
      <c r="N2" s="1"/>
      <c r="O2" s="133">
        <v>0.3</v>
      </c>
      <c r="P2" s="133">
        <v>0.35</v>
      </c>
      <c r="Q2" s="133">
        <v>0.2</v>
      </c>
      <c r="R2" s="133">
        <v>0.15</v>
      </c>
      <c r="S2" s="1"/>
      <c r="T2" s="1"/>
      <c r="U2" s="1"/>
      <c r="V2" s="247"/>
      <c r="W2" s="1"/>
      <c r="X2" s="1"/>
      <c r="Y2" s="2"/>
      <c r="Z2" s="2"/>
      <c r="AA2" s="3"/>
      <c r="AB2" s="1"/>
      <c r="AC2" s="288"/>
      <c r="AD2" s="289"/>
      <c r="AE2" s="3"/>
      <c r="AF2" s="88"/>
      <c r="AG2" s="36">
        <v>0.3</v>
      </c>
      <c r="AH2" s="36">
        <v>0.35</v>
      </c>
      <c r="AI2" s="36">
        <v>0.2</v>
      </c>
      <c r="AJ2" s="36">
        <v>0.15</v>
      </c>
      <c r="AK2" s="36">
        <v>0.3</v>
      </c>
      <c r="AL2" s="36">
        <v>0.35</v>
      </c>
      <c r="AM2" s="36">
        <v>0.2</v>
      </c>
      <c r="AN2" s="36">
        <v>0.15</v>
      </c>
      <c r="AO2" s="36">
        <v>0.3</v>
      </c>
      <c r="AP2" s="36">
        <v>0.35</v>
      </c>
      <c r="AQ2" s="36">
        <v>0.2</v>
      </c>
      <c r="AR2" s="36">
        <v>0.15</v>
      </c>
      <c r="AS2" s="255"/>
      <c r="AT2" s="23"/>
      <c r="AU2" s="23"/>
      <c r="AV2" s="23"/>
      <c r="AW2" s="23"/>
    </row>
    <row r="3" spans="1:49" x14ac:dyDescent="0.25">
      <c r="A3" s="1"/>
      <c r="B3" s="1"/>
      <c r="C3" s="1"/>
      <c r="D3" s="287"/>
      <c r="E3" s="1"/>
      <c r="F3" s="1"/>
      <c r="G3" s="1"/>
      <c r="H3" s="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247"/>
      <c r="W3" s="1"/>
      <c r="X3" s="1"/>
      <c r="Y3" s="2"/>
      <c r="Z3" s="2"/>
      <c r="AA3" s="3"/>
      <c r="AB3" s="1"/>
      <c r="AC3" s="288"/>
      <c r="AD3" s="289"/>
      <c r="AE3" s="3"/>
      <c r="AF3" s="88"/>
      <c r="AG3" s="91">
        <f>SUM(AG4:AG72)</f>
        <v>14.181000000000001</v>
      </c>
      <c r="AH3" s="91">
        <f t="shared" ref="AH3:AN3" si="0">SUM(AH4:AH72)</f>
        <v>5.3724999999999987</v>
      </c>
      <c r="AI3" s="91">
        <f t="shared" si="0"/>
        <v>0</v>
      </c>
      <c r="AJ3" s="91">
        <f t="shared" si="0"/>
        <v>0</v>
      </c>
      <c r="AK3" s="91">
        <f t="shared" si="0"/>
        <v>40.010640000000002</v>
      </c>
      <c r="AL3" s="91">
        <f t="shared" si="0"/>
        <v>0</v>
      </c>
      <c r="AM3" s="91">
        <f t="shared" si="0"/>
        <v>3.0700000000000003</v>
      </c>
      <c r="AN3" s="91">
        <f t="shared" si="0"/>
        <v>0</v>
      </c>
      <c r="AO3" s="91">
        <f t="shared" ref="AO3:AR3" si="1">SUM(AO4:AO72)</f>
        <v>0</v>
      </c>
      <c r="AP3" s="91">
        <f t="shared" si="1"/>
        <v>0</v>
      </c>
      <c r="AQ3" s="91">
        <f t="shared" si="1"/>
        <v>0</v>
      </c>
      <c r="AR3" s="91">
        <f t="shared" si="1"/>
        <v>0</v>
      </c>
      <c r="AS3" s="255"/>
      <c r="AT3" s="23"/>
      <c r="AU3" s="23"/>
      <c r="AV3" s="23"/>
      <c r="AW3" s="23"/>
    </row>
    <row r="4" spans="1:49" ht="45" hidden="1" x14ac:dyDescent="0.25">
      <c r="A4" s="38">
        <v>1</v>
      </c>
      <c r="B4" s="38" t="s">
        <v>28</v>
      </c>
      <c r="C4" s="143" t="s">
        <v>29</v>
      </c>
      <c r="D4" s="278" t="s">
        <v>946</v>
      </c>
      <c r="E4" s="38"/>
      <c r="F4" s="38"/>
      <c r="G4" s="38"/>
      <c r="H4" s="38" t="s">
        <v>31</v>
      </c>
      <c r="I4" s="38"/>
      <c r="J4" s="38"/>
      <c r="K4" s="38"/>
      <c r="L4" s="38">
        <v>123.84000000000002</v>
      </c>
      <c r="M4" s="38"/>
      <c r="N4" s="38"/>
      <c r="O4" s="38"/>
      <c r="P4" s="38"/>
      <c r="Q4" s="38"/>
      <c r="R4" s="38"/>
      <c r="S4" s="279">
        <v>5081.8120000000008</v>
      </c>
      <c r="T4" s="38"/>
      <c r="U4" s="280">
        <v>13039128.458799997</v>
      </c>
      <c r="V4" s="38"/>
      <c r="W4" s="38"/>
      <c r="X4" s="38"/>
      <c r="Y4" s="38"/>
      <c r="Z4" s="38"/>
      <c r="AA4" s="143"/>
      <c r="AB4" s="38"/>
      <c r="AC4" s="257"/>
      <c r="AD4" s="257"/>
      <c r="AE4" s="38"/>
      <c r="AF4" s="281" t="e">
        <v>#NAME?</v>
      </c>
      <c r="AG4" s="122"/>
      <c r="AH4" s="123"/>
      <c r="AI4" s="123"/>
      <c r="AJ4" s="93"/>
      <c r="AK4" s="122"/>
      <c r="AL4" s="123"/>
      <c r="AM4" s="123"/>
      <c r="AN4" s="93"/>
      <c r="AO4" s="122"/>
      <c r="AP4" s="123"/>
      <c r="AQ4" s="123"/>
      <c r="AR4" s="93"/>
      <c r="AS4" s="87">
        <v>11500</v>
      </c>
      <c r="AT4" s="281" t="e">
        <v>#NAME?</v>
      </c>
      <c r="AU4" s="87" t="s">
        <v>649</v>
      </c>
      <c r="AV4" s="186"/>
      <c r="AW4" s="186"/>
    </row>
    <row r="5" spans="1:49" ht="45" x14ac:dyDescent="0.25">
      <c r="A5" s="301">
        <v>2</v>
      </c>
      <c r="B5" s="25" t="s">
        <v>28</v>
      </c>
      <c r="C5" s="28" t="s">
        <v>29</v>
      </c>
      <c r="D5" s="302" t="s">
        <v>946</v>
      </c>
      <c r="E5" s="301"/>
      <c r="F5" s="305" t="s">
        <v>947</v>
      </c>
      <c r="G5" s="301"/>
      <c r="H5" s="25" t="s">
        <v>31</v>
      </c>
      <c r="I5" s="301"/>
      <c r="J5" s="301"/>
      <c r="K5" s="301">
        <v>2.2349999999999999</v>
      </c>
      <c r="L5" s="301">
        <v>2.2349999999999999</v>
      </c>
      <c r="M5" s="301">
        <v>1</v>
      </c>
      <c r="N5" s="301" t="s">
        <v>33</v>
      </c>
      <c r="O5" s="303">
        <f>S5*0.3</f>
        <v>28.831499999999998</v>
      </c>
      <c r="P5" s="303">
        <f>S5*0.35</f>
        <v>33.636749999999999</v>
      </c>
      <c r="Q5" s="303">
        <f>S5*0.2</f>
        <v>19.221000000000004</v>
      </c>
      <c r="R5" s="303">
        <f>S5*0.15</f>
        <v>14.415749999999999</v>
      </c>
      <c r="S5" s="292">
        <v>96.105000000000004</v>
      </c>
      <c r="T5" s="282">
        <v>105991.94</v>
      </c>
      <c r="U5" s="283">
        <v>236891.9859</v>
      </c>
      <c r="V5" s="268"/>
      <c r="W5" s="268"/>
      <c r="X5" s="301" t="s">
        <v>927</v>
      </c>
      <c r="Y5" s="301">
        <v>73448</v>
      </c>
      <c r="Z5" s="272" t="s">
        <v>948</v>
      </c>
      <c r="AA5" s="270" t="s">
        <v>947</v>
      </c>
      <c r="AB5" s="268">
        <v>1</v>
      </c>
      <c r="AC5" s="273">
        <v>3452</v>
      </c>
      <c r="AD5" s="274">
        <v>8.3808858051067148</v>
      </c>
      <c r="AE5" s="275">
        <v>92288</v>
      </c>
      <c r="AF5" s="9"/>
      <c r="AG5" s="197">
        <f>L5*0.3</f>
        <v>0.67049999999999998</v>
      </c>
      <c r="AH5" s="64">
        <f>L5*0.35</f>
        <v>0.78224999999999989</v>
      </c>
      <c r="AI5" s="90"/>
      <c r="AJ5" s="112"/>
      <c r="AK5" s="94"/>
      <c r="AL5" s="90"/>
      <c r="AM5" s="64">
        <f>L5*0.2</f>
        <v>0.44700000000000001</v>
      </c>
      <c r="AN5" s="95"/>
      <c r="AO5" s="124"/>
      <c r="AP5" s="34"/>
      <c r="AQ5" s="34"/>
      <c r="AR5" s="95"/>
      <c r="AS5" s="253">
        <v>5081.8120000000008</v>
      </c>
      <c r="AT5" s="17">
        <v>5280</v>
      </c>
      <c r="AU5" s="253">
        <v>198.18799999999919</v>
      </c>
      <c r="AV5" s="17" t="s">
        <v>649</v>
      </c>
    </row>
    <row r="6" spans="1:49" ht="45" x14ac:dyDescent="0.25">
      <c r="A6" s="301">
        <v>3</v>
      </c>
      <c r="B6" s="25" t="s">
        <v>28</v>
      </c>
      <c r="C6" s="28" t="s">
        <v>29</v>
      </c>
      <c r="D6" s="302" t="s">
        <v>946</v>
      </c>
      <c r="E6" s="195"/>
      <c r="F6" s="305" t="s">
        <v>949</v>
      </c>
      <c r="G6" s="195"/>
      <c r="H6" s="25" t="s">
        <v>31</v>
      </c>
      <c r="I6" s="301"/>
      <c r="J6" s="301"/>
      <c r="K6" s="301">
        <v>2.0750000000000002</v>
      </c>
      <c r="L6" s="301">
        <v>2.0750000000000002</v>
      </c>
      <c r="M6" s="301">
        <v>1</v>
      </c>
      <c r="N6" s="301" t="s">
        <v>33</v>
      </c>
      <c r="O6" s="303">
        <f t="shared" ref="O6:O69" si="2">S6*0.3</f>
        <v>26.767500000000002</v>
      </c>
      <c r="P6" s="303">
        <f t="shared" ref="P6:P69" si="3">S6*0.35</f>
        <v>31.228750000000002</v>
      </c>
      <c r="Q6" s="303">
        <f t="shared" ref="Q6:Q69" si="4">S6*0.2</f>
        <v>17.845000000000002</v>
      </c>
      <c r="R6" s="303">
        <f t="shared" ref="R6:R69" si="5">S6*0.15</f>
        <v>13.383750000000001</v>
      </c>
      <c r="S6" s="292">
        <v>89.225000000000009</v>
      </c>
      <c r="T6" s="282">
        <v>105991.94</v>
      </c>
      <c r="U6" s="283">
        <v>219933.27550000002</v>
      </c>
      <c r="V6" s="172"/>
      <c r="W6" s="172"/>
      <c r="X6" s="371" t="s">
        <v>925</v>
      </c>
      <c r="Y6" s="301">
        <v>73448</v>
      </c>
      <c r="Z6" s="272" t="s">
        <v>948</v>
      </c>
      <c r="AA6" s="270" t="s">
        <v>949</v>
      </c>
      <c r="AB6" s="9">
        <v>2</v>
      </c>
      <c r="AC6" s="273">
        <v>2992</v>
      </c>
      <c r="AD6" s="172"/>
      <c r="AE6" s="172"/>
      <c r="AF6" s="172"/>
      <c r="AG6" s="197">
        <f t="shared" ref="AG6:AG19" si="6">L6*0.3</f>
        <v>0.62250000000000005</v>
      </c>
      <c r="AH6" s="64">
        <f t="shared" ref="AH6:AH13" si="7">L6*0.35</f>
        <v>0.72625000000000006</v>
      </c>
      <c r="AI6" s="48"/>
      <c r="AJ6" s="49"/>
      <c r="AK6" s="51"/>
      <c r="AL6" s="48"/>
      <c r="AM6" s="64">
        <f t="shared" ref="AM6:AM13" si="8">L6*0.2</f>
        <v>0.41500000000000004</v>
      </c>
      <c r="AN6" s="59"/>
      <c r="AO6" s="58"/>
      <c r="AP6" s="42"/>
      <c r="AQ6" s="42"/>
      <c r="AR6" s="59"/>
      <c r="AS6" s="17"/>
      <c r="AT6" s="17">
        <v>264</v>
      </c>
      <c r="AU6" s="17"/>
      <c r="AV6" s="17"/>
    </row>
    <row r="7" spans="1:49" ht="45.75" thickBot="1" x14ac:dyDescent="0.3">
      <c r="A7" s="301">
        <v>4</v>
      </c>
      <c r="B7" s="25" t="s">
        <v>28</v>
      </c>
      <c r="C7" s="28" t="s">
        <v>29</v>
      </c>
      <c r="D7" s="302" t="s">
        <v>946</v>
      </c>
      <c r="E7" s="195"/>
      <c r="F7" s="305" t="s">
        <v>950</v>
      </c>
      <c r="G7" s="195"/>
      <c r="H7" s="25" t="s">
        <v>31</v>
      </c>
      <c r="I7" s="301"/>
      <c r="J7" s="301"/>
      <c r="K7" s="301">
        <v>0.37</v>
      </c>
      <c r="L7" s="301">
        <v>0.74</v>
      </c>
      <c r="M7" s="301">
        <v>2</v>
      </c>
      <c r="N7" s="301" t="s">
        <v>33</v>
      </c>
      <c r="O7" s="303">
        <f t="shared" si="2"/>
        <v>12.21</v>
      </c>
      <c r="P7" s="303">
        <f t="shared" si="3"/>
        <v>14.244999999999999</v>
      </c>
      <c r="Q7" s="303">
        <f t="shared" si="4"/>
        <v>8.14</v>
      </c>
      <c r="R7" s="303">
        <f t="shared" si="5"/>
        <v>6.1050000000000004</v>
      </c>
      <c r="S7" s="292">
        <v>40.700000000000003</v>
      </c>
      <c r="T7" s="282">
        <v>105991.94</v>
      </c>
      <c r="U7" s="283">
        <v>78434.035600000003</v>
      </c>
      <c r="V7" s="172"/>
      <c r="W7" s="172"/>
      <c r="X7" s="25" t="s">
        <v>844</v>
      </c>
      <c r="Y7" s="301">
        <v>73448</v>
      </c>
      <c r="Z7" s="272" t="s">
        <v>948</v>
      </c>
      <c r="AA7" s="270" t="s">
        <v>950</v>
      </c>
      <c r="AB7" s="9">
        <v>3</v>
      </c>
      <c r="AC7" s="273">
        <v>2992</v>
      </c>
      <c r="AD7" s="172"/>
      <c r="AE7" s="172"/>
      <c r="AF7" s="172"/>
      <c r="AG7" s="197">
        <f t="shared" si="6"/>
        <v>0.222</v>
      </c>
      <c r="AH7" s="64">
        <f t="shared" si="7"/>
        <v>0.25900000000000001</v>
      </c>
      <c r="AI7" s="48"/>
      <c r="AJ7" s="49"/>
      <c r="AK7" s="51"/>
      <c r="AL7" s="48"/>
      <c r="AM7" s="64">
        <f t="shared" si="8"/>
        <v>0.14799999999999999</v>
      </c>
      <c r="AN7" s="59"/>
      <c r="AO7" s="58"/>
      <c r="AP7" s="42"/>
      <c r="AQ7" s="42"/>
      <c r="AR7" s="59"/>
      <c r="AS7" s="17"/>
      <c r="AT7" s="17"/>
      <c r="AU7" s="17"/>
      <c r="AV7" s="17"/>
    </row>
    <row r="8" spans="1:49" ht="45.75" thickBot="1" x14ac:dyDescent="0.3">
      <c r="A8" s="301">
        <v>5</v>
      </c>
      <c r="B8" s="25" t="s">
        <v>28</v>
      </c>
      <c r="C8" s="28" t="s">
        <v>29</v>
      </c>
      <c r="D8" s="302" t="s">
        <v>946</v>
      </c>
      <c r="E8" s="330"/>
      <c r="F8" s="305" t="s">
        <v>947</v>
      </c>
      <c r="G8" s="330"/>
      <c r="H8" s="25" t="s">
        <v>31</v>
      </c>
      <c r="I8" s="301"/>
      <c r="J8" s="301"/>
      <c r="K8" s="301">
        <v>2.2400000000000002</v>
      </c>
      <c r="L8" s="301">
        <v>2.2400000000000002</v>
      </c>
      <c r="M8" s="301">
        <v>1</v>
      </c>
      <c r="N8" s="301" t="s">
        <v>33</v>
      </c>
      <c r="O8" s="303">
        <f t="shared" si="2"/>
        <v>28.896000000000001</v>
      </c>
      <c r="P8" s="303">
        <f t="shared" si="3"/>
        <v>33.712000000000003</v>
      </c>
      <c r="Q8" s="303">
        <f t="shared" si="4"/>
        <v>19.264000000000003</v>
      </c>
      <c r="R8" s="303">
        <f t="shared" si="5"/>
        <v>14.448</v>
      </c>
      <c r="S8" s="292">
        <v>96.320000000000007</v>
      </c>
      <c r="T8" s="282">
        <v>105991.94</v>
      </c>
      <c r="U8" s="283">
        <v>237421.94560000004</v>
      </c>
      <c r="V8" s="276"/>
      <c r="W8" s="276"/>
      <c r="X8" s="301" t="s">
        <v>928</v>
      </c>
      <c r="Y8" s="301">
        <v>73449</v>
      </c>
      <c r="Z8" s="272" t="s">
        <v>948</v>
      </c>
      <c r="AA8" s="270" t="s">
        <v>947</v>
      </c>
      <c r="AB8" s="268">
        <v>1</v>
      </c>
      <c r="AC8" s="273">
        <v>3452</v>
      </c>
      <c r="AD8" s="276"/>
      <c r="AE8" s="276"/>
      <c r="AF8" s="276"/>
      <c r="AG8" s="197">
        <f t="shared" si="6"/>
        <v>0.67200000000000004</v>
      </c>
      <c r="AH8" s="64">
        <f t="shared" si="7"/>
        <v>0.78400000000000003</v>
      </c>
      <c r="AI8" s="48"/>
      <c r="AJ8" s="49"/>
      <c r="AK8" s="51"/>
      <c r="AL8" s="48"/>
      <c r="AM8" s="64">
        <f t="shared" si="8"/>
        <v>0.44800000000000006</v>
      </c>
      <c r="AN8" s="59"/>
      <c r="AO8" s="58"/>
      <c r="AP8" s="42"/>
      <c r="AQ8" s="42"/>
      <c r="AR8" s="59"/>
      <c r="AT8" s="455" t="s">
        <v>658</v>
      </c>
      <c r="AU8" s="456"/>
      <c r="AV8" s="224" t="s">
        <v>659</v>
      </c>
    </row>
    <row r="9" spans="1:49" ht="45" x14ac:dyDescent="0.25">
      <c r="A9" s="301">
        <v>6</v>
      </c>
      <c r="B9" s="25" t="s">
        <v>28</v>
      </c>
      <c r="C9" s="28" t="s">
        <v>29</v>
      </c>
      <c r="D9" s="302" t="s">
        <v>946</v>
      </c>
      <c r="E9" s="195"/>
      <c r="F9" s="25" t="s">
        <v>949</v>
      </c>
      <c r="G9" s="195"/>
      <c r="H9" s="25" t="s">
        <v>31</v>
      </c>
      <c r="I9" s="301"/>
      <c r="J9" s="301"/>
      <c r="K9" s="301">
        <v>2.08</v>
      </c>
      <c r="L9" s="301">
        <v>2.08</v>
      </c>
      <c r="M9" s="301">
        <v>1</v>
      </c>
      <c r="N9" s="301" t="s">
        <v>33</v>
      </c>
      <c r="O9" s="303">
        <f t="shared" si="2"/>
        <v>26.831999999999997</v>
      </c>
      <c r="P9" s="303">
        <f t="shared" si="3"/>
        <v>31.303999999999998</v>
      </c>
      <c r="Q9" s="303">
        <f t="shared" si="4"/>
        <v>17.888000000000002</v>
      </c>
      <c r="R9" s="303">
        <f t="shared" si="5"/>
        <v>13.415999999999999</v>
      </c>
      <c r="S9" s="292">
        <v>89.44</v>
      </c>
      <c r="T9" s="282">
        <v>105991.94</v>
      </c>
      <c r="U9" s="283">
        <v>220463.23520000002</v>
      </c>
      <c r="V9" s="172"/>
      <c r="W9" s="172"/>
      <c r="X9" s="290" t="s">
        <v>925</v>
      </c>
      <c r="Y9" s="301">
        <v>73449</v>
      </c>
      <c r="Z9" s="272" t="s">
        <v>948</v>
      </c>
      <c r="AA9" s="9" t="s">
        <v>949</v>
      </c>
      <c r="AB9" s="9">
        <v>2</v>
      </c>
      <c r="AC9" s="268">
        <v>3452</v>
      </c>
      <c r="AD9" s="172"/>
      <c r="AE9" s="172"/>
      <c r="AF9" s="172"/>
      <c r="AG9" s="197">
        <f t="shared" si="6"/>
        <v>0.624</v>
      </c>
      <c r="AH9" s="64">
        <f t="shared" si="7"/>
        <v>0.72799999999999998</v>
      </c>
      <c r="AI9" s="48"/>
      <c r="AJ9" s="49"/>
      <c r="AK9" s="51"/>
      <c r="AL9" s="48"/>
      <c r="AM9" s="64">
        <f t="shared" si="8"/>
        <v>0.41600000000000004</v>
      </c>
      <c r="AN9" s="59"/>
      <c r="AO9" s="58"/>
      <c r="AP9" s="42"/>
      <c r="AQ9" s="42"/>
      <c r="AR9" s="59"/>
      <c r="AT9" s="226" t="s">
        <v>660</v>
      </c>
      <c r="AU9" s="227">
        <v>0.05</v>
      </c>
      <c r="AV9" s="228">
        <v>81</v>
      </c>
    </row>
    <row r="10" spans="1:49" ht="45" x14ac:dyDescent="0.25">
      <c r="A10" s="301">
        <v>7</v>
      </c>
      <c r="B10" s="25" t="s">
        <v>28</v>
      </c>
      <c r="C10" s="28" t="s">
        <v>29</v>
      </c>
      <c r="D10" s="302" t="s">
        <v>946</v>
      </c>
      <c r="E10" s="195"/>
      <c r="F10" s="25" t="s">
        <v>950</v>
      </c>
      <c r="G10" s="195"/>
      <c r="H10" s="25" t="s">
        <v>31</v>
      </c>
      <c r="I10" s="301"/>
      <c r="J10" s="301"/>
      <c r="K10" s="301">
        <v>0.39</v>
      </c>
      <c r="L10" s="301">
        <v>0.78</v>
      </c>
      <c r="M10" s="301">
        <v>2</v>
      </c>
      <c r="N10" s="301" t="s">
        <v>33</v>
      </c>
      <c r="O10" s="303">
        <f t="shared" si="2"/>
        <v>12.87</v>
      </c>
      <c r="P10" s="303">
        <f t="shared" si="3"/>
        <v>15.014999999999999</v>
      </c>
      <c r="Q10" s="303">
        <f t="shared" si="4"/>
        <v>8.58</v>
      </c>
      <c r="R10" s="303">
        <f t="shared" si="5"/>
        <v>6.4349999999999996</v>
      </c>
      <c r="S10" s="292">
        <v>42.9</v>
      </c>
      <c r="T10" s="282">
        <v>105991.94</v>
      </c>
      <c r="U10" s="283">
        <v>82673.713199999998</v>
      </c>
      <c r="V10" s="172"/>
      <c r="W10" s="172"/>
      <c r="X10" s="301" t="s">
        <v>951</v>
      </c>
      <c r="Y10" s="301">
        <v>73449</v>
      </c>
      <c r="Z10" s="272" t="s">
        <v>948</v>
      </c>
      <c r="AA10" s="9" t="s">
        <v>950</v>
      </c>
      <c r="AB10" s="9">
        <v>3</v>
      </c>
      <c r="AC10" s="268">
        <v>3452</v>
      </c>
      <c r="AD10" s="172"/>
      <c r="AE10" s="172"/>
      <c r="AF10" s="172"/>
      <c r="AG10" s="197">
        <f t="shared" si="6"/>
        <v>0.23399999999999999</v>
      </c>
      <c r="AH10" s="64">
        <f t="shared" si="7"/>
        <v>0.27299999999999996</v>
      </c>
      <c r="AI10" s="48"/>
      <c r="AJ10" s="49"/>
      <c r="AK10" s="51"/>
      <c r="AL10" s="48"/>
      <c r="AM10" s="64">
        <f t="shared" si="8"/>
        <v>0.15600000000000003</v>
      </c>
      <c r="AN10" s="59"/>
      <c r="AO10" s="58"/>
      <c r="AP10" s="42"/>
      <c r="AQ10" s="42"/>
      <c r="AR10" s="59"/>
      <c r="AT10" s="229">
        <v>0.05</v>
      </c>
      <c r="AU10" s="230">
        <v>0.1</v>
      </c>
      <c r="AV10" s="231">
        <v>66</v>
      </c>
    </row>
    <row r="11" spans="1:49" ht="45" x14ac:dyDescent="0.25">
      <c r="A11" s="301">
        <v>8</v>
      </c>
      <c r="B11" s="25" t="s">
        <v>28</v>
      </c>
      <c r="C11" s="28" t="s">
        <v>29</v>
      </c>
      <c r="D11" s="302" t="s">
        <v>946</v>
      </c>
      <c r="E11" s="195"/>
      <c r="F11" s="28" t="s">
        <v>947</v>
      </c>
      <c r="G11" s="195"/>
      <c r="H11" s="25" t="s">
        <v>31</v>
      </c>
      <c r="I11" s="301"/>
      <c r="J11" s="301"/>
      <c r="K11" s="301">
        <v>2.34</v>
      </c>
      <c r="L11" s="301">
        <v>2.34</v>
      </c>
      <c r="M11" s="301">
        <v>1</v>
      </c>
      <c r="N11" s="301" t="s">
        <v>33</v>
      </c>
      <c r="O11" s="303">
        <f t="shared" si="2"/>
        <v>30.185999999999996</v>
      </c>
      <c r="P11" s="303">
        <f t="shared" si="3"/>
        <v>35.216999999999992</v>
      </c>
      <c r="Q11" s="303">
        <f t="shared" si="4"/>
        <v>20.123999999999999</v>
      </c>
      <c r="R11" s="303">
        <f t="shared" si="5"/>
        <v>15.092999999999998</v>
      </c>
      <c r="S11" s="292">
        <v>100.61999999999999</v>
      </c>
      <c r="T11" s="282">
        <v>105991.94</v>
      </c>
      <c r="U11" s="283">
        <v>248021.13959999999</v>
      </c>
      <c r="V11" s="172"/>
      <c r="W11" s="172"/>
      <c r="X11" s="301" t="s">
        <v>927</v>
      </c>
      <c r="Y11" s="301">
        <v>73450</v>
      </c>
      <c r="Z11" s="272" t="s">
        <v>948</v>
      </c>
      <c r="AA11" s="15" t="s">
        <v>947</v>
      </c>
      <c r="AB11" s="268">
        <v>1</v>
      </c>
      <c r="AC11" s="268">
        <v>3452</v>
      </c>
      <c r="AD11" s="172"/>
      <c r="AE11" s="172"/>
      <c r="AF11" s="172"/>
      <c r="AG11" s="197">
        <f t="shared" si="6"/>
        <v>0.70199999999999996</v>
      </c>
      <c r="AH11" s="64">
        <f t="shared" si="7"/>
        <v>0.81899999999999995</v>
      </c>
      <c r="AI11" s="48"/>
      <c r="AJ11" s="49"/>
      <c r="AK11" s="51"/>
      <c r="AL11" s="48"/>
      <c r="AM11" s="64">
        <f t="shared" si="8"/>
        <v>0.46799999999999997</v>
      </c>
      <c r="AN11" s="59"/>
      <c r="AO11" s="58"/>
      <c r="AP11" s="42"/>
      <c r="AQ11" s="42"/>
      <c r="AR11" s="59"/>
      <c r="AT11" s="229">
        <v>0.1</v>
      </c>
      <c r="AU11" s="230">
        <v>0.5</v>
      </c>
      <c r="AV11" s="231">
        <v>55</v>
      </c>
    </row>
    <row r="12" spans="1:49" ht="45" x14ac:dyDescent="0.25">
      <c r="A12" s="301">
        <v>9</v>
      </c>
      <c r="B12" s="25" t="s">
        <v>28</v>
      </c>
      <c r="C12" s="28" t="s">
        <v>29</v>
      </c>
      <c r="D12" s="302" t="s">
        <v>946</v>
      </c>
      <c r="E12" s="195"/>
      <c r="F12" s="25" t="s">
        <v>949</v>
      </c>
      <c r="G12" s="195"/>
      <c r="H12" s="25" t="s">
        <v>31</v>
      </c>
      <c r="I12" s="301"/>
      <c r="J12" s="301"/>
      <c r="K12" s="301">
        <v>2.08</v>
      </c>
      <c r="L12" s="301">
        <v>2.08</v>
      </c>
      <c r="M12" s="301">
        <v>1</v>
      </c>
      <c r="N12" s="301" t="s">
        <v>33</v>
      </c>
      <c r="O12" s="303">
        <f t="shared" si="2"/>
        <v>26.831999999999997</v>
      </c>
      <c r="P12" s="303">
        <f t="shared" si="3"/>
        <v>31.303999999999998</v>
      </c>
      <c r="Q12" s="303">
        <f t="shared" si="4"/>
        <v>17.888000000000002</v>
      </c>
      <c r="R12" s="303">
        <f t="shared" si="5"/>
        <v>13.415999999999999</v>
      </c>
      <c r="S12" s="292">
        <v>89.44</v>
      </c>
      <c r="T12" s="282">
        <v>105991.94</v>
      </c>
      <c r="U12" s="283">
        <v>220463.23520000002</v>
      </c>
      <c r="V12" s="172"/>
      <c r="W12" s="172"/>
      <c r="X12" s="290" t="s">
        <v>925</v>
      </c>
      <c r="Y12" s="301">
        <v>73450</v>
      </c>
      <c r="Z12" s="272" t="s">
        <v>948</v>
      </c>
      <c r="AA12" s="9" t="s">
        <v>949</v>
      </c>
      <c r="AB12" s="9">
        <v>2</v>
      </c>
      <c r="AC12" s="268">
        <v>3452</v>
      </c>
      <c r="AD12" s="172"/>
      <c r="AE12" s="172"/>
      <c r="AF12" s="172"/>
      <c r="AG12" s="197">
        <f t="shared" si="6"/>
        <v>0.624</v>
      </c>
      <c r="AH12" s="64">
        <f t="shared" si="7"/>
        <v>0.72799999999999998</v>
      </c>
      <c r="AI12" s="48"/>
      <c r="AJ12" s="49"/>
      <c r="AK12" s="51"/>
      <c r="AL12" s="48"/>
      <c r="AM12" s="64">
        <f t="shared" si="8"/>
        <v>0.41600000000000004</v>
      </c>
      <c r="AN12" s="59"/>
      <c r="AO12" s="58"/>
      <c r="AP12" s="42"/>
      <c r="AQ12" s="42"/>
      <c r="AR12" s="59"/>
      <c r="AT12" s="229">
        <v>0.5</v>
      </c>
      <c r="AU12" s="230">
        <v>1</v>
      </c>
      <c r="AV12" s="231">
        <v>47</v>
      </c>
    </row>
    <row r="13" spans="1:49" ht="45" x14ac:dyDescent="0.25">
      <c r="A13" s="301">
        <v>10</v>
      </c>
      <c r="B13" s="25" t="s">
        <v>28</v>
      </c>
      <c r="C13" s="28" t="s">
        <v>29</v>
      </c>
      <c r="D13" s="302" t="s">
        <v>946</v>
      </c>
      <c r="E13" s="195"/>
      <c r="F13" s="25" t="s">
        <v>950</v>
      </c>
      <c r="G13" s="195"/>
      <c r="H13" s="25" t="s">
        <v>31</v>
      </c>
      <c r="I13" s="301"/>
      <c r="J13" s="301"/>
      <c r="K13" s="301">
        <v>0.39</v>
      </c>
      <c r="L13" s="301">
        <v>0.78</v>
      </c>
      <c r="M13" s="301">
        <v>2</v>
      </c>
      <c r="N13" s="301" t="s">
        <v>33</v>
      </c>
      <c r="O13" s="303">
        <f t="shared" si="2"/>
        <v>12.87</v>
      </c>
      <c r="P13" s="303">
        <f t="shared" si="3"/>
        <v>15.014999999999999</v>
      </c>
      <c r="Q13" s="303">
        <f t="shared" si="4"/>
        <v>8.58</v>
      </c>
      <c r="R13" s="303">
        <f t="shared" si="5"/>
        <v>6.4349999999999996</v>
      </c>
      <c r="S13" s="292">
        <v>42.9</v>
      </c>
      <c r="T13" s="282">
        <v>105991.94</v>
      </c>
      <c r="U13" s="283">
        <v>82673.713199999998</v>
      </c>
      <c r="V13" s="172"/>
      <c r="W13" s="172"/>
      <c r="X13" s="301" t="s">
        <v>844</v>
      </c>
      <c r="Y13" s="301">
        <v>73450</v>
      </c>
      <c r="Z13" s="272" t="s">
        <v>948</v>
      </c>
      <c r="AA13" s="9" t="s">
        <v>950</v>
      </c>
      <c r="AB13" s="9">
        <v>3</v>
      </c>
      <c r="AC13" s="268">
        <v>3452</v>
      </c>
      <c r="AD13" s="172"/>
      <c r="AE13" s="172"/>
      <c r="AF13" s="172"/>
      <c r="AG13" s="197">
        <f t="shared" si="6"/>
        <v>0.23399999999999999</v>
      </c>
      <c r="AH13" s="64">
        <f t="shared" si="7"/>
        <v>0.27299999999999996</v>
      </c>
      <c r="AI13" s="48"/>
      <c r="AJ13" s="49"/>
      <c r="AK13" s="51"/>
      <c r="AL13" s="48"/>
      <c r="AM13" s="64">
        <f t="shared" si="8"/>
        <v>0.15600000000000003</v>
      </c>
      <c r="AN13" s="59"/>
      <c r="AO13" s="58"/>
      <c r="AP13" s="42"/>
      <c r="AQ13" s="42"/>
      <c r="AR13" s="59"/>
      <c r="AT13" s="229">
        <v>1</v>
      </c>
      <c r="AU13" s="230">
        <v>5</v>
      </c>
      <c r="AV13" s="231">
        <v>43</v>
      </c>
    </row>
    <row r="14" spans="1:49" ht="45" x14ac:dyDescent="0.25">
      <c r="A14" s="301">
        <v>11</v>
      </c>
      <c r="B14" s="25" t="s">
        <v>28</v>
      </c>
      <c r="C14" s="28" t="s">
        <v>29</v>
      </c>
      <c r="D14" s="302" t="s">
        <v>946</v>
      </c>
      <c r="E14" s="195"/>
      <c r="F14" s="25" t="s">
        <v>950</v>
      </c>
      <c r="G14" s="195"/>
      <c r="H14" s="25" t="s">
        <v>31</v>
      </c>
      <c r="I14" s="301"/>
      <c r="J14" s="301"/>
      <c r="K14" s="301">
        <v>0.39</v>
      </c>
      <c r="L14" s="301">
        <v>1.17</v>
      </c>
      <c r="M14" s="301">
        <v>3</v>
      </c>
      <c r="N14" s="301" t="s">
        <v>33</v>
      </c>
      <c r="O14" s="303">
        <f t="shared" si="2"/>
        <v>19.304999999999996</v>
      </c>
      <c r="P14" s="303">
        <f t="shared" si="3"/>
        <v>22.522499999999997</v>
      </c>
      <c r="Q14" s="303">
        <f t="shared" si="4"/>
        <v>12.87</v>
      </c>
      <c r="R14" s="303">
        <f t="shared" si="5"/>
        <v>9.6524999999999981</v>
      </c>
      <c r="S14" s="292">
        <v>64.349999999999994</v>
      </c>
      <c r="T14" s="282">
        <v>105991.94</v>
      </c>
      <c r="U14" s="283">
        <v>124010.5698</v>
      </c>
      <c r="V14" s="172"/>
      <c r="W14" s="172"/>
      <c r="X14" s="301" t="s">
        <v>844</v>
      </c>
      <c r="Y14" s="301">
        <v>73455</v>
      </c>
      <c r="Z14" s="284" t="s">
        <v>948</v>
      </c>
      <c r="AA14" s="9" t="s">
        <v>950</v>
      </c>
      <c r="AB14" s="268">
        <v>1</v>
      </c>
      <c r="AC14" s="268">
        <v>3452</v>
      </c>
      <c r="AD14" s="172"/>
      <c r="AE14" s="172"/>
      <c r="AF14" s="172"/>
      <c r="AG14" s="197">
        <f t="shared" si="6"/>
        <v>0.35099999999999998</v>
      </c>
      <c r="AH14" s="48"/>
      <c r="AI14" s="48"/>
      <c r="AJ14" s="49"/>
      <c r="AK14" s="51"/>
      <c r="AL14" s="263"/>
      <c r="AM14" s="263"/>
      <c r="AN14" s="59"/>
      <c r="AO14" s="58"/>
      <c r="AP14" s="42"/>
      <c r="AQ14" s="42"/>
      <c r="AR14" s="59"/>
      <c r="AS14" s="180" t="s">
        <v>498</v>
      </c>
      <c r="AT14" s="229">
        <v>5</v>
      </c>
      <c r="AU14" s="230">
        <v>10</v>
      </c>
      <c r="AV14" s="231">
        <v>33</v>
      </c>
    </row>
    <row r="15" spans="1:49" ht="45.75" thickBot="1" x14ac:dyDescent="0.3">
      <c r="A15" s="301">
        <v>12</v>
      </c>
      <c r="B15" s="25" t="s">
        <v>28</v>
      </c>
      <c r="C15" s="28" t="s">
        <v>29</v>
      </c>
      <c r="D15" s="302" t="s">
        <v>946</v>
      </c>
      <c r="E15" s="195"/>
      <c r="F15" s="25" t="s">
        <v>949</v>
      </c>
      <c r="G15" s="195"/>
      <c r="H15" s="25" t="s">
        <v>31</v>
      </c>
      <c r="I15" s="301"/>
      <c r="J15" s="301"/>
      <c r="K15" s="301">
        <v>7.1440000000000001</v>
      </c>
      <c r="L15" s="301">
        <v>7.1440000000000001</v>
      </c>
      <c r="M15" s="301">
        <v>1</v>
      </c>
      <c r="N15" s="301" t="s">
        <v>33</v>
      </c>
      <c r="O15" s="303">
        <f t="shared" si="2"/>
        <v>70.7256</v>
      </c>
      <c r="P15" s="303">
        <f t="shared" si="3"/>
        <v>82.513199999999998</v>
      </c>
      <c r="Q15" s="303">
        <f t="shared" si="4"/>
        <v>47.150400000000005</v>
      </c>
      <c r="R15" s="303">
        <f t="shared" si="5"/>
        <v>35.3628</v>
      </c>
      <c r="S15" s="292">
        <v>235.75200000000001</v>
      </c>
      <c r="T15" s="282">
        <v>105991.94</v>
      </c>
      <c r="U15" s="283">
        <v>757206.41936000006</v>
      </c>
      <c r="V15" s="172"/>
      <c r="W15" s="172"/>
      <c r="X15" s="290" t="s">
        <v>929</v>
      </c>
      <c r="Y15" s="301">
        <v>73455</v>
      </c>
      <c r="Z15" s="284" t="s">
        <v>948</v>
      </c>
      <c r="AA15" s="9" t="s">
        <v>949</v>
      </c>
      <c r="AB15" s="9">
        <v>2</v>
      </c>
      <c r="AC15" s="268">
        <v>3452</v>
      </c>
      <c r="AD15" s="172"/>
      <c r="AE15" s="172"/>
      <c r="AF15" s="172"/>
      <c r="AG15" s="197">
        <f t="shared" si="6"/>
        <v>2.1431999999999998</v>
      </c>
      <c r="AH15" s="48"/>
      <c r="AI15" s="48"/>
      <c r="AJ15" s="49"/>
      <c r="AK15" s="51"/>
      <c r="AL15" s="263"/>
      <c r="AM15" s="263"/>
      <c r="AN15" s="59"/>
      <c r="AO15" s="58"/>
      <c r="AP15" s="42"/>
      <c r="AQ15" s="42"/>
      <c r="AR15" s="59"/>
      <c r="AS15" s="180" t="s">
        <v>498</v>
      </c>
      <c r="AT15" s="232" t="s">
        <v>669</v>
      </c>
      <c r="AU15" s="233">
        <v>10</v>
      </c>
      <c r="AV15" s="234">
        <v>22</v>
      </c>
    </row>
    <row r="16" spans="1:49" ht="45" x14ac:dyDescent="0.25">
      <c r="A16" s="301">
        <v>13</v>
      </c>
      <c r="B16" s="25" t="s">
        <v>28</v>
      </c>
      <c r="C16" s="28" t="s">
        <v>29</v>
      </c>
      <c r="D16" s="302" t="s">
        <v>946</v>
      </c>
      <c r="E16" s="195"/>
      <c r="F16" s="25" t="s">
        <v>168</v>
      </c>
      <c r="G16" s="195"/>
      <c r="H16" s="25" t="s">
        <v>31</v>
      </c>
      <c r="I16" s="301"/>
      <c r="J16" s="301"/>
      <c r="K16" s="301">
        <v>2.1859999999999999</v>
      </c>
      <c r="L16" s="301">
        <v>2.1859999999999999</v>
      </c>
      <c r="M16" s="301">
        <v>1</v>
      </c>
      <c r="N16" s="301" t="s">
        <v>33</v>
      </c>
      <c r="O16" s="303">
        <f t="shared" si="2"/>
        <v>28.199399999999997</v>
      </c>
      <c r="P16" s="303">
        <f t="shared" si="3"/>
        <v>32.899299999999997</v>
      </c>
      <c r="Q16" s="303">
        <f t="shared" si="4"/>
        <v>18.799599999999998</v>
      </c>
      <c r="R16" s="303">
        <f t="shared" si="5"/>
        <v>14.099699999999999</v>
      </c>
      <c r="S16" s="292">
        <v>93.99799999999999</v>
      </c>
      <c r="T16" s="282">
        <v>105991.94</v>
      </c>
      <c r="U16" s="283">
        <v>231698.38084</v>
      </c>
      <c r="V16" s="172"/>
      <c r="W16" s="172"/>
      <c r="X16" s="301" t="s">
        <v>930</v>
      </c>
      <c r="Y16" s="301">
        <v>73455</v>
      </c>
      <c r="Z16" s="284" t="s">
        <v>948</v>
      </c>
      <c r="AA16" s="9" t="s">
        <v>168</v>
      </c>
      <c r="AB16" s="9">
        <v>3</v>
      </c>
      <c r="AC16" s="268">
        <v>3481</v>
      </c>
      <c r="AD16" s="172"/>
      <c r="AE16" s="172"/>
      <c r="AF16" s="172"/>
      <c r="AG16" s="197">
        <f t="shared" si="6"/>
        <v>0.65579999999999994</v>
      </c>
      <c r="AH16" s="48"/>
      <c r="AI16" s="48"/>
      <c r="AJ16" s="49"/>
      <c r="AK16" s="51"/>
      <c r="AL16" s="263"/>
      <c r="AM16" s="263"/>
      <c r="AN16" s="59"/>
      <c r="AO16" s="58"/>
      <c r="AP16" s="42"/>
      <c r="AQ16" s="42"/>
      <c r="AR16" s="59"/>
    </row>
    <row r="17" spans="1:44" ht="45" x14ac:dyDescent="0.25">
      <c r="A17" s="301">
        <v>14</v>
      </c>
      <c r="B17" s="25" t="s">
        <v>28</v>
      </c>
      <c r="C17" s="28" t="s">
        <v>29</v>
      </c>
      <c r="D17" s="302" t="s">
        <v>946</v>
      </c>
      <c r="E17" s="195"/>
      <c r="F17" s="25" t="s">
        <v>950</v>
      </c>
      <c r="G17" s="195"/>
      <c r="H17" s="25" t="s">
        <v>31</v>
      </c>
      <c r="I17" s="301"/>
      <c r="J17" s="301"/>
      <c r="K17" s="301">
        <v>0.39</v>
      </c>
      <c r="L17" s="301">
        <v>1.17</v>
      </c>
      <c r="M17" s="301">
        <v>3</v>
      </c>
      <c r="N17" s="301" t="s">
        <v>33</v>
      </c>
      <c r="O17" s="303">
        <f t="shared" si="2"/>
        <v>19.304999999999996</v>
      </c>
      <c r="P17" s="303">
        <f t="shared" si="3"/>
        <v>22.522499999999997</v>
      </c>
      <c r="Q17" s="303">
        <f t="shared" si="4"/>
        <v>12.87</v>
      </c>
      <c r="R17" s="303">
        <f t="shared" si="5"/>
        <v>9.6524999999999981</v>
      </c>
      <c r="S17" s="292">
        <v>64.349999999999994</v>
      </c>
      <c r="T17" s="282">
        <v>105991.94</v>
      </c>
      <c r="U17" s="283">
        <v>124010.5698</v>
      </c>
      <c r="V17" s="172"/>
      <c r="W17" s="172"/>
      <c r="X17" s="301" t="s">
        <v>844</v>
      </c>
      <c r="Y17" s="301">
        <v>73456</v>
      </c>
      <c r="Z17" s="284" t="s">
        <v>948</v>
      </c>
      <c r="AA17" s="9" t="s">
        <v>950</v>
      </c>
      <c r="AB17" s="268">
        <v>1</v>
      </c>
      <c r="AC17" s="268">
        <v>3452</v>
      </c>
      <c r="AD17" s="172"/>
      <c r="AE17" s="172"/>
      <c r="AF17" s="172"/>
      <c r="AG17" s="197">
        <f t="shared" si="6"/>
        <v>0.35099999999999998</v>
      </c>
      <c r="AH17" s="48"/>
      <c r="AI17" s="48"/>
      <c r="AJ17" s="49"/>
      <c r="AK17" s="51"/>
      <c r="AL17" s="263"/>
      <c r="AM17" s="263"/>
      <c r="AN17" s="59"/>
      <c r="AO17" s="58"/>
      <c r="AP17" s="42"/>
      <c r="AQ17" s="42"/>
      <c r="AR17" s="59"/>
    </row>
    <row r="18" spans="1:44" ht="45" x14ac:dyDescent="0.25">
      <c r="A18" s="301">
        <v>15</v>
      </c>
      <c r="B18" s="25" t="s">
        <v>28</v>
      </c>
      <c r="C18" s="28" t="s">
        <v>29</v>
      </c>
      <c r="D18" s="302" t="s">
        <v>946</v>
      </c>
      <c r="E18" s="195"/>
      <c r="F18" s="25" t="s">
        <v>949</v>
      </c>
      <c r="G18" s="195"/>
      <c r="H18" s="25" t="s">
        <v>31</v>
      </c>
      <c r="I18" s="301"/>
      <c r="J18" s="301"/>
      <c r="K18" s="301">
        <v>7.2839999999999998</v>
      </c>
      <c r="L18" s="301">
        <v>7.2839999999999998</v>
      </c>
      <c r="M18" s="301">
        <v>1</v>
      </c>
      <c r="N18" s="301" t="s">
        <v>33</v>
      </c>
      <c r="O18" s="303">
        <f t="shared" si="2"/>
        <v>72.111599999999996</v>
      </c>
      <c r="P18" s="303">
        <f t="shared" si="3"/>
        <v>84.130199999999988</v>
      </c>
      <c r="Q18" s="303">
        <f t="shared" si="4"/>
        <v>48.074399999999997</v>
      </c>
      <c r="R18" s="303">
        <f t="shared" si="5"/>
        <v>36.055799999999998</v>
      </c>
      <c r="S18" s="292">
        <v>240.37199999999999</v>
      </c>
      <c r="T18" s="282">
        <v>105991.94</v>
      </c>
      <c r="U18" s="283">
        <v>772045.29096000001</v>
      </c>
      <c r="V18" s="172"/>
      <c r="W18" s="172"/>
      <c r="X18" s="290" t="s">
        <v>929</v>
      </c>
      <c r="Y18" s="301">
        <v>73456</v>
      </c>
      <c r="Z18" s="284" t="s">
        <v>948</v>
      </c>
      <c r="AA18" s="9" t="s">
        <v>949</v>
      </c>
      <c r="AB18" s="9">
        <v>2</v>
      </c>
      <c r="AC18" s="268">
        <v>3452</v>
      </c>
      <c r="AD18" s="172"/>
      <c r="AE18" s="172"/>
      <c r="AF18" s="172"/>
      <c r="AG18" s="197">
        <f t="shared" si="6"/>
        <v>2.1852</v>
      </c>
      <c r="AH18" s="48"/>
      <c r="AI18" s="48"/>
      <c r="AJ18" s="49"/>
      <c r="AK18" s="51"/>
      <c r="AL18" s="263"/>
      <c r="AM18" s="263"/>
      <c r="AN18" s="59"/>
      <c r="AO18" s="58"/>
      <c r="AP18" s="42"/>
      <c r="AQ18" s="42"/>
      <c r="AR18" s="59"/>
    </row>
    <row r="19" spans="1:44" ht="45" x14ac:dyDescent="0.25">
      <c r="A19" s="301">
        <v>16</v>
      </c>
      <c r="B19" s="25" t="s">
        <v>28</v>
      </c>
      <c r="C19" s="28" t="s">
        <v>29</v>
      </c>
      <c r="D19" s="302" t="s">
        <v>946</v>
      </c>
      <c r="E19" s="195"/>
      <c r="F19" s="25" t="s">
        <v>168</v>
      </c>
      <c r="G19" s="195"/>
      <c r="H19" s="25" t="s">
        <v>31</v>
      </c>
      <c r="I19" s="301"/>
      <c r="J19" s="301"/>
      <c r="K19" s="301">
        <v>2.1459999999999999</v>
      </c>
      <c r="L19" s="301">
        <v>2.1459999999999999</v>
      </c>
      <c r="M19" s="301">
        <v>1</v>
      </c>
      <c r="N19" s="301" t="s">
        <v>33</v>
      </c>
      <c r="O19" s="303">
        <f t="shared" si="2"/>
        <v>27.683399999999995</v>
      </c>
      <c r="P19" s="303">
        <f t="shared" si="3"/>
        <v>32.297299999999993</v>
      </c>
      <c r="Q19" s="303">
        <f t="shared" si="4"/>
        <v>18.4556</v>
      </c>
      <c r="R19" s="303">
        <f t="shared" si="5"/>
        <v>13.841699999999998</v>
      </c>
      <c r="S19" s="292">
        <v>92.277999999999992</v>
      </c>
      <c r="T19" s="282">
        <v>105991.94</v>
      </c>
      <c r="U19" s="283">
        <v>227458.70324</v>
      </c>
      <c r="V19" s="172"/>
      <c r="W19" s="172"/>
      <c r="X19" s="301" t="s">
        <v>930</v>
      </c>
      <c r="Y19" s="301">
        <v>73456</v>
      </c>
      <c r="Z19" s="284" t="s">
        <v>948</v>
      </c>
      <c r="AA19" s="9" t="s">
        <v>168</v>
      </c>
      <c r="AB19" s="9">
        <v>3</v>
      </c>
      <c r="AC19" s="268">
        <v>3481</v>
      </c>
      <c r="AD19" s="172"/>
      <c r="AE19" s="172"/>
      <c r="AF19" s="172"/>
      <c r="AG19" s="197">
        <f t="shared" si="6"/>
        <v>0.64379999999999993</v>
      </c>
      <c r="AH19" s="48"/>
      <c r="AI19" s="48"/>
      <c r="AJ19" s="49"/>
      <c r="AK19" s="51"/>
      <c r="AL19" s="263"/>
      <c r="AM19" s="263"/>
      <c r="AN19" s="59"/>
      <c r="AO19" s="58"/>
      <c r="AP19" s="42"/>
      <c r="AQ19" s="42"/>
      <c r="AR19" s="59"/>
    </row>
    <row r="20" spans="1:44" ht="45" x14ac:dyDescent="0.25">
      <c r="A20" s="301">
        <v>17</v>
      </c>
      <c r="B20" s="25" t="s">
        <v>28</v>
      </c>
      <c r="C20" s="28" t="s">
        <v>29</v>
      </c>
      <c r="D20" s="302" t="s">
        <v>946</v>
      </c>
      <c r="E20" s="195"/>
      <c r="F20" s="25" t="s">
        <v>950</v>
      </c>
      <c r="G20" s="195"/>
      <c r="H20" s="25" t="s">
        <v>31</v>
      </c>
      <c r="I20" s="301"/>
      <c r="J20" s="301"/>
      <c r="K20" s="301">
        <v>0.39</v>
      </c>
      <c r="L20" s="301">
        <v>1.17</v>
      </c>
      <c r="M20" s="301">
        <v>3</v>
      </c>
      <c r="N20" s="301" t="s">
        <v>33</v>
      </c>
      <c r="O20" s="303">
        <f t="shared" si="2"/>
        <v>19.304999999999996</v>
      </c>
      <c r="P20" s="303">
        <f t="shared" si="3"/>
        <v>22.522499999999997</v>
      </c>
      <c r="Q20" s="303">
        <f t="shared" si="4"/>
        <v>12.87</v>
      </c>
      <c r="R20" s="303">
        <f t="shared" si="5"/>
        <v>9.6524999999999981</v>
      </c>
      <c r="S20" s="292">
        <v>64.349999999999994</v>
      </c>
      <c r="T20" s="282">
        <v>105991.94</v>
      </c>
      <c r="U20" s="283">
        <v>124010.5698</v>
      </c>
      <c r="V20" s="172"/>
      <c r="W20" s="172"/>
      <c r="X20" s="301" t="s">
        <v>951</v>
      </c>
      <c r="Y20" s="301">
        <v>73457</v>
      </c>
      <c r="Z20" s="272" t="s">
        <v>948</v>
      </c>
      <c r="AA20" s="9" t="s">
        <v>950</v>
      </c>
      <c r="AB20" s="268">
        <v>1</v>
      </c>
      <c r="AC20" s="268">
        <v>3452</v>
      </c>
      <c r="AD20" s="172"/>
      <c r="AE20" s="172"/>
      <c r="AF20" s="172"/>
      <c r="AG20" s="51"/>
      <c r="AH20" s="48"/>
      <c r="AI20" s="48"/>
      <c r="AJ20" s="49"/>
      <c r="AK20" s="46">
        <f>L20*0.3</f>
        <v>0.35099999999999998</v>
      </c>
      <c r="AL20" s="263"/>
      <c r="AM20" s="263"/>
      <c r="AN20" s="59"/>
      <c r="AO20" s="58"/>
      <c r="AP20" s="42"/>
      <c r="AQ20" s="42"/>
      <c r="AR20" s="59"/>
    </row>
    <row r="21" spans="1:44" ht="45" x14ac:dyDescent="0.25">
      <c r="A21" s="301">
        <v>18</v>
      </c>
      <c r="B21" s="25" t="s">
        <v>28</v>
      </c>
      <c r="C21" s="28" t="s">
        <v>29</v>
      </c>
      <c r="D21" s="302" t="s">
        <v>946</v>
      </c>
      <c r="E21" s="195"/>
      <c r="F21" s="25" t="s">
        <v>949</v>
      </c>
      <c r="G21" s="195"/>
      <c r="H21" s="25" t="s">
        <v>31</v>
      </c>
      <c r="I21" s="301"/>
      <c r="J21" s="301"/>
      <c r="K21" s="301">
        <v>7.2839999999999998</v>
      </c>
      <c r="L21" s="301">
        <v>7.2839999999999998</v>
      </c>
      <c r="M21" s="301">
        <v>1</v>
      </c>
      <c r="N21" s="301" t="s">
        <v>33</v>
      </c>
      <c r="O21" s="303">
        <f t="shared" si="2"/>
        <v>72.111599999999996</v>
      </c>
      <c r="P21" s="303">
        <f t="shared" si="3"/>
        <v>84.130199999999988</v>
      </c>
      <c r="Q21" s="303">
        <f t="shared" si="4"/>
        <v>48.074399999999997</v>
      </c>
      <c r="R21" s="303">
        <f t="shared" si="5"/>
        <v>36.055799999999998</v>
      </c>
      <c r="S21" s="292">
        <v>240.37199999999999</v>
      </c>
      <c r="T21" s="282">
        <v>105991.94</v>
      </c>
      <c r="U21" s="283">
        <v>772045.29096000001</v>
      </c>
      <c r="V21" s="172"/>
      <c r="W21" s="172"/>
      <c r="X21" s="290" t="s">
        <v>929</v>
      </c>
      <c r="Y21" s="301">
        <v>73457</v>
      </c>
      <c r="Z21" s="272" t="s">
        <v>948</v>
      </c>
      <c r="AA21" s="9" t="s">
        <v>949</v>
      </c>
      <c r="AB21" s="9">
        <v>2</v>
      </c>
      <c r="AC21" s="268">
        <v>3452</v>
      </c>
      <c r="AD21" s="172"/>
      <c r="AE21" s="172"/>
      <c r="AF21" s="172"/>
      <c r="AG21" s="51"/>
      <c r="AH21" s="48"/>
      <c r="AI21" s="48"/>
      <c r="AJ21" s="49"/>
      <c r="AK21" s="46">
        <f t="shared" ref="AK21:AK31" si="9">L21*0.3</f>
        <v>2.1852</v>
      </c>
      <c r="AL21" s="263"/>
      <c r="AM21" s="263"/>
      <c r="AN21" s="59"/>
      <c r="AO21" s="58"/>
      <c r="AP21" s="42"/>
      <c r="AQ21" s="42"/>
      <c r="AR21" s="59"/>
    </row>
    <row r="22" spans="1:44" ht="45" x14ac:dyDescent="0.25">
      <c r="A22" s="301">
        <v>19</v>
      </c>
      <c r="B22" s="25" t="s">
        <v>28</v>
      </c>
      <c r="C22" s="28" t="s">
        <v>29</v>
      </c>
      <c r="D22" s="302" t="s">
        <v>946</v>
      </c>
      <c r="E22" s="195"/>
      <c r="F22" s="25" t="s">
        <v>168</v>
      </c>
      <c r="G22" s="195"/>
      <c r="H22" s="25" t="s">
        <v>31</v>
      </c>
      <c r="I22" s="301"/>
      <c r="J22" s="301"/>
      <c r="K22" s="301">
        <v>2.246</v>
      </c>
      <c r="L22" s="301">
        <v>2.246</v>
      </c>
      <c r="M22" s="301">
        <v>1</v>
      </c>
      <c r="N22" s="301" t="s">
        <v>33</v>
      </c>
      <c r="O22" s="303">
        <f t="shared" si="2"/>
        <v>28.973399999999998</v>
      </c>
      <c r="P22" s="303">
        <f t="shared" si="3"/>
        <v>33.802299999999995</v>
      </c>
      <c r="Q22" s="303">
        <f t="shared" si="4"/>
        <v>19.315600000000003</v>
      </c>
      <c r="R22" s="303">
        <f t="shared" si="5"/>
        <v>14.486699999999999</v>
      </c>
      <c r="S22" s="292">
        <v>96.578000000000003</v>
      </c>
      <c r="T22" s="282">
        <v>105991.94</v>
      </c>
      <c r="U22" s="283">
        <v>238057.89723999999</v>
      </c>
      <c r="V22" s="172"/>
      <c r="W22" s="172"/>
      <c r="X22" s="301" t="s">
        <v>930</v>
      </c>
      <c r="Y22" s="301">
        <v>73457</v>
      </c>
      <c r="Z22" s="272" t="s">
        <v>948</v>
      </c>
      <c r="AA22" s="9" t="s">
        <v>168</v>
      </c>
      <c r="AB22" s="9">
        <v>3</v>
      </c>
      <c r="AC22" s="268">
        <v>3481</v>
      </c>
      <c r="AD22" s="172"/>
      <c r="AE22" s="172"/>
      <c r="AF22" s="172"/>
      <c r="AG22" s="51"/>
      <c r="AH22" s="48"/>
      <c r="AI22" s="48"/>
      <c r="AJ22" s="49"/>
      <c r="AK22" s="46">
        <f t="shared" si="9"/>
        <v>0.67379999999999995</v>
      </c>
      <c r="AL22" s="263"/>
      <c r="AM22" s="263"/>
      <c r="AN22" s="59"/>
      <c r="AO22" s="58"/>
      <c r="AP22" s="42"/>
      <c r="AQ22" s="42"/>
      <c r="AR22" s="59"/>
    </row>
    <row r="23" spans="1:44" ht="45" x14ac:dyDescent="0.25">
      <c r="A23" s="301">
        <v>20</v>
      </c>
      <c r="B23" s="25" t="s">
        <v>28</v>
      </c>
      <c r="C23" s="28" t="s">
        <v>29</v>
      </c>
      <c r="D23" s="302" t="s">
        <v>946</v>
      </c>
      <c r="E23" s="195"/>
      <c r="F23" s="25" t="s">
        <v>950</v>
      </c>
      <c r="G23" s="195"/>
      <c r="H23" s="25" t="s">
        <v>31</v>
      </c>
      <c r="I23" s="301"/>
      <c r="J23" s="301"/>
      <c r="K23" s="301">
        <v>0.39</v>
      </c>
      <c r="L23" s="301">
        <v>0.78</v>
      </c>
      <c r="M23" s="301">
        <v>2</v>
      </c>
      <c r="N23" s="301" t="s">
        <v>33</v>
      </c>
      <c r="O23" s="303">
        <f t="shared" si="2"/>
        <v>12.87</v>
      </c>
      <c r="P23" s="303">
        <f t="shared" si="3"/>
        <v>15.014999999999999</v>
      </c>
      <c r="Q23" s="303">
        <f t="shared" si="4"/>
        <v>8.58</v>
      </c>
      <c r="R23" s="303">
        <f t="shared" si="5"/>
        <v>6.4349999999999996</v>
      </c>
      <c r="S23" s="292">
        <v>42.9</v>
      </c>
      <c r="T23" s="282">
        <v>105991.94</v>
      </c>
      <c r="U23" s="283">
        <v>82673.713199999998</v>
      </c>
      <c r="V23" s="172"/>
      <c r="W23" s="172"/>
      <c r="X23" s="301" t="s">
        <v>951</v>
      </c>
      <c r="Y23" s="301">
        <v>73462</v>
      </c>
      <c r="Z23" s="272" t="s">
        <v>948</v>
      </c>
      <c r="AA23" s="9" t="s">
        <v>950</v>
      </c>
      <c r="AB23" s="268">
        <v>1</v>
      </c>
      <c r="AC23" s="268">
        <v>3452</v>
      </c>
      <c r="AD23" s="172"/>
      <c r="AE23" s="172"/>
      <c r="AF23" s="172"/>
      <c r="AG23" s="51"/>
      <c r="AH23" s="48"/>
      <c r="AI23" s="48"/>
      <c r="AJ23" s="49"/>
      <c r="AK23" s="46">
        <f t="shared" si="9"/>
        <v>0.23399999999999999</v>
      </c>
      <c r="AL23" s="263"/>
      <c r="AM23" s="263"/>
      <c r="AN23" s="59"/>
      <c r="AO23" s="58"/>
      <c r="AP23" s="42"/>
      <c r="AQ23" s="42"/>
      <c r="AR23" s="59"/>
    </row>
    <row r="24" spans="1:44" ht="45" x14ac:dyDescent="0.25">
      <c r="A24" s="301">
        <v>21</v>
      </c>
      <c r="B24" s="25" t="s">
        <v>28</v>
      </c>
      <c r="C24" s="28" t="s">
        <v>29</v>
      </c>
      <c r="D24" s="302" t="s">
        <v>946</v>
      </c>
      <c r="E24" s="195"/>
      <c r="F24" s="25" t="s">
        <v>949</v>
      </c>
      <c r="G24" s="195"/>
      <c r="H24" s="25" t="s">
        <v>31</v>
      </c>
      <c r="I24" s="301"/>
      <c r="J24" s="301"/>
      <c r="K24" s="301">
        <v>6.15</v>
      </c>
      <c r="L24" s="301">
        <v>6.15</v>
      </c>
      <c r="M24" s="301">
        <v>1</v>
      </c>
      <c r="N24" s="301" t="s">
        <v>33</v>
      </c>
      <c r="O24" s="303">
        <f t="shared" si="2"/>
        <v>60.885000000000005</v>
      </c>
      <c r="P24" s="303">
        <f t="shared" si="3"/>
        <v>71.032499999999999</v>
      </c>
      <c r="Q24" s="303">
        <f t="shared" si="4"/>
        <v>40.590000000000003</v>
      </c>
      <c r="R24" s="303">
        <f t="shared" si="5"/>
        <v>30.442500000000003</v>
      </c>
      <c r="S24" s="292">
        <v>202.95000000000002</v>
      </c>
      <c r="T24" s="282">
        <v>105991.94</v>
      </c>
      <c r="U24" s="283">
        <v>651850.4310000001</v>
      </c>
      <c r="V24" s="172"/>
      <c r="W24" s="172"/>
      <c r="X24" s="301" t="s">
        <v>931</v>
      </c>
      <c r="Y24" s="301">
        <v>73462</v>
      </c>
      <c r="Z24" s="272" t="s">
        <v>948</v>
      </c>
      <c r="AA24" s="9" t="s">
        <v>949</v>
      </c>
      <c r="AB24" s="9">
        <v>2</v>
      </c>
      <c r="AC24" s="268">
        <v>3452</v>
      </c>
      <c r="AD24" s="172"/>
      <c r="AE24" s="172"/>
      <c r="AF24" s="172"/>
      <c r="AG24" s="51"/>
      <c r="AH24" s="48"/>
      <c r="AI24" s="48"/>
      <c r="AJ24" s="49"/>
      <c r="AK24" s="46">
        <f t="shared" si="9"/>
        <v>1.845</v>
      </c>
      <c r="AL24" s="263"/>
      <c r="AM24" s="263"/>
      <c r="AN24" s="59"/>
      <c r="AO24" s="58"/>
      <c r="AP24" s="42"/>
      <c r="AQ24" s="42"/>
      <c r="AR24" s="59"/>
    </row>
    <row r="25" spans="1:44" ht="45" x14ac:dyDescent="0.25">
      <c r="A25" s="301">
        <v>22</v>
      </c>
      <c r="B25" s="25" t="s">
        <v>28</v>
      </c>
      <c r="C25" s="28" t="s">
        <v>29</v>
      </c>
      <c r="D25" s="302" t="s">
        <v>946</v>
      </c>
      <c r="E25" s="195"/>
      <c r="F25" s="25" t="s">
        <v>168</v>
      </c>
      <c r="G25" s="195"/>
      <c r="H25" s="25" t="s">
        <v>31</v>
      </c>
      <c r="I25" s="301"/>
      <c r="J25" s="301"/>
      <c r="K25" s="301">
        <v>1.27</v>
      </c>
      <c r="L25" s="301">
        <v>1.27</v>
      </c>
      <c r="M25" s="301">
        <v>1</v>
      </c>
      <c r="N25" s="301" t="s">
        <v>33</v>
      </c>
      <c r="O25" s="303">
        <f t="shared" si="2"/>
        <v>16.382999999999999</v>
      </c>
      <c r="P25" s="303">
        <f t="shared" si="3"/>
        <v>19.113499999999998</v>
      </c>
      <c r="Q25" s="303">
        <f t="shared" si="4"/>
        <v>10.922000000000001</v>
      </c>
      <c r="R25" s="303">
        <f t="shared" si="5"/>
        <v>8.1914999999999996</v>
      </c>
      <c r="S25" s="292">
        <v>54.61</v>
      </c>
      <c r="T25" s="282">
        <v>105991.94</v>
      </c>
      <c r="U25" s="283">
        <v>134609.76380000002</v>
      </c>
      <c r="V25" s="172"/>
      <c r="W25" s="172"/>
      <c r="X25" s="301" t="s">
        <v>932</v>
      </c>
      <c r="Y25" s="301">
        <v>73462</v>
      </c>
      <c r="Z25" s="272" t="s">
        <v>948</v>
      </c>
      <c r="AA25" s="9" t="s">
        <v>168</v>
      </c>
      <c r="AB25" s="9">
        <v>3</v>
      </c>
      <c r="AC25" s="268">
        <v>3481</v>
      </c>
      <c r="AD25" s="172"/>
      <c r="AE25" s="172"/>
      <c r="AF25" s="172"/>
      <c r="AG25" s="51"/>
      <c r="AH25" s="48"/>
      <c r="AI25" s="48"/>
      <c r="AJ25" s="49"/>
      <c r="AK25" s="46">
        <f t="shared" si="9"/>
        <v>0.38100000000000001</v>
      </c>
      <c r="AL25" s="263"/>
      <c r="AM25" s="263"/>
      <c r="AN25" s="59"/>
      <c r="AO25" s="58"/>
      <c r="AP25" s="42"/>
      <c r="AQ25" s="42"/>
      <c r="AR25" s="59"/>
    </row>
    <row r="26" spans="1:44" ht="45" x14ac:dyDescent="0.25">
      <c r="A26" s="301">
        <v>23</v>
      </c>
      <c r="B26" s="25" t="s">
        <v>28</v>
      </c>
      <c r="C26" s="28" t="s">
        <v>29</v>
      </c>
      <c r="D26" s="302" t="s">
        <v>946</v>
      </c>
      <c r="E26" s="195"/>
      <c r="F26" s="25" t="s">
        <v>950</v>
      </c>
      <c r="G26" s="195"/>
      <c r="H26" s="25" t="s">
        <v>31</v>
      </c>
      <c r="I26" s="301"/>
      <c r="J26" s="301"/>
      <c r="K26" s="301">
        <v>0.39</v>
      </c>
      <c r="L26" s="301">
        <v>0.78</v>
      </c>
      <c r="M26" s="301">
        <v>2</v>
      </c>
      <c r="N26" s="301" t="s">
        <v>33</v>
      </c>
      <c r="O26" s="303">
        <f t="shared" si="2"/>
        <v>12.87</v>
      </c>
      <c r="P26" s="303">
        <f t="shared" si="3"/>
        <v>15.014999999999999</v>
      </c>
      <c r="Q26" s="303">
        <f t="shared" si="4"/>
        <v>8.58</v>
      </c>
      <c r="R26" s="303">
        <f t="shared" si="5"/>
        <v>6.4349999999999996</v>
      </c>
      <c r="S26" s="292">
        <v>42.9</v>
      </c>
      <c r="T26" s="282">
        <v>105991.94</v>
      </c>
      <c r="U26" s="283">
        <v>82673.713199999998</v>
      </c>
      <c r="V26" s="172"/>
      <c r="W26" s="172"/>
      <c r="X26" s="301" t="s">
        <v>844</v>
      </c>
      <c r="Y26" s="301">
        <v>73463</v>
      </c>
      <c r="Z26" s="272" t="s">
        <v>948</v>
      </c>
      <c r="AA26" s="9" t="s">
        <v>950</v>
      </c>
      <c r="AB26" s="268">
        <v>1</v>
      </c>
      <c r="AC26" s="268">
        <v>3452</v>
      </c>
      <c r="AD26" s="172"/>
      <c r="AE26" s="172"/>
      <c r="AF26" s="172"/>
      <c r="AG26" s="51"/>
      <c r="AH26" s="48"/>
      <c r="AI26" s="48"/>
      <c r="AJ26" s="49"/>
      <c r="AK26" s="46">
        <f t="shared" si="9"/>
        <v>0.23399999999999999</v>
      </c>
      <c r="AL26" s="263"/>
      <c r="AM26" s="263"/>
      <c r="AN26" s="59"/>
      <c r="AO26" s="58"/>
      <c r="AP26" s="42"/>
      <c r="AQ26" s="42"/>
      <c r="AR26" s="59"/>
    </row>
    <row r="27" spans="1:44" ht="45" x14ac:dyDescent="0.25">
      <c r="A27" s="301">
        <v>24</v>
      </c>
      <c r="B27" s="25" t="s">
        <v>28</v>
      </c>
      <c r="C27" s="28" t="s">
        <v>29</v>
      </c>
      <c r="D27" s="302" t="s">
        <v>946</v>
      </c>
      <c r="E27" s="195"/>
      <c r="F27" s="25" t="s">
        <v>949</v>
      </c>
      <c r="G27" s="195"/>
      <c r="H27" s="25" t="s">
        <v>31</v>
      </c>
      <c r="I27" s="301"/>
      <c r="J27" s="301"/>
      <c r="K27" s="301">
        <v>6.15</v>
      </c>
      <c r="L27" s="301">
        <v>6.15</v>
      </c>
      <c r="M27" s="301">
        <v>1</v>
      </c>
      <c r="N27" s="301" t="s">
        <v>33</v>
      </c>
      <c r="O27" s="303">
        <f t="shared" si="2"/>
        <v>60.885000000000005</v>
      </c>
      <c r="P27" s="303">
        <f t="shared" si="3"/>
        <v>71.032499999999999</v>
      </c>
      <c r="Q27" s="303">
        <f t="shared" si="4"/>
        <v>40.590000000000003</v>
      </c>
      <c r="R27" s="303">
        <f t="shared" si="5"/>
        <v>30.442500000000003</v>
      </c>
      <c r="S27" s="292">
        <v>202.95000000000002</v>
      </c>
      <c r="T27" s="282">
        <v>105991.94</v>
      </c>
      <c r="U27" s="283">
        <v>651850.4310000001</v>
      </c>
      <c r="V27" s="172"/>
      <c r="W27" s="172"/>
      <c r="X27" s="301" t="s">
        <v>931</v>
      </c>
      <c r="Y27" s="301">
        <v>73463</v>
      </c>
      <c r="Z27" s="272" t="s">
        <v>948</v>
      </c>
      <c r="AA27" s="9" t="s">
        <v>949</v>
      </c>
      <c r="AB27" s="9">
        <v>2</v>
      </c>
      <c r="AC27" s="268">
        <v>3452</v>
      </c>
      <c r="AD27" s="172"/>
      <c r="AE27" s="172"/>
      <c r="AF27" s="172"/>
      <c r="AG27" s="51"/>
      <c r="AH27" s="48"/>
      <c r="AI27" s="48"/>
      <c r="AJ27" s="49"/>
      <c r="AK27" s="46">
        <f t="shared" si="9"/>
        <v>1.845</v>
      </c>
      <c r="AL27" s="263"/>
      <c r="AM27" s="263"/>
      <c r="AN27" s="59"/>
      <c r="AO27" s="58"/>
      <c r="AP27" s="42"/>
      <c r="AQ27" s="42"/>
      <c r="AR27" s="59"/>
    </row>
    <row r="28" spans="1:44" ht="45" x14ac:dyDescent="0.25">
      <c r="A28" s="301">
        <v>25</v>
      </c>
      <c r="B28" s="25" t="s">
        <v>28</v>
      </c>
      <c r="C28" s="28" t="s">
        <v>29</v>
      </c>
      <c r="D28" s="302" t="s">
        <v>946</v>
      </c>
      <c r="E28" s="195"/>
      <c r="F28" s="25" t="s">
        <v>168</v>
      </c>
      <c r="G28" s="195"/>
      <c r="H28" s="25" t="s">
        <v>31</v>
      </c>
      <c r="I28" s="301"/>
      <c r="J28" s="301"/>
      <c r="K28" s="301">
        <v>1.27</v>
      </c>
      <c r="L28" s="301">
        <v>1.27</v>
      </c>
      <c r="M28" s="301">
        <v>1</v>
      </c>
      <c r="N28" s="301" t="s">
        <v>33</v>
      </c>
      <c r="O28" s="303">
        <f t="shared" si="2"/>
        <v>16.382999999999999</v>
      </c>
      <c r="P28" s="303">
        <f t="shared" si="3"/>
        <v>19.113499999999998</v>
      </c>
      <c r="Q28" s="303">
        <f t="shared" si="4"/>
        <v>10.922000000000001</v>
      </c>
      <c r="R28" s="303">
        <f t="shared" si="5"/>
        <v>8.1914999999999996</v>
      </c>
      <c r="S28" s="292">
        <v>54.61</v>
      </c>
      <c r="T28" s="282">
        <v>105991.94</v>
      </c>
      <c r="U28" s="283">
        <v>134609.76380000002</v>
      </c>
      <c r="V28" s="172"/>
      <c r="W28" s="172"/>
      <c r="X28" s="301" t="s">
        <v>932</v>
      </c>
      <c r="Y28" s="301">
        <v>73463</v>
      </c>
      <c r="Z28" s="272" t="s">
        <v>948</v>
      </c>
      <c r="AA28" s="9" t="s">
        <v>168</v>
      </c>
      <c r="AB28" s="9">
        <v>3</v>
      </c>
      <c r="AC28" s="268">
        <v>3481</v>
      </c>
      <c r="AD28" s="172"/>
      <c r="AE28" s="172"/>
      <c r="AF28" s="172"/>
      <c r="AG28" s="51"/>
      <c r="AH28" s="48"/>
      <c r="AI28" s="48"/>
      <c r="AJ28" s="49"/>
      <c r="AK28" s="46">
        <f t="shared" si="9"/>
        <v>0.38100000000000001</v>
      </c>
      <c r="AL28" s="263"/>
      <c r="AM28" s="263"/>
      <c r="AN28" s="59"/>
      <c r="AO28" s="58"/>
      <c r="AP28" s="42"/>
      <c r="AQ28" s="42"/>
      <c r="AR28" s="59"/>
    </row>
    <row r="29" spans="1:44" ht="45" x14ac:dyDescent="0.25">
      <c r="A29" s="301">
        <v>26</v>
      </c>
      <c r="B29" s="25" t="s">
        <v>28</v>
      </c>
      <c r="C29" s="28" t="s">
        <v>29</v>
      </c>
      <c r="D29" s="302" t="s">
        <v>946</v>
      </c>
      <c r="E29" s="195"/>
      <c r="F29" s="25" t="s">
        <v>950</v>
      </c>
      <c r="G29" s="195"/>
      <c r="H29" s="25" t="s">
        <v>31</v>
      </c>
      <c r="I29" s="301"/>
      <c r="J29" s="301"/>
      <c r="K29" s="301">
        <v>0.39</v>
      </c>
      <c r="L29" s="301">
        <v>0.78</v>
      </c>
      <c r="M29" s="301">
        <v>2</v>
      </c>
      <c r="N29" s="301" t="s">
        <v>33</v>
      </c>
      <c r="O29" s="303">
        <f t="shared" si="2"/>
        <v>12.87</v>
      </c>
      <c r="P29" s="303">
        <f t="shared" si="3"/>
        <v>15.014999999999999</v>
      </c>
      <c r="Q29" s="303">
        <f t="shared" si="4"/>
        <v>8.58</v>
      </c>
      <c r="R29" s="303">
        <f t="shared" si="5"/>
        <v>6.4349999999999996</v>
      </c>
      <c r="S29" s="292">
        <v>42.9</v>
      </c>
      <c r="T29" s="282">
        <v>105991.94</v>
      </c>
      <c r="U29" s="283">
        <v>82673.713199999998</v>
      </c>
      <c r="V29" s="172"/>
      <c r="W29" s="172"/>
      <c r="X29" s="301" t="s">
        <v>844</v>
      </c>
      <c r="Y29" s="301">
        <v>73464</v>
      </c>
      <c r="Z29" s="272" t="s">
        <v>948</v>
      </c>
      <c r="AA29" s="9" t="s">
        <v>950</v>
      </c>
      <c r="AB29" s="268">
        <v>1</v>
      </c>
      <c r="AC29" s="268">
        <v>3452</v>
      </c>
      <c r="AD29" s="172"/>
      <c r="AE29" s="172"/>
      <c r="AF29" s="172"/>
      <c r="AG29" s="51"/>
      <c r="AH29" s="48"/>
      <c r="AI29" s="48"/>
      <c r="AJ29" s="49"/>
      <c r="AK29" s="46">
        <f t="shared" si="9"/>
        <v>0.23399999999999999</v>
      </c>
      <c r="AL29" s="42"/>
      <c r="AM29" s="42"/>
      <c r="AN29" s="59"/>
      <c r="AO29" s="58"/>
      <c r="AP29" s="42"/>
      <c r="AQ29" s="42"/>
      <c r="AR29" s="59"/>
    </row>
    <row r="30" spans="1:44" ht="45" x14ac:dyDescent="0.25">
      <c r="A30" s="301">
        <v>27</v>
      </c>
      <c r="B30" s="25" t="s">
        <v>28</v>
      </c>
      <c r="C30" s="28" t="s">
        <v>29</v>
      </c>
      <c r="D30" s="302" t="s">
        <v>946</v>
      </c>
      <c r="E30" s="195"/>
      <c r="F30" s="25" t="s">
        <v>949</v>
      </c>
      <c r="G30" s="195"/>
      <c r="H30" s="25" t="s">
        <v>31</v>
      </c>
      <c r="I30" s="301"/>
      <c r="J30" s="301"/>
      <c r="K30" s="301">
        <v>6.15</v>
      </c>
      <c r="L30" s="301">
        <v>6.15</v>
      </c>
      <c r="M30" s="301">
        <v>1</v>
      </c>
      <c r="N30" s="301" t="s">
        <v>33</v>
      </c>
      <c r="O30" s="303">
        <f t="shared" si="2"/>
        <v>60.885000000000005</v>
      </c>
      <c r="P30" s="303">
        <f t="shared" si="3"/>
        <v>71.032499999999999</v>
      </c>
      <c r="Q30" s="303">
        <f t="shared" si="4"/>
        <v>40.590000000000003</v>
      </c>
      <c r="R30" s="303">
        <f t="shared" si="5"/>
        <v>30.442500000000003</v>
      </c>
      <c r="S30" s="292">
        <v>202.95000000000002</v>
      </c>
      <c r="T30" s="282">
        <v>105991.94</v>
      </c>
      <c r="U30" s="283">
        <v>651850.4310000001</v>
      </c>
      <c r="V30" s="172"/>
      <c r="W30" s="172"/>
      <c r="X30" s="301" t="s">
        <v>931</v>
      </c>
      <c r="Y30" s="301">
        <v>73464</v>
      </c>
      <c r="Z30" s="272" t="s">
        <v>948</v>
      </c>
      <c r="AA30" s="9" t="s">
        <v>949</v>
      </c>
      <c r="AB30" s="9">
        <v>2</v>
      </c>
      <c r="AC30" s="268">
        <v>3452</v>
      </c>
      <c r="AD30" s="172"/>
      <c r="AE30" s="172"/>
      <c r="AF30" s="172"/>
      <c r="AG30" s="51"/>
      <c r="AH30" s="48"/>
      <c r="AI30" s="48"/>
      <c r="AJ30" s="49"/>
      <c r="AK30" s="46">
        <f t="shared" si="9"/>
        <v>1.845</v>
      </c>
      <c r="AL30" s="42"/>
      <c r="AM30" s="42"/>
      <c r="AN30" s="59"/>
      <c r="AO30" s="58"/>
      <c r="AP30" s="42"/>
      <c r="AQ30" s="42"/>
      <c r="AR30" s="59"/>
    </row>
    <row r="31" spans="1:44" ht="45" x14ac:dyDescent="0.25">
      <c r="A31" s="301">
        <v>28</v>
      </c>
      <c r="B31" s="25" t="s">
        <v>28</v>
      </c>
      <c r="C31" s="28" t="s">
        <v>29</v>
      </c>
      <c r="D31" s="302" t="s">
        <v>946</v>
      </c>
      <c r="E31" s="195"/>
      <c r="F31" s="25" t="s">
        <v>168</v>
      </c>
      <c r="G31" s="195"/>
      <c r="H31" s="25" t="s">
        <v>31</v>
      </c>
      <c r="I31" s="301"/>
      <c r="J31" s="301"/>
      <c r="K31" s="301">
        <v>1.27</v>
      </c>
      <c r="L31" s="301">
        <v>1.27</v>
      </c>
      <c r="M31" s="301">
        <v>1</v>
      </c>
      <c r="N31" s="301" t="s">
        <v>33</v>
      </c>
      <c r="O31" s="303">
        <f t="shared" si="2"/>
        <v>16.382999999999999</v>
      </c>
      <c r="P31" s="303">
        <f t="shared" si="3"/>
        <v>19.113499999999998</v>
      </c>
      <c r="Q31" s="303">
        <f t="shared" si="4"/>
        <v>10.922000000000001</v>
      </c>
      <c r="R31" s="303">
        <f t="shared" si="5"/>
        <v>8.1914999999999996</v>
      </c>
      <c r="S31" s="292">
        <v>54.61</v>
      </c>
      <c r="T31" s="282">
        <v>105991.94</v>
      </c>
      <c r="U31" s="283">
        <v>134609.76380000002</v>
      </c>
      <c r="V31" s="172"/>
      <c r="W31" s="172"/>
      <c r="X31" s="301" t="s">
        <v>932</v>
      </c>
      <c r="Y31" s="301">
        <v>73464</v>
      </c>
      <c r="Z31" s="272" t="s">
        <v>948</v>
      </c>
      <c r="AA31" s="9" t="s">
        <v>168</v>
      </c>
      <c r="AB31" s="9">
        <v>3</v>
      </c>
      <c r="AC31" s="268">
        <v>3481</v>
      </c>
      <c r="AD31" s="172"/>
      <c r="AE31" s="172"/>
      <c r="AF31" s="172"/>
      <c r="AG31" s="51"/>
      <c r="AH31" s="48"/>
      <c r="AI31" s="48"/>
      <c r="AJ31" s="49"/>
      <c r="AK31" s="46">
        <f t="shared" si="9"/>
        <v>0.38100000000000001</v>
      </c>
      <c r="AL31" s="42"/>
      <c r="AM31" s="42"/>
      <c r="AN31" s="59"/>
      <c r="AO31" s="58"/>
      <c r="AP31" s="42"/>
      <c r="AQ31" s="42"/>
      <c r="AR31" s="59"/>
    </row>
    <row r="32" spans="1:44" ht="45" x14ac:dyDescent="0.25">
      <c r="A32" s="301">
        <v>29</v>
      </c>
      <c r="B32" s="25" t="s">
        <v>28</v>
      </c>
      <c r="C32" s="28" t="s">
        <v>29</v>
      </c>
      <c r="D32" s="302" t="s">
        <v>946</v>
      </c>
      <c r="E32" s="195"/>
      <c r="F32" s="25" t="s">
        <v>950</v>
      </c>
      <c r="G32" s="195"/>
      <c r="H32" s="25" t="s">
        <v>31</v>
      </c>
      <c r="I32" s="301"/>
      <c r="J32" s="301"/>
      <c r="K32" s="301">
        <v>0.39</v>
      </c>
      <c r="L32" s="301">
        <v>0.78</v>
      </c>
      <c r="M32" s="301">
        <v>2</v>
      </c>
      <c r="N32" s="301" t="s">
        <v>33</v>
      </c>
      <c r="O32" s="303">
        <f t="shared" si="2"/>
        <v>12.87</v>
      </c>
      <c r="P32" s="303">
        <f t="shared" si="3"/>
        <v>15.014999999999999</v>
      </c>
      <c r="Q32" s="303">
        <f t="shared" si="4"/>
        <v>8.58</v>
      </c>
      <c r="R32" s="303">
        <f t="shared" si="5"/>
        <v>6.4349999999999996</v>
      </c>
      <c r="S32" s="292">
        <v>42.9</v>
      </c>
      <c r="T32" s="282">
        <v>105991.94</v>
      </c>
      <c r="U32" s="283">
        <v>82673.713199999998</v>
      </c>
      <c r="V32" s="172"/>
      <c r="W32" s="172"/>
      <c r="X32" s="301" t="s">
        <v>844</v>
      </c>
      <c r="Y32" s="301">
        <v>73469</v>
      </c>
      <c r="Z32" s="272" t="s">
        <v>948</v>
      </c>
      <c r="AA32" s="9" t="s">
        <v>950</v>
      </c>
      <c r="AB32" s="268">
        <v>1</v>
      </c>
      <c r="AC32" s="268">
        <v>3452</v>
      </c>
      <c r="AD32" s="172"/>
      <c r="AE32" s="172"/>
      <c r="AF32" s="172"/>
      <c r="AG32" s="51"/>
      <c r="AH32" s="48"/>
      <c r="AI32" s="48"/>
      <c r="AJ32" s="49"/>
      <c r="AK32" s="46">
        <f t="shared" ref="AK32:AK39" si="10">L32*0.3</f>
        <v>0.23399999999999999</v>
      </c>
      <c r="AL32" s="42"/>
      <c r="AM32" s="42"/>
      <c r="AN32" s="59"/>
      <c r="AO32" s="58"/>
      <c r="AP32" s="42"/>
      <c r="AQ32" s="42"/>
      <c r="AR32" s="59"/>
    </row>
    <row r="33" spans="1:44" ht="45" x14ac:dyDescent="0.25">
      <c r="A33" s="301">
        <v>30</v>
      </c>
      <c r="B33" s="25" t="s">
        <v>28</v>
      </c>
      <c r="C33" s="28" t="s">
        <v>29</v>
      </c>
      <c r="D33" s="302" t="s">
        <v>946</v>
      </c>
      <c r="E33" s="195"/>
      <c r="F33" s="25" t="s">
        <v>949</v>
      </c>
      <c r="G33" s="195"/>
      <c r="H33" s="25" t="s">
        <v>31</v>
      </c>
      <c r="I33" s="301"/>
      <c r="J33" s="301"/>
      <c r="K33" s="301">
        <v>6.61</v>
      </c>
      <c r="L33" s="301">
        <v>6.61</v>
      </c>
      <c r="M33" s="301">
        <v>1</v>
      </c>
      <c r="N33" s="301" t="s">
        <v>33</v>
      </c>
      <c r="O33" s="303">
        <f t="shared" si="2"/>
        <v>65.439000000000007</v>
      </c>
      <c r="P33" s="303">
        <f t="shared" si="3"/>
        <v>76.345500000000001</v>
      </c>
      <c r="Q33" s="303">
        <f t="shared" si="4"/>
        <v>43.626000000000005</v>
      </c>
      <c r="R33" s="303">
        <f t="shared" si="5"/>
        <v>32.719500000000004</v>
      </c>
      <c r="S33" s="292">
        <v>218.13000000000002</v>
      </c>
      <c r="T33" s="282">
        <v>105991.94</v>
      </c>
      <c r="U33" s="283">
        <v>700606.72340000002</v>
      </c>
      <c r="V33" s="172"/>
      <c r="W33" s="172"/>
      <c r="X33" s="301" t="s">
        <v>952</v>
      </c>
      <c r="Y33" s="301">
        <v>73469</v>
      </c>
      <c r="Z33" s="272" t="s">
        <v>948</v>
      </c>
      <c r="AA33" s="9" t="s">
        <v>949</v>
      </c>
      <c r="AB33" s="9">
        <v>2</v>
      </c>
      <c r="AC33" s="268">
        <v>3452</v>
      </c>
      <c r="AD33" s="172"/>
      <c r="AE33" s="172"/>
      <c r="AF33" s="172"/>
      <c r="AG33" s="51"/>
      <c r="AH33" s="48"/>
      <c r="AI33" s="48"/>
      <c r="AJ33" s="49"/>
      <c r="AK33" s="46">
        <f t="shared" si="10"/>
        <v>1.9830000000000001</v>
      </c>
      <c r="AL33" s="42"/>
      <c r="AM33" s="42"/>
      <c r="AN33" s="59"/>
      <c r="AO33" s="58"/>
      <c r="AP33" s="42"/>
      <c r="AQ33" s="42"/>
      <c r="AR33" s="59"/>
    </row>
    <row r="34" spans="1:44" ht="45" x14ac:dyDescent="0.25">
      <c r="A34" s="301">
        <v>31</v>
      </c>
      <c r="B34" s="25" t="s">
        <v>28</v>
      </c>
      <c r="C34" s="28" t="s">
        <v>29</v>
      </c>
      <c r="D34" s="302" t="s">
        <v>946</v>
      </c>
      <c r="E34" s="195"/>
      <c r="F34" s="25" t="s">
        <v>949</v>
      </c>
      <c r="G34" s="195"/>
      <c r="H34" s="25" t="s">
        <v>31</v>
      </c>
      <c r="I34" s="301"/>
      <c r="J34" s="301"/>
      <c r="K34" s="301">
        <v>0.86599999999999999</v>
      </c>
      <c r="L34" s="301">
        <v>0.86599999999999999</v>
      </c>
      <c r="M34" s="301">
        <v>1</v>
      </c>
      <c r="N34" s="301" t="s">
        <v>33</v>
      </c>
      <c r="O34" s="303">
        <f t="shared" si="2"/>
        <v>12.210599999999999</v>
      </c>
      <c r="P34" s="303">
        <f t="shared" si="3"/>
        <v>14.245699999999998</v>
      </c>
      <c r="Q34" s="303">
        <f t="shared" si="4"/>
        <v>8.1403999999999996</v>
      </c>
      <c r="R34" s="303">
        <f t="shared" si="5"/>
        <v>6.1052999999999997</v>
      </c>
      <c r="S34" s="292">
        <v>40.701999999999998</v>
      </c>
      <c r="T34" s="282">
        <v>105991.94</v>
      </c>
      <c r="U34" s="283">
        <v>91789.020040000003</v>
      </c>
      <c r="V34" s="172"/>
      <c r="W34" s="172"/>
      <c r="X34" s="290" t="s">
        <v>934</v>
      </c>
      <c r="Y34" s="301">
        <v>73469</v>
      </c>
      <c r="Z34" s="272" t="s">
        <v>948</v>
      </c>
      <c r="AA34" s="9" t="s">
        <v>949</v>
      </c>
      <c r="AB34" s="9">
        <v>3</v>
      </c>
      <c r="AC34" s="268">
        <v>3452</v>
      </c>
      <c r="AD34" s="172"/>
      <c r="AE34" s="172"/>
      <c r="AF34" s="172"/>
      <c r="AG34" s="51"/>
      <c r="AH34" s="48"/>
      <c r="AI34" s="48"/>
      <c r="AJ34" s="49"/>
      <c r="AK34" s="46">
        <f t="shared" si="10"/>
        <v>0.25979999999999998</v>
      </c>
      <c r="AL34" s="42"/>
      <c r="AM34" s="42"/>
      <c r="AN34" s="59"/>
      <c r="AO34" s="58"/>
      <c r="AP34" s="42"/>
      <c r="AQ34" s="42"/>
      <c r="AR34" s="59"/>
    </row>
    <row r="35" spans="1:44" ht="45" x14ac:dyDescent="0.25">
      <c r="A35" s="301">
        <v>32</v>
      </c>
      <c r="B35" s="25" t="s">
        <v>28</v>
      </c>
      <c r="C35" s="28" t="s">
        <v>29</v>
      </c>
      <c r="D35" s="302" t="s">
        <v>946</v>
      </c>
      <c r="E35" s="195"/>
      <c r="F35" s="25" t="s">
        <v>168</v>
      </c>
      <c r="G35" s="195"/>
      <c r="H35" s="25" t="s">
        <v>31</v>
      </c>
      <c r="I35" s="301"/>
      <c r="J35" s="301"/>
      <c r="K35" s="301">
        <v>2.544</v>
      </c>
      <c r="L35" s="301">
        <v>2.544</v>
      </c>
      <c r="M35" s="301">
        <v>1</v>
      </c>
      <c r="N35" s="301" t="s">
        <v>33</v>
      </c>
      <c r="O35" s="303">
        <f t="shared" si="2"/>
        <v>32.817599999999999</v>
      </c>
      <c r="P35" s="303">
        <f t="shared" si="3"/>
        <v>38.287199999999999</v>
      </c>
      <c r="Q35" s="303">
        <f t="shared" si="4"/>
        <v>21.878399999999999</v>
      </c>
      <c r="R35" s="303">
        <f t="shared" si="5"/>
        <v>16.408799999999999</v>
      </c>
      <c r="S35" s="292">
        <v>109.392</v>
      </c>
      <c r="T35" s="282">
        <v>105991.94</v>
      </c>
      <c r="U35" s="283">
        <v>269643.49536</v>
      </c>
      <c r="V35" s="172"/>
      <c r="W35" s="172"/>
      <c r="X35" s="301" t="s">
        <v>930</v>
      </c>
      <c r="Y35" s="301">
        <v>73469</v>
      </c>
      <c r="Z35" s="272" t="s">
        <v>948</v>
      </c>
      <c r="AA35" s="9" t="s">
        <v>168</v>
      </c>
      <c r="AB35" s="268">
        <v>4</v>
      </c>
      <c r="AC35" s="268">
        <v>3481</v>
      </c>
      <c r="AD35" s="172"/>
      <c r="AE35" s="172"/>
      <c r="AF35" s="172"/>
      <c r="AG35" s="51"/>
      <c r="AH35" s="48"/>
      <c r="AI35" s="48"/>
      <c r="AJ35" s="49"/>
      <c r="AK35" s="46">
        <f t="shared" si="10"/>
        <v>0.76319999999999999</v>
      </c>
      <c r="AL35" s="42"/>
      <c r="AM35" s="42"/>
      <c r="AN35" s="59"/>
      <c r="AO35" s="58"/>
      <c r="AP35" s="42"/>
      <c r="AQ35" s="42"/>
      <c r="AR35" s="59"/>
    </row>
    <row r="36" spans="1:44" ht="45" x14ac:dyDescent="0.25">
      <c r="A36" s="301">
        <v>33</v>
      </c>
      <c r="B36" s="25" t="s">
        <v>28</v>
      </c>
      <c r="C36" s="28" t="s">
        <v>29</v>
      </c>
      <c r="D36" s="302" t="s">
        <v>946</v>
      </c>
      <c r="E36" s="195"/>
      <c r="F36" s="25" t="s">
        <v>950</v>
      </c>
      <c r="G36" s="195"/>
      <c r="H36" s="25" t="s">
        <v>31</v>
      </c>
      <c r="I36" s="301"/>
      <c r="J36" s="301"/>
      <c r="K36" s="301">
        <v>0.39</v>
      </c>
      <c r="L36" s="301">
        <v>0.78</v>
      </c>
      <c r="M36" s="301">
        <v>2</v>
      </c>
      <c r="N36" s="301" t="s">
        <v>33</v>
      </c>
      <c r="O36" s="303">
        <f t="shared" si="2"/>
        <v>12.87</v>
      </c>
      <c r="P36" s="303">
        <f t="shared" si="3"/>
        <v>15.014999999999999</v>
      </c>
      <c r="Q36" s="303">
        <f t="shared" si="4"/>
        <v>8.58</v>
      </c>
      <c r="R36" s="303">
        <f t="shared" si="5"/>
        <v>6.4349999999999996</v>
      </c>
      <c r="S36" s="292">
        <v>42.9</v>
      </c>
      <c r="T36" s="282">
        <v>105991.94</v>
      </c>
      <c r="U36" s="283">
        <v>82673.713199999998</v>
      </c>
      <c r="V36" s="172"/>
      <c r="W36" s="172"/>
      <c r="X36" s="301" t="s">
        <v>844</v>
      </c>
      <c r="Y36" s="301">
        <v>73470</v>
      </c>
      <c r="Z36" s="272" t="s">
        <v>948</v>
      </c>
      <c r="AA36" s="9" t="s">
        <v>950</v>
      </c>
      <c r="AB36" s="268">
        <v>1</v>
      </c>
      <c r="AC36" s="268">
        <v>3452</v>
      </c>
      <c r="AD36" s="172"/>
      <c r="AE36" s="172"/>
      <c r="AF36" s="172"/>
      <c r="AG36" s="51"/>
      <c r="AH36" s="48"/>
      <c r="AI36" s="48"/>
      <c r="AJ36" s="49"/>
      <c r="AK36" s="46">
        <f t="shared" si="10"/>
        <v>0.23399999999999999</v>
      </c>
      <c r="AL36" s="42"/>
      <c r="AM36" s="42"/>
      <c r="AN36" s="59"/>
      <c r="AO36" s="58"/>
      <c r="AP36" s="42"/>
      <c r="AQ36" s="42"/>
      <c r="AR36" s="59"/>
    </row>
    <row r="37" spans="1:44" ht="45" x14ac:dyDescent="0.25">
      <c r="A37" s="301">
        <v>34</v>
      </c>
      <c r="B37" s="25" t="s">
        <v>28</v>
      </c>
      <c r="C37" s="28" t="s">
        <v>29</v>
      </c>
      <c r="D37" s="302" t="s">
        <v>946</v>
      </c>
      <c r="E37" s="195"/>
      <c r="F37" s="25" t="s">
        <v>949</v>
      </c>
      <c r="G37" s="195"/>
      <c r="H37" s="25" t="s">
        <v>31</v>
      </c>
      <c r="I37" s="301"/>
      <c r="J37" s="301"/>
      <c r="K37" s="301">
        <v>6.01</v>
      </c>
      <c r="L37" s="301">
        <v>6.01</v>
      </c>
      <c r="M37" s="301">
        <v>1</v>
      </c>
      <c r="N37" s="301" t="s">
        <v>33</v>
      </c>
      <c r="O37" s="303">
        <f t="shared" si="2"/>
        <v>59.498999999999995</v>
      </c>
      <c r="P37" s="303">
        <f t="shared" si="3"/>
        <v>69.415499999999994</v>
      </c>
      <c r="Q37" s="303">
        <f t="shared" si="4"/>
        <v>39.665999999999997</v>
      </c>
      <c r="R37" s="303">
        <f t="shared" si="5"/>
        <v>29.749499999999998</v>
      </c>
      <c r="S37" s="292">
        <v>198.32999999999998</v>
      </c>
      <c r="T37" s="282">
        <v>105991.94</v>
      </c>
      <c r="U37" s="283">
        <v>637011.55940000003</v>
      </c>
      <c r="V37" s="172"/>
      <c r="W37" s="172"/>
      <c r="X37" s="301" t="s">
        <v>931</v>
      </c>
      <c r="Y37" s="301">
        <v>73470</v>
      </c>
      <c r="Z37" s="272" t="s">
        <v>948</v>
      </c>
      <c r="AA37" s="9" t="s">
        <v>949</v>
      </c>
      <c r="AB37" s="9">
        <v>2</v>
      </c>
      <c r="AC37" s="268">
        <v>3452</v>
      </c>
      <c r="AD37" s="172"/>
      <c r="AE37" s="172"/>
      <c r="AF37" s="172"/>
      <c r="AG37" s="51"/>
      <c r="AH37" s="48"/>
      <c r="AI37" s="48"/>
      <c r="AJ37" s="49"/>
      <c r="AK37" s="46">
        <f t="shared" si="10"/>
        <v>1.8029999999999999</v>
      </c>
      <c r="AL37" s="42"/>
      <c r="AM37" s="42"/>
      <c r="AN37" s="59"/>
      <c r="AO37" s="58"/>
      <c r="AP37" s="42"/>
      <c r="AQ37" s="42"/>
      <c r="AR37" s="59"/>
    </row>
    <row r="38" spans="1:44" ht="45" x14ac:dyDescent="0.25">
      <c r="A38" s="301">
        <v>35</v>
      </c>
      <c r="B38" s="25" t="s">
        <v>28</v>
      </c>
      <c r="C38" s="28" t="s">
        <v>29</v>
      </c>
      <c r="D38" s="302" t="s">
        <v>946</v>
      </c>
      <c r="E38" s="195"/>
      <c r="F38" s="25" t="s">
        <v>949</v>
      </c>
      <c r="G38" s="195"/>
      <c r="H38" s="25" t="s">
        <v>31</v>
      </c>
      <c r="I38" s="301"/>
      <c r="J38" s="301"/>
      <c r="K38" s="301">
        <v>0.86599999999999999</v>
      </c>
      <c r="L38" s="301">
        <v>1.732</v>
      </c>
      <c r="M38" s="301">
        <v>2</v>
      </c>
      <c r="N38" s="301" t="s">
        <v>33</v>
      </c>
      <c r="O38" s="303">
        <f t="shared" si="2"/>
        <v>24.421199999999999</v>
      </c>
      <c r="P38" s="303">
        <f t="shared" si="3"/>
        <v>28.491399999999995</v>
      </c>
      <c r="Q38" s="303">
        <f t="shared" si="4"/>
        <v>16.280799999999999</v>
      </c>
      <c r="R38" s="303">
        <f t="shared" si="5"/>
        <v>12.210599999999999</v>
      </c>
      <c r="S38" s="292">
        <v>81.403999999999996</v>
      </c>
      <c r="T38" s="282">
        <v>105991.94</v>
      </c>
      <c r="U38" s="283">
        <v>183578.04008000001</v>
      </c>
      <c r="V38" s="172"/>
      <c r="W38" s="172"/>
      <c r="X38" s="290" t="s">
        <v>934</v>
      </c>
      <c r="Y38" s="301">
        <v>73470</v>
      </c>
      <c r="Z38" s="272" t="s">
        <v>948</v>
      </c>
      <c r="AA38" s="9" t="s">
        <v>949</v>
      </c>
      <c r="AB38" s="9">
        <v>3</v>
      </c>
      <c r="AC38" s="268">
        <v>3452</v>
      </c>
      <c r="AD38" s="172"/>
      <c r="AE38" s="172"/>
      <c r="AF38" s="172"/>
      <c r="AG38" s="141"/>
      <c r="AH38" s="163"/>
      <c r="AI38" s="163"/>
      <c r="AJ38" s="164"/>
      <c r="AK38" s="46">
        <f t="shared" si="10"/>
        <v>0.51959999999999995</v>
      </c>
      <c r="AL38" s="72"/>
      <c r="AM38" s="72"/>
      <c r="AN38" s="127"/>
      <c r="AO38" s="126"/>
      <c r="AP38" s="72"/>
      <c r="AQ38" s="72"/>
      <c r="AR38" s="127"/>
    </row>
    <row r="39" spans="1:44" ht="45" x14ac:dyDescent="0.25">
      <c r="A39" s="301">
        <v>36</v>
      </c>
      <c r="B39" s="25" t="s">
        <v>28</v>
      </c>
      <c r="C39" s="28" t="s">
        <v>29</v>
      </c>
      <c r="D39" s="302" t="s">
        <v>946</v>
      </c>
      <c r="E39" s="195"/>
      <c r="F39" s="25" t="s">
        <v>168</v>
      </c>
      <c r="G39" s="195"/>
      <c r="H39" s="25" t="s">
        <v>31</v>
      </c>
      <c r="I39" s="301"/>
      <c r="J39" s="301"/>
      <c r="K39" s="301">
        <v>2.3279999999999998</v>
      </c>
      <c r="L39" s="301">
        <v>2.3279999999999998</v>
      </c>
      <c r="M39" s="301">
        <v>1</v>
      </c>
      <c r="N39" s="301" t="s">
        <v>33</v>
      </c>
      <c r="O39" s="303">
        <f t="shared" si="2"/>
        <v>30.031199999999998</v>
      </c>
      <c r="P39" s="303">
        <f t="shared" si="3"/>
        <v>35.0364</v>
      </c>
      <c r="Q39" s="303">
        <f t="shared" si="4"/>
        <v>20.020800000000001</v>
      </c>
      <c r="R39" s="303">
        <f t="shared" si="5"/>
        <v>15.015599999999999</v>
      </c>
      <c r="S39" s="292">
        <v>100.104</v>
      </c>
      <c r="T39" s="282">
        <v>105991.94</v>
      </c>
      <c r="U39" s="283">
        <v>246749.23632</v>
      </c>
      <c r="V39" s="172"/>
      <c r="W39" s="172"/>
      <c r="X39" s="301" t="s">
        <v>930</v>
      </c>
      <c r="Y39" s="301">
        <v>73470</v>
      </c>
      <c r="Z39" s="272" t="s">
        <v>948</v>
      </c>
      <c r="AA39" s="9" t="s">
        <v>168</v>
      </c>
      <c r="AB39" s="268">
        <v>4</v>
      </c>
      <c r="AC39" s="268">
        <v>3481</v>
      </c>
      <c r="AD39" s="172"/>
      <c r="AE39" s="172"/>
      <c r="AF39" s="172"/>
      <c r="AG39" s="141"/>
      <c r="AH39" s="163"/>
      <c r="AI39" s="163"/>
      <c r="AJ39" s="164"/>
      <c r="AK39" s="46">
        <f t="shared" si="10"/>
        <v>0.69839999999999991</v>
      </c>
      <c r="AL39" s="72"/>
      <c r="AM39" s="72"/>
      <c r="AN39" s="127"/>
      <c r="AO39" s="126"/>
      <c r="AP39" s="72"/>
      <c r="AQ39" s="72"/>
      <c r="AR39" s="127"/>
    </row>
    <row r="40" spans="1:44" ht="45" x14ac:dyDescent="0.25">
      <c r="A40" s="301">
        <v>37</v>
      </c>
      <c r="B40" s="25" t="s">
        <v>28</v>
      </c>
      <c r="C40" s="28" t="s">
        <v>29</v>
      </c>
      <c r="D40" s="302" t="s">
        <v>946</v>
      </c>
      <c r="E40" s="195"/>
      <c r="F40" s="25" t="s">
        <v>950</v>
      </c>
      <c r="G40" s="195"/>
      <c r="H40" s="25" t="s">
        <v>31</v>
      </c>
      <c r="I40" s="301"/>
      <c r="J40" s="301"/>
      <c r="K40" s="301">
        <v>0.39</v>
      </c>
      <c r="L40" s="301">
        <v>0.78</v>
      </c>
      <c r="M40" s="301">
        <v>2</v>
      </c>
      <c r="N40" s="301" t="s">
        <v>33</v>
      </c>
      <c r="O40" s="303">
        <f t="shared" si="2"/>
        <v>12.87</v>
      </c>
      <c r="P40" s="303">
        <f t="shared" si="3"/>
        <v>15.014999999999999</v>
      </c>
      <c r="Q40" s="303">
        <f t="shared" si="4"/>
        <v>8.58</v>
      </c>
      <c r="R40" s="303">
        <f t="shared" si="5"/>
        <v>6.4349999999999996</v>
      </c>
      <c r="S40" s="292">
        <v>42.9</v>
      </c>
      <c r="T40" s="282">
        <v>105991.94</v>
      </c>
      <c r="U40" s="283">
        <v>82673.713199999998</v>
      </c>
      <c r="V40" s="172"/>
      <c r="W40" s="172"/>
      <c r="X40" s="301" t="s">
        <v>844</v>
      </c>
      <c r="Y40" s="301">
        <v>73471</v>
      </c>
      <c r="Z40" s="272" t="s">
        <v>948</v>
      </c>
      <c r="AA40" s="9" t="s">
        <v>950</v>
      </c>
      <c r="AB40" s="268">
        <v>1</v>
      </c>
      <c r="AC40" s="268">
        <v>3452</v>
      </c>
      <c r="AD40" s="172"/>
      <c r="AE40" s="172"/>
      <c r="AF40" s="172"/>
      <c r="AG40" s="169">
        <f>L40*0.3</f>
        <v>0.23399999999999999</v>
      </c>
      <c r="AH40" s="163"/>
      <c r="AI40" s="163"/>
      <c r="AJ40" s="164"/>
      <c r="AK40" s="141"/>
      <c r="AL40" s="265"/>
      <c r="AM40" s="265"/>
      <c r="AN40" s="127"/>
      <c r="AO40" s="126"/>
      <c r="AP40" s="72"/>
      <c r="AQ40" s="72"/>
      <c r="AR40" s="127"/>
    </row>
    <row r="41" spans="1:44" ht="45" x14ac:dyDescent="0.25">
      <c r="A41" s="301">
        <v>38</v>
      </c>
      <c r="B41" s="25" t="s">
        <v>28</v>
      </c>
      <c r="C41" s="28" t="s">
        <v>29</v>
      </c>
      <c r="D41" s="302" t="s">
        <v>946</v>
      </c>
      <c r="E41" s="195"/>
      <c r="F41" s="25" t="s">
        <v>949</v>
      </c>
      <c r="G41" s="195"/>
      <c r="H41" s="25" t="s">
        <v>31</v>
      </c>
      <c r="I41" s="301"/>
      <c r="J41" s="301"/>
      <c r="K41" s="301">
        <v>6.6779999999999999</v>
      </c>
      <c r="L41" s="301">
        <v>6.6779999999999999</v>
      </c>
      <c r="M41" s="301">
        <v>1</v>
      </c>
      <c r="N41" s="301" t="s">
        <v>33</v>
      </c>
      <c r="O41" s="303">
        <f t="shared" si="2"/>
        <v>66.112200000000001</v>
      </c>
      <c r="P41" s="303">
        <f t="shared" si="3"/>
        <v>77.130899999999997</v>
      </c>
      <c r="Q41" s="303">
        <f t="shared" si="4"/>
        <v>44.074800000000003</v>
      </c>
      <c r="R41" s="303">
        <f t="shared" si="5"/>
        <v>33.056100000000001</v>
      </c>
      <c r="S41" s="292">
        <v>220.374</v>
      </c>
      <c r="T41" s="282">
        <v>105991.94</v>
      </c>
      <c r="U41" s="283">
        <v>707814.17532000004</v>
      </c>
      <c r="V41" s="172"/>
      <c r="W41" s="172"/>
      <c r="X41" s="301" t="s">
        <v>931</v>
      </c>
      <c r="Y41" s="301">
        <v>73471</v>
      </c>
      <c r="Z41" s="272" t="s">
        <v>948</v>
      </c>
      <c r="AA41" s="9" t="s">
        <v>949</v>
      </c>
      <c r="AB41" s="9">
        <v>2</v>
      </c>
      <c r="AC41" s="268">
        <v>3452</v>
      </c>
      <c r="AD41" s="172"/>
      <c r="AE41" s="172"/>
      <c r="AF41" s="172"/>
      <c r="AG41" s="169">
        <f t="shared" ref="AG41:AG43" si="11">L41*0.3</f>
        <v>2.0034000000000001</v>
      </c>
      <c r="AH41" s="163"/>
      <c r="AI41" s="163"/>
      <c r="AJ41" s="164"/>
      <c r="AK41" s="141"/>
      <c r="AL41" s="265"/>
      <c r="AM41" s="265"/>
      <c r="AN41" s="127"/>
      <c r="AO41" s="126"/>
      <c r="AP41" s="72"/>
      <c r="AQ41" s="72"/>
      <c r="AR41" s="127"/>
    </row>
    <row r="42" spans="1:44" ht="45" x14ac:dyDescent="0.25">
      <c r="A42" s="301">
        <v>39</v>
      </c>
      <c r="B42" s="25" t="s">
        <v>28</v>
      </c>
      <c r="C42" s="28" t="s">
        <v>29</v>
      </c>
      <c r="D42" s="302" t="s">
        <v>946</v>
      </c>
      <c r="E42" s="195"/>
      <c r="F42" s="25" t="s">
        <v>949</v>
      </c>
      <c r="G42" s="195"/>
      <c r="H42" s="25" t="s">
        <v>31</v>
      </c>
      <c r="I42" s="301"/>
      <c r="J42" s="301"/>
      <c r="K42" s="301">
        <v>0.86599999999999999</v>
      </c>
      <c r="L42" s="301">
        <v>1.732</v>
      </c>
      <c r="M42" s="301">
        <v>2</v>
      </c>
      <c r="N42" s="301" t="s">
        <v>33</v>
      </c>
      <c r="O42" s="303">
        <f t="shared" si="2"/>
        <v>24.421199999999999</v>
      </c>
      <c r="P42" s="303">
        <f t="shared" si="3"/>
        <v>28.491399999999995</v>
      </c>
      <c r="Q42" s="303">
        <f t="shared" si="4"/>
        <v>16.280799999999999</v>
      </c>
      <c r="R42" s="303">
        <f t="shared" si="5"/>
        <v>12.210599999999999</v>
      </c>
      <c r="S42" s="292">
        <v>81.403999999999996</v>
      </c>
      <c r="T42" s="282">
        <v>105991.94</v>
      </c>
      <c r="U42" s="283">
        <v>183578.04008000001</v>
      </c>
      <c r="V42" s="172"/>
      <c r="W42" s="172"/>
      <c r="X42" s="290" t="s">
        <v>934</v>
      </c>
      <c r="Y42" s="301">
        <v>73471</v>
      </c>
      <c r="Z42" s="272" t="s">
        <v>948</v>
      </c>
      <c r="AA42" s="9" t="s">
        <v>949</v>
      </c>
      <c r="AB42" s="9">
        <v>3</v>
      </c>
      <c r="AC42" s="268">
        <v>3452</v>
      </c>
      <c r="AD42" s="172"/>
      <c r="AE42" s="172"/>
      <c r="AF42" s="172"/>
      <c r="AG42" s="169">
        <f t="shared" si="11"/>
        <v>0.51959999999999995</v>
      </c>
      <c r="AH42" s="163"/>
      <c r="AI42" s="163"/>
      <c r="AJ42" s="164"/>
      <c r="AK42" s="141"/>
      <c r="AL42" s="265"/>
      <c r="AM42" s="265"/>
      <c r="AN42" s="127"/>
      <c r="AO42" s="126"/>
      <c r="AP42" s="72"/>
      <c r="AQ42" s="72"/>
      <c r="AR42" s="127"/>
    </row>
    <row r="43" spans="1:44" ht="45" x14ac:dyDescent="0.25">
      <c r="A43" s="301">
        <v>40</v>
      </c>
      <c r="B43" s="25" t="s">
        <v>28</v>
      </c>
      <c r="C43" s="28" t="s">
        <v>29</v>
      </c>
      <c r="D43" s="302" t="s">
        <v>946</v>
      </c>
      <c r="E43" s="195"/>
      <c r="F43" s="25" t="s">
        <v>168</v>
      </c>
      <c r="G43" s="195"/>
      <c r="H43" s="25" t="s">
        <v>31</v>
      </c>
      <c r="I43" s="301"/>
      <c r="J43" s="301"/>
      <c r="K43" s="301">
        <v>1.6300000000000001</v>
      </c>
      <c r="L43" s="301">
        <v>1.6300000000000001</v>
      </c>
      <c r="M43" s="301">
        <v>1</v>
      </c>
      <c r="N43" s="301" t="s">
        <v>33</v>
      </c>
      <c r="O43" s="303">
        <f t="shared" si="2"/>
        <v>21.027000000000001</v>
      </c>
      <c r="P43" s="303">
        <f t="shared" si="3"/>
        <v>24.531500000000001</v>
      </c>
      <c r="Q43" s="303">
        <f t="shared" si="4"/>
        <v>14.018000000000001</v>
      </c>
      <c r="R43" s="303">
        <f t="shared" si="5"/>
        <v>10.513500000000001</v>
      </c>
      <c r="S43" s="292">
        <v>70.09</v>
      </c>
      <c r="T43" s="282">
        <v>105991.94</v>
      </c>
      <c r="U43" s="283">
        <v>172766.8622</v>
      </c>
      <c r="V43" s="172"/>
      <c r="W43" s="172"/>
      <c r="X43" s="301" t="s">
        <v>930</v>
      </c>
      <c r="Y43" s="301">
        <v>73471</v>
      </c>
      <c r="Z43" s="272" t="s">
        <v>948</v>
      </c>
      <c r="AA43" s="9" t="s">
        <v>168</v>
      </c>
      <c r="AB43" s="268">
        <v>4</v>
      </c>
      <c r="AC43" s="268">
        <v>3481</v>
      </c>
      <c r="AD43" s="172"/>
      <c r="AE43" s="172"/>
      <c r="AF43" s="172"/>
      <c r="AG43" s="169">
        <f t="shared" si="11"/>
        <v>0.48899999999999999</v>
      </c>
      <c r="AH43" s="163"/>
      <c r="AI43" s="163"/>
      <c r="AJ43" s="164"/>
      <c r="AK43" s="141"/>
      <c r="AL43" s="265"/>
      <c r="AM43" s="265"/>
      <c r="AN43" s="127"/>
      <c r="AO43" s="126"/>
      <c r="AP43" s="72"/>
      <c r="AQ43" s="72"/>
      <c r="AR43" s="127"/>
    </row>
    <row r="44" spans="1:44" ht="45" x14ac:dyDescent="0.25">
      <c r="A44" s="301">
        <v>41</v>
      </c>
      <c r="B44" s="25" t="s">
        <v>28</v>
      </c>
      <c r="C44" s="176" t="s">
        <v>29</v>
      </c>
      <c r="D44" s="302" t="s">
        <v>946</v>
      </c>
      <c r="E44" s="276"/>
      <c r="F44" s="301" t="s">
        <v>950</v>
      </c>
      <c r="G44" s="276"/>
      <c r="H44" s="9" t="s">
        <v>31</v>
      </c>
      <c r="I44" s="268"/>
      <c r="J44" s="268"/>
      <c r="K44" s="301">
        <v>0.39</v>
      </c>
      <c r="L44" s="301">
        <v>0.78</v>
      </c>
      <c r="M44" s="301">
        <v>2</v>
      </c>
      <c r="N44" s="301" t="s">
        <v>33</v>
      </c>
      <c r="O44" s="303">
        <f t="shared" si="2"/>
        <v>12.87</v>
      </c>
      <c r="P44" s="303">
        <f t="shared" si="3"/>
        <v>15.014999999999999</v>
      </c>
      <c r="Q44" s="303">
        <f t="shared" si="4"/>
        <v>8.58</v>
      </c>
      <c r="R44" s="303">
        <f t="shared" si="5"/>
        <v>6.4349999999999996</v>
      </c>
      <c r="S44" s="292">
        <v>42.9</v>
      </c>
      <c r="T44" s="282">
        <v>105991.94</v>
      </c>
      <c r="U44" s="283">
        <v>82673.713199999998</v>
      </c>
      <c r="V44" s="276"/>
      <c r="W44" s="276"/>
      <c r="X44" s="301" t="s">
        <v>844</v>
      </c>
      <c r="Y44" s="301">
        <v>73476</v>
      </c>
      <c r="Z44" s="272" t="s">
        <v>948</v>
      </c>
      <c r="AA44" s="268" t="s">
        <v>950</v>
      </c>
      <c r="AB44" s="268">
        <v>1</v>
      </c>
      <c r="AC44" s="268">
        <v>3452</v>
      </c>
      <c r="AD44" s="276"/>
      <c r="AE44" s="276"/>
      <c r="AF44" s="276"/>
      <c r="AG44" s="141"/>
      <c r="AH44" s="163"/>
      <c r="AI44" s="163"/>
      <c r="AJ44" s="164"/>
      <c r="AK44" s="169">
        <f>L44*0.3</f>
        <v>0.23399999999999999</v>
      </c>
      <c r="AL44" s="72"/>
      <c r="AM44" s="72"/>
      <c r="AN44" s="127"/>
      <c r="AO44" s="141"/>
      <c r="AP44" s="72"/>
      <c r="AQ44" s="72"/>
      <c r="AR44" s="127"/>
    </row>
    <row r="45" spans="1:44" ht="45" x14ac:dyDescent="0.25">
      <c r="A45" s="301">
        <v>42</v>
      </c>
      <c r="B45" s="25" t="s">
        <v>28</v>
      </c>
      <c r="C45" s="176" t="s">
        <v>29</v>
      </c>
      <c r="D45" s="302" t="s">
        <v>946</v>
      </c>
      <c r="E45" s="172"/>
      <c r="F45" s="25" t="s">
        <v>949</v>
      </c>
      <c r="G45" s="172"/>
      <c r="H45" s="9" t="s">
        <v>31</v>
      </c>
      <c r="I45" s="268"/>
      <c r="J45" s="268"/>
      <c r="K45" s="301">
        <v>3.3559999999999999</v>
      </c>
      <c r="L45" s="301">
        <v>3.3559999999999999</v>
      </c>
      <c r="M45" s="301">
        <v>1</v>
      </c>
      <c r="N45" s="301" t="s">
        <v>33</v>
      </c>
      <c r="O45" s="303">
        <f t="shared" si="2"/>
        <v>43.292399999999994</v>
      </c>
      <c r="P45" s="303">
        <f t="shared" si="3"/>
        <v>50.507799999999996</v>
      </c>
      <c r="Q45" s="303">
        <f t="shared" si="4"/>
        <v>28.861599999999999</v>
      </c>
      <c r="R45" s="303">
        <f t="shared" si="5"/>
        <v>21.646199999999997</v>
      </c>
      <c r="S45" s="292">
        <v>144.30799999999999</v>
      </c>
      <c r="T45" s="282">
        <v>105991.94</v>
      </c>
      <c r="U45" s="283">
        <v>355708.95064</v>
      </c>
      <c r="V45" s="172"/>
      <c r="W45" s="172"/>
      <c r="X45" s="301" t="s">
        <v>935</v>
      </c>
      <c r="Y45" s="301">
        <v>73476</v>
      </c>
      <c r="Z45" s="272" t="s">
        <v>948</v>
      </c>
      <c r="AA45" s="9" t="s">
        <v>949</v>
      </c>
      <c r="AB45" s="268">
        <v>2</v>
      </c>
      <c r="AC45" s="268">
        <v>3452</v>
      </c>
      <c r="AD45" s="172"/>
      <c r="AE45" s="172"/>
      <c r="AF45" s="172"/>
      <c r="AG45" s="141"/>
      <c r="AH45" s="163"/>
      <c r="AI45" s="163"/>
      <c r="AJ45" s="164"/>
      <c r="AK45" s="169">
        <f t="shared" ref="AK45:AK46" si="12">L45*0.3</f>
        <v>1.0067999999999999</v>
      </c>
      <c r="AL45" s="72"/>
      <c r="AM45" s="72"/>
      <c r="AN45" s="127"/>
      <c r="AO45" s="141"/>
      <c r="AP45" s="72"/>
      <c r="AQ45" s="72"/>
      <c r="AR45" s="127"/>
    </row>
    <row r="46" spans="1:44" ht="45" x14ac:dyDescent="0.25">
      <c r="A46" s="301">
        <v>43</v>
      </c>
      <c r="B46" s="25" t="s">
        <v>28</v>
      </c>
      <c r="C46" s="176" t="s">
        <v>29</v>
      </c>
      <c r="D46" s="302" t="s">
        <v>946</v>
      </c>
      <c r="E46" s="172"/>
      <c r="F46" s="25" t="s">
        <v>168</v>
      </c>
      <c r="G46" s="172"/>
      <c r="H46" s="9" t="s">
        <v>31</v>
      </c>
      <c r="I46" s="268"/>
      <c r="J46" s="268"/>
      <c r="K46" s="301">
        <v>0.38200000000000001</v>
      </c>
      <c r="L46" s="301">
        <v>0.76400000000000001</v>
      </c>
      <c r="M46" s="301">
        <v>2</v>
      </c>
      <c r="N46" s="301" t="s">
        <v>33</v>
      </c>
      <c r="O46" s="303">
        <f t="shared" si="2"/>
        <v>12.606</v>
      </c>
      <c r="P46" s="303">
        <f t="shared" si="3"/>
        <v>14.707000000000001</v>
      </c>
      <c r="Q46" s="303">
        <f t="shared" si="4"/>
        <v>8.4040000000000017</v>
      </c>
      <c r="R46" s="303">
        <f t="shared" si="5"/>
        <v>6.3029999999999999</v>
      </c>
      <c r="S46" s="292">
        <v>42.02</v>
      </c>
      <c r="T46" s="282">
        <v>105991.94</v>
      </c>
      <c r="U46" s="283">
        <v>80977.84216</v>
      </c>
      <c r="V46" s="172"/>
      <c r="W46" s="172"/>
      <c r="X46" s="301" t="s">
        <v>953</v>
      </c>
      <c r="Y46" s="301">
        <v>73476</v>
      </c>
      <c r="Z46" s="272" t="s">
        <v>948</v>
      </c>
      <c r="AA46" s="9" t="s">
        <v>168</v>
      </c>
      <c r="AB46" s="268">
        <v>3</v>
      </c>
      <c r="AC46" s="268">
        <v>3452</v>
      </c>
      <c r="AD46" s="172"/>
      <c r="AE46" s="172"/>
      <c r="AF46" s="172"/>
      <c r="AG46" s="141"/>
      <c r="AH46" s="163"/>
      <c r="AI46" s="163"/>
      <c r="AJ46" s="164"/>
      <c r="AK46" s="169">
        <f t="shared" si="12"/>
        <v>0.22919999999999999</v>
      </c>
      <c r="AL46" s="72"/>
      <c r="AM46" s="72"/>
      <c r="AN46" s="127"/>
      <c r="AO46" s="141"/>
      <c r="AP46" s="72"/>
      <c r="AQ46" s="72"/>
      <c r="AR46" s="127"/>
    </row>
    <row r="47" spans="1:44" ht="45" x14ac:dyDescent="0.25">
      <c r="A47" s="301">
        <v>44</v>
      </c>
      <c r="B47" s="25" t="s">
        <v>28</v>
      </c>
      <c r="C47" s="176" t="s">
        <v>29</v>
      </c>
      <c r="D47" s="302" t="s">
        <v>946</v>
      </c>
      <c r="E47" s="172"/>
      <c r="F47" s="25" t="s">
        <v>950</v>
      </c>
      <c r="G47" s="172"/>
      <c r="H47" s="9" t="s">
        <v>31</v>
      </c>
      <c r="I47" s="268"/>
      <c r="J47" s="268"/>
      <c r="K47" s="301">
        <v>0.39</v>
      </c>
      <c r="L47" s="301">
        <v>0.78</v>
      </c>
      <c r="M47" s="301">
        <v>2</v>
      </c>
      <c r="N47" s="301" t="s">
        <v>33</v>
      </c>
      <c r="O47" s="303">
        <f t="shared" si="2"/>
        <v>12.87</v>
      </c>
      <c r="P47" s="303">
        <f t="shared" si="3"/>
        <v>15.014999999999999</v>
      </c>
      <c r="Q47" s="303">
        <f t="shared" si="4"/>
        <v>8.58</v>
      </c>
      <c r="R47" s="303">
        <f t="shared" si="5"/>
        <v>6.4349999999999996</v>
      </c>
      <c r="S47" s="292">
        <v>42.9</v>
      </c>
      <c r="T47" s="282">
        <v>105991.94</v>
      </c>
      <c r="U47" s="283">
        <v>82673.713199999998</v>
      </c>
      <c r="V47" s="172"/>
      <c r="W47" s="172"/>
      <c r="X47" s="301" t="s">
        <v>844</v>
      </c>
      <c r="Y47" s="301">
        <v>73477</v>
      </c>
      <c r="Z47" s="272" t="s">
        <v>948</v>
      </c>
      <c r="AA47" s="9" t="s">
        <v>950</v>
      </c>
      <c r="AB47" s="268">
        <v>1</v>
      </c>
      <c r="AC47" s="268">
        <v>3452</v>
      </c>
      <c r="AD47" s="172"/>
      <c r="AE47" s="172"/>
      <c r="AF47" s="172"/>
      <c r="AG47" s="141"/>
      <c r="AH47" s="163"/>
      <c r="AI47" s="163"/>
      <c r="AJ47" s="164"/>
      <c r="AK47" s="260"/>
      <c r="AL47" s="72"/>
      <c r="AM47" s="72"/>
      <c r="AN47" s="127"/>
      <c r="AO47" s="126"/>
      <c r="AP47" s="72"/>
      <c r="AQ47" s="72"/>
      <c r="AR47" s="127"/>
    </row>
    <row r="48" spans="1:44" ht="45" x14ac:dyDescent="0.25">
      <c r="A48" s="301">
        <v>45</v>
      </c>
      <c r="B48" s="25" t="s">
        <v>28</v>
      </c>
      <c r="C48" s="176" t="s">
        <v>29</v>
      </c>
      <c r="D48" s="302" t="s">
        <v>946</v>
      </c>
      <c r="E48" s="172"/>
      <c r="F48" s="25" t="s">
        <v>949</v>
      </c>
      <c r="G48" s="172"/>
      <c r="H48" s="9" t="s">
        <v>31</v>
      </c>
      <c r="I48" s="268"/>
      <c r="J48" s="268"/>
      <c r="K48" s="301">
        <v>2.5920000000000001</v>
      </c>
      <c r="L48" s="301">
        <v>2.5920000000000001</v>
      </c>
      <c r="M48" s="301">
        <v>1</v>
      </c>
      <c r="N48" s="301" t="s">
        <v>33</v>
      </c>
      <c r="O48" s="303">
        <f t="shared" si="2"/>
        <v>33.436799999999998</v>
      </c>
      <c r="P48" s="303">
        <f t="shared" si="3"/>
        <v>39.009599999999999</v>
      </c>
      <c r="Q48" s="303">
        <f t="shared" si="4"/>
        <v>22.291200000000003</v>
      </c>
      <c r="R48" s="303">
        <f t="shared" si="5"/>
        <v>16.718399999999999</v>
      </c>
      <c r="S48" s="292">
        <v>111.456</v>
      </c>
      <c r="T48" s="282">
        <v>105991.94</v>
      </c>
      <c r="U48" s="283">
        <v>274731.10848</v>
      </c>
      <c r="V48" s="172"/>
      <c r="W48" s="172"/>
      <c r="X48" s="301" t="s">
        <v>935</v>
      </c>
      <c r="Y48" s="301">
        <v>73477</v>
      </c>
      <c r="Z48" s="272" t="s">
        <v>948</v>
      </c>
      <c r="AA48" s="9" t="s">
        <v>949</v>
      </c>
      <c r="AB48" s="268">
        <v>2</v>
      </c>
      <c r="AC48" s="268">
        <v>3452</v>
      </c>
      <c r="AD48" s="172"/>
      <c r="AE48" s="172"/>
      <c r="AF48" s="172"/>
      <c r="AG48" s="141"/>
      <c r="AH48" s="163"/>
      <c r="AI48" s="163"/>
      <c r="AJ48" s="164"/>
      <c r="AK48" s="260"/>
      <c r="AL48" s="72"/>
      <c r="AM48" s="72"/>
      <c r="AN48" s="127"/>
      <c r="AO48" s="126"/>
      <c r="AP48" s="72"/>
      <c r="AQ48" s="72"/>
      <c r="AR48" s="127"/>
    </row>
    <row r="49" spans="1:44" ht="45" x14ac:dyDescent="0.25">
      <c r="A49" s="301">
        <v>46</v>
      </c>
      <c r="B49" s="25" t="s">
        <v>28</v>
      </c>
      <c r="C49" s="176" t="s">
        <v>29</v>
      </c>
      <c r="D49" s="302" t="s">
        <v>946</v>
      </c>
      <c r="E49" s="172"/>
      <c r="F49" s="25" t="s">
        <v>950</v>
      </c>
      <c r="G49" s="172"/>
      <c r="H49" s="9" t="s">
        <v>31</v>
      </c>
      <c r="I49" s="268"/>
      <c r="J49" s="268"/>
      <c r="K49" s="301">
        <v>0.38200000000000001</v>
      </c>
      <c r="L49" s="301">
        <v>1.528</v>
      </c>
      <c r="M49" s="301">
        <v>4</v>
      </c>
      <c r="N49" s="301" t="s">
        <v>33</v>
      </c>
      <c r="O49" s="303">
        <f t="shared" si="2"/>
        <v>25.212</v>
      </c>
      <c r="P49" s="303">
        <f t="shared" si="3"/>
        <v>29.414000000000001</v>
      </c>
      <c r="Q49" s="303">
        <f t="shared" si="4"/>
        <v>16.808000000000003</v>
      </c>
      <c r="R49" s="303">
        <f t="shared" si="5"/>
        <v>12.606</v>
      </c>
      <c r="S49" s="292">
        <v>84.04</v>
      </c>
      <c r="T49" s="282">
        <v>105991.94</v>
      </c>
      <c r="U49" s="283">
        <v>161955.68432</v>
      </c>
      <c r="V49" s="172"/>
      <c r="W49" s="172"/>
      <c r="X49" s="301" t="s">
        <v>954</v>
      </c>
      <c r="Y49" s="301">
        <v>73477</v>
      </c>
      <c r="Z49" s="272" t="s">
        <v>948</v>
      </c>
      <c r="AA49" s="9" t="s">
        <v>950</v>
      </c>
      <c r="AB49" s="268">
        <v>3</v>
      </c>
      <c r="AC49" s="268">
        <v>3452</v>
      </c>
      <c r="AD49" s="172"/>
      <c r="AE49" s="172"/>
      <c r="AF49" s="172"/>
      <c r="AG49" s="141"/>
      <c r="AH49" s="163"/>
      <c r="AI49" s="163"/>
      <c r="AJ49" s="164"/>
      <c r="AK49" s="260"/>
      <c r="AL49" s="72"/>
      <c r="AM49" s="72"/>
      <c r="AN49" s="127"/>
      <c r="AO49" s="126"/>
      <c r="AP49" s="72"/>
      <c r="AQ49" s="72"/>
      <c r="AR49" s="127"/>
    </row>
    <row r="50" spans="1:44" ht="45" x14ac:dyDescent="0.25">
      <c r="A50" s="301">
        <v>47</v>
      </c>
      <c r="B50" s="25" t="s">
        <v>28</v>
      </c>
      <c r="C50" s="28" t="s">
        <v>29</v>
      </c>
      <c r="D50" s="302" t="s">
        <v>946</v>
      </c>
      <c r="E50" s="195"/>
      <c r="F50" s="25" t="s">
        <v>950</v>
      </c>
      <c r="G50" s="195"/>
      <c r="H50" s="25" t="s">
        <v>31</v>
      </c>
      <c r="I50" s="301"/>
      <c r="J50" s="301"/>
      <c r="K50" s="301">
        <v>0.39</v>
      </c>
      <c r="L50" s="301">
        <v>0.78</v>
      </c>
      <c r="M50" s="301">
        <v>2</v>
      </c>
      <c r="N50" s="301" t="s">
        <v>33</v>
      </c>
      <c r="O50" s="303">
        <f t="shared" si="2"/>
        <v>12.87</v>
      </c>
      <c r="P50" s="303">
        <f t="shared" si="3"/>
        <v>15.014999999999999</v>
      </c>
      <c r="Q50" s="303">
        <f t="shared" si="4"/>
        <v>8.58</v>
      </c>
      <c r="R50" s="303">
        <f t="shared" si="5"/>
        <v>6.4349999999999996</v>
      </c>
      <c r="S50" s="292">
        <v>42.9</v>
      </c>
      <c r="T50" s="282">
        <v>105991.94</v>
      </c>
      <c r="U50" s="283">
        <v>82673.713199999998</v>
      </c>
      <c r="V50" s="172"/>
      <c r="W50" s="172"/>
      <c r="X50" s="301" t="s">
        <v>844</v>
      </c>
      <c r="Y50" s="301">
        <v>73478</v>
      </c>
      <c r="Z50" s="272" t="s">
        <v>948</v>
      </c>
      <c r="AA50" s="9" t="s">
        <v>950</v>
      </c>
      <c r="AB50" s="268">
        <v>1</v>
      </c>
      <c r="AC50" s="268">
        <v>3452</v>
      </c>
      <c r="AD50" s="172"/>
      <c r="AE50" s="172"/>
      <c r="AF50" s="172"/>
      <c r="AG50" s="141"/>
      <c r="AH50" s="163"/>
      <c r="AI50" s="163"/>
      <c r="AJ50" s="164"/>
      <c r="AK50" s="169">
        <f>O50*0.3</f>
        <v>3.8609999999999998</v>
      </c>
      <c r="AL50" s="72"/>
      <c r="AM50" s="72"/>
      <c r="AN50" s="127"/>
      <c r="AO50" s="141"/>
      <c r="AP50" s="72"/>
      <c r="AQ50" s="72"/>
      <c r="AR50" s="127"/>
    </row>
    <row r="51" spans="1:44" ht="45" x14ac:dyDescent="0.25">
      <c r="A51" s="301">
        <v>48</v>
      </c>
      <c r="B51" s="25" t="s">
        <v>28</v>
      </c>
      <c r="C51" s="28" t="s">
        <v>29</v>
      </c>
      <c r="D51" s="302" t="s">
        <v>946</v>
      </c>
      <c r="E51" s="195"/>
      <c r="F51" s="25" t="s">
        <v>949</v>
      </c>
      <c r="G51" s="195"/>
      <c r="H51" s="25" t="s">
        <v>31</v>
      </c>
      <c r="I51" s="301"/>
      <c r="J51" s="301"/>
      <c r="K51" s="301">
        <v>2.5920000000000001</v>
      </c>
      <c r="L51" s="301">
        <v>2.5920000000000001</v>
      </c>
      <c r="M51" s="301">
        <v>1</v>
      </c>
      <c r="N51" s="301" t="s">
        <v>33</v>
      </c>
      <c r="O51" s="303">
        <f t="shared" si="2"/>
        <v>33.436799999999998</v>
      </c>
      <c r="P51" s="303">
        <f t="shared" si="3"/>
        <v>39.009599999999999</v>
      </c>
      <c r="Q51" s="303">
        <f t="shared" si="4"/>
        <v>22.291200000000003</v>
      </c>
      <c r="R51" s="303">
        <f t="shared" si="5"/>
        <v>16.718399999999999</v>
      </c>
      <c r="S51" s="292">
        <v>111.456</v>
      </c>
      <c r="T51" s="282">
        <v>105991.94</v>
      </c>
      <c r="U51" s="283">
        <v>274731.10848</v>
      </c>
      <c r="V51" s="172"/>
      <c r="W51" s="172"/>
      <c r="X51" s="301" t="s">
        <v>935</v>
      </c>
      <c r="Y51" s="301">
        <v>73478</v>
      </c>
      <c r="Z51" s="272" t="s">
        <v>948</v>
      </c>
      <c r="AA51" s="9" t="s">
        <v>949</v>
      </c>
      <c r="AB51" s="268">
        <v>2</v>
      </c>
      <c r="AC51" s="268">
        <v>3452</v>
      </c>
      <c r="AD51" s="172"/>
      <c r="AE51" s="172"/>
      <c r="AF51" s="172"/>
      <c r="AG51" s="141"/>
      <c r="AH51" s="163"/>
      <c r="AI51" s="163"/>
      <c r="AJ51" s="164"/>
      <c r="AK51" s="169">
        <f t="shared" ref="AK51:AK52" si="13">O51*0.3</f>
        <v>10.031039999999999</v>
      </c>
      <c r="AL51" s="72"/>
      <c r="AM51" s="72"/>
      <c r="AN51" s="127"/>
      <c r="AO51" s="141"/>
      <c r="AP51" s="72"/>
      <c r="AQ51" s="72"/>
      <c r="AR51" s="127"/>
    </row>
    <row r="52" spans="1:44" ht="45" x14ac:dyDescent="0.25">
      <c r="A52" s="301">
        <v>49</v>
      </c>
      <c r="B52" s="25" t="s">
        <v>28</v>
      </c>
      <c r="C52" s="28" t="s">
        <v>29</v>
      </c>
      <c r="D52" s="302" t="s">
        <v>946</v>
      </c>
      <c r="E52" s="195"/>
      <c r="F52" s="25" t="s">
        <v>950</v>
      </c>
      <c r="G52" s="195"/>
      <c r="H52" s="25" t="s">
        <v>31</v>
      </c>
      <c r="I52" s="301"/>
      <c r="J52" s="301"/>
      <c r="K52" s="301">
        <v>0.38200000000000001</v>
      </c>
      <c r="L52" s="301" t="s">
        <v>472</v>
      </c>
      <c r="M52" s="301">
        <v>4</v>
      </c>
      <c r="N52" s="301" t="s">
        <v>33</v>
      </c>
      <c r="O52" s="303">
        <f t="shared" si="2"/>
        <v>25.212</v>
      </c>
      <c r="P52" s="303">
        <f t="shared" si="3"/>
        <v>29.414000000000001</v>
      </c>
      <c r="Q52" s="303">
        <f t="shared" si="4"/>
        <v>16.808000000000003</v>
      </c>
      <c r="R52" s="303">
        <f t="shared" si="5"/>
        <v>12.606</v>
      </c>
      <c r="S52" s="292">
        <v>84.04</v>
      </c>
      <c r="T52" s="282">
        <v>105991.94</v>
      </c>
      <c r="U52" s="283">
        <v>161955.68432</v>
      </c>
      <c r="V52" s="172"/>
      <c r="W52" s="172"/>
      <c r="X52" s="301" t="s">
        <v>953</v>
      </c>
      <c r="Y52" s="301">
        <v>73478</v>
      </c>
      <c r="Z52" s="272" t="s">
        <v>948</v>
      </c>
      <c r="AA52" s="9" t="s">
        <v>950</v>
      </c>
      <c r="AB52" s="268">
        <v>3</v>
      </c>
      <c r="AC52" s="268">
        <v>3452</v>
      </c>
      <c r="AD52" s="172"/>
      <c r="AE52" s="172"/>
      <c r="AF52" s="172"/>
      <c r="AG52" s="141"/>
      <c r="AH52" s="163"/>
      <c r="AI52" s="163"/>
      <c r="AJ52" s="164"/>
      <c r="AK52" s="169">
        <f t="shared" si="13"/>
        <v>7.5635999999999992</v>
      </c>
      <c r="AL52" s="72"/>
      <c r="AM52" s="72"/>
      <c r="AN52" s="127"/>
      <c r="AO52" s="141"/>
      <c r="AP52" s="72"/>
      <c r="AQ52" s="72"/>
      <c r="AR52" s="127"/>
    </row>
    <row r="53" spans="1:44" ht="45" hidden="1" x14ac:dyDescent="0.25">
      <c r="A53" s="268">
        <v>50</v>
      </c>
      <c r="B53" s="9" t="s">
        <v>28</v>
      </c>
      <c r="C53" s="176" t="s">
        <v>29</v>
      </c>
      <c r="D53" s="269" t="s">
        <v>946</v>
      </c>
      <c r="E53" s="172"/>
      <c r="F53" s="9" t="s">
        <v>955</v>
      </c>
      <c r="G53" s="172"/>
      <c r="H53" s="9" t="s">
        <v>31</v>
      </c>
      <c r="I53" s="9"/>
      <c r="J53" s="172"/>
      <c r="K53" s="268">
        <v>6.1100000000000002E-2</v>
      </c>
      <c r="L53" s="268">
        <v>6.1100000000000002E-2</v>
      </c>
      <c r="M53" s="268">
        <v>1</v>
      </c>
      <c r="N53" s="268" t="s">
        <v>33</v>
      </c>
      <c r="O53" s="291">
        <f t="shared" si="2"/>
        <v>1.2097800000000001</v>
      </c>
      <c r="P53" s="291">
        <f t="shared" si="3"/>
        <v>1.4114100000000001</v>
      </c>
      <c r="Q53" s="291">
        <f t="shared" si="4"/>
        <v>0.80652000000000013</v>
      </c>
      <c r="R53" s="291">
        <f t="shared" si="5"/>
        <v>0.60489000000000004</v>
      </c>
      <c r="S53" s="292">
        <v>4.0326000000000004</v>
      </c>
      <c r="T53" s="282">
        <v>105991.94</v>
      </c>
      <c r="U53" s="283">
        <v>6476.1075340000007</v>
      </c>
      <c r="V53" s="172"/>
      <c r="W53" s="172"/>
      <c r="X53" s="268" t="s">
        <v>956</v>
      </c>
      <c r="Y53" s="268">
        <v>73483</v>
      </c>
      <c r="Z53" s="272" t="s">
        <v>948</v>
      </c>
      <c r="AA53" s="9" t="s">
        <v>955</v>
      </c>
      <c r="AB53" s="268">
        <v>1</v>
      </c>
      <c r="AC53" s="268">
        <v>3452</v>
      </c>
      <c r="AD53" s="172"/>
      <c r="AE53" s="172"/>
      <c r="AF53" s="172"/>
      <c r="AG53" s="141"/>
      <c r="AH53" s="163"/>
      <c r="AI53" s="163"/>
      <c r="AJ53" s="164"/>
      <c r="AK53" s="126"/>
      <c r="AL53" s="72"/>
      <c r="AM53" s="72"/>
      <c r="AN53" s="127"/>
      <c r="AO53" s="126"/>
      <c r="AP53" s="72"/>
      <c r="AQ53" s="72"/>
      <c r="AR53" s="127"/>
    </row>
    <row r="54" spans="1:44" ht="45" hidden="1" x14ac:dyDescent="0.25">
      <c r="A54" s="268">
        <v>51</v>
      </c>
      <c r="B54" s="9" t="s">
        <v>28</v>
      </c>
      <c r="C54" s="176" t="s">
        <v>29</v>
      </c>
      <c r="D54" s="269" t="s">
        <v>946</v>
      </c>
      <c r="E54" s="172"/>
      <c r="F54" s="9" t="s">
        <v>955</v>
      </c>
      <c r="G54" s="172"/>
      <c r="H54" s="9" t="s">
        <v>31</v>
      </c>
      <c r="I54" s="9"/>
      <c r="J54" s="172"/>
      <c r="K54" s="268">
        <v>6.1100000000000002E-2</v>
      </c>
      <c r="L54" s="268">
        <v>6.1100000000000002E-2</v>
      </c>
      <c r="M54" s="268">
        <v>1</v>
      </c>
      <c r="N54" s="268" t="s">
        <v>33</v>
      </c>
      <c r="O54" s="291">
        <f t="shared" si="2"/>
        <v>1.2097800000000001</v>
      </c>
      <c r="P54" s="291">
        <f t="shared" si="3"/>
        <v>1.4114100000000001</v>
      </c>
      <c r="Q54" s="291">
        <f t="shared" si="4"/>
        <v>0.80652000000000013</v>
      </c>
      <c r="R54" s="291">
        <f t="shared" si="5"/>
        <v>0.60489000000000004</v>
      </c>
      <c r="S54" s="292">
        <v>4.0326000000000004</v>
      </c>
      <c r="T54" s="282">
        <v>105991.94</v>
      </c>
      <c r="U54" s="283">
        <v>6476.1075340000007</v>
      </c>
      <c r="V54" s="172"/>
      <c r="W54" s="172"/>
      <c r="X54" s="268" t="s">
        <v>957</v>
      </c>
      <c r="Y54" s="268">
        <v>73483</v>
      </c>
      <c r="Z54" s="272" t="s">
        <v>948</v>
      </c>
      <c r="AA54" s="9" t="s">
        <v>955</v>
      </c>
      <c r="AB54" s="268">
        <v>2</v>
      </c>
      <c r="AC54" s="268">
        <v>3452</v>
      </c>
      <c r="AD54" s="172"/>
      <c r="AE54" s="172"/>
      <c r="AF54" s="172"/>
      <c r="AG54" s="141"/>
      <c r="AH54" s="163"/>
      <c r="AI54" s="163"/>
      <c r="AJ54" s="164"/>
      <c r="AK54" s="126"/>
      <c r="AL54" s="72"/>
      <c r="AM54" s="72"/>
      <c r="AN54" s="127"/>
      <c r="AO54" s="126"/>
      <c r="AP54" s="72"/>
      <c r="AQ54" s="72"/>
      <c r="AR54" s="127"/>
    </row>
    <row r="55" spans="1:44" ht="45" hidden="1" x14ac:dyDescent="0.25">
      <c r="A55" s="268">
        <v>52</v>
      </c>
      <c r="B55" s="9" t="s">
        <v>28</v>
      </c>
      <c r="C55" s="176" t="s">
        <v>29</v>
      </c>
      <c r="D55" s="269" t="s">
        <v>946</v>
      </c>
      <c r="E55" s="172"/>
      <c r="F55" s="9" t="s">
        <v>955</v>
      </c>
      <c r="G55" s="172"/>
      <c r="H55" s="9" t="s">
        <v>31</v>
      </c>
      <c r="I55" s="9"/>
      <c r="J55" s="172"/>
      <c r="K55" s="268">
        <v>6.1100000000000002E-2</v>
      </c>
      <c r="L55" s="268">
        <v>2.5662000000000003</v>
      </c>
      <c r="M55" s="268">
        <v>42</v>
      </c>
      <c r="N55" s="268" t="s">
        <v>33</v>
      </c>
      <c r="O55" s="291">
        <f t="shared" si="2"/>
        <v>50.810760000000002</v>
      </c>
      <c r="P55" s="291">
        <f t="shared" si="3"/>
        <v>59.279219999999995</v>
      </c>
      <c r="Q55" s="291">
        <f t="shared" si="4"/>
        <v>33.873840000000001</v>
      </c>
      <c r="R55" s="291">
        <f t="shared" si="5"/>
        <v>25.405380000000001</v>
      </c>
      <c r="S55" s="292">
        <v>169.36920000000001</v>
      </c>
      <c r="T55" s="282">
        <v>105991.94</v>
      </c>
      <c r="U55" s="283">
        <v>271996.51642800006</v>
      </c>
      <c r="V55" s="172"/>
      <c r="W55" s="172"/>
      <c r="X55" s="268" t="s">
        <v>958</v>
      </c>
      <c r="Y55" s="268">
        <v>73483</v>
      </c>
      <c r="Z55" s="272" t="s">
        <v>948</v>
      </c>
      <c r="AA55" s="9" t="s">
        <v>955</v>
      </c>
      <c r="AB55" s="268">
        <v>3</v>
      </c>
      <c r="AC55" s="268">
        <v>3452</v>
      </c>
      <c r="AD55" s="172"/>
      <c r="AE55" s="172"/>
      <c r="AF55" s="172"/>
      <c r="AG55" s="141"/>
      <c r="AH55" s="163"/>
      <c r="AI55" s="163"/>
      <c r="AJ55" s="164"/>
      <c r="AK55" s="126"/>
      <c r="AL55" s="72"/>
      <c r="AM55" s="72"/>
      <c r="AN55" s="127"/>
      <c r="AO55" s="126"/>
      <c r="AP55" s="72"/>
      <c r="AQ55" s="72"/>
      <c r="AR55" s="127"/>
    </row>
    <row r="56" spans="1:44" ht="45" hidden="1" x14ac:dyDescent="0.25">
      <c r="A56" s="268">
        <v>53</v>
      </c>
      <c r="B56" s="9" t="s">
        <v>28</v>
      </c>
      <c r="C56" s="176" t="s">
        <v>29</v>
      </c>
      <c r="D56" s="269" t="s">
        <v>946</v>
      </c>
      <c r="E56" s="172"/>
      <c r="F56" s="9" t="s">
        <v>959</v>
      </c>
      <c r="G56" s="172"/>
      <c r="H56" s="9" t="s">
        <v>31</v>
      </c>
      <c r="I56" s="9"/>
      <c r="J56" s="172"/>
      <c r="K56" s="268">
        <v>7.690000000000001E-2</v>
      </c>
      <c r="L56" s="268">
        <v>0.15380000000000002</v>
      </c>
      <c r="M56" s="268">
        <v>2</v>
      </c>
      <c r="N56" s="268" t="s">
        <v>33</v>
      </c>
      <c r="O56" s="291">
        <f t="shared" si="2"/>
        <v>3.0452400000000006</v>
      </c>
      <c r="P56" s="291">
        <f t="shared" si="3"/>
        <v>3.5527800000000003</v>
      </c>
      <c r="Q56" s="291">
        <f t="shared" si="4"/>
        <v>2.0301600000000004</v>
      </c>
      <c r="R56" s="291">
        <f t="shared" si="5"/>
        <v>1.5226200000000003</v>
      </c>
      <c r="S56" s="292">
        <v>10.150800000000002</v>
      </c>
      <c r="T56" s="282">
        <v>105991.94</v>
      </c>
      <c r="U56" s="283">
        <v>16301.560372000002</v>
      </c>
      <c r="V56" s="172"/>
      <c r="W56" s="172"/>
      <c r="X56" s="268" t="s">
        <v>960</v>
      </c>
      <c r="Y56" s="268">
        <v>73483</v>
      </c>
      <c r="Z56" s="272" t="s">
        <v>948</v>
      </c>
      <c r="AA56" s="9" t="s">
        <v>959</v>
      </c>
      <c r="AB56" s="268">
        <v>4</v>
      </c>
      <c r="AC56" s="268">
        <v>3452</v>
      </c>
      <c r="AD56" s="172"/>
      <c r="AE56" s="172"/>
      <c r="AF56" s="172"/>
      <c r="AG56" s="141"/>
      <c r="AH56" s="163"/>
      <c r="AI56" s="163"/>
      <c r="AJ56" s="164"/>
      <c r="AK56" s="126"/>
      <c r="AL56" s="72"/>
      <c r="AM56" s="72"/>
      <c r="AN56" s="127"/>
      <c r="AO56" s="126"/>
      <c r="AP56" s="72"/>
      <c r="AQ56" s="72"/>
      <c r="AR56" s="127"/>
    </row>
    <row r="57" spans="1:44" ht="45" hidden="1" x14ac:dyDescent="0.25">
      <c r="A57" s="9">
        <v>54</v>
      </c>
      <c r="B57" s="9" t="s">
        <v>28</v>
      </c>
      <c r="C57" s="176" t="s">
        <v>29</v>
      </c>
      <c r="D57" s="193" t="s">
        <v>946</v>
      </c>
      <c r="E57" s="172"/>
      <c r="F57" s="9" t="s">
        <v>959</v>
      </c>
      <c r="G57" s="172"/>
      <c r="H57" s="9" t="s">
        <v>31</v>
      </c>
      <c r="I57" s="9"/>
      <c r="J57" s="172"/>
      <c r="K57" s="9">
        <v>7.7600000000000002E-2</v>
      </c>
      <c r="L57" s="9">
        <v>0.31040000000000001</v>
      </c>
      <c r="M57" s="9">
        <v>4</v>
      </c>
      <c r="N57" s="9" t="s">
        <v>33</v>
      </c>
      <c r="O57" s="291">
        <f t="shared" si="2"/>
        <v>6.1459199999999994</v>
      </c>
      <c r="P57" s="291">
        <f t="shared" si="3"/>
        <v>7.1702399999999997</v>
      </c>
      <c r="Q57" s="291">
        <f t="shared" si="4"/>
        <v>4.0972800000000005</v>
      </c>
      <c r="R57" s="291">
        <f t="shared" si="5"/>
        <v>3.0729599999999997</v>
      </c>
      <c r="S57" s="292">
        <v>20.4864</v>
      </c>
      <c r="T57" s="282">
        <v>105991.94</v>
      </c>
      <c r="U57" s="283">
        <v>32899.898176000002</v>
      </c>
      <c r="V57" s="172"/>
      <c r="W57" s="172"/>
      <c r="X57" s="9" t="s">
        <v>961</v>
      </c>
      <c r="Y57" s="9">
        <v>73483</v>
      </c>
      <c r="Z57" s="19" t="s">
        <v>948</v>
      </c>
      <c r="AA57" s="9" t="s">
        <v>959</v>
      </c>
      <c r="AB57" s="9">
        <v>5</v>
      </c>
      <c r="AC57" s="9">
        <v>3452</v>
      </c>
      <c r="AD57" s="172"/>
      <c r="AE57" s="172"/>
      <c r="AF57" s="172"/>
      <c r="AG57" s="141"/>
      <c r="AH57" s="163"/>
      <c r="AI57" s="163"/>
      <c r="AJ57" s="164"/>
      <c r="AK57" s="126"/>
      <c r="AL57" s="72"/>
      <c r="AM57" s="72"/>
      <c r="AN57" s="127"/>
      <c r="AO57" s="126"/>
      <c r="AP57" s="72"/>
      <c r="AQ57" s="72"/>
      <c r="AR57" s="127"/>
    </row>
    <row r="58" spans="1:44" ht="45" hidden="1" x14ac:dyDescent="0.25">
      <c r="A58" s="9">
        <v>55</v>
      </c>
      <c r="B58" s="9" t="s">
        <v>28</v>
      </c>
      <c r="C58" s="176" t="s">
        <v>29</v>
      </c>
      <c r="D58" s="193" t="s">
        <v>946</v>
      </c>
      <c r="E58" s="172"/>
      <c r="F58" s="9" t="s">
        <v>955</v>
      </c>
      <c r="G58" s="172"/>
      <c r="H58" s="9" t="s">
        <v>31</v>
      </c>
      <c r="I58" s="9"/>
      <c r="J58" s="172"/>
      <c r="K58" s="9">
        <v>6.1100000000000002E-2</v>
      </c>
      <c r="L58" s="9">
        <v>0.36660000000000004</v>
      </c>
      <c r="M58" s="9">
        <v>6</v>
      </c>
      <c r="N58" s="9" t="s">
        <v>33</v>
      </c>
      <c r="O58" s="291">
        <f t="shared" si="2"/>
        <v>7.25868</v>
      </c>
      <c r="P58" s="291">
        <f t="shared" si="3"/>
        <v>8.4684600000000003</v>
      </c>
      <c r="Q58" s="291">
        <f t="shared" si="4"/>
        <v>4.8391200000000012</v>
      </c>
      <c r="R58" s="291">
        <f t="shared" si="5"/>
        <v>3.62934</v>
      </c>
      <c r="S58" s="292">
        <v>24.195600000000002</v>
      </c>
      <c r="T58" s="282">
        <v>105991.94</v>
      </c>
      <c r="U58" s="283">
        <v>38856.645204000008</v>
      </c>
      <c r="V58" s="172"/>
      <c r="W58" s="172"/>
      <c r="X58" s="9" t="s">
        <v>962</v>
      </c>
      <c r="Y58" s="9">
        <v>73483</v>
      </c>
      <c r="Z58" s="19" t="s">
        <v>948</v>
      </c>
      <c r="AA58" s="9" t="s">
        <v>955</v>
      </c>
      <c r="AB58" s="9">
        <v>6</v>
      </c>
      <c r="AC58" s="9">
        <v>3452</v>
      </c>
      <c r="AD58" s="172"/>
      <c r="AE58" s="172"/>
      <c r="AF58" s="172"/>
      <c r="AG58" s="141"/>
      <c r="AH58" s="163"/>
      <c r="AI58" s="163"/>
      <c r="AJ58" s="164"/>
      <c r="AK58" s="126"/>
      <c r="AL58" s="72"/>
      <c r="AM58" s="72"/>
      <c r="AN58" s="127"/>
      <c r="AO58" s="126"/>
      <c r="AP58" s="72"/>
      <c r="AQ58" s="72"/>
      <c r="AR58" s="127"/>
    </row>
    <row r="59" spans="1:44" ht="57.6" hidden="1" customHeight="1" x14ac:dyDescent="0.25">
      <c r="A59" s="9">
        <v>56</v>
      </c>
      <c r="B59" s="9" t="s">
        <v>28</v>
      </c>
      <c r="C59" s="176" t="s">
        <v>29</v>
      </c>
      <c r="D59" s="193" t="s">
        <v>946</v>
      </c>
      <c r="E59" s="172"/>
      <c r="F59" s="15" t="s">
        <v>963</v>
      </c>
      <c r="G59" s="172"/>
      <c r="H59" s="9" t="s">
        <v>31</v>
      </c>
      <c r="I59" s="9"/>
      <c r="J59" s="172"/>
      <c r="K59" s="9">
        <v>1.1000000000000001E-3</v>
      </c>
      <c r="L59" s="9">
        <v>0.58079999999999998</v>
      </c>
      <c r="M59" s="9">
        <v>528</v>
      </c>
      <c r="N59" s="9" t="s">
        <v>33</v>
      </c>
      <c r="O59" s="291">
        <f t="shared" si="2"/>
        <v>14.113439999999999</v>
      </c>
      <c r="P59" s="291">
        <f t="shared" si="3"/>
        <v>16.465679999999999</v>
      </c>
      <c r="Q59" s="291">
        <f t="shared" si="4"/>
        <v>9.4089599999999987</v>
      </c>
      <c r="R59" s="291">
        <f t="shared" si="5"/>
        <v>7.0567199999999994</v>
      </c>
      <c r="S59" s="292">
        <v>47.044799999999995</v>
      </c>
      <c r="T59" s="285">
        <v>105991.94</v>
      </c>
      <c r="U59" s="286">
        <v>61560.118752000002</v>
      </c>
      <c r="V59" s="172"/>
      <c r="W59" s="172"/>
      <c r="X59" s="15" t="s">
        <v>810</v>
      </c>
      <c r="Y59" s="9">
        <v>73483</v>
      </c>
      <c r="Z59" s="19" t="s">
        <v>948</v>
      </c>
      <c r="AA59" s="15" t="s">
        <v>963</v>
      </c>
      <c r="AB59" s="9">
        <v>7</v>
      </c>
      <c r="AC59" s="9">
        <v>3452</v>
      </c>
      <c r="AD59" s="172"/>
      <c r="AE59" s="172"/>
      <c r="AF59" s="172"/>
      <c r="AG59" s="141"/>
      <c r="AH59" s="163"/>
      <c r="AI59" s="163"/>
      <c r="AJ59" s="164"/>
      <c r="AK59" s="126"/>
      <c r="AL59" s="72"/>
      <c r="AM59" s="72"/>
      <c r="AN59" s="127"/>
      <c r="AO59" s="126"/>
      <c r="AP59" s="72"/>
      <c r="AQ59" s="72"/>
      <c r="AR59" s="127"/>
    </row>
    <row r="60" spans="1:44" ht="45.6" hidden="1" customHeight="1" x14ac:dyDescent="0.25">
      <c r="A60" s="15">
        <v>707</v>
      </c>
      <c r="B60" s="9" t="s">
        <v>28</v>
      </c>
      <c r="C60" s="15" t="s">
        <v>964</v>
      </c>
      <c r="D60" s="193" t="s">
        <v>946</v>
      </c>
      <c r="E60" s="9"/>
      <c r="F60" s="15" t="s">
        <v>965</v>
      </c>
      <c r="G60" s="9"/>
      <c r="H60" s="9" t="s">
        <v>31</v>
      </c>
      <c r="I60" s="9"/>
      <c r="J60" s="9"/>
      <c r="K60" s="9">
        <v>4.3E-3</v>
      </c>
      <c r="L60" s="9">
        <v>0.18920000000000001</v>
      </c>
      <c r="M60" s="9">
        <v>44</v>
      </c>
      <c r="N60" s="9" t="s">
        <v>33</v>
      </c>
      <c r="O60" s="291">
        <f t="shared" si="2"/>
        <v>4.5975599999999996</v>
      </c>
      <c r="P60" s="291">
        <f t="shared" si="3"/>
        <v>5.3638199999999996</v>
      </c>
      <c r="Q60" s="291">
        <f t="shared" si="4"/>
        <v>3.0650400000000002</v>
      </c>
      <c r="R60" s="291">
        <f t="shared" si="5"/>
        <v>2.2987799999999998</v>
      </c>
      <c r="S60" s="292">
        <v>15.325200000000001</v>
      </c>
      <c r="T60" s="38">
        <v>105991.94</v>
      </c>
      <c r="U60" s="38">
        <v>20053.675048000001</v>
      </c>
      <c r="V60" s="38"/>
      <c r="W60" s="38"/>
      <c r="X60" s="9" t="s">
        <v>966</v>
      </c>
      <c r="Y60" s="9">
        <v>5053</v>
      </c>
      <c r="Z60" s="38">
        <v>6.2</v>
      </c>
      <c r="AA60" s="143" t="s">
        <v>965</v>
      </c>
      <c r="AB60" s="38">
        <v>1</v>
      </c>
      <c r="AC60" s="187">
        <v>4023</v>
      </c>
      <c r="AD60" s="38"/>
      <c r="AE60" s="172"/>
      <c r="AF60" s="172"/>
      <c r="AG60" s="141"/>
      <c r="AH60" s="163"/>
      <c r="AI60" s="163"/>
      <c r="AJ60" s="164"/>
      <c r="AK60" s="126"/>
      <c r="AL60" s="72"/>
      <c r="AM60" s="72"/>
      <c r="AN60" s="127"/>
      <c r="AO60" s="126"/>
      <c r="AP60" s="72"/>
      <c r="AQ60" s="72"/>
      <c r="AR60" s="127"/>
    </row>
    <row r="61" spans="1:44" ht="45" hidden="1" x14ac:dyDescent="0.25">
      <c r="A61" s="15">
        <v>708</v>
      </c>
      <c r="B61" s="9" t="s">
        <v>28</v>
      </c>
      <c r="C61" s="176" t="s">
        <v>964</v>
      </c>
      <c r="D61" s="193" t="s">
        <v>946</v>
      </c>
      <c r="E61" s="9"/>
      <c r="F61" s="15" t="s">
        <v>967</v>
      </c>
      <c r="G61" s="9"/>
      <c r="H61" s="9" t="s">
        <v>31</v>
      </c>
      <c r="I61" s="9"/>
      <c r="J61" s="172"/>
      <c r="K61" s="9">
        <v>2.2000000000000001E-3</v>
      </c>
      <c r="L61" s="9">
        <v>0.17600000000000002</v>
      </c>
      <c r="M61" s="9">
        <v>80</v>
      </c>
      <c r="N61" s="9" t="s">
        <v>33</v>
      </c>
      <c r="O61" s="291">
        <f t="shared" si="2"/>
        <v>4.2768000000000006</v>
      </c>
      <c r="P61" s="291">
        <f t="shared" si="3"/>
        <v>4.9896000000000003</v>
      </c>
      <c r="Q61" s="291">
        <f t="shared" si="4"/>
        <v>2.8512000000000004</v>
      </c>
      <c r="R61" s="291">
        <f t="shared" si="5"/>
        <v>2.1384000000000003</v>
      </c>
      <c r="S61" s="292">
        <v>14.256000000000002</v>
      </c>
      <c r="T61" s="9">
        <v>105991.94</v>
      </c>
      <c r="U61" s="9">
        <v>18654.581440000002</v>
      </c>
      <c r="V61" s="9"/>
      <c r="W61" s="9"/>
      <c r="X61" s="9" t="s">
        <v>968</v>
      </c>
      <c r="Y61" s="9">
        <v>5053</v>
      </c>
      <c r="Z61" s="9">
        <v>6.2</v>
      </c>
      <c r="AA61" s="15" t="s">
        <v>967</v>
      </c>
      <c r="AB61" s="9">
        <v>2</v>
      </c>
      <c r="AC61" s="187">
        <v>4023</v>
      </c>
      <c r="AD61" s="38"/>
      <c r="AE61" s="172"/>
      <c r="AF61" s="172"/>
      <c r="AG61" s="141"/>
      <c r="AH61" s="163"/>
      <c r="AI61" s="163"/>
      <c r="AJ61" s="164"/>
      <c r="AK61" s="126"/>
      <c r="AL61" s="72"/>
      <c r="AM61" s="72"/>
      <c r="AN61" s="127"/>
      <c r="AO61" s="126"/>
      <c r="AP61" s="72"/>
      <c r="AQ61" s="72"/>
      <c r="AR61" s="127"/>
    </row>
    <row r="62" spans="1:44" ht="75" hidden="1" x14ac:dyDescent="0.25">
      <c r="A62" s="15">
        <v>709</v>
      </c>
      <c r="B62" s="9" t="s">
        <v>28</v>
      </c>
      <c r="C62" s="176" t="s">
        <v>964</v>
      </c>
      <c r="D62" s="193" t="s">
        <v>946</v>
      </c>
      <c r="E62" s="9"/>
      <c r="F62" s="15" t="s">
        <v>969</v>
      </c>
      <c r="G62" s="9"/>
      <c r="H62" s="9" t="s">
        <v>31</v>
      </c>
      <c r="I62" s="9"/>
      <c r="J62" s="172"/>
      <c r="K62" s="9">
        <v>7.43E-3</v>
      </c>
      <c r="L62" s="9">
        <v>0.14860000000000001</v>
      </c>
      <c r="M62" s="9">
        <v>20</v>
      </c>
      <c r="N62" s="9" t="s">
        <v>33</v>
      </c>
      <c r="O62" s="291">
        <f t="shared" si="2"/>
        <v>3.6109799999999996</v>
      </c>
      <c r="P62" s="291">
        <f t="shared" si="3"/>
        <v>4.2128099999999993</v>
      </c>
      <c r="Q62" s="291">
        <f t="shared" si="4"/>
        <v>2.4073200000000003</v>
      </c>
      <c r="R62" s="291">
        <f t="shared" si="5"/>
        <v>1.8054899999999998</v>
      </c>
      <c r="S62" s="292">
        <v>12.0366</v>
      </c>
      <c r="T62" s="9">
        <v>105991.94</v>
      </c>
      <c r="U62" s="9">
        <v>15750.402284000002</v>
      </c>
      <c r="V62" s="9"/>
      <c r="W62" s="9"/>
      <c r="X62" s="9" t="s">
        <v>970</v>
      </c>
      <c r="Y62" s="9">
        <v>5053</v>
      </c>
      <c r="Z62" s="9">
        <v>6.2</v>
      </c>
      <c r="AA62" s="15" t="s">
        <v>969</v>
      </c>
      <c r="AB62" s="9">
        <v>3</v>
      </c>
      <c r="AC62" s="187">
        <v>4023</v>
      </c>
      <c r="AD62" s="38"/>
      <c r="AE62" s="172"/>
      <c r="AF62" s="172"/>
      <c r="AG62" s="141"/>
      <c r="AH62" s="163"/>
      <c r="AI62" s="163"/>
      <c r="AJ62" s="164"/>
      <c r="AK62" s="126"/>
      <c r="AL62" s="72"/>
      <c r="AM62" s="72"/>
      <c r="AN62" s="127"/>
      <c r="AO62" s="126"/>
      <c r="AP62" s="72"/>
      <c r="AQ62" s="72"/>
      <c r="AR62" s="127"/>
    </row>
    <row r="63" spans="1:44" ht="45" hidden="1" x14ac:dyDescent="0.25">
      <c r="A63" s="15">
        <v>710</v>
      </c>
      <c r="B63" s="9" t="s">
        <v>28</v>
      </c>
      <c r="C63" s="176" t="s">
        <v>964</v>
      </c>
      <c r="D63" s="193" t="s">
        <v>946</v>
      </c>
      <c r="E63" s="9"/>
      <c r="F63" s="15" t="s">
        <v>971</v>
      </c>
      <c r="G63" s="9"/>
      <c r="H63" s="9" t="s">
        <v>31</v>
      </c>
      <c r="I63" s="9"/>
      <c r="J63" s="172"/>
      <c r="K63" s="9">
        <v>1.2999999999999999E-4</v>
      </c>
      <c r="L63" s="9">
        <v>2.8599999999999997E-2</v>
      </c>
      <c r="M63" s="9">
        <v>220</v>
      </c>
      <c r="N63" s="9" t="s">
        <v>33</v>
      </c>
      <c r="O63" s="291">
        <f t="shared" si="2"/>
        <v>0.69497999999999993</v>
      </c>
      <c r="P63" s="291">
        <f t="shared" si="3"/>
        <v>0.81080999999999992</v>
      </c>
      <c r="Q63" s="291">
        <f t="shared" si="4"/>
        <v>0.46331999999999995</v>
      </c>
      <c r="R63" s="291">
        <f t="shared" si="5"/>
        <v>0.34748999999999997</v>
      </c>
      <c r="S63" s="292">
        <v>2.3165999999999998</v>
      </c>
      <c r="T63" s="9">
        <v>105991.94</v>
      </c>
      <c r="U63" s="9">
        <v>3031.3694839999998</v>
      </c>
      <c r="V63" s="9"/>
      <c r="W63" s="9"/>
      <c r="X63" s="9" t="s">
        <v>116</v>
      </c>
      <c r="Y63" s="9">
        <v>5053</v>
      </c>
      <c r="Z63" s="9">
        <v>6.2</v>
      </c>
      <c r="AA63" s="15" t="s">
        <v>971</v>
      </c>
      <c r="AB63" s="9">
        <v>4</v>
      </c>
      <c r="AC63" s="187">
        <v>4023</v>
      </c>
      <c r="AD63" s="38"/>
      <c r="AE63" s="172"/>
      <c r="AF63" s="172"/>
      <c r="AG63" s="141"/>
      <c r="AH63" s="163"/>
      <c r="AI63" s="163"/>
      <c r="AJ63" s="164"/>
      <c r="AK63" s="126"/>
      <c r="AL63" s="72"/>
      <c r="AM63" s="72"/>
      <c r="AN63" s="127"/>
      <c r="AO63" s="126"/>
      <c r="AP63" s="72"/>
      <c r="AQ63" s="72"/>
      <c r="AR63" s="127"/>
    </row>
    <row r="64" spans="1:44" ht="45" hidden="1" x14ac:dyDescent="0.25">
      <c r="A64" s="15">
        <v>711</v>
      </c>
      <c r="B64" s="9" t="s">
        <v>28</v>
      </c>
      <c r="C64" s="176" t="s">
        <v>964</v>
      </c>
      <c r="D64" s="193" t="s">
        <v>946</v>
      </c>
      <c r="E64" s="9"/>
      <c r="F64" s="15" t="s">
        <v>972</v>
      </c>
      <c r="G64" s="9"/>
      <c r="H64" s="9" t="s">
        <v>31</v>
      </c>
      <c r="I64" s="9" t="s">
        <v>973</v>
      </c>
      <c r="J64" s="172"/>
      <c r="K64" s="9">
        <v>1E-4</v>
      </c>
      <c r="L64" s="9">
        <v>1.6800000000000002E-2</v>
      </c>
      <c r="M64" s="9">
        <v>168</v>
      </c>
      <c r="N64" s="9" t="s">
        <v>33</v>
      </c>
      <c r="O64" s="291">
        <f t="shared" si="2"/>
        <v>0.40824000000000005</v>
      </c>
      <c r="P64" s="291">
        <f t="shared" si="3"/>
        <v>0.47628000000000004</v>
      </c>
      <c r="Q64" s="291">
        <f t="shared" si="4"/>
        <v>0.27216000000000007</v>
      </c>
      <c r="R64" s="291">
        <f t="shared" si="5"/>
        <v>0.20412000000000002</v>
      </c>
      <c r="S64" s="292">
        <v>1.3608000000000002</v>
      </c>
      <c r="T64" s="9">
        <v>105991.94</v>
      </c>
      <c r="U64" s="9">
        <v>1780.6645920000003</v>
      </c>
      <c r="V64" s="9"/>
      <c r="W64" s="9"/>
      <c r="X64" s="9" t="s">
        <v>498</v>
      </c>
      <c r="Y64" s="9">
        <v>5053</v>
      </c>
      <c r="Z64" s="9">
        <v>6.2</v>
      </c>
      <c r="AA64" s="15" t="s">
        <v>972</v>
      </c>
      <c r="AB64" s="9">
        <v>5</v>
      </c>
      <c r="AC64" s="187" t="s">
        <v>498</v>
      </c>
      <c r="AD64" s="38"/>
      <c r="AE64" s="172"/>
      <c r="AF64" s="172"/>
      <c r="AG64" s="141"/>
      <c r="AH64" s="163"/>
      <c r="AI64" s="163"/>
      <c r="AJ64" s="164"/>
      <c r="AK64" s="126"/>
      <c r="AL64" s="72"/>
      <c r="AM64" s="72"/>
      <c r="AN64" s="127"/>
      <c r="AO64" s="126"/>
      <c r="AP64" s="72"/>
      <c r="AQ64" s="72"/>
      <c r="AR64" s="127"/>
    </row>
    <row r="65" spans="1:49" ht="45" hidden="1" x14ac:dyDescent="0.25">
      <c r="A65" s="15">
        <v>712</v>
      </c>
      <c r="B65" s="9" t="s">
        <v>28</v>
      </c>
      <c r="C65" s="176" t="s">
        <v>964</v>
      </c>
      <c r="D65" s="193" t="s">
        <v>946</v>
      </c>
      <c r="E65" s="9"/>
      <c r="F65" s="15" t="s">
        <v>974</v>
      </c>
      <c r="G65" s="9"/>
      <c r="H65" s="9" t="s">
        <v>31</v>
      </c>
      <c r="I65" s="9" t="s">
        <v>973</v>
      </c>
      <c r="J65" s="172"/>
      <c r="K65" s="9">
        <v>1E-4</v>
      </c>
      <c r="L65" s="9">
        <v>8.8000000000000005E-3</v>
      </c>
      <c r="M65" s="9">
        <v>88</v>
      </c>
      <c r="N65" s="9" t="s">
        <v>33</v>
      </c>
      <c r="O65" s="291">
        <f t="shared" si="2"/>
        <v>0.21384</v>
      </c>
      <c r="P65" s="291">
        <f t="shared" si="3"/>
        <v>0.24947999999999998</v>
      </c>
      <c r="Q65" s="291">
        <f t="shared" si="4"/>
        <v>0.14255999999999999</v>
      </c>
      <c r="R65" s="291">
        <f t="shared" si="5"/>
        <v>0.10692</v>
      </c>
      <c r="S65" s="292">
        <v>0.71279999999999999</v>
      </c>
      <c r="T65" s="9">
        <v>105991.94</v>
      </c>
      <c r="U65" s="9">
        <v>932.72907200000009</v>
      </c>
      <c r="V65" s="9"/>
      <c r="W65" s="9"/>
      <c r="X65" s="9" t="s">
        <v>498</v>
      </c>
      <c r="Y65" s="9">
        <v>5053</v>
      </c>
      <c r="Z65" s="9">
        <v>6.2</v>
      </c>
      <c r="AA65" s="15" t="s">
        <v>974</v>
      </c>
      <c r="AB65" s="9">
        <v>6</v>
      </c>
      <c r="AC65" s="187" t="s">
        <v>498</v>
      </c>
      <c r="AD65" s="38"/>
      <c r="AE65" s="172"/>
      <c r="AF65" s="172"/>
      <c r="AG65" s="113"/>
      <c r="AH65" s="109"/>
      <c r="AI65" s="109"/>
      <c r="AJ65" s="110"/>
      <c r="AK65" s="20"/>
      <c r="AL65" s="8"/>
      <c r="AM65" s="8"/>
      <c r="AN65" s="21"/>
      <c r="AO65" s="20"/>
      <c r="AP65" s="8"/>
      <c r="AQ65" s="8"/>
      <c r="AR65" s="21"/>
    </row>
    <row r="66" spans="1:49" ht="45" hidden="1" x14ac:dyDescent="0.25">
      <c r="A66" s="15">
        <v>713</v>
      </c>
      <c r="B66" s="9" t="s">
        <v>28</v>
      </c>
      <c r="C66" s="176" t="s">
        <v>964</v>
      </c>
      <c r="D66" s="193" t="s">
        <v>946</v>
      </c>
      <c r="E66" s="9"/>
      <c r="F66" s="15" t="s">
        <v>975</v>
      </c>
      <c r="G66" s="9"/>
      <c r="H66" s="9" t="s">
        <v>31</v>
      </c>
      <c r="I66" s="9" t="s">
        <v>973</v>
      </c>
      <c r="J66" s="172"/>
      <c r="K66" s="9">
        <v>5.0000000000000002E-5</v>
      </c>
      <c r="L66" s="9">
        <v>8.0000000000000002E-3</v>
      </c>
      <c r="M66" s="9">
        <v>160</v>
      </c>
      <c r="N66" s="9" t="s">
        <v>33</v>
      </c>
      <c r="O66" s="291">
        <f t="shared" si="2"/>
        <v>0.19439999999999999</v>
      </c>
      <c r="P66" s="291">
        <f t="shared" si="3"/>
        <v>0.2268</v>
      </c>
      <c r="Q66" s="291">
        <f t="shared" si="4"/>
        <v>0.12960000000000002</v>
      </c>
      <c r="R66" s="291">
        <f t="shared" si="5"/>
        <v>9.7199999999999995E-2</v>
      </c>
      <c r="S66" s="292">
        <v>0.64800000000000002</v>
      </c>
      <c r="T66" s="9">
        <v>105991.94</v>
      </c>
      <c r="U66" s="9">
        <v>847.93552</v>
      </c>
      <c r="V66" s="9"/>
      <c r="W66" s="9"/>
      <c r="X66" s="9" t="s">
        <v>498</v>
      </c>
      <c r="Y66" s="9">
        <v>5053</v>
      </c>
      <c r="Z66" s="9">
        <v>6.2</v>
      </c>
      <c r="AA66" s="15" t="s">
        <v>975</v>
      </c>
      <c r="AB66" s="9">
        <v>7</v>
      </c>
      <c r="AC66" s="187" t="s">
        <v>498</v>
      </c>
      <c r="AD66" s="38"/>
      <c r="AE66" s="172"/>
      <c r="AF66" s="172"/>
      <c r="AG66" s="113"/>
      <c r="AH66" s="109"/>
      <c r="AI66" s="109"/>
      <c r="AJ66" s="110"/>
      <c r="AK66" s="20"/>
      <c r="AL66" s="8"/>
      <c r="AM66" s="8"/>
      <c r="AN66" s="21"/>
      <c r="AO66" s="20"/>
      <c r="AP66" s="8"/>
      <c r="AQ66" s="8"/>
      <c r="AR66" s="21"/>
    </row>
    <row r="67" spans="1:49" ht="45" hidden="1" x14ac:dyDescent="0.25">
      <c r="A67" s="15">
        <v>714</v>
      </c>
      <c r="B67" s="9" t="s">
        <v>28</v>
      </c>
      <c r="C67" s="176" t="s">
        <v>964</v>
      </c>
      <c r="D67" s="193" t="s">
        <v>946</v>
      </c>
      <c r="E67" s="9"/>
      <c r="F67" s="15" t="s">
        <v>976</v>
      </c>
      <c r="G67" s="9"/>
      <c r="H67" s="9" t="s">
        <v>31</v>
      </c>
      <c r="I67" s="9" t="s">
        <v>973</v>
      </c>
      <c r="J67" s="172"/>
      <c r="K67" s="9">
        <v>2.0000000000000001E-4</v>
      </c>
      <c r="L67" s="9">
        <v>4.0000000000000001E-3</v>
      </c>
      <c r="M67" s="9">
        <v>20</v>
      </c>
      <c r="N67" s="9" t="s">
        <v>33</v>
      </c>
      <c r="O67" s="291">
        <f t="shared" si="2"/>
        <v>9.7199999999999995E-2</v>
      </c>
      <c r="P67" s="291">
        <f t="shared" si="3"/>
        <v>0.1134</v>
      </c>
      <c r="Q67" s="291">
        <f t="shared" si="4"/>
        <v>6.480000000000001E-2</v>
      </c>
      <c r="R67" s="291">
        <f t="shared" si="5"/>
        <v>4.8599999999999997E-2</v>
      </c>
      <c r="S67" s="292">
        <v>0.32400000000000001</v>
      </c>
      <c r="T67" s="9">
        <v>105991.94</v>
      </c>
      <c r="U67" s="9">
        <v>423.96776</v>
      </c>
      <c r="V67" s="9"/>
      <c r="W67" s="9"/>
      <c r="X67" s="9" t="s">
        <v>498</v>
      </c>
      <c r="Y67" s="9">
        <v>5053</v>
      </c>
      <c r="Z67" s="9">
        <v>6.2</v>
      </c>
      <c r="AA67" s="15" t="s">
        <v>976</v>
      </c>
      <c r="AB67" s="9">
        <v>8</v>
      </c>
      <c r="AC67" s="187" t="s">
        <v>498</v>
      </c>
      <c r="AD67" s="38"/>
      <c r="AE67" s="172"/>
      <c r="AF67" s="172"/>
      <c r="AG67" s="113"/>
      <c r="AH67" s="109"/>
      <c r="AI67" s="109"/>
      <c r="AJ67" s="110"/>
      <c r="AK67" s="20"/>
      <c r="AL67" s="8"/>
      <c r="AM67" s="8"/>
      <c r="AN67" s="21"/>
      <c r="AO67" s="20"/>
      <c r="AP67" s="8"/>
      <c r="AQ67" s="8"/>
      <c r="AR67" s="21"/>
    </row>
    <row r="68" spans="1:49" ht="45" hidden="1" x14ac:dyDescent="0.25">
      <c r="A68" s="15">
        <v>715</v>
      </c>
      <c r="B68" s="9" t="s">
        <v>28</v>
      </c>
      <c r="C68" s="15" t="s">
        <v>964</v>
      </c>
      <c r="D68" s="193" t="s">
        <v>946</v>
      </c>
      <c r="E68" s="9"/>
      <c r="F68" s="15" t="s">
        <v>967</v>
      </c>
      <c r="G68" s="9"/>
      <c r="H68" s="9" t="s">
        <v>31</v>
      </c>
      <c r="I68" s="9"/>
      <c r="J68" s="172"/>
      <c r="K68" s="9">
        <v>2E-3</v>
      </c>
      <c r="L68" s="9">
        <v>0.13200000000000001</v>
      </c>
      <c r="M68" s="9">
        <v>66</v>
      </c>
      <c r="N68" s="9" t="s">
        <v>33</v>
      </c>
      <c r="O68" s="291">
        <f t="shared" si="2"/>
        <v>3.2075999999999998</v>
      </c>
      <c r="P68" s="291">
        <f t="shared" si="3"/>
        <v>3.7422</v>
      </c>
      <c r="Q68" s="291">
        <f t="shared" si="4"/>
        <v>2.1384000000000003</v>
      </c>
      <c r="R68" s="291">
        <f t="shared" si="5"/>
        <v>1.6037999999999999</v>
      </c>
      <c r="S68" s="292">
        <v>10.692</v>
      </c>
      <c r="T68" s="38">
        <v>105991.94</v>
      </c>
      <c r="U68" s="38">
        <v>13990.936080000001</v>
      </c>
      <c r="V68" s="38"/>
      <c r="W68" s="38"/>
      <c r="X68" s="9" t="s">
        <v>968</v>
      </c>
      <c r="Y68" s="9">
        <v>5062</v>
      </c>
      <c r="Z68" s="38">
        <v>6.2</v>
      </c>
      <c r="AA68" s="143" t="s">
        <v>967</v>
      </c>
      <c r="AB68" s="38">
        <v>1</v>
      </c>
      <c r="AC68" s="187">
        <v>4023</v>
      </c>
      <c r="AD68" s="37"/>
      <c r="AE68" s="172"/>
      <c r="AF68" s="172"/>
      <c r="AG68" s="113"/>
      <c r="AH68" s="109"/>
      <c r="AI68" s="109"/>
      <c r="AJ68" s="110"/>
      <c r="AK68" s="20"/>
      <c r="AL68" s="8"/>
      <c r="AM68" s="8"/>
      <c r="AN68" s="21"/>
      <c r="AO68" s="20"/>
      <c r="AP68" s="8"/>
      <c r="AQ68" s="8"/>
      <c r="AR68" s="21"/>
    </row>
    <row r="69" spans="1:49" ht="60" hidden="1" x14ac:dyDescent="0.25">
      <c r="A69" s="15">
        <v>716</v>
      </c>
      <c r="B69" s="9" t="s">
        <v>28</v>
      </c>
      <c r="C69" s="176" t="s">
        <v>964</v>
      </c>
      <c r="D69" s="193" t="s">
        <v>946</v>
      </c>
      <c r="E69" s="9"/>
      <c r="F69" s="15" t="s">
        <v>977</v>
      </c>
      <c r="G69" s="9"/>
      <c r="H69" s="9" t="s">
        <v>31</v>
      </c>
      <c r="I69" s="9"/>
      <c r="J69" s="172"/>
      <c r="K69" s="9">
        <v>1.2999999999999999E-2</v>
      </c>
      <c r="L69" s="9">
        <v>7.8E-2</v>
      </c>
      <c r="M69" s="9">
        <v>6</v>
      </c>
      <c r="N69" s="9" t="s">
        <v>33</v>
      </c>
      <c r="O69" s="291">
        <f t="shared" si="2"/>
        <v>1.8953999999999998</v>
      </c>
      <c r="P69" s="291">
        <f t="shared" si="3"/>
        <v>2.2112999999999996</v>
      </c>
      <c r="Q69" s="291">
        <f t="shared" si="4"/>
        <v>1.2636000000000001</v>
      </c>
      <c r="R69" s="291">
        <f t="shared" si="5"/>
        <v>0.94769999999999988</v>
      </c>
      <c r="S69" s="292">
        <v>6.3179999999999996</v>
      </c>
      <c r="T69" s="9">
        <v>105991.94</v>
      </c>
      <c r="U69" s="9">
        <v>8267.3713200000002</v>
      </c>
      <c r="V69" s="9"/>
      <c r="W69" s="9"/>
      <c r="X69" s="9" t="s">
        <v>978</v>
      </c>
      <c r="Y69" s="9">
        <v>5062</v>
      </c>
      <c r="Z69" s="9">
        <v>6.2</v>
      </c>
      <c r="AA69" s="15" t="s">
        <v>977</v>
      </c>
      <c r="AB69" s="9">
        <v>2</v>
      </c>
      <c r="AC69" s="187">
        <v>4023</v>
      </c>
      <c r="AD69" s="37"/>
      <c r="AE69" s="172"/>
      <c r="AF69" s="172"/>
      <c r="AG69" s="113"/>
      <c r="AH69" s="109"/>
      <c r="AI69" s="109"/>
      <c r="AJ69" s="110"/>
      <c r="AK69" s="20"/>
      <c r="AL69" s="8"/>
      <c r="AM69" s="8"/>
      <c r="AN69" s="21"/>
      <c r="AO69" s="20"/>
      <c r="AP69" s="8"/>
      <c r="AQ69" s="8"/>
      <c r="AR69" s="21"/>
    </row>
    <row r="70" spans="1:49" ht="75" hidden="1" x14ac:dyDescent="0.25">
      <c r="A70" s="15">
        <v>717</v>
      </c>
      <c r="B70" s="9" t="s">
        <v>28</v>
      </c>
      <c r="C70" s="176" t="s">
        <v>964</v>
      </c>
      <c r="D70" s="193" t="s">
        <v>946</v>
      </c>
      <c r="E70" s="9"/>
      <c r="F70" s="15" t="s">
        <v>969</v>
      </c>
      <c r="G70" s="9"/>
      <c r="H70" s="9" t="s">
        <v>31</v>
      </c>
      <c r="I70" s="9"/>
      <c r="J70" s="172"/>
      <c r="K70" s="9">
        <v>7.0000000000000001E-3</v>
      </c>
      <c r="L70" s="9">
        <v>2.8000000000000001E-2</v>
      </c>
      <c r="M70" s="9">
        <v>4</v>
      </c>
      <c r="N70" s="9" t="s">
        <v>33</v>
      </c>
      <c r="O70" s="291">
        <f t="shared" ref="O70:O72" si="14">S70*0.3</f>
        <v>0.6804</v>
      </c>
      <c r="P70" s="291">
        <f t="shared" ref="P70:P72" si="15">S70*0.35</f>
        <v>0.79380000000000006</v>
      </c>
      <c r="Q70" s="291">
        <f t="shared" ref="Q70:Q72" si="16">S70*0.2</f>
        <v>0.45360000000000006</v>
      </c>
      <c r="R70" s="291">
        <f t="shared" ref="R70:R72" si="17">S70*0.15</f>
        <v>0.3402</v>
      </c>
      <c r="S70" s="292">
        <v>2.2680000000000002</v>
      </c>
      <c r="T70" s="9">
        <v>105991.94</v>
      </c>
      <c r="U70" s="9">
        <v>2967.77432</v>
      </c>
      <c r="V70" s="9"/>
      <c r="W70" s="9"/>
      <c r="X70" s="9" t="s">
        <v>970</v>
      </c>
      <c r="Y70" s="9">
        <v>5062</v>
      </c>
      <c r="Z70" s="9">
        <v>6.2</v>
      </c>
      <c r="AA70" s="15" t="s">
        <v>969</v>
      </c>
      <c r="AB70" s="9">
        <v>3</v>
      </c>
      <c r="AC70" s="187">
        <v>4023</v>
      </c>
      <c r="AD70" s="37"/>
      <c r="AE70" s="172"/>
      <c r="AF70" s="172"/>
      <c r="AG70" s="113"/>
      <c r="AH70" s="109"/>
      <c r="AI70" s="109"/>
      <c r="AJ70" s="110"/>
      <c r="AK70" s="20"/>
      <c r="AL70" s="8"/>
      <c r="AM70" s="8"/>
      <c r="AN70" s="21"/>
      <c r="AO70" s="20"/>
      <c r="AP70" s="8"/>
      <c r="AQ70" s="8"/>
      <c r="AR70" s="21"/>
    </row>
    <row r="71" spans="1:49" ht="45" hidden="1" x14ac:dyDescent="0.25">
      <c r="A71" s="15">
        <v>718</v>
      </c>
      <c r="B71" s="9" t="s">
        <v>28</v>
      </c>
      <c r="C71" s="176" t="s">
        <v>964</v>
      </c>
      <c r="D71" s="193" t="s">
        <v>946</v>
      </c>
      <c r="E71" s="9"/>
      <c r="F71" s="15" t="s">
        <v>972</v>
      </c>
      <c r="G71" s="9"/>
      <c r="H71" s="9" t="s">
        <v>31</v>
      </c>
      <c r="I71" s="9" t="s">
        <v>973</v>
      </c>
      <c r="J71" s="172"/>
      <c r="K71" s="9">
        <v>1E-4</v>
      </c>
      <c r="L71" s="9">
        <v>1.6000000000000001E-3</v>
      </c>
      <c r="M71" s="9">
        <v>16</v>
      </c>
      <c r="N71" s="9" t="s">
        <v>33</v>
      </c>
      <c r="O71" s="291">
        <f t="shared" si="14"/>
        <v>3.8879999999999998E-2</v>
      </c>
      <c r="P71" s="291">
        <f t="shared" si="15"/>
        <v>4.5359999999999998E-2</v>
      </c>
      <c r="Q71" s="291">
        <f t="shared" si="16"/>
        <v>2.5919999999999999E-2</v>
      </c>
      <c r="R71" s="291">
        <f t="shared" si="17"/>
        <v>1.9439999999999999E-2</v>
      </c>
      <c r="S71" s="292">
        <v>0.12959999999999999</v>
      </c>
      <c r="T71" s="9">
        <v>105991.94</v>
      </c>
      <c r="U71" s="9">
        <v>169.58710400000001</v>
      </c>
      <c r="V71" s="9"/>
      <c r="W71" s="9"/>
      <c r="X71" s="9" t="s">
        <v>498</v>
      </c>
      <c r="Y71" s="9">
        <v>5062</v>
      </c>
      <c r="Z71" s="9">
        <v>6.2</v>
      </c>
      <c r="AA71" s="15" t="s">
        <v>972</v>
      </c>
      <c r="AB71" s="9">
        <v>4</v>
      </c>
      <c r="AC71" s="187" t="s">
        <v>498</v>
      </c>
      <c r="AD71" s="37"/>
      <c r="AE71" s="172"/>
      <c r="AF71" s="172"/>
      <c r="AG71" s="113"/>
      <c r="AH71" s="109"/>
      <c r="AI71" s="109"/>
      <c r="AJ71" s="110"/>
      <c r="AK71" s="20"/>
      <c r="AL71" s="8"/>
      <c r="AM71" s="8"/>
      <c r="AN71" s="21"/>
      <c r="AO71" s="20"/>
      <c r="AP71" s="8"/>
      <c r="AQ71" s="8"/>
      <c r="AR71" s="21"/>
    </row>
    <row r="72" spans="1:49" ht="45" hidden="1" x14ac:dyDescent="0.25">
      <c r="A72" s="15">
        <v>719</v>
      </c>
      <c r="B72" s="9" t="s">
        <v>28</v>
      </c>
      <c r="C72" s="176" t="s">
        <v>964</v>
      </c>
      <c r="D72" s="193" t="s">
        <v>946</v>
      </c>
      <c r="E72" s="9"/>
      <c r="F72" s="15" t="s">
        <v>974</v>
      </c>
      <c r="G72" s="9"/>
      <c r="H72" s="9" t="s">
        <v>31</v>
      </c>
      <c r="I72" s="9" t="s">
        <v>973</v>
      </c>
      <c r="J72" s="172"/>
      <c r="K72" s="9">
        <v>5.0000000000000002E-5</v>
      </c>
      <c r="L72" s="9">
        <v>4.0000000000000002E-4</v>
      </c>
      <c r="M72" s="9">
        <v>8</v>
      </c>
      <c r="N72" s="9" t="s">
        <v>33</v>
      </c>
      <c r="O72" s="291">
        <f t="shared" si="14"/>
        <v>9.7199999999999995E-3</v>
      </c>
      <c r="P72" s="291">
        <f t="shared" si="15"/>
        <v>1.1339999999999999E-2</v>
      </c>
      <c r="Q72" s="291">
        <f t="shared" si="16"/>
        <v>6.4799999999999996E-3</v>
      </c>
      <c r="R72" s="291">
        <f t="shared" si="17"/>
        <v>4.8599999999999997E-3</v>
      </c>
      <c r="S72" s="292">
        <v>3.2399999999999998E-2</v>
      </c>
      <c r="T72" s="9">
        <v>105991.94</v>
      </c>
      <c r="U72" s="9">
        <v>42.396776000000003</v>
      </c>
      <c r="V72" s="9"/>
      <c r="W72" s="9"/>
      <c r="X72" s="9" t="s">
        <v>498</v>
      </c>
      <c r="Y72" s="9">
        <v>5062</v>
      </c>
      <c r="Z72" s="9">
        <v>6.2</v>
      </c>
      <c r="AA72" s="15" t="s">
        <v>974</v>
      </c>
      <c r="AB72" s="9">
        <v>5</v>
      </c>
      <c r="AC72" s="187" t="s">
        <v>498</v>
      </c>
      <c r="AD72" s="37"/>
      <c r="AE72" s="172"/>
      <c r="AF72" s="172"/>
      <c r="AG72" s="113"/>
      <c r="AH72" s="109"/>
      <c r="AI72" s="109"/>
      <c r="AJ72" s="110"/>
      <c r="AK72" s="20"/>
      <c r="AL72" s="8"/>
      <c r="AM72" s="8"/>
      <c r="AN72" s="21"/>
      <c r="AO72" s="20"/>
      <c r="AP72" s="8"/>
      <c r="AQ72" s="8"/>
      <c r="AR72" s="21"/>
    </row>
    <row r="73" spans="1:49" x14ac:dyDescent="0.25"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</row>
    <row r="74" spans="1:49" x14ac:dyDescent="0.25"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</row>
    <row r="75" spans="1:49" x14ac:dyDescent="0.25"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</row>
    <row r="76" spans="1:49" x14ac:dyDescent="0.25"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</row>
    <row r="77" spans="1:49" x14ac:dyDescent="0.25"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</row>
    <row r="78" spans="1:49" x14ac:dyDescent="0.25"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</row>
    <row r="79" spans="1:49" x14ac:dyDescent="0.25"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</row>
    <row r="80" spans="1:49" x14ac:dyDescent="0.25"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</row>
    <row r="81" spans="30:49" x14ac:dyDescent="0.25"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</row>
    <row r="82" spans="30:49" x14ac:dyDescent="0.25"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</row>
    <row r="83" spans="30:49" x14ac:dyDescent="0.25"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</row>
    <row r="84" spans="30:49" x14ac:dyDescent="0.25"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</row>
    <row r="85" spans="30:49" x14ac:dyDescent="0.25"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</row>
    <row r="86" spans="30:49" x14ac:dyDescent="0.25"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</row>
    <row r="87" spans="30:49" x14ac:dyDescent="0.25"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</row>
    <row r="88" spans="30:49" x14ac:dyDescent="0.25"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</row>
    <row r="89" spans="30:49" x14ac:dyDescent="0.25"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</row>
    <row r="90" spans="30:49" x14ac:dyDescent="0.25"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</row>
    <row r="91" spans="30:49" x14ac:dyDescent="0.25"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</row>
    <row r="92" spans="30:49" x14ac:dyDescent="0.25"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</row>
    <row r="93" spans="30:49" x14ac:dyDescent="0.25"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</row>
    <row r="94" spans="30:49" x14ac:dyDescent="0.25"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</row>
    <row r="95" spans="30:49" x14ac:dyDescent="0.25"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</row>
    <row r="96" spans="30:49" x14ac:dyDescent="0.25"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</row>
    <row r="97" spans="33:44" x14ac:dyDescent="0.25"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</row>
    <row r="98" spans="33:44" x14ac:dyDescent="0.25"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</row>
    <row r="99" spans="33:44" x14ac:dyDescent="0.25"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</row>
    <row r="100" spans="33:44" x14ac:dyDescent="0.25"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</row>
    <row r="101" spans="33:44" x14ac:dyDescent="0.25"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</row>
    <row r="102" spans="33:44" x14ac:dyDescent="0.25"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</row>
    <row r="103" spans="33:44" x14ac:dyDescent="0.25"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</row>
    <row r="104" spans="33:44" x14ac:dyDescent="0.25"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</row>
    <row r="105" spans="33:44" x14ac:dyDescent="0.25"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</row>
    <row r="106" spans="33:44" x14ac:dyDescent="0.25"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</row>
    <row r="107" spans="33:44" x14ac:dyDescent="0.25"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</row>
    <row r="108" spans="33:44" x14ac:dyDescent="0.25"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</row>
    <row r="109" spans="33:44" x14ac:dyDescent="0.25"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</row>
    <row r="110" spans="33:44" x14ac:dyDescent="0.25"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</row>
    <row r="111" spans="33:44" x14ac:dyDescent="0.25"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</row>
    <row r="112" spans="33:44" x14ac:dyDescent="0.25"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</row>
    <row r="113" spans="33:44" x14ac:dyDescent="0.25"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</row>
    <row r="114" spans="33:44" x14ac:dyDescent="0.25"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</row>
    <row r="115" spans="33:44" x14ac:dyDescent="0.25"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</row>
    <row r="116" spans="33:44" x14ac:dyDescent="0.25"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</row>
    <row r="117" spans="33:44" x14ac:dyDescent="0.25"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</row>
    <row r="118" spans="33:44" x14ac:dyDescent="0.25"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</row>
    <row r="119" spans="33:44" x14ac:dyDescent="0.25"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</row>
    <row r="120" spans="33:44" x14ac:dyDescent="0.25"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</row>
    <row r="121" spans="33:44" x14ac:dyDescent="0.25"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</row>
    <row r="122" spans="33:44" x14ac:dyDescent="0.25"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</row>
    <row r="123" spans="33:44" x14ac:dyDescent="0.25"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</row>
    <row r="124" spans="33:44" x14ac:dyDescent="0.25"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</row>
    <row r="125" spans="33:44" x14ac:dyDescent="0.25"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</row>
    <row r="126" spans="33:44" x14ac:dyDescent="0.25"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</row>
    <row r="127" spans="33:44" x14ac:dyDescent="0.25"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</row>
    <row r="128" spans="33:44" x14ac:dyDescent="0.25"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</row>
    <row r="129" spans="33:44" x14ac:dyDescent="0.25"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</row>
    <row r="130" spans="33:44" x14ac:dyDescent="0.25"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</row>
    <row r="131" spans="33:44" x14ac:dyDescent="0.25"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</row>
    <row r="132" spans="33:44" x14ac:dyDescent="0.25"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</row>
    <row r="133" spans="33:44" x14ac:dyDescent="0.25"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</row>
    <row r="134" spans="33:44" x14ac:dyDescent="0.25"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</row>
    <row r="135" spans="33:44" x14ac:dyDescent="0.25"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</row>
    <row r="136" spans="33:44" x14ac:dyDescent="0.25"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</row>
    <row r="137" spans="33:44" x14ac:dyDescent="0.25"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</row>
    <row r="138" spans="33:44" x14ac:dyDescent="0.25"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</row>
    <row r="139" spans="33:44" x14ac:dyDescent="0.25"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</row>
    <row r="140" spans="33:44" x14ac:dyDescent="0.25"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</row>
    <row r="141" spans="33:44" x14ac:dyDescent="0.25"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</row>
    <row r="142" spans="33:44" x14ac:dyDescent="0.25"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</row>
    <row r="143" spans="33:44" x14ac:dyDescent="0.25"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</row>
    <row r="144" spans="33:44" x14ac:dyDescent="0.25"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</row>
    <row r="145" spans="33:44" x14ac:dyDescent="0.25"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</row>
    <row r="146" spans="33:44" x14ac:dyDescent="0.25"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</row>
    <row r="147" spans="33:44" x14ac:dyDescent="0.25"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</row>
    <row r="148" spans="33:44" x14ac:dyDescent="0.25"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</row>
    <row r="149" spans="33:44" x14ac:dyDescent="0.25"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</row>
    <row r="150" spans="33:44" x14ac:dyDescent="0.25"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</row>
    <row r="151" spans="33:44" x14ac:dyDescent="0.25"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</row>
    <row r="152" spans="33:44" x14ac:dyDescent="0.25"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</row>
    <row r="153" spans="33:44" x14ac:dyDescent="0.25"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</row>
    <row r="154" spans="33:44" x14ac:dyDescent="0.25"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</row>
    <row r="155" spans="33:44" x14ac:dyDescent="0.25"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</row>
    <row r="156" spans="33:44" x14ac:dyDescent="0.25"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</row>
    <row r="157" spans="33:44" x14ac:dyDescent="0.25"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</row>
    <row r="158" spans="33:44" x14ac:dyDescent="0.25"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</row>
    <row r="159" spans="33:44" x14ac:dyDescent="0.25"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</row>
    <row r="160" spans="33:44" x14ac:dyDescent="0.25"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</row>
    <row r="161" spans="33:44" x14ac:dyDescent="0.25"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</row>
    <row r="162" spans="33:44" x14ac:dyDescent="0.25"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</row>
    <row r="163" spans="33:44" x14ac:dyDescent="0.25"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</row>
    <row r="164" spans="33:44" x14ac:dyDescent="0.25"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</row>
    <row r="165" spans="33:44" x14ac:dyDescent="0.25"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</row>
    <row r="166" spans="33:44" x14ac:dyDescent="0.25"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</row>
    <row r="167" spans="33:44" x14ac:dyDescent="0.25"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</row>
    <row r="168" spans="33:44" x14ac:dyDescent="0.25"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</row>
    <row r="169" spans="33:44" x14ac:dyDescent="0.25"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</row>
    <row r="170" spans="33:44" x14ac:dyDescent="0.25"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</row>
    <row r="171" spans="33:44" x14ac:dyDescent="0.25"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</row>
    <row r="172" spans="33:44" x14ac:dyDescent="0.25"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</row>
    <row r="173" spans="33:44" x14ac:dyDescent="0.25"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</row>
    <row r="174" spans="33:44" x14ac:dyDescent="0.25"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</row>
    <row r="175" spans="33:44" x14ac:dyDescent="0.25"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</row>
    <row r="176" spans="33:44" x14ac:dyDescent="0.25"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</row>
    <row r="177" spans="33:44" x14ac:dyDescent="0.25"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</row>
    <row r="178" spans="33:44" x14ac:dyDescent="0.25"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</row>
    <row r="179" spans="33:44" x14ac:dyDescent="0.25"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</row>
    <row r="180" spans="33:44" x14ac:dyDescent="0.25"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</row>
    <row r="181" spans="33:44" x14ac:dyDescent="0.25"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</row>
    <row r="182" spans="33:44" x14ac:dyDescent="0.25"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</row>
    <row r="183" spans="33:44" x14ac:dyDescent="0.25"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</row>
    <row r="184" spans="33:44" x14ac:dyDescent="0.25"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</row>
    <row r="185" spans="33:44" x14ac:dyDescent="0.25"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</row>
    <row r="186" spans="33:44" x14ac:dyDescent="0.25"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</row>
    <row r="187" spans="33:44" x14ac:dyDescent="0.25"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</row>
    <row r="188" spans="33:44" x14ac:dyDescent="0.25"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</row>
    <row r="189" spans="33:44" x14ac:dyDescent="0.25"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</row>
    <row r="190" spans="33:44" x14ac:dyDescent="0.25"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</row>
    <row r="191" spans="33:44" x14ac:dyDescent="0.25"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</row>
    <row r="192" spans="33:44" x14ac:dyDescent="0.25"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</row>
    <row r="193" spans="33:44" x14ac:dyDescent="0.25"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</row>
    <row r="194" spans="33:44" x14ac:dyDescent="0.25"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</row>
    <row r="195" spans="33:44" x14ac:dyDescent="0.25"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</row>
    <row r="196" spans="33:44" x14ac:dyDescent="0.25"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</row>
    <row r="197" spans="33:44" x14ac:dyDescent="0.25"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</row>
    <row r="198" spans="33:44" x14ac:dyDescent="0.25"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</row>
    <row r="199" spans="33:44" x14ac:dyDescent="0.25"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</row>
    <row r="200" spans="33:44" x14ac:dyDescent="0.25"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</row>
    <row r="201" spans="33:44" x14ac:dyDescent="0.25"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</row>
    <row r="202" spans="33:44" x14ac:dyDescent="0.25"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</row>
    <row r="203" spans="33:44" x14ac:dyDescent="0.25"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</row>
    <row r="204" spans="33:44" x14ac:dyDescent="0.25"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</row>
    <row r="205" spans="33:44" x14ac:dyDescent="0.25"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</row>
    <row r="206" spans="33:44" x14ac:dyDescent="0.25"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</row>
    <row r="207" spans="33:44" x14ac:dyDescent="0.25"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</row>
    <row r="208" spans="33:44" x14ac:dyDescent="0.25"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</row>
    <row r="209" spans="33:44" x14ac:dyDescent="0.25"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</row>
    <row r="210" spans="33:44" x14ac:dyDescent="0.25"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</row>
    <row r="211" spans="33:44" x14ac:dyDescent="0.25"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</row>
    <row r="212" spans="33:44" x14ac:dyDescent="0.25"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</row>
    <row r="213" spans="33:44" x14ac:dyDescent="0.25"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</row>
    <row r="214" spans="33:44" x14ac:dyDescent="0.25"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</row>
    <row r="215" spans="33:44" x14ac:dyDescent="0.25"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</row>
    <row r="216" spans="33:44" x14ac:dyDescent="0.25"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</row>
    <row r="217" spans="33:44" x14ac:dyDescent="0.25"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</row>
    <row r="218" spans="33:44" x14ac:dyDescent="0.25"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</row>
    <row r="219" spans="33:44" x14ac:dyDescent="0.25"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</row>
    <row r="220" spans="33:44" x14ac:dyDescent="0.25"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</row>
    <row r="221" spans="33:44" x14ac:dyDescent="0.25"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</row>
    <row r="222" spans="33:44" x14ac:dyDescent="0.25"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</row>
    <row r="223" spans="33:44" x14ac:dyDescent="0.25"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</row>
    <row r="224" spans="33:44" x14ac:dyDescent="0.25"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</row>
    <row r="225" spans="33:44" x14ac:dyDescent="0.25"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</row>
    <row r="226" spans="33:44" x14ac:dyDescent="0.25"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</row>
    <row r="227" spans="33:44" x14ac:dyDescent="0.25"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</row>
    <row r="228" spans="33:44" x14ac:dyDescent="0.25"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</row>
    <row r="229" spans="33:44" x14ac:dyDescent="0.25"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</row>
    <row r="230" spans="33:44" x14ac:dyDescent="0.25"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</row>
    <row r="231" spans="33:44" x14ac:dyDescent="0.25"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</row>
    <row r="232" spans="33:44" x14ac:dyDescent="0.25"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</row>
    <row r="233" spans="33:44" x14ac:dyDescent="0.25"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</row>
    <row r="234" spans="33:44" x14ac:dyDescent="0.25"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</row>
    <row r="235" spans="33:44" x14ac:dyDescent="0.25"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</row>
    <row r="236" spans="33:44" x14ac:dyDescent="0.25"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</row>
    <row r="237" spans="33:44" x14ac:dyDescent="0.25"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</row>
    <row r="238" spans="33:44" x14ac:dyDescent="0.25"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</row>
    <row r="239" spans="33:44" x14ac:dyDescent="0.25"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</row>
    <row r="240" spans="33:44" x14ac:dyDescent="0.25"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</row>
    <row r="241" spans="33:44" x14ac:dyDescent="0.25"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</row>
    <row r="242" spans="33:44" x14ac:dyDescent="0.25"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</row>
    <row r="243" spans="33:44" x14ac:dyDescent="0.25"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</row>
    <row r="244" spans="33:44" x14ac:dyDescent="0.25"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</row>
    <row r="245" spans="33:44" x14ac:dyDescent="0.25"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</row>
    <row r="246" spans="33:44" x14ac:dyDescent="0.25"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</row>
    <row r="247" spans="33:44" x14ac:dyDescent="0.25"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</row>
    <row r="248" spans="33:44" x14ac:dyDescent="0.25"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</row>
    <row r="249" spans="33:44" x14ac:dyDescent="0.25"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</row>
    <row r="250" spans="33:44" x14ac:dyDescent="0.25"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</row>
    <row r="251" spans="33:44" x14ac:dyDescent="0.25"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</row>
    <row r="252" spans="33:44" x14ac:dyDescent="0.25"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</row>
    <row r="253" spans="33:44" x14ac:dyDescent="0.25"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</row>
    <row r="254" spans="33:44" x14ac:dyDescent="0.25"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</row>
    <row r="255" spans="33:44" x14ac:dyDescent="0.25"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</row>
    <row r="256" spans="33:44" x14ac:dyDescent="0.25"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</row>
    <row r="257" spans="33:44" x14ac:dyDescent="0.25"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</row>
    <row r="258" spans="33:44" x14ac:dyDescent="0.25"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</row>
    <row r="259" spans="33:44" x14ac:dyDescent="0.25"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</row>
    <row r="260" spans="33:44" x14ac:dyDescent="0.25"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</row>
    <row r="261" spans="33:44" x14ac:dyDescent="0.25"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</row>
    <row r="262" spans="33:44" x14ac:dyDescent="0.25"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</row>
    <row r="263" spans="33:44" x14ac:dyDescent="0.25"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</row>
    <row r="264" spans="33:44" x14ac:dyDescent="0.25"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</row>
    <row r="265" spans="33:44" x14ac:dyDescent="0.25"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</row>
    <row r="266" spans="33:44" x14ac:dyDescent="0.25"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</row>
    <row r="267" spans="33:44" x14ac:dyDescent="0.25"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</row>
    <row r="268" spans="33:44" x14ac:dyDescent="0.25"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</row>
    <row r="269" spans="33:44" x14ac:dyDescent="0.25"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</row>
    <row r="270" spans="33:44" x14ac:dyDescent="0.25"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</row>
    <row r="271" spans="33:44" x14ac:dyDescent="0.25"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</row>
    <row r="272" spans="33:44" x14ac:dyDescent="0.25"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</row>
    <row r="273" spans="33:44" x14ac:dyDescent="0.25"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</row>
    <row r="274" spans="33:44" x14ac:dyDescent="0.25"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</row>
    <row r="275" spans="33:44" x14ac:dyDescent="0.25"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</row>
    <row r="276" spans="33:44" x14ac:dyDescent="0.25"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</row>
    <row r="277" spans="33:44" x14ac:dyDescent="0.25"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</row>
    <row r="278" spans="33:44" x14ac:dyDescent="0.25"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</row>
    <row r="279" spans="33:44" x14ac:dyDescent="0.25"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</row>
    <row r="280" spans="33:44" x14ac:dyDescent="0.25"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</row>
    <row r="281" spans="33:44" x14ac:dyDescent="0.25"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</row>
    <row r="282" spans="33:44" x14ac:dyDescent="0.25"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</row>
    <row r="283" spans="33:44" x14ac:dyDescent="0.25"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</row>
    <row r="284" spans="33:44" x14ac:dyDescent="0.25"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</row>
    <row r="285" spans="33:44" x14ac:dyDescent="0.25"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</row>
    <row r="286" spans="33:44" x14ac:dyDescent="0.25"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</row>
    <row r="287" spans="33:44" x14ac:dyDescent="0.25"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</row>
    <row r="288" spans="33:44" x14ac:dyDescent="0.25"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</row>
    <row r="289" spans="33:44" x14ac:dyDescent="0.25"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</row>
    <row r="290" spans="33:44" x14ac:dyDescent="0.25"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</row>
    <row r="291" spans="33:44" x14ac:dyDescent="0.25"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</row>
    <row r="292" spans="33:44" x14ac:dyDescent="0.25"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</row>
    <row r="293" spans="33:44" x14ac:dyDescent="0.25"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</row>
    <row r="294" spans="33:44" x14ac:dyDescent="0.25"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</row>
    <row r="295" spans="33:44" x14ac:dyDescent="0.25"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</row>
    <row r="296" spans="33:44" x14ac:dyDescent="0.25"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</row>
    <row r="297" spans="33:44" x14ac:dyDescent="0.25"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</row>
    <row r="298" spans="33:44" x14ac:dyDescent="0.25"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</row>
    <row r="299" spans="33:44" x14ac:dyDescent="0.25"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</row>
    <row r="300" spans="33:44" x14ac:dyDescent="0.25"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</row>
    <row r="301" spans="33:44" x14ac:dyDescent="0.25"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</row>
    <row r="302" spans="33:44" x14ac:dyDescent="0.25"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</row>
    <row r="303" spans="33:44" x14ac:dyDescent="0.25"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</row>
    <row r="304" spans="33:44" x14ac:dyDescent="0.25"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</row>
    <row r="305" spans="33:44" x14ac:dyDescent="0.25"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</row>
    <row r="306" spans="33:44" x14ac:dyDescent="0.25"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</row>
    <row r="307" spans="33:44" x14ac:dyDescent="0.25"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</row>
    <row r="308" spans="33:44" x14ac:dyDescent="0.25"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</row>
    <row r="309" spans="33:44" x14ac:dyDescent="0.25"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</row>
    <row r="310" spans="33:44" x14ac:dyDescent="0.25"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</row>
    <row r="311" spans="33:44" x14ac:dyDescent="0.25"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17"/>
    </row>
    <row r="312" spans="33:44" x14ac:dyDescent="0.25"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</row>
    <row r="313" spans="33:44" x14ac:dyDescent="0.25"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</row>
    <row r="314" spans="33:44" x14ac:dyDescent="0.25"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</row>
    <row r="315" spans="33:44" x14ac:dyDescent="0.25"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</row>
    <row r="316" spans="33:44" x14ac:dyDescent="0.25"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</row>
    <row r="317" spans="33:44" x14ac:dyDescent="0.25"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</row>
    <row r="318" spans="33:44" x14ac:dyDescent="0.25"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17"/>
    </row>
    <row r="319" spans="33:44" x14ac:dyDescent="0.25"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17"/>
    </row>
    <row r="320" spans="33:44" x14ac:dyDescent="0.25"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</row>
    <row r="321" spans="33:44" x14ac:dyDescent="0.25"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</row>
    <row r="322" spans="33:44" x14ac:dyDescent="0.25"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</row>
    <row r="323" spans="33:44" x14ac:dyDescent="0.25"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</row>
    <row r="324" spans="33:44" x14ac:dyDescent="0.25"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  <c r="AR324" s="17"/>
    </row>
    <row r="325" spans="33:44" x14ac:dyDescent="0.25"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  <c r="AR325" s="17"/>
    </row>
    <row r="326" spans="33:44" x14ac:dyDescent="0.25"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</row>
    <row r="327" spans="33:44" x14ac:dyDescent="0.25"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</row>
    <row r="328" spans="33:44" x14ac:dyDescent="0.25"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  <c r="AR328" s="17"/>
    </row>
    <row r="329" spans="33:44" x14ac:dyDescent="0.25"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  <c r="AR329" s="17"/>
    </row>
    <row r="330" spans="33:44" x14ac:dyDescent="0.25"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</row>
    <row r="331" spans="33:44" x14ac:dyDescent="0.25"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</row>
    <row r="332" spans="33:44" x14ac:dyDescent="0.25"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  <c r="AR332" s="17"/>
    </row>
    <row r="333" spans="33:44" x14ac:dyDescent="0.25"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  <c r="AR333" s="17"/>
    </row>
    <row r="334" spans="33:44" x14ac:dyDescent="0.25"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  <c r="AR334" s="17"/>
    </row>
    <row r="335" spans="33:44" x14ac:dyDescent="0.25"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  <c r="AR335" s="17"/>
    </row>
    <row r="336" spans="33:44" x14ac:dyDescent="0.25"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/>
      <c r="AR336" s="17"/>
    </row>
    <row r="337" spans="33:44" x14ac:dyDescent="0.25"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  <c r="AR337" s="17"/>
    </row>
    <row r="338" spans="33:44" x14ac:dyDescent="0.25"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17"/>
      <c r="AR338" s="17"/>
    </row>
    <row r="339" spans="33:44" x14ac:dyDescent="0.25"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  <c r="AQ339" s="17"/>
      <c r="AR339" s="17"/>
    </row>
    <row r="340" spans="33:44" x14ac:dyDescent="0.25"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17"/>
      <c r="AR340" s="17"/>
    </row>
    <row r="341" spans="33:44" x14ac:dyDescent="0.25"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  <c r="AR341" s="17"/>
    </row>
    <row r="342" spans="33:44" x14ac:dyDescent="0.25"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17"/>
      <c r="AR342" s="17"/>
    </row>
    <row r="343" spans="33:44" x14ac:dyDescent="0.25"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  <c r="AQ343" s="17"/>
      <c r="AR343" s="17"/>
    </row>
    <row r="344" spans="33:44" x14ac:dyDescent="0.25"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  <c r="AQ344" s="17"/>
      <c r="AR344" s="17"/>
    </row>
    <row r="345" spans="33:44" x14ac:dyDescent="0.25"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17"/>
      <c r="AR345" s="17"/>
    </row>
    <row r="346" spans="33:44" x14ac:dyDescent="0.25"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17"/>
      <c r="AR346" s="17"/>
    </row>
    <row r="347" spans="33:44" x14ac:dyDescent="0.25"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17"/>
      <c r="AR347" s="17"/>
    </row>
    <row r="348" spans="33:44" x14ac:dyDescent="0.25"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  <c r="AR348" s="17"/>
    </row>
    <row r="349" spans="33:44" x14ac:dyDescent="0.25"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/>
      <c r="AR349" s="17"/>
    </row>
    <row r="350" spans="33:44" x14ac:dyDescent="0.25"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17"/>
      <c r="AR350" s="17"/>
    </row>
    <row r="351" spans="33:44" x14ac:dyDescent="0.25"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17"/>
      <c r="AR351" s="17"/>
    </row>
    <row r="352" spans="33:44" x14ac:dyDescent="0.25"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17"/>
      <c r="AR352" s="17"/>
    </row>
    <row r="353" spans="33:44" x14ac:dyDescent="0.25">
      <c r="AG353" s="17"/>
      <c r="AH353" s="17"/>
      <c r="AI353" s="17"/>
      <c r="AJ353" s="17"/>
      <c r="AK353" s="17"/>
      <c r="AL353" s="17"/>
      <c r="AM353" s="17"/>
      <c r="AN353" s="17"/>
      <c r="AO353" s="17"/>
      <c r="AP353" s="17"/>
      <c r="AQ353" s="17"/>
      <c r="AR353" s="17"/>
    </row>
    <row r="354" spans="33:44" x14ac:dyDescent="0.25"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  <c r="AR354" s="17"/>
    </row>
    <row r="355" spans="33:44" x14ac:dyDescent="0.25"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  <c r="AR355" s="17"/>
    </row>
  </sheetData>
  <autoFilter ref="A3:AC72" xr:uid="{00000000-0009-0000-0000-00000B000000}">
    <filterColumn colId="24">
      <colorFilter dxfId="4"/>
    </filterColumn>
  </autoFilter>
  <mergeCells count="4">
    <mergeCell ref="AT8:AU8"/>
    <mergeCell ref="AG1:AJ1"/>
    <mergeCell ref="AK1:AN1"/>
    <mergeCell ref="AO1:AR1"/>
  </mergeCells>
  <conditionalFormatting sqref="I1:I3">
    <cfRule type="duplicateValues" dxfId="28" priority="2"/>
  </conditionalFormatting>
  <conditionalFormatting sqref="H1:H3">
    <cfRule type="duplicateValues" dxfId="27" priority="3"/>
  </conditionalFormatting>
  <conditionalFormatting sqref="J1:J3">
    <cfRule type="duplicateValues" dxfId="26" priority="1"/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M34"/>
  <sheetViews>
    <sheetView zoomScale="85" zoomScaleNormal="85" workbookViewId="0">
      <pane ySplit="3" topLeftCell="A4" activePane="bottomLeft" state="frozen"/>
      <selection pane="bottomLeft" activeCell="AT4" sqref="AT4"/>
    </sheetView>
  </sheetViews>
  <sheetFormatPr defaultRowHeight="15" x14ac:dyDescent="0.25"/>
  <cols>
    <col min="2" max="2" width="28.28515625" hidden="1" customWidth="1"/>
    <col min="3" max="3" width="26.7109375" hidden="1" customWidth="1"/>
    <col min="4" max="4" width="39.42578125" customWidth="1"/>
    <col min="5" max="5" width="20" hidden="1" customWidth="1"/>
    <col min="6" max="6" width="29.28515625" style="17" customWidth="1"/>
    <col min="7" max="7" width="14.7109375" style="17" hidden="1" customWidth="1"/>
    <col min="8" max="8" width="14" style="17" hidden="1" customWidth="1"/>
    <col min="9" max="9" width="15.140625" style="17" hidden="1" customWidth="1"/>
    <col min="10" max="10" width="17.7109375" style="17" hidden="1" customWidth="1"/>
    <col min="11" max="11" width="7.7109375" style="17" customWidth="1"/>
    <col min="12" max="12" width="7.5703125" style="17" customWidth="1"/>
    <col min="13" max="13" width="6.7109375" style="17" customWidth="1"/>
    <col min="14" max="14" width="6.28515625" style="17" customWidth="1"/>
    <col min="15" max="15" width="5.7109375" style="17" customWidth="1"/>
    <col min="16" max="16" width="5.5703125" style="17" customWidth="1"/>
    <col min="17" max="17" width="5" style="17" customWidth="1"/>
    <col min="18" max="18" width="5.28515625" style="17" customWidth="1"/>
    <col min="19" max="19" width="7.28515625" style="17" customWidth="1"/>
    <col min="20" max="21" width="21.28515625" style="17" hidden="1" customWidth="1"/>
    <col min="22" max="22" width="12.28515625" style="17" hidden="1" customWidth="1"/>
    <col min="23" max="23" width="14.140625" style="17" hidden="1" customWidth="1"/>
    <col min="24" max="24" width="17" style="17" customWidth="1"/>
    <col min="25" max="25" width="10" style="17" customWidth="1"/>
    <col min="26" max="26" width="10.28515625" style="17" hidden="1" customWidth="1"/>
    <col min="27" max="27" width="35.42578125" style="23" hidden="1" customWidth="1"/>
    <col min="28" max="29" width="11.7109375" hidden="1" customWidth="1"/>
    <col min="30" max="31" width="6.5703125" customWidth="1"/>
    <col min="32" max="32" width="6.140625" customWidth="1"/>
    <col min="33" max="33" width="6" customWidth="1"/>
    <col min="34" max="34" width="7.7109375" customWidth="1"/>
    <col min="35" max="35" width="10.7109375" customWidth="1"/>
    <col min="36" max="38" width="0" hidden="1" customWidth="1"/>
    <col min="39" max="39" width="0" style="17" hidden="1" customWidth="1"/>
    <col min="40" max="40" width="0" hidden="1" customWidth="1"/>
  </cols>
  <sheetData>
    <row r="1" spans="1:39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18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259</v>
      </c>
      <c r="P1" s="1" t="s">
        <v>259</v>
      </c>
      <c r="Q1" s="1" t="s">
        <v>259</v>
      </c>
      <c r="R1" s="1" t="s">
        <v>259</v>
      </c>
      <c r="S1" s="1" t="s">
        <v>13</v>
      </c>
      <c r="T1" s="1" t="s">
        <v>14</v>
      </c>
      <c r="U1" s="1" t="s">
        <v>15</v>
      </c>
      <c r="V1" s="2" t="s">
        <v>16</v>
      </c>
      <c r="W1" s="2" t="s">
        <v>17</v>
      </c>
      <c r="X1" s="3" t="s">
        <v>18</v>
      </c>
      <c r="Y1" s="1" t="s">
        <v>19</v>
      </c>
      <c r="Z1" s="1" t="s">
        <v>20</v>
      </c>
      <c r="AA1" s="4" t="s">
        <v>21</v>
      </c>
      <c r="AB1" s="3" t="s">
        <v>22</v>
      </c>
      <c r="AC1" s="3" t="s">
        <v>629</v>
      </c>
      <c r="AD1" s="452" t="s">
        <v>979</v>
      </c>
      <c r="AE1" s="453"/>
      <c r="AF1" s="453"/>
      <c r="AG1" s="454"/>
      <c r="AH1" s="6" t="s">
        <v>23</v>
      </c>
      <c r="AI1" s="7" t="s">
        <v>24</v>
      </c>
      <c r="AJ1" s="248" t="s">
        <v>1520</v>
      </c>
      <c r="AK1" s="8"/>
      <c r="AL1" s="8"/>
      <c r="AM1" s="9"/>
    </row>
    <row r="2" spans="1:39" x14ac:dyDescent="0.25">
      <c r="A2" s="1"/>
      <c r="B2" s="1"/>
      <c r="C2" s="1"/>
      <c r="D2" s="1"/>
      <c r="E2" s="2"/>
      <c r="F2" s="1"/>
      <c r="G2" s="1"/>
      <c r="H2" s="1"/>
      <c r="I2" s="1"/>
      <c r="J2" s="3"/>
      <c r="K2" s="1"/>
      <c r="L2" s="1"/>
      <c r="M2" s="1"/>
      <c r="N2" s="1"/>
      <c r="O2" s="133">
        <v>0.3</v>
      </c>
      <c r="P2" s="133">
        <v>0.35</v>
      </c>
      <c r="Q2" s="133">
        <v>0.2</v>
      </c>
      <c r="R2" s="133">
        <v>0.15</v>
      </c>
      <c r="S2" s="1"/>
      <c r="T2" s="1"/>
      <c r="U2" s="1"/>
      <c r="V2" s="2"/>
      <c r="W2" s="2"/>
      <c r="X2" s="3"/>
      <c r="Y2" s="1"/>
      <c r="Z2" s="1"/>
      <c r="AA2" s="4"/>
      <c r="AB2" s="3"/>
      <c r="AC2" s="3"/>
      <c r="AD2" s="36">
        <v>0.3</v>
      </c>
      <c r="AE2" s="36">
        <v>0.35</v>
      </c>
      <c r="AF2" s="36">
        <v>0.2</v>
      </c>
      <c r="AG2" s="36">
        <v>0.15</v>
      </c>
      <c r="AH2" s="6"/>
      <c r="AI2" s="7"/>
      <c r="AJ2" s="255"/>
    </row>
    <row r="3" spans="1:39" x14ac:dyDescent="0.25">
      <c r="A3" s="1"/>
      <c r="B3" s="1"/>
      <c r="C3" s="1"/>
      <c r="D3" s="1"/>
      <c r="E3" s="2"/>
      <c r="F3" s="1"/>
      <c r="G3" s="1"/>
      <c r="H3" s="1"/>
      <c r="I3" s="1"/>
      <c r="J3" s="3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2"/>
      <c r="W3" s="2"/>
      <c r="X3" s="3"/>
      <c r="Y3" s="1"/>
      <c r="Z3" s="1"/>
      <c r="AA3" s="4"/>
      <c r="AB3" s="3"/>
      <c r="AC3" s="3"/>
      <c r="AD3" s="91">
        <f>SUM(AD4:AD33)</f>
        <v>0</v>
      </c>
      <c r="AE3" s="91">
        <f t="shared" ref="AE3:AG3" si="0">SUM(AE4:AE33)</f>
        <v>0</v>
      </c>
      <c r="AF3" s="91">
        <f t="shared" si="0"/>
        <v>0</v>
      </c>
      <c r="AG3" s="91">
        <f t="shared" si="0"/>
        <v>0</v>
      </c>
      <c r="AH3" s="6"/>
      <c r="AI3" s="7"/>
      <c r="AJ3" s="255"/>
    </row>
    <row r="4" spans="1:39" ht="30.75" thickBot="1" x14ac:dyDescent="0.3">
      <c r="A4" s="38">
        <v>1</v>
      </c>
      <c r="B4" s="38" t="s">
        <v>28</v>
      </c>
      <c r="C4" s="38" t="s">
        <v>29</v>
      </c>
      <c r="D4" s="298" t="s">
        <v>1521</v>
      </c>
      <c r="E4" s="38"/>
      <c r="F4" s="38"/>
      <c r="G4" s="38"/>
      <c r="H4" s="38" t="s">
        <v>31</v>
      </c>
      <c r="I4" s="38"/>
      <c r="J4" s="38"/>
      <c r="K4" s="38"/>
      <c r="L4" s="279">
        <v>143.39991999999998</v>
      </c>
      <c r="M4" s="38"/>
      <c r="N4" s="38"/>
      <c r="O4" s="38"/>
      <c r="P4" s="38"/>
      <c r="Q4" s="38"/>
      <c r="R4" s="38"/>
      <c r="S4" s="279">
        <v>5858.7674400000005</v>
      </c>
      <c r="T4" s="38"/>
      <c r="U4" s="393">
        <v>15199235.716644799</v>
      </c>
      <c r="V4" s="38"/>
      <c r="W4" s="38"/>
      <c r="X4" s="38"/>
      <c r="Y4" s="38"/>
      <c r="Z4" s="38"/>
      <c r="AA4" s="143"/>
      <c r="AB4" s="38"/>
      <c r="AC4" s="38"/>
      <c r="AD4" s="274"/>
      <c r="AE4" s="274"/>
      <c r="AF4" s="274"/>
      <c r="AG4" s="274"/>
      <c r="AM4"/>
    </row>
    <row r="5" spans="1:39" ht="30" x14ac:dyDescent="0.25">
      <c r="A5" s="9">
        <v>2</v>
      </c>
      <c r="B5" s="9" t="s">
        <v>28</v>
      </c>
      <c r="C5" s="9" t="s">
        <v>29</v>
      </c>
      <c r="D5" s="193" t="s">
        <v>1521</v>
      </c>
      <c r="E5" s="9"/>
      <c r="F5" s="9" t="s">
        <v>126</v>
      </c>
      <c r="G5" s="9"/>
      <c r="H5" s="9" t="s">
        <v>31</v>
      </c>
      <c r="I5" s="9"/>
      <c r="J5" s="394" t="s">
        <v>1522</v>
      </c>
      <c r="K5" s="9">
        <v>8.5</v>
      </c>
      <c r="L5" s="9">
        <v>8.5</v>
      </c>
      <c r="M5" s="9">
        <v>1</v>
      </c>
      <c r="N5" s="9" t="s">
        <v>33</v>
      </c>
      <c r="O5" s="9">
        <f>S5*0.3</f>
        <v>94.35</v>
      </c>
      <c r="P5" s="9">
        <f>S5*0.35</f>
        <v>110.07499999999999</v>
      </c>
      <c r="Q5" s="9">
        <f>S5*0.2</f>
        <v>62.900000000000006</v>
      </c>
      <c r="R5" s="9">
        <f>S5*0.15</f>
        <v>47.174999999999997</v>
      </c>
      <c r="S5" s="399">
        <v>314.5</v>
      </c>
      <c r="T5" s="194">
        <v>105991.94</v>
      </c>
      <c r="U5" s="194">
        <v>900931.49</v>
      </c>
      <c r="V5" s="9"/>
      <c r="W5" s="9"/>
      <c r="X5" s="394" t="s">
        <v>1522</v>
      </c>
      <c r="Y5" s="9">
        <v>75500</v>
      </c>
      <c r="Z5" s="19" t="s">
        <v>1523</v>
      </c>
      <c r="AA5" s="9" t="s">
        <v>126</v>
      </c>
      <c r="AB5" s="70">
        <v>1</v>
      </c>
      <c r="AC5" s="398">
        <v>3491</v>
      </c>
      <c r="AD5" s="400"/>
      <c r="AE5" s="401"/>
      <c r="AF5" s="401"/>
      <c r="AG5" s="402"/>
      <c r="AM5"/>
    </row>
    <row r="6" spans="1:39" ht="30" x14ac:dyDescent="0.25">
      <c r="A6" s="9">
        <v>3</v>
      </c>
      <c r="B6" s="9" t="s">
        <v>28</v>
      </c>
      <c r="C6" s="9" t="s">
        <v>29</v>
      </c>
      <c r="D6" s="193" t="s">
        <v>1521</v>
      </c>
      <c r="E6" s="9"/>
      <c r="F6" s="9" t="s">
        <v>126</v>
      </c>
      <c r="G6" s="9"/>
      <c r="H6" s="9" t="s">
        <v>31</v>
      </c>
      <c r="I6" s="9"/>
      <c r="J6" s="394" t="s">
        <v>1522</v>
      </c>
      <c r="K6" s="9">
        <v>8.5</v>
      </c>
      <c r="L6" s="9">
        <v>8.5</v>
      </c>
      <c r="M6" s="9">
        <v>1</v>
      </c>
      <c r="N6" s="9" t="s">
        <v>33</v>
      </c>
      <c r="O6" s="9">
        <f t="shared" ref="O6:O33" si="1">S6*0.3</f>
        <v>94.35</v>
      </c>
      <c r="P6" s="9">
        <f t="shared" ref="P6:P33" si="2">S6*0.35</f>
        <v>110.07499999999999</v>
      </c>
      <c r="Q6" s="9">
        <f t="shared" ref="Q6:Q33" si="3">S6*0.2</f>
        <v>62.900000000000006</v>
      </c>
      <c r="R6" s="9">
        <f t="shared" ref="R6:R33" si="4">S6*0.15</f>
        <v>47.174999999999997</v>
      </c>
      <c r="S6" s="399">
        <v>314.5</v>
      </c>
      <c r="T6" s="194">
        <v>105991.94</v>
      </c>
      <c r="U6" s="194">
        <v>900931.49</v>
      </c>
      <c r="V6" s="9"/>
      <c r="W6" s="9"/>
      <c r="X6" s="394" t="s">
        <v>1522</v>
      </c>
      <c r="Y6" s="9">
        <v>75501</v>
      </c>
      <c r="Z6" s="19" t="s">
        <v>1523</v>
      </c>
      <c r="AA6" s="9" t="s">
        <v>126</v>
      </c>
      <c r="AB6" s="70">
        <v>1</v>
      </c>
      <c r="AC6" s="398">
        <v>3491</v>
      </c>
      <c r="AD6" s="403"/>
      <c r="AE6" s="9"/>
      <c r="AF6" s="9"/>
      <c r="AG6" s="404"/>
      <c r="AM6"/>
    </row>
    <row r="7" spans="1:39" ht="30" x14ac:dyDescent="0.25">
      <c r="A7" s="9">
        <v>4</v>
      </c>
      <c r="B7" s="9" t="s">
        <v>28</v>
      </c>
      <c r="C7" s="9" t="s">
        <v>29</v>
      </c>
      <c r="D7" s="193" t="s">
        <v>1521</v>
      </c>
      <c r="E7" s="8"/>
      <c r="F7" s="9" t="s">
        <v>126</v>
      </c>
      <c r="G7" s="9"/>
      <c r="H7" s="9" t="s">
        <v>31</v>
      </c>
      <c r="I7" s="9"/>
      <c r="J7" s="394" t="s">
        <v>1522</v>
      </c>
      <c r="K7" s="9">
        <v>8.5</v>
      </c>
      <c r="L7" s="9">
        <v>8.5</v>
      </c>
      <c r="M7" s="9">
        <v>1</v>
      </c>
      <c r="N7" s="9" t="s">
        <v>33</v>
      </c>
      <c r="O7" s="9">
        <f t="shared" si="1"/>
        <v>94.35</v>
      </c>
      <c r="P7" s="9">
        <f t="shared" si="2"/>
        <v>110.07499999999999</v>
      </c>
      <c r="Q7" s="9">
        <f t="shared" si="3"/>
        <v>62.900000000000006</v>
      </c>
      <c r="R7" s="9">
        <f t="shared" si="4"/>
        <v>47.174999999999997</v>
      </c>
      <c r="S7" s="399">
        <v>314.5</v>
      </c>
      <c r="T7" s="194">
        <v>105991.94</v>
      </c>
      <c r="U7" s="194">
        <v>900931.49</v>
      </c>
      <c r="V7" s="9"/>
      <c r="W7" s="9"/>
      <c r="X7" s="394" t="s">
        <v>1522</v>
      </c>
      <c r="Y7" s="9">
        <v>75502</v>
      </c>
      <c r="Z7" s="19" t="s">
        <v>1523</v>
      </c>
      <c r="AA7" s="9" t="s">
        <v>126</v>
      </c>
      <c r="AB7" s="70">
        <v>1</v>
      </c>
      <c r="AC7" s="398">
        <v>3491</v>
      </c>
      <c r="AD7" s="403"/>
      <c r="AE7" s="9"/>
      <c r="AF7" s="9"/>
      <c r="AG7" s="404"/>
      <c r="AM7"/>
    </row>
    <row r="8" spans="1:39" ht="30" x14ac:dyDescent="0.25">
      <c r="A8" s="9">
        <v>5</v>
      </c>
      <c r="B8" s="9" t="s">
        <v>28</v>
      </c>
      <c r="C8" s="9" t="s">
        <v>29</v>
      </c>
      <c r="D8" s="193" t="s">
        <v>1521</v>
      </c>
      <c r="E8" s="8"/>
      <c r="F8" s="9" t="s">
        <v>126</v>
      </c>
      <c r="G8" s="9"/>
      <c r="H8" s="9" t="s">
        <v>31</v>
      </c>
      <c r="I8" s="9"/>
      <c r="J8" s="394" t="s">
        <v>1522</v>
      </c>
      <c r="K8" s="9">
        <v>8.5</v>
      </c>
      <c r="L8" s="9">
        <v>8.5</v>
      </c>
      <c r="M8" s="9">
        <v>1</v>
      </c>
      <c r="N8" s="9" t="s">
        <v>33</v>
      </c>
      <c r="O8" s="9">
        <f t="shared" si="1"/>
        <v>94.35</v>
      </c>
      <c r="P8" s="9">
        <f t="shared" si="2"/>
        <v>110.07499999999999</v>
      </c>
      <c r="Q8" s="9">
        <f t="shared" si="3"/>
        <v>62.900000000000006</v>
      </c>
      <c r="R8" s="9">
        <f t="shared" si="4"/>
        <v>47.174999999999997</v>
      </c>
      <c r="S8" s="399">
        <v>314.5</v>
      </c>
      <c r="T8" s="194">
        <v>105991.94</v>
      </c>
      <c r="U8" s="194">
        <v>900931.49</v>
      </c>
      <c r="V8" s="9"/>
      <c r="W8" s="9"/>
      <c r="X8" s="394" t="s">
        <v>1522</v>
      </c>
      <c r="Y8" s="9">
        <v>75503</v>
      </c>
      <c r="Z8" s="19" t="s">
        <v>1523</v>
      </c>
      <c r="AA8" s="9" t="s">
        <v>126</v>
      </c>
      <c r="AB8" s="70">
        <v>1</v>
      </c>
      <c r="AC8" s="398">
        <v>3491</v>
      </c>
      <c r="AD8" s="403"/>
      <c r="AE8" s="9"/>
      <c r="AF8" s="9"/>
      <c r="AG8" s="404"/>
      <c r="AM8"/>
    </row>
    <row r="9" spans="1:39" ht="30" x14ac:dyDescent="0.25">
      <c r="A9" s="9">
        <v>6</v>
      </c>
      <c r="B9" s="9" t="s">
        <v>28</v>
      </c>
      <c r="C9" s="9" t="s">
        <v>29</v>
      </c>
      <c r="D9" s="193" t="s">
        <v>1521</v>
      </c>
      <c r="E9" s="8"/>
      <c r="F9" s="9" t="s">
        <v>126</v>
      </c>
      <c r="G9" s="9"/>
      <c r="H9" s="9" t="s">
        <v>31</v>
      </c>
      <c r="I9" s="9"/>
      <c r="J9" s="394" t="s">
        <v>1522</v>
      </c>
      <c r="K9" s="9">
        <v>8.5</v>
      </c>
      <c r="L9" s="9">
        <v>8.5</v>
      </c>
      <c r="M9" s="9">
        <v>1</v>
      </c>
      <c r="N9" s="9" t="s">
        <v>33</v>
      </c>
      <c r="O9" s="9">
        <f t="shared" si="1"/>
        <v>94.35</v>
      </c>
      <c r="P9" s="9">
        <f t="shared" si="2"/>
        <v>110.07499999999999</v>
      </c>
      <c r="Q9" s="9">
        <f t="shared" si="3"/>
        <v>62.900000000000006</v>
      </c>
      <c r="R9" s="9">
        <f t="shared" si="4"/>
        <v>47.174999999999997</v>
      </c>
      <c r="S9" s="399">
        <v>314.5</v>
      </c>
      <c r="T9" s="194">
        <v>105991.94</v>
      </c>
      <c r="U9" s="194">
        <v>900931.49</v>
      </c>
      <c r="V9" s="9"/>
      <c r="W9" s="9"/>
      <c r="X9" s="394" t="s">
        <v>1522</v>
      </c>
      <c r="Y9" s="9">
        <v>75504</v>
      </c>
      <c r="Z9" s="19" t="s">
        <v>1523</v>
      </c>
      <c r="AA9" s="9" t="s">
        <v>126</v>
      </c>
      <c r="AB9" s="70">
        <v>1</v>
      </c>
      <c r="AC9" s="398">
        <v>3491</v>
      </c>
      <c r="AD9" s="403"/>
      <c r="AE9" s="9"/>
      <c r="AF9" s="9"/>
      <c r="AG9" s="404"/>
      <c r="AM9"/>
    </row>
    <row r="10" spans="1:39" ht="30" x14ac:dyDescent="0.25">
      <c r="A10" s="9">
        <v>7</v>
      </c>
      <c r="B10" s="9" t="s">
        <v>28</v>
      </c>
      <c r="C10" s="9" t="s">
        <v>29</v>
      </c>
      <c r="D10" s="193" t="s">
        <v>1521</v>
      </c>
      <c r="E10" s="8"/>
      <c r="F10" s="9" t="s">
        <v>126</v>
      </c>
      <c r="G10" s="9"/>
      <c r="H10" s="9" t="s">
        <v>31</v>
      </c>
      <c r="I10" s="9"/>
      <c r="J10" s="394" t="s">
        <v>1522</v>
      </c>
      <c r="K10" s="9">
        <v>8.5</v>
      </c>
      <c r="L10" s="9">
        <v>8.5</v>
      </c>
      <c r="M10" s="9">
        <v>1</v>
      </c>
      <c r="N10" s="9" t="s">
        <v>33</v>
      </c>
      <c r="O10" s="9">
        <f t="shared" si="1"/>
        <v>94.35</v>
      </c>
      <c r="P10" s="9">
        <f t="shared" si="2"/>
        <v>110.07499999999999</v>
      </c>
      <c r="Q10" s="9">
        <f t="shared" si="3"/>
        <v>62.900000000000006</v>
      </c>
      <c r="R10" s="9">
        <f t="shared" si="4"/>
        <v>47.174999999999997</v>
      </c>
      <c r="S10" s="399">
        <v>314.5</v>
      </c>
      <c r="T10" s="194">
        <v>105991.94</v>
      </c>
      <c r="U10" s="194">
        <v>900931.49</v>
      </c>
      <c r="V10" s="9"/>
      <c r="W10" s="9"/>
      <c r="X10" s="394" t="s">
        <v>1522</v>
      </c>
      <c r="Y10" s="9">
        <v>75505</v>
      </c>
      <c r="Z10" s="19" t="s">
        <v>1523</v>
      </c>
      <c r="AA10" s="9" t="s">
        <v>126</v>
      </c>
      <c r="AB10" s="70">
        <v>1</v>
      </c>
      <c r="AC10" s="398">
        <v>3491</v>
      </c>
      <c r="AD10" s="403"/>
      <c r="AE10" s="9"/>
      <c r="AF10" s="9"/>
      <c r="AG10" s="404"/>
      <c r="AM10"/>
    </row>
    <row r="11" spans="1:39" ht="30" x14ac:dyDescent="0.25">
      <c r="A11" s="9">
        <v>8</v>
      </c>
      <c r="B11" s="9" t="s">
        <v>28</v>
      </c>
      <c r="C11" s="9" t="s">
        <v>29</v>
      </c>
      <c r="D11" s="193" t="s">
        <v>1521</v>
      </c>
      <c r="E11" s="8"/>
      <c r="F11" s="9" t="s">
        <v>126</v>
      </c>
      <c r="G11" s="9"/>
      <c r="H11" s="9" t="s">
        <v>31</v>
      </c>
      <c r="I11" s="9"/>
      <c r="J11" s="394" t="s">
        <v>1522</v>
      </c>
      <c r="K11" s="9">
        <v>8.5</v>
      </c>
      <c r="L11" s="9">
        <v>8.5</v>
      </c>
      <c r="M11" s="9">
        <v>1</v>
      </c>
      <c r="N11" s="9" t="s">
        <v>33</v>
      </c>
      <c r="O11" s="9">
        <f t="shared" si="1"/>
        <v>94.35</v>
      </c>
      <c r="P11" s="9">
        <f t="shared" si="2"/>
        <v>110.07499999999999</v>
      </c>
      <c r="Q11" s="9">
        <f t="shared" si="3"/>
        <v>62.900000000000006</v>
      </c>
      <c r="R11" s="9">
        <f t="shared" si="4"/>
        <v>47.174999999999997</v>
      </c>
      <c r="S11" s="399">
        <v>314.5</v>
      </c>
      <c r="T11" s="194">
        <v>105991.94</v>
      </c>
      <c r="U11" s="194">
        <v>900931.49</v>
      </c>
      <c r="V11" s="9"/>
      <c r="W11" s="9"/>
      <c r="X11" s="394" t="s">
        <v>1522</v>
      </c>
      <c r="Y11" s="9">
        <v>75506</v>
      </c>
      <c r="Z11" s="19" t="s">
        <v>1523</v>
      </c>
      <c r="AA11" s="9" t="s">
        <v>126</v>
      </c>
      <c r="AB11" s="70">
        <v>1</v>
      </c>
      <c r="AC11" s="398">
        <v>3491</v>
      </c>
      <c r="AD11" s="403"/>
      <c r="AE11" s="9"/>
      <c r="AF11" s="9"/>
      <c r="AG11" s="404"/>
      <c r="AM11"/>
    </row>
    <row r="12" spans="1:39" ht="30" x14ac:dyDescent="0.25">
      <c r="A12" s="9">
        <v>9</v>
      </c>
      <c r="B12" s="9" t="s">
        <v>28</v>
      </c>
      <c r="C12" s="9" t="s">
        <v>29</v>
      </c>
      <c r="D12" s="193" t="s">
        <v>1521</v>
      </c>
      <c r="E12" s="8"/>
      <c r="F12" s="9" t="s">
        <v>126</v>
      </c>
      <c r="G12" s="9"/>
      <c r="H12" s="9" t="s">
        <v>31</v>
      </c>
      <c r="I12" s="9"/>
      <c r="J12" s="394" t="s">
        <v>1524</v>
      </c>
      <c r="K12" s="34">
        <v>9.9499999999999993</v>
      </c>
      <c r="L12" s="9">
        <v>9.9499999999999993</v>
      </c>
      <c r="M12" s="9">
        <v>1</v>
      </c>
      <c r="N12" s="9" t="s">
        <v>33</v>
      </c>
      <c r="O12" s="9">
        <f t="shared" si="1"/>
        <v>110.44499999999999</v>
      </c>
      <c r="P12" s="9">
        <f t="shared" si="2"/>
        <v>128.85249999999999</v>
      </c>
      <c r="Q12" s="9">
        <f t="shared" si="3"/>
        <v>73.63</v>
      </c>
      <c r="R12" s="9">
        <f t="shared" si="4"/>
        <v>55.222499999999997</v>
      </c>
      <c r="S12" s="399">
        <v>368.15</v>
      </c>
      <c r="T12" s="194">
        <v>105991.94</v>
      </c>
      <c r="U12" s="194">
        <v>1054619.8029999998</v>
      </c>
      <c r="V12" s="9"/>
      <c r="W12" s="9"/>
      <c r="X12" s="394" t="s">
        <v>1524</v>
      </c>
      <c r="Y12" s="9">
        <v>75507</v>
      </c>
      <c r="Z12" s="19" t="s">
        <v>1523</v>
      </c>
      <c r="AA12" s="9" t="s">
        <v>126</v>
      </c>
      <c r="AB12" s="70">
        <v>1</v>
      </c>
      <c r="AC12" s="398">
        <v>3491</v>
      </c>
      <c r="AD12" s="403"/>
      <c r="AE12" s="9"/>
      <c r="AF12" s="9"/>
      <c r="AG12" s="404"/>
      <c r="AM12"/>
    </row>
    <row r="13" spans="1:39" ht="30" x14ac:dyDescent="0.25">
      <c r="A13" s="9">
        <v>10</v>
      </c>
      <c r="B13" s="9" t="s">
        <v>28</v>
      </c>
      <c r="C13" s="9" t="s">
        <v>29</v>
      </c>
      <c r="D13" s="193" t="s">
        <v>1521</v>
      </c>
      <c r="E13" s="8"/>
      <c r="F13" s="9" t="s">
        <v>126</v>
      </c>
      <c r="G13" s="9"/>
      <c r="H13" s="9" t="s">
        <v>31</v>
      </c>
      <c r="I13" s="9"/>
      <c r="J13" s="394" t="s">
        <v>1524</v>
      </c>
      <c r="K13" s="34">
        <v>9.9499999999999993</v>
      </c>
      <c r="L13" s="9">
        <v>9.9499999999999993</v>
      </c>
      <c r="M13" s="9">
        <v>1</v>
      </c>
      <c r="N13" s="9" t="s">
        <v>33</v>
      </c>
      <c r="O13" s="9">
        <f t="shared" si="1"/>
        <v>110.44499999999999</v>
      </c>
      <c r="P13" s="9">
        <f t="shared" si="2"/>
        <v>128.85249999999999</v>
      </c>
      <c r="Q13" s="9">
        <f t="shared" si="3"/>
        <v>73.63</v>
      </c>
      <c r="R13" s="9">
        <f t="shared" si="4"/>
        <v>55.222499999999997</v>
      </c>
      <c r="S13" s="399">
        <v>368.15</v>
      </c>
      <c r="T13" s="194">
        <v>105991.94</v>
      </c>
      <c r="U13" s="194">
        <v>1054619.8029999998</v>
      </c>
      <c r="V13" s="9"/>
      <c r="W13" s="9"/>
      <c r="X13" s="394" t="s">
        <v>1524</v>
      </c>
      <c r="Y13" s="9">
        <v>75508</v>
      </c>
      <c r="Z13" s="19" t="s">
        <v>1523</v>
      </c>
      <c r="AA13" s="9" t="s">
        <v>126</v>
      </c>
      <c r="AB13" s="70">
        <v>1</v>
      </c>
      <c r="AC13" s="398">
        <v>3491</v>
      </c>
      <c r="AD13" s="403"/>
      <c r="AE13" s="9"/>
      <c r="AF13" s="9"/>
      <c r="AG13" s="404"/>
      <c r="AM13"/>
    </row>
    <row r="14" spans="1:39" ht="30" x14ac:dyDescent="0.25">
      <c r="A14" s="9">
        <v>11</v>
      </c>
      <c r="B14" s="9" t="s">
        <v>28</v>
      </c>
      <c r="C14" s="9" t="s">
        <v>29</v>
      </c>
      <c r="D14" s="193" t="s">
        <v>1521</v>
      </c>
      <c r="E14" s="8"/>
      <c r="F14" s="9" t="s">
        <v>126</v>
      </c>
      <c r="G14" s="9"/>
      <c r="H14" s="9" t="s">
        <v>31</v>
      </c>
      <c r="I14" s="9"/>
      <c r="J14" s="394" t="s">
        <v>1524</v>
      </c>
      <c r="K14" s="34">
        <v>9.9499999999999993</v>
      </c>
      <c r="L14" s="9">
        <v>9.9499999999999993</v>
      </c>
      <c r="M14" s="9">
        <v>1</v>
      </c>
      <c r="N14" s="9" t="s">
        <v>33</v>
      </c>
      <c r="O14" s="9">
        <f t="shared" si="1"/>
        <v>110.44499999999999</v>
      </c>
      <c r="P14" s="9">
        <f t="shared" si="2"/>
        <v>128.85249999999999</v>
      </c>
      <c r="Q14" s="9">
        <f t="shared" si="3"/>
        <v>73.63</v>
      </c>
      <c r="R14" s="9">
        <f t="shared" si="4"/>
        <v>55.222499999999997</v>
      </c>
      <c r="S14" s="399">
        <v>368.15</v>
      </c>
      <c r="T14" s="194">
        <v>105991.94</v>
      </c>
      <c r="U14" s="194">
        <v>1054619.8029999998</v>
      </c>
      <c r="V14" s="9"/>
      <c r="W14" s="9"/>
      <c r="X14" s="394" t="s">
        <v>1524</v>
      </c>
      <c r="Y14" s="9">
        <v>75509</v>
      </c>
      <c r="Z14" s="19" t="s">
        <v>1523</v>
      </c>
      <c r="AA14" s="9" t="s">
        <v>126</v>
      </c>
      <c r="AB14" s="70">
        <v>1</v>
      </c>
      <c r="AC14" s="398">
        <v>3491</v>
      </c>
      <c r="AD14" s="403"/>
      <c r="AE14" s="9"/>
      <c r="AF14" s="9"/>
      <c r="AG14" s="404"/>
      <c r="AM14"/>
    </row>
    <row r="15" spans="1:39" ht="30" x14ac:dyDescent="0.25">
      <c r="A15" s="9">
        <v>12</v>
      </c>
      <c r="B15" s="9" t="s">
        <v>28</v>
      </c>
      <c r="C15" s="9" t="s">
        <v>29</v>
      </c>
      <c r="D15" s="193" t="s">
        <v>1521</v>
      </c>
      <c r="E15" s="8"/>
      <c r="F15" s="9" t="s">
        <v>126</v>
      </c>
      <c r="G15" s="9"/>
      <c r="H15" s="9" t="s">
        <v>31</v>
      </c>
      <c r="I15" s="9"/>
      <c r="J15" s="394" t="s">
        <v>1524</v>
      </c>
      <c r="K15" s="34">
        <v>9.9499999999999993</v>
      </c>
      <c r="L15" s="9">
        <v>9.9499999999999993</v>
      </c>
      <c r="M15" s="9">
        <v>1</v>
      </c>
      <c r="N15" s="9" t="s">
        <v>33</v>
      </c>
      <c r="O15" s="9">
        <f t="shared" si="1"/>
        <v>110.44499999999999</v>
      </c>
      <c r="P15" s="9">
        <f t="shared" si="2"/>
        <v>128.85249999999999</v>
      </c>
      <c r="Q15" s="9">
        <f t="shared" si="3"/>
        <v>73.63</v>
      </c>
      <c r="R15" s="9">
        <f t="shared" si="4"/>
        <v>55.222499999999997</v>
      </c>
      <c r="S15" s="399">
        <v>368.15</v>
      </c>
      <c r="T15" s="194">
        <v>105991.94</v>
      </c>
      <c r="U15" s="194">
        <v>1054619.8029999998</v>
      </c>
      <c r="V15" s="9"/>
      <c r="W15" s="9"/>
      <c r="X15" s="394" t="s">
        <v>1524</v>
      </c>
      <c r="Y15" s="9">
        <v>75510</v>
      </c>
      <c r="Z15" s="19" t="s">
        <v>1523</v>
      </c>
      <c r="AA15" s="9" t="s">
        <v>126</v>
      </c>
      <c r="AB15" s="70">
        <v>1</v>
      </c>
      <c r="AC15" s="398">
        <v>3491</v>
      </c>
      <c r="AD15" s="403"/>
      <c r="AE15" s="9"/>
      <c r="AF15" s="9"/>
      <c r="AG15" s="404"/>
      <c r="AM15"/>
    </row>
    <row r="16" spans="1:39" ht="30" x14ac:dyDescent="0.25">
      <c r="A16" s="9">
        <v>13</v>
      </c>
      <c r="B16" s="9" t="s">
        <v>28</v>
      </c>
      <c r="C16" s="9" t="s">
        <v>29</v>
      </c>
      <c r="D16" s="193" t="s">
        <v>1521</v>
      </c>
      <c r="E16" s="8"/>
      <c r="F16" s="9" t="s">
        <v>126</v>
      </c>
      <c r="G16" s="9"/>
      <c r="H16" s="9" t="s">
        <v>31</v>
      </c>
      <c r="I16" s="9"/>
      <c r="J16" s="394" t="s">
        <v>1524</v>
      </c>
      <c r="K16" s="395">
        <v>8.3480000000000008</v>
      </c>
      <c r="L16" s="9">
        <v>8.3480000000000008</v>
      </c>
      <c r="M16" s="9">
        <v>1</v>
      </c>
      <c r="N16" s="9" t="s">
        <v>33</v>
      </c>
      <c r="O16" s="9">
        <f t="shared" si="1"/>
        <v>92.662800000000004</v>
      </c>
      <c r="P16" s="9">
        <f t="shared" si="2"/>
        <v>108.1066</v>
      </c>
      <c r="Q16" s="9">
        <f t="shared" si="3"/>
        <v>61.775200000000012</v>
      </c>
      <c r="R16" s="9">
        <f t="shared" si="4"/>
        <v>46.331400000000002</v>
      </c>
      <c r="S16" s="399">
        <v>308.87600000000003</v>
      </c>
      <c r="T16" s="194">
        <v>105991.94</v>
      </c>
      <c r="U16" s="194">
        <v>884820.71512000007</v>
      </c>
      <c r="V16" s="9"/>
      <c r="W16" s="9"/>
      <c r="X16" s="394" t="s">
        <v>1524</v>
      </c>
      <c r="Y16" s="9">
        <v>75511</v>
      </c>
      <c r="Z16" s="19" t="s">
        <v>1523</v>
      </c>
      <c r="AA16" s="9" t="s">
        <v>126</v>
      </c>
      <c r="AB16" s="70">
        <v>1</v>
      </c>
      <c r="AC16" s="398">
        <v>3491</v>
      </c>
      <c r="AD16" s="403"/>
      <c r="AE16" s="9"/>
      <c r="AF16" s="9"/>
      <c r="AG16" s="404"/>
      <c r="AM16"/>
    </row>
    <row r="17" spans="1:39" ht="30" x14ac:dyDescent="0.25">
      <c r="A17" s="9">
        <v>14</v>
      </c>
      <c r="B17" s="9" t="s">
        <v>28</v>
      </c>
      <c r="C17" s="9" t="s">
        <v>29</v>
      </c>
      <c r="D17" s="193" t="s">
        <v>1521</v>
      </c>
      <c r="E17" s="8"/>
      <c r="F17" s="15" t="s">
        <v>177</v>
      </c>
      <c r="G17" s="9"/>
      <c r="H17" s="9" t="s">
        <v>31</v>
      </c>
      <c r="I17" s="9"/>
      <c r="J17" s="9" t="s">
        <v>1525</v>
      </c>
      <c r="K17" s="34">
        <v>6.7999999999999996E-3</v>
      </c>
      <c r="L17" s="9">
        <v>0.28559999999999997</v>
      </c>
      <c r="M17" s="9">
        <v>42</v>
      </c>
      <c r="N17" s="9" t="s">
        <v>33</v>
      </c>
      <c r="O17" s="9">
        <f t="shared" si="1"/>
        <v>8.4823199999999979</v>
      </c>
      <c r="P17" s="9">
        <f t="shared" si="2"/>
        <v>9.8960399999999975</v>
      </c>
      <c r="Q17" s="9">
        <f t="shared" si="3"/>
        <v>5.6548799999999995</v>
      </c>
      <c r="R17" s="9">
        <f t="shared" si="4"/>
        <v>4.2411599999999989</v>
      </c>
      <c r="S17" s="399">
        <v>28.274399999999996</v>
      </c>
      <c r="T17" s="194">
        <v>105991.94</v>
      </c>
      <c r="U17" s="194">
        <v>30271.298063999999</v>
      </c>
      <c r="V17" s="9"/>
      <c r="W17" s="9"/>
      <c r="X17" s="9" t="s">
        <v>1525</v>
      </c>
      <c r="Y17" s="9">
        <v>75511</v>
      </c>
      <c r="Z17" s="19" t="s">
        <v>1523</v>
      </c>
      <c r="AA17" s="15" t="s">
        <v>177</v>
      </c>
      <c r="AB17" s="70">
        <v>2</v>
      </c>
      <c r="AC17" s="398">
        <v>3491</v>
      </c>
      <c r="AD17" s="403"/>
      <c r="AE17" s="9"/>
      <c r="AF17" s="9"/>
      <c r="AG17" s="404"/>
      <c r="AM17"/>
    </row>
    <row r="18" spans="1:39" ht="30" x14ac:dyDescent="0.25">
      <c r="A18" s="9">
        <v>15</v>
      </c>
      <c r="B18" s="9" t="s">
        <v>28</v>
      </c>
      <c r="C18" s="9" t="s">
        <v>29</v>
      </c>
      <c r="D18" s="193" t="s">
        <v>1521</v>
      </c>
      <c r="E18" s="8"/>
      <c r="F18" s="15" t="s">
        <v>63</v>
      </c>
      <c r="G18" s="9"/>
      <c r="H18" s="9" t="s">
        <v>31</v>
      </c>
      <c r="I18" s="9"/>
      <c r="J18" s="394" t="s">
        <v>1526</v>
      </c>
      <c r="K18" s="34">
        <v>2.5000000000000001E-2</v>
      </c>
      <c r="L18" s="9">
        <v>0.17500000000000002</v>
      </c>
      <c r="M18" s="9">
        <v>7</v>
      </c>
      <c r="N18" s="9" t="s">
        <v>33</v>
      </c>
      <c r="O18" s="9">
        <f t="shared" si="1"/>
        <v>5.1975000000000007</v>
      </c>
      <c r="P18" s="9">
        <f t="shared" si="2"/>
        <v>6.0637500000000006</v>
      </c>
      <c r="Q18" s="9">
        <f t="shared" si="3"/>
        <v>3.4650000000000007</v>
      </c>
      <c r="R18" s="9">
        <f t="shared" si="4"/>
        <v>2.5987500000000003</v>
      </c>
      <c r="S18" s="399">
        <v>17.325000000000003</v>
      </c>
      <c r="T18" s="194">
        <v>105991.94</v>
      </c>
      <c r="U18" s="194">
        <v>18548.589500000002</v>
      </c>
      <c r="V18" s="9"/>
      <c r="W18" s="9"/>
      <c r="X18" s="394" t="s">
        <v>1526</v>
      </c>
      <c r="Y18" s="9">
        <v>75511</v>
      </c>
      <c r="Z18" s="19" t="s">
        <v>1523</v>
      </c>
      <c r="AA18" s="15" t="s">
        <v>63</v>
      </c>
      <c r="AB18" s="70">
        <v>3</v>
      </c>
      <c r="AC18" s="398">
        <v>3491</v>
      </c>
      <c r="AD18" s="403"/>
      <c r="AE18" s="9"/>
      <c r="AF18" s="9"/>
      <c r="AG18" s="404"/>
      <c r="AM18"/>
    </row>
    <row r="19" spans="1:39" ht="30" x14ac:dyDescent="0.25">
      <c r="A19" s="9">
        <v>16</v>
      </c>
      <c r="B19" s="9" t="s">
        <v>28</v>
      </c>
      <c r="C19" s="9" t="s">
        <v>29</v>
      </c>
      <c r="D19" s="193" t="s">
        <v>1521</v>
      </c>
      <c r="E19" s="8"/>
      <c r="F19" s="15" t="s">
        <v>177</v>
      </c>
      <c r="G19" s="9"/>
      <c r="H19" s="9" t="s">
        <v>31</v>
      </c>
      <c r="I19" s="9"/>
      <c r="J19" s="9" t="s">
        <v>1527</v>
      </c>
      <c r="K19" s="396">
        <v>2.5000000000000001E-3</v>
      </c>
      <c r="L19" s="9">
        <v>0.1575</v>
      </c>
      <c r="M19" s="9">
        <v>63</v>
      </c>
      <c r="N19" s="9" t="s">
        <v>33</v>
      </c>
      <c r="O19" s="9">
        <f t="shared" si="1"/>
        <v>4.6777499999999996</v>
      </c>
      <c r="P19" s="9">
        <f t="shared" si="2"/>
        <v>5.4573749999999999</v>
      </c>
      <c r="Q19" s="9">
        <f t="shared" si="3"/>
        <v>3.1185</v>
      </c>
      <c r="R19" s="9">
        <f t="shared" si="4"/>
        <v>2.3388749999999998</v>
      </c>
      <c r="S19" s="399">
        <v>15.592499999999999</v>
      </c>
      <c r="T19" s="194">
        <v>105991.94</v>
      </c>
      <c r="U19" s="194">
        <v>16693.73055</v>
      </c>
      <c r="V19" s="9"/>
      <c r="W19" s="9"/>
      <c r="X19" s="9" t="s">
        <v>1527</v>
      </c>
      <c r="Y19" s="9">
        <v>75511</v>
      </c>
      <c r="Z19" s="19" t="s">
        <v>1523</v>
      </c>
      <c r="AA19" s="15" t="s">
        <v>177</v>
      </c>
      <c r="AB19" s="70">
        <v>4</v>
      </c>
      <c r="AC19" s="398">
        <v>3491</v>
      </c>
      <c r="AD19" s="403"/>
      <c r="AE19" s="9"/>
      <c r="AF19" s="9"/>
      <c r="AG19" s="404"/>
      <c r="AM19"/>
    </row>
    <row r="20" spans="1:39" ht="45" x14ac:dyDescent="0.25">
      <c r="A20" s="9">
        <v>17</v>
      </c>
      <c r="B20" s="9" t="s">
        <v>28</v>
      </c>
      <c r="C20" s="9" t="s">
        <v>29</v>
      </c>
      <c r="D20" s="193" t="s">
        <v>1521</v>
      </c>
      <c r="E20" s="8"/>
      <c r="F20" s="15" t="s">
        <v>1528</v>
      </c>
      <c r="G20" s="9"/>
      <c r="H20" s="9" t="s">
        <v>31</v>
      </c>
      <c r="I20" s="9" t="s">
        <v>51</v>
      </c>
      <c r="J20" s="9" t="s">
        <v>1529</v>
      </c>
      <c r="K20" s="396">
        <v>2.0500000000000002E-3</v>
      </c>
      <c r="L20" s="9">
        <v>1.2300000000000002E-2</v>
      </c>
      <c r="M20" s="9">
        <v>6</v>
      </c>
      <c r="N20" s="9" t="s">
        <v>33</v>
      </c>
      <c r="O20" s="9">
        <f t="shared" si="1"/>
        <v>0.36531000000000008</v>
      </c>
      <c r="P20" s="9">
        <f t="shared" si="2"/>
        <v>0.42619500000000005</v>
      </c>
      <c r="Q20" s="9">
        <f t="shared" si="3"/>
        <v>0.24354000000000006</v>
      </c>
      <c r="R20" s="9">
        <f t="shared" si="4"/>
        <v>0.18265500000000004</v>
      </c>
      <c r="S20" s="399">
        <v>1.2177000000000002</v>
      </c>
      <c r="T20" s="194">
        <v>105991.94</v>
      </c>
      <c r="U20" s="194">
        <v>1303.7008620000001</v>
      </c>
      <c r="V20" s="9"/>
      <c r="W20" s="9"/>
      <c r="X20" s="9" t="s">
        <v>1529</v>
      </c>
      <c r="Y20" s="9">
        <v>75511</v>
      </c>
      <c r="Z20" s="19" t="s">
        <v>1523</v>
      </c>
      <c r="AA20" s="15" t="s">
        <v>1528</v>
      </c>
      <c r="AB20" s="70">
        <v>5</v>
      </c>
      <c r="AC20" s="398">
        <v>3491</v>
      </c>
      <c r="AD20" s="403"/>
      <c r="AE20" s="9"/>
      <c r="AF20" s="9"/>
      <c r="AG20" s="404"/>
      <c r="AM20"/>
    </row>
    <row r="21" spans="1:39" ht="30" x14ac:dyDescent="0.25">
      <c r="A21" s="9">
        <v>18</v>
      </c>
      <c r="B21" s="9" t="s">
        <v>28</v>
      </c>
      <c r="C21" s="9" t="s">
        <v>29</v>
      </c>
      <c r="D21" s="193" t="s">
        <v>1521</v>
      </c>
      <c r="E21" s="8"/>
      <c r="F21" s="15" t="s">
        <v>1530</v>
      </c>
      <c r="G21" s="9"/>
      <c r="H21" s="9" t="s">
        <v>31</v>
      </c>
      <c r="I21" s="9"/>
      <c r="J21" s="9" t="s">
        <v>1531</v>
      </c>
      <c r="K21" s="34">
        <v>1.2800000000000001E-2</v>
      </c>
      <c r="L21" s="9">
        <v>0.1792</v>
      </c>
      <c r="M21" s="9">
        <v>14</v>
      </c>
      <c r="N21" s="9" t="s">
        <v>33</v>
      </c>
      <c r="O21" s="9">
        <f t="shared" si="1"/>
        <v>5.3222399999999999</v>
      </c>
      <c r="P21" s="9">
        <f t="shared" si="2"/>
        <v>6.2092799999999997</v>
      </c>
      <c r="Q21" s="9">
        <f t="shared" si="3"/>
        <v>3.5481600000000002</v>
      </c>
      <c r="R21" s="9">
        <f t="shared" si="4"/>
        <v>2.6611199999999999</v>
      </c>
      <c r="S21" s="399">
        <v>17.7408</v>
      </c>
      <c r="T21" s="194">
        <v>105991.94</v>
      </c>
      <c r="U21" s="194">
        <v>18993.755647999998</v>
      </c>
      <c r="V21" s="9"/>
      <c r="W21" s="9"/>
      <c r="X21" s="9" t="s">
        <v>1531</v>
      </c>
      <c r="Y21" s="9">
        <v>75511</v>
      </c>
      <c r="Z21" s="19" t="s">
        <v>1523</v>
      </c>
      <c r="AA21" s="15" t="s">
        <v>1530</v>
      </c>
      <c r="AB21" s="70">
        <v>6</v>
      </c>
      <c r="AC21" s="398">
        <v>3491</v>
      </c>
      <c r="AD21" s="403"/>
      <c r="AE21" s="9"/>
      <c r="AF21" s="9"/>
      <c r="AG21" s="404"/>
      <c r="AM21"/>
    </row>
    <row r="22" spans="1:39" ht="30" x14ac:dyDescent="0.25">
      <c r="A22" s="9">
        <v>19</v>
      </c>
      <c r="B22" s="9" t="s">
        <v>28</v>
      </c>
      <c r="C22" s="9" t="s">
        <v>29</v>
      </c>
      <c r="D22" s="193" t="s">
        <v>1521</v>
      </c>
      <c r="E22" s="8"/>
      <c r="F22" s="15" t="s">
        <v>1530</v>
      </c>
      <c r="G22" s="9"/>
      <c r="H22" s="9" t="s">
        <v>31</v>
      </c>
      <c r="I22" s="9"/>
      <c r="J22" s="9" t="s">
        <v>139</v>
      </c>
      <c r="K22" s="34">
        <v>1.2800000000000001E-2</v>
      </c>
      <c r="L22" s="9">
        <v>0.1792</v>
      </c>
      <c r="M22" s="9">
        <v>14</v>
      </c>
      <c r="N22" s="9" t="s">
        <v>33</v>
      </c>
      <c r="O22" s="9">
        <f t="shared" si="1"/>
        <v>5.3222399999999999</v>
      </c>
      <c r="P22" s="9">
        <f t="shared" si="2"/>
        <v>6.2092799999999997</v>
      </c>
      <c r="Q22" s="9">
        <f t="shared" si="3"/>
        <v>3.5481600000000002</v>
      </c>
      <c r="R22" s="9">
        <f t="shared" si="4"/>
        <v>2.6611199999999999</v>
      </c>
      <c r="S22" s="399">
        <v>17.7408</v>
      </c>
      <c r="T22" s="194">
        <v>105991.94</v>
      </c>
      <c r="U22" s="194">
        <v>18993.755647999998</v>
      </c>
      <c r="V22" s="9"/>
      <c r="W22" s="9"/>
      <c r="X22" s="9" t="s">
        <v>139</v>
      </c>
      <c r="Y22" s="9">
        <v>75511</v>
      </c>
      <c r="Z22" s="19" t="s">
        <v>1523</v>
      </c>
      <c r="AA22" s="15" t="s">
        <v>1530</v>
      </c>
      <c r="AB22" s="70">
        <v>7</v>
      </c>
      <c r="AC22" s="398">
        <v>3491</v>
      </c>
      <c r="AD22" s="403"/>
      <c r="AE22" s="9"/>
      <c r="AF22" s="9"/>
      <c r="AG22" s="404"/>
      <c r="AM22"/>
    </row>
    <row r="23" spans="1:39" ht="30" x14ac:dyDescent="0.25">
      <c r="A23" s="9">
        <v>20</v>
      </c>
      <c r="B23" s="9" t="s">
        <v>28</v>
      </c>
      <c r="C23" s="9" t="s">
        <v>29</v>
      </c>
      <c r="D23" s="193" t="s">
        <v>1521</v>
      </c>
      <c r="E23" s="8"/>
      <c r="F23" s="15" t="s">
        <v>1530</v>
      </c>
      <c r="G23" s="9"/>
      <c r="H23" s="9" t="s">
        <v>31</v>
      </c>
      <c r="I23" s="9"/>
      <c r="J23" s="9" t="s">
        <v>1532</v>
      </c>
      <c r="K23" s="34">
        <v>1.2E-2</v>
      </c>
      <c r="L23" s="9">
        <v>0.33600000000000002</v>
      </c>
      <c r="M23" s="9">
        <v>28</v>
      </c>
      <c r="N23" s="9" t="s">
        <v>33</v>
      </c>
      <c r="O23" s="9">
        <f t="shared" si="1"/>
        <v>9.9792000000000005</v>
      </c>
      <c r="P23" s="9">
        <f t="shared" si="2"/>
        <v>11.6424</v>
      </c>
      <c r="Q23" s="9">
        <f t="shared" si="3"/>
        <v>6.6528000000000009</v>
      </c>
      <c r="R23" s="9">
        <f t="shared" si="4"/>
        <v>4.9896000000000003</v>
      </c>
      <c r="S23" s="399">
        <v>33.264000000000003</v>
      </c>
      <c r="T23" s="194">
        <v>105991.94</v>
      </c>
      <c r="U23" s="194">
        <v>35613.291840000005</v>
      </c>
      <c r="V23" s="9"/>
      <c r="W23" s="9"/>
      <c r="X23" s="9" t="s">
        <v>1532</v>
      </c>
      <c r="Y23" s="9">
        <v>75511</v>
      </c>
      <c r="Z23" s="19" t="s">
        <v>1523</v>
      </c>
      <c r="AA23" s="15" t="s">
        <v>1530</v>
      </c>
      <c r="AB23" s="70">
        <v>8</v>
      </c>
      <c r="AC23" s="398">
        <v>3491</v>
      </c>
      <c r="AD23" s="403"/>
      <c r="AE23" s="9"/>
      <c r="AF23" s="9"/>
      <c r="AG23" s="404"/>
      <c r="AM23"/>
    </row>
    <row r="24" spans="1:39" ht="30" x14ac:dyDescent="0.25">
      <c r="A24" s="9">
        <v>21</v>
      </c>
      <c r="B24" s="9" t="s">
        <v>28</v>
      </c>
      <c r="C24" s="9" t="s">
        <v>29</v>
      </c>
      <c r="D24" s="193" t="s">
        <v>1521</v>
      </c>
      <c r="E24" s="8"/>
      <c r="F24" s="15" t="s">
        <v>111</v>
      </c>
      <c r="G24" s="9"/>
      <c r="H24" s="9" t="s">
        <v>31</v>
      </c>
      <c r="I24" s="9"/>
      <c r="J24" s="9" t="s">
        <v>155</v>
      </c>
      <c r="K24" s="34">
        <v>2.2000000000000001E-3</v>
      </c>
      <c r="L24" s="9">
        <v>0.2772</v>
      </c>
      <c r="M24" s="9">
        <v>126</v>
      </c>
      <c r="N24" s="9" t="s">
        <v>33</v>
      </c>
      <c r="O24" s="9">
        <f t="shared" si="1"/>
        <v>8.2328399999999995</v>
      </c>
      <c r="P24" s="9">
        <f t="shared" si="2"/>
        <v>9.6049799999999994</v>
      </c>
      <c r="Q24" s="9">
        <f t="shared" si="3"/>
        <v>5.4885600000000005</v>
      </c>
      <c r="R24" s="9">
        <f t="shared" si="4"/>
        <v>4.1164199999999997</v>
      </c>
      <c r="S24" s="399">
        <v>27.442800000000002</v>
      </c>
      <c r="T24" s="194">
        <v>105991.94</v>
      </c>
      <c r="U24" s="194">
        <v>29380.965768000002</v>
      </c>
      <c r="V24" s="9"/>
      <c r="W24" s="9"/>
      <c r="X24" s="9" t="s">
        <v>155</v>
      </c>
      <c r="Y24" s="9">
        <v>75511</v>
      </c>
      <c r="Z24" s="19" t="s">
        <v>1523</v>
      </c>
      <c r="AA24" s="15" t="s">
        <v>111</v>
      </c>
      <c r="AB24" s="70">
        <v>9</v>
      </c>
      <c r="AC24" s="398">
        <v>3491</v>
      </c>
      <c r="AD24" s="403"/>
      <c r="AE24" s="9"/>
      <c r="AF24" s="9"/>
      <c r="AG24" s="404"/>
      <c r="AM24"/>
    </row>
    <row r="25" spans="1:39" ht="30" x14ac:dyDescent="0.25">
      <c r="A25" s="9">
        <v>22</v>
      </c>
      <c r="B25" s="9" t="s">
        <v>28</v>
      </c>
      <c r="C25" s="9" t="s">
        <v>29</v>
      </c>
      <c r="D25" s="193" t="s">
        <v>1521</v>
      </c>
      <c r="E25" s="8"/>
      <c r="F25" s="9" t="s">
        <v>126</v>
      </c>
      <c r="G25" s="9"/>
      <c r="H25" s="9" t="s">
        <v>31</v>
      </c>
      <c r="I25" s="9"/>
      <c r="J25" s="394" t="s">
        <v>1524</v>
      </c>
      <c r="K25" s="34">
        <v>9.9499999999999993</v>
      </c>
      <c r="L25" s="9">
        <v>9.9499999999999993</v>
      </c>
      <c r="M25" s="9">
        <v>1</v>
      </c>
      <c r="N25" s="9" t="s">
        <v>33</v>
      </c>
      <c r="O25" s="9">
        <f t="shared" si="1"/>
        <v>110.44499999999999</v>
      </c>
      <c r="P25" s="9">
        <f t="shared" si="2"/>
        <v>128.85249999999999</v>
      </c>
      <c r="Q25" s="9">
        <f t="shared" si="3"/>
        <v>73.63</v>
      </c>
      <c r="R25" s="9">
        <f t="shared" si="4"/>
        <v>55.222499999999997</v>
      </c>
      <c r="S25" s="399">
        <v>368.15</v>
      </c>
      <c r="T25" s="194">
        <v>105991.94</v>
      </c>
      <c r="U25" s="194">
        <v>1054619.8029999998</v>
      </c>
      <c r="V25" s="9"/>
      <c r="W25" s="9"/>
      <c r="X25" s="394" t="s">
        <v>1524</v>
      </c>
      <c r="Y25" s="9">
        <v>75512</v>
      </c>
      <c r="Z25" s="19" t="s">
        <v>1523</v>
      </c>
      <c r="AA25" s="9" t="s">
        <v>126</v>
      </c>
      <c r="AB25" s="70">
        <v>1</v>
      </c>
      <c r="AC25" s="398">
        <v>3491</v>
      </c>
      <c r="AD25" s="403"/>
      <c r="AE25" s="9"/>
      <c r="AF25" s="9"/>
      <c r="AG25" s="404"/>
      <c r="AM25"/>
    </row>
    <row r="26" spans="1:39" ht="30" x14ac:dyDescent="0.25">
      <c r="A26" s="9">
        <v>23</v>
      </c>
      <c r="B26" s="9" t="s">
        <v>28</v>
      </c>
      <c r="C26" s="9" t="s">
        <v>29</v>
      </c>
      <c r="D26" s="193" t="s">
        <v>1521</v>
      </c>
      <c r="E26" s="8"/>
      <c r="F26" s="9" t="s">
        <v>126</v>
      </c>
      <c r="G26" s="9"/>
      <c r="H26" s="9" t="s">
        <v>31</v>
      </c>
      <c r="I26" s="9"/>
      <c r="J26" s="394" t="s">
        <v>1524</v>
      </c>
      <c r="K26" s="34">
        <v>9.9499999999999993</v>
      </c>
      <c r="L26" s="9">
        <v>9.9499999999999993</v>
      </c>
      <c r="M26" s="9">
        <v>1</v>
      </c>
      <c r="N26" s="9" t="s">
        <v>33</v>
      </c>
      <c r="O26" s="9">
        <f t="shared" si="1"/>
        <v>110.44499999999999</v>
      </c>
      <c r="P26" s="9">
        <f t="shared" si="2"/>
        <v>128.85249999999999</v>
      </c>
      <c r="Q26" s="9">
        <f t="shared" si="3"/>
        <v>73.63</v>
      </c>
      <c r="R26" s="9">
        <f t="shared" si="4"/>
        <v>55.222499999999997</v>
      </c>
      <c r="S26" s="399">
        <v>368.15</v>
      </c>
      <c r="T26" s="194">
        <v>105991.94</v>
      </c>
      <c r="U26" s="194">
        <v>1054619.8029999998</v>
      </c>
      <c r="V26" s="9"/>
      <c r="W26" s="9"/>
      <c r="X26" s="394" t="s">
        <v>1524</v>
      </c>
      <c r="Y26" s="9">
        <v>75513</v>
      </c>
      <c r="Z26" s="19" t="s">
        <v>1523</v>
      </c>
      <c r="AA26" s="9" t="s">
        <v>126</v>
      </c>
      <c r="AB26" s="70">
        <v>1</v>
      </c>
      <c r="AC26" s="398">
        <v>3491</v>
      </c>
      <c r="AD26" s="403"/>
      <c r="AE26" s="9"/>
      <c r="AF26" s="9"/>
      <c r="AG26" s="404"/>
    </row>
    <row r="27" spans="1:39" ht="30" x14ac:dyDescent="0.25">
      <c r="A27" s="9">
        <v>24</v>
      </c>
      <c r="B27" s="9" t="s">
        <v>28</v>
      </c>
      <c r="C27" s="9" t="s">
        <v>29</v>
      </c>
      <c r="D27" s="193" t="s">
        <v>1521</v>
      </c>
      <c r="E27" s="8"/>
      <c r="F27" s="9" t="s">
        <v>126</v>
      </c>
      <c r="G27" s="9"/>
      <c r="H27" s="9" t="s">
        <v>31</v>
      </c>
      <c r="I27" s="9"/>
      <c r="J27" s="394" t="s">
        <v>1533</v>
      </c>
      <c r="K27" s="34">
        <v>2.0830000000000002</v>
      </c>
      <c r="L27" s="9">
        <v>2.0830000000000002</v>
      </c>
      <c r="M27" s="9">
        <v>1</v>
      </c>
      <c r="N27" s="9" t="s">
        <v>33</v>
      </c>
      <c r="O27" s="9">
        <f t="shared" si="1"/>
        <v>24.996000000000002</v>
      </c>
      <c r="P27" s="9">
        <f t="shared" si="2"/>
        <v>29.161999999999999</v>
      </c>
      <c r="Q27" s="9">
        <f t="shared" si="3"/>
        <v>16.664000000000001</v>
      </c>
      <c r="R27" s="9">
        <f t="shared" si="4"/>
        <v>12.498000000000001</v>
      </c>
      <c r="S27" s="399">
        <v>83.320000000000007</v>
      </c>
      <c r="T27" s="194">
        <v>105991.94</v>
      </c>
      <c r="U27" s="194">
        <v>220781.21102000002</v>
      </c>
      <c r="V27" s="9"/>
      <c r="W27" s="9"/>
      <c r="X27" s="394" t="s">
        <v>1533</v>
      </c>
      <c r="Y27" s="9">
        <v>75514</v>
      </c>
      <c r="Z27" s="19" t="s">
        <v>1523</v>
      </c>
      <c r="AA27" s="9" t="s">
        <v>126</v>
      </c>
      <c r="AB27" s="70">
        <v>1</v>
      </c>
      <c r="AC27" s="398">
        <v>3491</v>
      </c>
      <c r="AD27" s="403"/>
      <c r="AE27" s="9"/>
      <c r="AF27" s="9"/>
      <c r="AG27" s="404"/>
    </row>
    <row r="28" spans="1:39" ht="30" x14ac:dyDescent="0.25">
      <c r="A28" s="9">
        <v>25</v>
      </c>
      <c r="B28" s="9" t="s">
        <v>28</v>
      </c>
      <c r="C28" s="9" t="s">
        <v>29</v>
      </c>
      <c r="D28" s="193" t="s">
        <v>1521</v>
      </c>
      <c r="E28" s="8"/>
      <c r="F28" s="9" t="s">
        <v>126</v>
      </c>
      <c r="G28" s="9"/>
      <c r="H28" s="9" t="s">
        <v>31</v>
      </c>
      <c r="I28" s="9"/>
      <c r="J28" s="9" t="s">
        <v>1534</v>
      </c>
      <c r="K28" s="9">
        <v>2.4169999999999998</v>
      </c>
      <c r="L28" s="9">
        <v>2.4169999999999998</v>
      </c>
      <c r="M28" s="9">
        <v>1</v>
      </c>
      <c r="N28" s="9" t="s">
        <v>33</v>
      </c>
      <c r="O28" s="9">
        <f t="shared" si="1"/>
        <v>29.003999999999998</v>
      </c>
      <c r="P28" s="9">
        <f t="shared" si="2"/>
        <v>33.837999999999994</v>
      </c>
      <c r="Q28" s="9">
        <f t="shared" si="3"/>
        <v>19.335999999999999</v>
      </c>
      <c r="R28" s="9">
        <f t="shared" si="4"/>
        <v>14.501999999999999</v>
      </c>
      <c r="S28" s="399">
        <v>96.679999999999993</v>
      </c>
      <c r="T28" s="194">
        <v>105991.94</v>
      </c>
      <c r="U28" s="194">
        <v>256182.51897999999</v>
      </c>
      <c r="V28" s="9"/>
      <c r="W28" s="9"/>
      <c r="X28" s="9" t="s">
        <v>1534</v>
      </c>
      <c r="Y28" s="9">
        <v>75514</v>
      </c>
      <c r="Z28" s="19" t="s">
        <v>1523</v>
      </c>
      <c r="AA28" s="9" t="s">
        <v>126</v>
      </c>
      <c r="AB28" s="70">
        <v>2</v>
      </c>
      <c r="AC28" s="398">
        <v>3491</v>
      </c>
      <c r="AD28" s="403"/>
      <c r="AE28" s="9"/>
      <c r="AF28" s="9"/>
      <c r="AG28" s="404"/>
    </row>
    <row r="29" spans="1:39" ht="30" x14ac:dyDescent="0.25">
      <c r="A29" s="9">
        <v>26</v>
      </c>
      <c r="B29" s="9" t="s">
        <v>28</v>
      </c>
      <c r="C29" s="9" t="s">
        <v>29</v>
      </c>
      <c r="D29" s="193" t="s">
        <v>1521</v>
      </c>
      <c r="E29" s="8"/>
      <c r="F29" s="15" t="s">
        <v>60</v>
      </c>
      <c r="G29" s="9"/>
      <c r="H29" s="9" t="s">
        <v>31</v>
      </c>
      <c r="I29" s="9"/>
      <c r="J29" s="9" t="s">
        <v>1535</v>
      </c>
      <c r="K29" s="9">
        <v>8.7499999999999994E-2</v>
      </c>
      <c r="L29" s="9">
        <v>0.35</v>
      </c>
      <c r="M29" s="9">
        <v>4</v>
      </c>
      <c r="N29" s="9" t="s">
        <v>33</v>
      </c>
      <c r="O29" s="9">
        <f t="shared" si="1"/>
        <v>9.0299999999999994</v>
      </c>
      <c r="P29" s="9">
        <f t="shared" si="2"/>
        <v>10.534999999999998</v>
      </c>
      <c r="Q29" s="9">
        <f t="shared" si="3"/>
        <v>6.02</v>
      </c>
      <c r="R29" s="9">
        <f t="shared" si="4"/>
        <v>4.5149999999999997</v>
      </c>
      <c r="S29" s="399">
        <v>30.099999999999998</v>
      </c>
      <c r="T29" s="194">
        <v>105991.94</v>
      </c>
      <c r="U29" s="194">
        <v>37097.178999999996</v>
      </c>
      <c r="V29" s="9"/>
      <c r="W29" s="9"/>
      <c r="X29" s="9" t="s">
        <v>1535</v>
      </c>
      <c r="Y29" s="9">
        <v>75515</v>
      </c>
      <c r="Z29" s="19" t="s">
        <v>1523</v>
      </c>
      <c r="AA29" s="15" t="s">
        <v>60</v>
      </c>
      <c r="AB29" s="70">
        <v>1</v>
      </c>
      <c r="AC29" s="398">
        <v>3491</v>
      </c>
      <c r="AD29" s="403"/>
      <c r="AE29" s="9"/>
      <c r="AF29" s="9"/>
      <c r="AG29" s="404"/>
    </row>
    <row r="30" spans="1:39" ht="30" x14ac:dyDescent="0.25">
      <c r="A30" s="9">
        <v>27</v>
      </c>
      <c r="B30" s="9" t="s">
        <v>28</v>
      </c>
      <c r="C30" s="9" t="s">
        <v>29</v>
      </c>
      <c r="D30" s="193" t="s">
        <v>1521</v>
      </c>
      <c r="E30" s="8"/>
      <c r="F30" s="15" t="s">
        <v>153</v>
      </c>
      <c r="G30" s="9"/>
      <c r="H30" s="9" t="s">
        <v>31</v>
      </c>
      <c r="I30" s="9"/>
      <c r="J30" s="9" t="s">
        <v>154</v>
      </c>
      <c r="K30" s="9">
        <v>0.2</v>
      </c>
      <c r="L30" s="9">
        <v>1.4000000000000001</v>
      </c>
      <c r="M30" s="9">
        <v>7</v>
      </c>
      <c r="N30" s="9" t="s">
        <v>33</v>
      </c>
      <c r="O30" s="9">
        <f t="shared" si="1"/>
        <v>34.440000000000005</v>
      </c>
      <c r="P30" s="9">
        <f t="shared" si="2"/>
        <v>40.18</v>
      </c>
      <c r="Q30" s="9">
        <f t="shared" si="3"/>
        <v>22.960000000000004</v>
      </c>
      <c r="R30" s="9">
        <f t="shared" si="4"/>
        <v>17.220000000000002</v>
      </c>
      <c r="S30" s="399">
        <v>114.80000000000001</v>
      </c>
      <c r="T30" s="194">
        <v>105991.94</v>
      </c>
      <c r="U30" s="194">
        <v>148388.71600000001</v>
      </c>
      <c r="V30" s="9"/>
      <c r="W30" s="9"/>
      <c r="X30" s="9" t="s">
        <v>154</v>
      </c>
      <c r="Y30" s="9">
        <v>75515</v>
      </c>
      <c r="Z30" s="19" t="s">
        <v>1523</v>
      </c>
      <c r="AA30" s="15" t="s">
        <v>153</v>
      </c>
      <c r="AB30" s="70">
        <v>2</v>
      </c>
      <c r="AC30" s="398">
        <v>3491</v>
      </c>
      <c r="AD30" s="403"/>
      <c r="AE30" s="9"/>
      <c r="AF30" s="9"/>
      <c r="AG30" s="404"/>
    </row>
    <row r="31" spans="1:39" ht="30" x14ac:dyDescent="0.25">
      <c r="A31" s="9">
        <v>28</v>
      </c>
      <c r="B31" s="9" t="s">
        <v>28</v>
      </c>
      <c r="C31" s="9" t="s">
        <v>29</v>
      </c>
      <c r="D31" s="193" t="s">
        <v>1521</v>
      </c>
      <c r="E31" s="8"/>
      <c r="F31" s="15" t="s">
        <v>60</v>
      </c>
      <c r="G31" s="9"/>
      <c r="H31" s="9" t="s">
        <v>31</v>
      </c>
      <c r="I31" s="9"/>
      <c r="J31" s="9" t="s">
        <v>1536</v>
      </c>
      <c r="K31" s="9">
        <v>0.2</v>
      </c>
      <c r="L31" s="395">
        <v>2.4000000000000004</v>
      </c>
      <c r="M31" s="9">
        <v>12</v>
      </c>
      <c r="N31" s="9" t="s">
        <v>33</v>
      </c>
      <c r="O31" s="9">
        <f t="shared" si="1"/>
        <v>59.040000000000006</v>
      </c>
      <c r="P31" s="9">
        <f t="shared" si="2"/>
        <v>68.88000000000001</v>
      </c>
      <c r="Q31" s="9">
        <f t="shared" si="3"/>
        <v>39.360000000000014</v>
      </c>
      <c r="R31" s="9">
        <f t="shared" si="4"/>
        <v>29.520000000000003</v>
      </c>
      <c r="S31" s="399">
        <v>196.80000000000004</v>
      </c>
      <c r="T31" s="194">
        <v>105991.94</v>
      </c>
      <c r="U31" s="194">
        <v>254380.65600000005</v>
      </c>
      <c r="V31" s="9"/>
      <c r="W31" s="9"/>
      <c r="X31" s="9" t="s">
        <v>1536</v>
      </c>
      <c r="Y31" s="9">
        <v>75515</v>
      </c>
      <c r="Z31" s="19" t="s">
        <v>1523</v>
      </c>
      <c r="AA31" s="15" t="s">
        <v>60</v>
      </c>
      <c r="AB31" s="70">
        <v>3</v>
      </c>
      <c r="AC31" s="398">
        <v>3491</v>
      </c>
      <c r="AD31" s="403"/>
      <c r="AE31" s="9"/>
      <c r="AF31" s="9"/>
      <c r="AG31" s="404"/>
    </row>
    <row r="32" spans="1:39" ht="30" x14ac:dyDescent="0.25">
      <c r="A32" s="9">
        <v>29</v>
      </c>
      <c r="B32" s="9" t="s">
        <v>28</v>
      </c>
      <c r="C32" s="9" t="s">
        <v>29</v>
      </c>
      <c r="D32" s="193" t="s">
        <v>1521</v>
      </c>
      <c r="E32" s="8"/>
      <c r="F32" s="15" t="s">
        <v>38</v>
      </c>
      <c r="G32" s="9"/>
      <c r="H32" s="9" t="s">
        <v>31</v>
      </c>
      <c r="I32" s="9"/>
      <c r="J32" s="9" t="s">
        <v>1537</v>
      </c>
      <c r="K32" s="9">
        <v>0.34279999999999999</v>
      </c>
      <c r="L32" s="9">
        <v>2.3996</v>
      </c>
      <c r="M32" s="9">
        <v>7</v>
      </c>
      <c r="N32" s="9" t="s">
        <v>33</v>
      </c>
      <c r="O32" s="9">
        <f t="shared" si="1"/>
        <v>59.030159999999995</v>
      </c>
      <c r="P32" s="9">
        <f t="shared" si="2"/>
        <v>68.86851999999999</v>
      </c>
      <c r="Q32" s="9">
        <f t="shared" si="3"/>
        <v>39.353440000000006</v>
      </c>
      <c r="R32" s="9">
        <f t="shared" si="4"/>
        <v>29.515079999999998</v>
      </c>
      <c r="S32" s="399">
        <v>196.7672</v>
      </c>
      <c r="T32" s="194">
        <v>105991.94</v>
      </c>
      <c r="U32" s="194">
        <v>254338.25922400001</v>
      </c>
      <c r="V32" s="9"/>
      <c r="W32" s="9"/>
      <c r="X32" s="9" t="s">
        <v>1537</v>
      </c>
      <c r="Y32" s="9">
        <v>75516</v>
      </c>
      <c r="Z32" s="19" t="s">
        <v>1523</v>
      </c>
      <c r="AA32" s="15" t="s">
        <v>38</v>
      </c>
      <c r="AB32" s="70">
        <v>1</v>
      </c>
      <c r="AC32" s="398">
        <v>3491</v>
      </c>
      <c r="AD32" s="403"/>
      <c r="AE32" s="9"/>
      <c r="AF32" s="9"/>
      <c r="AG32" s="404"/>
    </row>
    <row r="33" spans="1:33" ht="30.75" thickBot="1" x14ac:dyDescent="0.3">
      <c r="A33" s="9">
        <v>30</v>
      </c>
      <c r="B33" s="9" t="s">
        <v>28</v>
      </c>
      <c r="C33" s="9" t="s">
        <v>29</v>
      </c>
      <c r="D33" s="193" t="s">
        <v>1521</v>
      </c>
      <c r="E33" s="8"/>
      <c r="F33" s="15" t="s">
        <v>60</v>
      </c>
      <c r="G33" s="9"/>
      <c r="H33" s="9" t="s">
        <v>31</v>
      </c>
      <c r="I33" s="9"/>
      <c r="J33" s="9" t="s">
        <v>1536</v>
      </c>
      <c r="K33" s="9">
        <v>0.20002</v>
      </c>
      <c r="L33" s="395">
        <v>3.2003200000000001</v>
      </c>
      <c r="M33" s="9">
        <v>16</v>
      </c>
      <c r="N33" s="9" t="s">
        <v>33</v>
      </c>
      <c r="O33" s="9">
        <f t="shared" si="1"/>
        <v>78.727872000000005</v>
      </c>
      <c r="P33" s="9">
        <f t="shared" si="2"/>
        <v>91.849183999999994</v>
      </c>
      <c r="Q33" s="9">
        <f t="shared" si="3"/>
        <v>52.485248000000006</v>
      </c>
      <c r="R33" s="9">
        <f t="shared" si="4"/>
        <v>39.363936000000002</v>
      </c>
      <c r="S33" s="399">
        <v>262.42624000000001</v>
      </c>
      <c r="T33" s="194">
        <v>105991.94</v>
      </c>
      <c r="U33" s="194">
        <v>339208.1254208</v>
      </c>
      <c r="V33" s="9"/>
      <c r="W33" s="9"/>
      <c r="X33" s="9" t="s">
        <v>1536</v>
      </c>
      <c r="Y33" s="9">
        <v>75516</v>
      </c>
      <c r="Z33" s="19" t="s">
        <v>1523</v>
      </c>
      <c r="AA33" s="15" t="s">
        <v>60</v>
      </c>
      <c r="AB33" s="70">
        <v>2</v>
      </c>
      <c r="AC33" s="398">
        <v>3491</v>
      </c>
      <c r="AD33" s="405"/>
      <c r="AE33" s="406"/>
      <c r="AF33" s="406"/>
      <c r="AG33" s="407"/>
    </row>
    <row r="34" spans="1:33" x14ac:dyDescent="0.25">
      <c r="M34" s="397"/>
    </row>
  </sheetData>
  <autoFilter ref="A4:AG4" xr:uid="{4B84428F-C5F6-4787-98D1-694D596A0DD3}"/>
  <mergeCells count="1">
    <mergeCell ref="AD1:AG1"/>
  </mergeCells>
  <conditionalFormatting sqref="F1:F3">
    <cfRule type="duplicateValues" dxfId="25" priority="1"/>
  </conditionalFormatting>
  <conditionalFormatting sqref="E1:E3">
    <cfRule type="duplicateValues" dxfId="24" priority="2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W195"/>
  <sheetViews>
    <sheetView zoomScale="85" zoomScaleNormal="85" workbookViewId="0">
      <pane ySplit="3" topLeftCell="A4" activePane="bottomLeft" state="frozen"/>
      <selection pane="bottomLeft" activeCell="X183" sqref="X4:X183"/>
    </sheetView>
  </sheetViews>
  <sheetFormatPr defaultRowHeight="15" x14ac:dyDescent="0.25"/>
  <cols>
    <col min="2" max="2" width="28.28515625" hidden="1" customWidth="1"/>
    <col min="3" max="3" width="39.7109375" hidden="1" customWidth="1"/>
    <col min="4" max="4" width="37.28515625" customWidth="1"/>
    <col min="5" max="5" width="25.85546875" hidden="1" customWidth="1"/>
    <col min="6" max="6" width="39.5703125" style="17" customWidth="1"/>
    <col min="7" max="7" width="18.7109375" style="17" hidden="1" customWidth="1"/>
    <col min="8" max="8" width="21.28515625" style="17" hidden="1" customWidth="1"/>
    <col min="9" max="9" width="5.42578125" style="17" hidden="1" customWidth="1"/>
    <col min="10" max="10" width="9.140625" style="17" customWidth="1"/>
    <col min="11" max="11" width="7.85546875" style="35" customWidth="1"/>
    <col min="12" max="12" width="5.28515625" style="17" customWidth="1"/>
    <col min="13" max="13" width="6.28515625" style="17" customWidth="1"/>
    <col min="14" max="14" width="6.7109375" style="17" customWidth="1"/>
    <col min="15" max="15" width="6.85546875" style="17" customWidth="1"/>
    <col min="16" max="17" width="7.28515625" style="17" customWidth="1"/>
    <col min="18" max="18" width="12.140625" style="35" customWidth="1"/>
    <col min="19" max="20" width="21.28515625" style="17" hidden="1" customWidth="1"/>
    <col min="21" max="21" width="12.28515625" style="17" hidden="1" customWidth="1"/>
    <col min="22" max="22" width="21.28515625" style="17" hidden="1" customWidth="1"/>
    <col min="23" max="23" width="18.7109375" style="17" customWidth="1"/>
    <col min="24" max="24" width="10" style="17" customWidth="1"/>
    <col min="25" max="25" width="10.28515625" style="17" hidden="1" customWidth="1"/>
    <col min="26" max="26" width="35.42578125" style="23" hidden="1" customWidth="1"/>
    <col min="27" max="27" width="11.7109375" hidden="1" customWidth="1"/>
    <col min="28" max="28" width="16.28515625" style="71" hidden="1" customWidth="1"/>
    <col min="29" max="29" width="14.7109375" style="71" hidden="1" customWidth="1"/>
    <col min="30" max="30" width="8.28515625" style="32" hidden="1" customWidth="1"/>
    <col min="31" max="31" width="6.7109375" style="32" hidden="1" customWidth="1"/>
    <col min="32" max="32" width="6.42578125" style="32" hidden="1" customWidth="1"/>
    <col min="33" max="33" width="6.7109375" style="32" hidden="1" customWidth="1"/>
    <col min="34" max="34" width="6.42578125" style="32" hidden="1" customWidth="1"/>
    <col min="35" max="35" width="6.7109375" style="32" hidden="1" customWidth="1"/>
    <col min="36" max="36" width="6.42578125" style="32" hidden="1" customWidth="1"/>
    <col min="37" max="37" width="6.28515625" style="32" hidden="1" customWidth="1"/>
    <col min="38" max="38" width="6.42578125" style="32" hidden="1" customWidth="1"/>
    <col min="39" max="39" width="6.7109375" style="32" hidden="1" customWidth="1"/>
    <col min="40" max="40" width="6.42578125" style="32" hidden="1" customWidth="1"/>
    <col min="41" max="41" width="6.28515625" style="32" hidden="1" customWidth="1"/>
    <col min="42" max="42" width="6.42578125" style="32" hidden="1" customWidth="1"/>
    <col min="43" max="43" width="6.7109375" style="32" hidden="1" customWidth="1"/>
    <col min="44" max="44" width="6.42578125" style="32" hidden="1" customWidth="1"/>
    <col min="45" max="45" width="7.42578125" style="32" hidden="1" customWidth="1"/>
    <col min="46" max="46" width="6.42578125" style="32" customWidth="1"/>
    <col min="47" max="47" width="6.7109375" style="32" customWidth="1"/>
    <col min="48" max="48" width="6.42578125" style="32" customWidth="1"/>
    <col min="49" max="49" width="7.42578125" style="32" customWidth="1"/>
  </cols>
  <sheetData>
    <row r="1" spans="1:49" ht="10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3" t="s">
        <v>10</v>
      </c>
      <c r="L1" s="1" t="s">
        <v>11</v>
      </c>
      <c r="M1" s="1" t="s">
        <v>12</v>
      </c>
      <c r="N1" s="133" t="s">
        <v>503</v>
      </c>
      <c r="O1" s="133" t="s">
        <v>504</v>
      </c>
      <c r="P1" s="133" t="s">
        <v>505</v>
      </c>
      <c r="Q1" s="133" t="s">
        <v>506</v>
      </c>
      <c r="R1" s="108" t="s">
        <v>13</v>
      </c>
      <c r="S1" s="1" t="s">
        <v>14</v>
      </c>
      <c r="T1" s="1" t="s">
        <v>15</v>
      </c>
      <c r="U1" s="2" t="s">
        <v>16</v>
      </c>
      <c r="V1" s="2" t="s">
        <v>17</v>
      </c>
      <c r="W1" s="3" t="s">
        <v>18</v>
      </c>
      <c r="X1" s="1" t="s">
        <v>19</v>
      </c>
      <c r="Y1" s="1" t="s">
        <v>20</v>
      </c>
      <c r="Z1" s="4" t="s">
        <v>21</v>
      </c>
      <c r="AA1" s="5" t="s">
        <v>22</v>
      </c>
      <c r="AB1" s="6" t="s">
        <v>23</v>
      </c>
      <c r="AC1" s="134" t="s">
        <v>24</v>
      </c>
      <c r="AD1" s="452" t="s">
        <v>157</v>
      </c>
      <c r="AE1" s="453"/>
      <c r="AF1" s="453"/>
      <c r="AG1" s="454"/>
      <c r="AH1" s="452" t="s">
        <v>160</v>
      </c>
      <c r="AI1" s="453"/>
      <c r="AJ1" s="453"/>
      <c r="AK1" s="454"/>
      <c r="AL1" s="452" t="s">
        <v>258</v>
      </c>
      <c r="AM1" s="453"/>
      <c r="AN1" s="453"/>
      <c r="AO1" s="454"/>
      <c r="AP1" s="452" t="s">
        <v>646</v>
      </c>
      <c r="AQ1" s="453"/>
      <c r="AR1" s="453"/>
      <c r="AS1" s="454"/>
      <c r="AT1" s="452" t="s">
        <v>979</v>
      </c>
      <c r="AU1" s="453"/>
      <c r="AV1" s="453"/>
      <c r="AW1" s="454"/>
    </row>
    <row r="2" spans="1:49" ht="15.75" thickBot="1" x14ac:dyDescent="0.3">
      <c r="A2" s="1"/>
      <c r="B2" s="1"/>
      <c r="C2" s="1"/>
      <c r="D2" s="1"/>
      <c r="E2" s="2"/>
      <c r="F2" s="1"/>
      <c r="G2" s="1"/>
      <c r="H2" s="1"/>
      <c r="I2" s="1"/>
      <c r="J2" s="1"/>
      <c r="K2" s="33"/>
      <c r="L2" s="1"/>
      <c r="M2" s="1"/>
      <c r="N2" s="1"/>
      <c r="O2" s="1"/>
      <c r="P2" s="1"/>
      <c r="Q2" s="1"/>
      <c r="R2" s="108"/>
      <c r="S2" s="1"/>
      <c r="T2" s="1"/>
      <c r="U2" s="2"/>
      <c r="V2" s="2"/>
      <c r="W2" s="3"/>
      <c r="X2" s="1"/>
      <c r="Y2" s="1"/>
      <c r="Z2" s="4"/>
      <c r="AA2" s="5"/>
      <c r="AC2" s="135"/>
      <c r="AD2" s="82">
        <v>0.3</v>
      </c>
      <c r="AE2" s="82">
        <v>0.35</v>
      </c>
      <c r="AF2" s="82">
        <v>0.2</v>
      </c>
      <c r="AG2" s="82">
        <v>0.15</v>
      </c>
      <c r="AH2" s="82">
        <v>0.3</v>
      </c>
      <c r="AI2" s="82">
        <v>0.35</v>
      </c>
      <c r="AJ2" s="82">
        <v>0.2</v>
      </c>
      <c r="AK2" s="82">
        <v>0.15</v>
      </c>
      <c r="AL2" s="82">
        <v>0.3</v>
      </c>
      <c r="AM2" s="82">
        <v>0.35</v>
      </c>
      <c r="AN2" s="82">
        <v>0.2</v>
      </c>
      <c r="AO2" s="82">
        <v>0.15</v>
      </c>
      <c r="AP2" s="82">
        <v>0.3</v>
      </c>
      <c r="AQ2" s="82">
        <v>0.35</v>
      </c>
      <c r="AR2" s="82">
        <v>0.2</v>
      </c>
      <c r="AS2" s="353">
        <v>0.15</v>
      </c>
      <c r="AT2" s="82">
        <v>0.3</v>
      </c>
      <c r="AU2" s="82">
        <v>0.35</v>
      </c>
      <c r="AV2" s="82">
        <v>0.2</v>
      </c>
      <c r="AW2" s="82">
        <v>0.15</v>
      </c>
    </row>
    <row r="3" spans="1:49" x14ac:dyDescent="0.25">
      <c r="A3" s="1"/>
      <c r="B3" s="1"/>
      <c r="C3" s="1"/>
      <c r="D3" s="1"/>
      <c r="E3" s="2"/>
      <c r="F3" s="1"/>
      <c r="G3" s="1"/>
      <c r="H3" s="1"/>
      <c r="I3" s="1"/>
      <c r="J3" s="1"/>
      <c r="K3" s="33"/>
      <c r="L3" s="1"/>
      <c r="M3" s="1"/>
      <c r="N3" s="1"/>
      <c r="O3" s="1"/>
      <c r="P3" s="1"/>
      <c r="Q3" s="1"/>
      <c r="R3" s="108"/>
      <c r="S3" s="1"/>
      <c r="T3" s="1"/>
      <c r="U3" s="2"/>
      <c r="V3" s="2"/>
      <c r="W3" s="3"/>
      <c r="X3" s="1"/>
      <c r="Y3" s="1"/>
      <c r="Z3" s="4"/>
      <c r="AA3" s="5"/>
      <c r="AC3" s="135"/>
      <c r="AD3" s="136">
        <f>SUM(AD4:AD183)</f>
        <v>1.3939199999999998</v>
      </c>
      <c r="AE3" s="136">
        <f t="shared" ref="AE3:AK3" si="0">SUM(AE4:AE183)</f>
        <v>0</v>
      </c>
      <c r="AF3" s="136">
        <f t="shared" si="0"/>
        <v>0</v>
      </c>
      <c r="AG3" s="136">
        <f t="shared" si="0"/>
        <v>0</v>
      </c>
      <c r="AH3" s="136">
        <f t="shared" si="0"/>
        <v>23.667374999999996</v>
      </c>
      <c r="AI3" s="136">
        <f t="shared" si="0"/>
        <v>13.164528999999995</v>
      </c>
      <c r="AJ3" s="136">
        <f t="shared" si="0"/>
        <v>7.3811880000000016</v>
      </c>
      <c r="AK3" s="136">
        <f t="shared" si="0"/>
        <v>0</v>
      </c>
      <c r="AL3" s="136">
        <f t="shared" ref="AL3:AO3" si="1">SUM(AL4:AL183)</f>
        <v>50.06730300000001</v>
      </c>
      <c r="AM3" s="136">
        <f t="shared" si="1"/>
        <v>71.700003499999994</v>
      </c>
      <c r="AN3" s="136">
        <f t="shared" si="1"/>
        <v>39.074000000000005</v>
      </c>
      <c r="AO3" s="136">
        <f t="shared" si="1"/>
        <v>1.4237909999999996</v>
      </c>
      <c r="AP3" s="136">
        <f>SUM(AP4:AP183)</f>
        <v>7.4999999999999997E-2</v>
      </c>
      <c r="AQ3" s="136">
        <f t="shared" ref="AQ3:AS3" si="2">SUM(AQ4:AQ183)</f>
        <v>0.26</v>
      </c>
      <c r="AR3" s="136">
        <f t="shared" si="2"/>
        <v>2.1174019999999998</v>
      </c>
      <c r="AS3" s="354">
        <f t="shared" si="2"/>
        <v>34.968151499999998</v>
      </c>
      <c r="AT3" s="136">
        <f>SUM(AT4:AT183)</f>
        <v>0</v>
      </c>
      <c r="AU3" s="136">
        <f t="shared" ref="AU3:AW3" si="3">SUM(AU4:AU183)</f>
        <v>0</v>
      </c>
      <c r="AV3" s="136">
        <f t="shared" si="3"/>
        <v>0</v>
      </c>
      <c r="AW3" s="136">
        <f t="shared" si="3"/>
        <v>3.7499999999999999E-2</v>
      </c>
    </row>
    <row r="4" spans="1:49" x14ac:dyDescent="0.25">
      <c r="A4" s="25">
        <v>346</v>
      </c>
      <c r="B4" s="25" t="s">
        <v>28</v>
      </c>
      <c r="C4" s="25" t="s">
        <v>260</v>
      </c>
      <c r="D4" s="25" t="s">
        <v>261</v>
      </c>
      <c r="E4" s="24"/>
      <c r="F4" s="25" t="s">
        <v>262</v>
      </c>
      <c r="G4" s="25"/>
      <c r="H4" s="139" t="s">
        <v>31</v>
      </c>
      <c r="I4" s="25"/>
      <c r="J4" s="25">
        <v>0.23200000000000001</v>
      </c>
      <c r="K4" s="39">
        <v>0.23200000000000001</v>
      </c>
      <c r="L4" s="25">
        <v>1</v>
      </c>
      <c r="M4" s="25" t="s">
        <v>33</v>
      </c>
      <c r="N4" s="39">
        <f>R4*0.3</f>
        <v>4.8023999999999996</v>
      </c>
      <c r="O4" s="39">
        <f>R4*0.35</f>
        <v>5.6027999999999993</v>
      </c>
      <c r="P4" s="39">
        <f>R4*0.2</f>
        <v>3.2016</v>
      </c>
      <c r="Q4" s="39">
        <f>R4*0.15</f>
        <v>2.4011999999999998</v>
      </c>
      <c r="R4" s="138">
        <v>16.007999999999999</v>
      </c>
      <c r="S4" s="106">
        <v>105991.94</v>
      </c>
      <c r="T4" s="106">
        <v>24590.130080000003</v>
      </c>
      <c r="U4" s="9"/>
      <c r="V4" s="9"/>
      <c r="W4" s="25" t="s">
        <v>263</v>
      </c>
      <c r="X4" s="25">
        <v>500208</v>
      </c>
      <c r="Y4" s="19" t="s">
        <v>264</v>
      </c>
      <c r="Z4" s="9" t="s">
        <v>262</v>
      </c>
      <c r="AA4" s="70">
        <v>1</v>
      </c>
      <c r="AB4" s="71">
        <v>2909</v>
      </c>
      <c r="AD4" s="160"/>
      <c r="AE4" s="161"/>
      <c r="AF4" s="161"/>
      <c r="AG4" s="162"/>
      <c r="AH4" s="160"/>
      <c r="AI4" s="161"/>
      <c r="AJ4" s="161"/>
      <c r="AK4" s="162"/>
      <c r="AL4" s="169">
        <f t="shared" ref="AL4:AL48" si="4">K4*0.3</f>
        <v>6.9599999999999995E-2</v>
      </c>
      <c r="AM4" s="320">
        <f>K4*0.35</f>
        <v>8.1199999999999994E-2</v>
      </c>
      <c r="AN4" s="161"/>
      <c r="AO4" s="162"/>
      <c r="AP4" s="160"/>
      <c r="AQ4" s="161"/>
      <c r="AR4" s="320">
        <f>K4*0.2</f>
        <v>4.6400000000000004E-2</v>
      </c>
      <c r="AS4" s="355">
        <f>K4*0.15</f>
        <v>3.4799999999999998E-2</v>
      </c>
      <c r="AT4" s="160"/>
      <c r="AU4" s="161"/>
      <c r="AV4" s="328"/>
      <c r="AW4" s="162"/>
    </row>
    <row r="5" spans="1:49" x14ac:dyDescent="0.25">
      <c r="A5" s="25">
        <v>347</v>
      </c>
      <c r="B5" s="25" t="s">
        <v>28</v>
      </c>
      <c r="C5" s="25" t="s">
        <v>260</v>
      </c>
      <c r="D5" s="25" t="s">
        <v>261</v>
      </c>
      <c r="E5" s="24"/>
      <c r="F5" s="25" t="s">
        <v>262</v>
      </c>
      <c r="G5" s="25"/>
      <c r="H5" s="139" t="s">
        <v>31</v>
      </c>
      <c r="I5" s="25"/>
      <c r="J5" s="25">
        <v>0.23200000000000001</v>
      </c>
      <c r="K5" s="39">
        <v>0.23200000000000001</v>
      </c>
      <c r="L5" s="25">
        <v>1</v>
      </c>
      <c r="M5" s="25" t="s">
        <v>33</v>
      </c>
      <c r="N5" s="39">
        <f t="shared" ref="N5:N68" si="5">R5*0.3</f>
        <v>4.8023999999999996</v>
      </c>
      <c r="O5" s="39">
        <f t="shared" ref="O5:O68" si="6">R5*0.35</f>
        <v>5.6027999999999993</v>
      </c>
      <c r="P5" s="39">
        <f t="shared" ref="P5:P68" si="7">R5*0.2</f>
        <v>3.2016</v>
      </c>
      <c r="Q5" s="39">
        <f t="shared" ref="Q5:Q68" si="8">R5*0.15</f>
        <v>2.4011999999999998</v>
      </c>
      <c r="R5" s="138">
        <v>16.007999999999999</v>
      </c>
      <c r="S5" s="106">
        <v>105991.94</v>
      </c>
      <c r="T5" s="106">
        <v>24590.130080000003</v>
      </c>
      <c r="U5" s="9"/>
      <c r="V5" s="9"/>
      <c r="W5" s="25" t="s">
        <v>263</v>
      </c>
      <c r="X5" s="25">
        <v>500208</v>
      </c>
      <c r="Y5" s="19" t="s">
        <v>264</v>
      </c>
      <c r="Z5" s="9" t="s">
        <v>262</v>
      </c>
      <c r="AA5" s="70">
        <v>2</v>
      </c>
      <c r="AB5" s="71">
        <v>2909</v>
      </c>
      <c r="AD5" s="73"/>
      <c r="AE5" s="90"/>
      <c r="AF5" s="90"/>
      <c r="AG5" s="112"/>
      <c r="AH5" s="94"/>
      <c r="AI5" s="90"/>
      <c r="AJ5" s="90"/>
      <c r="AK5" s="112"/>
      <c r="AL5" s="169">
        <f t="shared" si="4"/>
        <v>6.9599999999999995E-2</v>
      </c>
      <c r="AM5" s="320">
        <f t="shared" ref="AM5:AM43" si="9">K5*0.35</f>
        <v>8.1199999999999994E-2</v>
      </c>
      <c r="AN5" s="90"/>
      <c r="AO5" s="112"/>
      <c r="AP5" s="94"/>
      <c r="AQ5" s="90"/>
      <c r="AR5" s="320">
        <f t="shared" ref="AR5:AR43" si="10">K5*0.2</f>
        <v>4.6400000000000004E-2</v>
      </c>
      <c r="AS5" s="355">
        <f t="shared" ref="AS5:AS43" si="11">K5*0.15</f>
        <v>3.4799999999999998E-2</v>
      </c>
      <c r="AT5" s="94"/>
      <c r="AU5" s="90"/>
      <c r="AV5" s="328"/>
      <c r="AW5" s="112"/>
    </row>
    <row r="6" spans="1:49" x14ac:dyDescent="0.25">
      <c r="A6" s="25">
        <v>348</v>
      </c>
      <c r="B6" s="25" t="s">
        <v>28</v>
      </c>
      <c r="C6" s="25" t="s">
        <v>260</v>
      </c>
      <c r="D6" s="25" t="s">
        <v>261</v>
      </c>
      <c r="E6" s="24"/>
      <c r="F6" s="25" t="s">
        <v>225</v>
      </c>
      <c r="G6" s="25"/>
      <c r="H6" s="139" t="s">
        <v>31</v>
      </c>
      <c r="I6" s="25"/>
      <c r="J6" s="25">
        <v>4.9000000000000002E-2</v>
      </c>
      <c r="K6" s="39">
        <v>4.9000000000000002E-2</v>
      </c>
      <c r="L6" s="25">
        <v>1</v>
      </c>
      <c r="M6" s="25" t="s">
        <v>33</v>
      </c>
      <c r="N6" s="39">
        <f t="shared" si="5"/>
        <v>1.2642</v>
      </c>
      <c r="O6" s="39">
        <f t="shared" si="6"/>
        <v>1.4749000000000001</v>
      </c>
      <c r="P6" s="39">
        <f t="shared" si="7"/>
        <v>0.8428000000000001</v>
      </c>
      <c r="Q6" s="39">
        <f t="shared" si="8"/>
        <v>0.6321</v>
      </c>
      <c r="R6" s="138">
        <v>4.2140000000000004</v>
      </c>
      <c r="S6" s="106">
        <v>105991.94</v>
      </c>
      <c r="T6" s="106">
        <v>5193.6050599999999</v>
      </c>
      <c r="U6" s="9"/>
      <c r="V6" s="9"/>
      <c r="W6" s="25" t="s">
        <v>265</v>
      </c>
      <c r="X6" s="25">
        <v>500208</v>
      </c>
      <c r="Y6" s="19" t="s">
        <v>264</v>
      </c>
      <c r="Z6" s="9" t="s">
        <v>225</v>
      </c>
      <c r="AA6" s="70">
        <v>3</v>
      </c>
      <c r="AB6" s="71">
        <v>2909</v>
      </c>
      <c r="AD6" s="73"/>
      <c r="AE6" s="48"/>
      <c r="AF6" s="48"/>
      <c r="AG6" s="49"/>
      <c r="AH6" s="51"/>
      <c r="AI6" s="48"/>
      <c r="AJ6" s="48"/>
      <c r="AK6" s="49"/>
      <c r="AL6" s="169">
        <f t="shared" si="4"/>
        <v>1.47E-2</v>
      </c>
      <c r="AM6" s="320">
        <f t="shared" si="9"/>
        <v>1.7149999999999999E-2</v>
      </c>
      <c r="AN6" s="48"/>
      <c r="AO6" s="49"/>
      <c r="AP6" s="51"/>
      <c r="AQ6" s="48"/>
      <c r="AR6" s="320">
        <f t="shared" si="10"/>
        <v>9.8000000000000014E-3</v>
      </c>
      <c r="AS6" s="355">
        <f t="shared" si="11"/>
        <v>7.3499999999999998E-3</v>
      </c>
      <c r="AT6" s="51"/>
      <c r="AU6" s="48"/>
      <c r="AV6" s="328"/>
      <c r="AW6" s="49"/>
    </row>
    <row r="7" spans="1:49" x14ac:dyDescent="0.25">
      <c r="A7" s="25">
        <v>349</v>
      </c>
      <c r="B7" s="25" t="s">
        <v>28</v>
      </c>
      <c r="C7" s="25" t="s">
        <v>260</v>
      </c>
      <c r="D7" s="25" t="s">
        <v>261</v>
      </c>
      <c r="E7" s="24"/>
      <c r="F7" s="25" t="s">
        <v>225</v>
      </c>
      <c r="G7" s="25"/>
      <c r="H7" s="139" t="s">
        <v>31</v>
      </c>
      <c r="I7" s="25"/>
      <c r="J7" s="25">
        <v>4.9000000000000002E-2</v>
      </c>
      <c r="K7" s="39">
        <v>4.9000000000000002E-2</v>
      </c>
      <c r="L7" s="25">
        <v>1</v>
      </c>
      <c r="M7" s="25" t="s">
        <v>33</v>
      </c>
      <c r="N7" s="39">
        <f t="shared" si="5"/>
        <v>1.2642</v>
      </c>
      <c r="O7" s="39">
        <f t="shared" si="6"/>
        <v>1.4749000000000001</v>
      </c>
      <c r="P7" s="39">
        <f t="shared" si="7"/>
        <v>0.8428000000000001</v>
      </c>
      <c r="Q7" s="39">
        <f t="shared" si="8"/>
        <v>0.6321</v>
      </c>
      <c r="R7" s="138">
        <v>4.2140000000000004</v>
      </c>
      <c r="S7" s="106">
        <v>105991.94</v>
      </c>
      <c r="T7" s="106">
        <v>5193.6050599999999</v>
      </c>
      <c r="U7" s="9"/>
      <c r="V7" s="9"/>
      <c r="W7" s="25" t="s">
        <v>265</v>
      </c>
      <c r="X7" s="25">
        <v>500208</v>
      </c>
      <c r="Y7" s="19" t="s">
        <v>264</v>
      </c>
      <c r="Z7" s="9" t="s">
        <v>225</v>
      </c>
      <c r="AA7" s="70">
        <v>4</v>
      </c>
      <c r="AB7" s="71">
        <v>2909</v>
      </c>
      <c r="AD7" s="73"/>
      <c r="AE7" s="48"/>
      <c r="AF7" s="48"/>
      <c r="AG7" s="49"/>
      <c r="AH7" s="51"/>
      <c r="AI7" s="48"/>
      <c r="AJ7" s="48"/>
      <c r="AK7" s="49"/>
      <c r="AL7" s="169">
        <f t="shared" si="4"/>
        <v>1.47E-2</v>
      </c>
      <c r="AM7" s="320">
        <f t="shared" si="9"/>
        <v>1.7149999999999999E-2</v>
      </c>
      <c r="AN7" s="48"/>
      <c r="AO7" s="49"/>
      <c r="AP7" s="51"/>
      <c r="AQ7" s="48"/>
      <c r="AR7" s="320">
        <f t="shared" si="10"/>
        <v>9.8000000000000014E-3</v>
      </c>
      <c r="AS7" s="355">
        <f t="shared" si="11"/>
        <v>7.3499999999999998E-3</v>
      </c>
      <c r="AT7" s="51"/>
      <c r="AU7" s="48"/>
      <c r="AV7" s="328"/>
      <c r="AW7" s="49"/>
    </row>
    <row r="8" spans="1:49" x14ac:dyDescent="0.25">
      <c r="A8" s="25">
        <v>350</v>
      </c>
      <c r="B8" s="25" t="s">
        <v>28</v>
      </c>
      <c r="C8" s="25" t="s">
        <v>260</v>
      </c>
      <c r="D8" s="25" t="s">
        <v>261</v>
      </c>
      <c r="E8" s="24"/>
      <c r="F8" s="25" t="s">
        <v>225</v>
      </c>
      <c r="G8" s="25"/>
      <c r="H8" s="139" t="s">
        <v>31</v>
      </c>
      <c r="I8" s="25"/>
      <c r="J8" s="25">
        <v>4.9000000000000002E-2</v>
      </c>
      <c r="K8" s="39">
        <v>4.9000000000000002E-2</v>
      </c>
      <c r="L8" s="25">
        <v>1</v>
      </c>
      <c r="M8" s="25" t="s">
        <v>33</v>
      </c>
      <c r="N8" s="39">
        <f t="shared" si="5"/>
        <v>1.2642</v>
      </c>
      <c r="O8" s="39">
        <f t="shared" si="6"/>
        <v>1.4749000000000001</v>
      </c>
      <c r="P8" s="39">
        <f t="shared" si="7"/>
        <v>0.8428000000000001</v>
      </c>
      <c r="Q8" s="39">
        <f t="shared" si="8"/>
        <v>0.6321</v>
      </c>
      <c r="R8" s="138">
        <v>4.2140000000000004</v>
      </c>
      <c r="S8" s="106">
        <v>105991.94</v>
      </c>
      <c r="T8" s="106">
        <v>5193.6050599999999</v>
      </c>
      <c r="U8" s="9"/>
      <c r="V8" s="9"/>
      <c r="W8" s="25" t="s">
        <v>265</v>
      </c>
      <c r="X8" s="25">
        <v>500208</v>
      </c>
      <c r="Y8" s="19" t="s">
        <v>264</v>
      </c>
      <c r="Z8" s="9" t="s">
        <v>225</v>
      </c>
      <c r="AA8" s="70">
        <v>5</v>
      </c>
      <c r="AB8" s="71">
        <v>2909</v>
      </c>
      <c r="AD8" s="73"/>
      <c r="AE8" s="48"/>
      <c r="AF8" s="48"/>
      <c r="AG8" s="49"/>
      <c r="AH8" s="51"/>
      <c r="AI8" s="48"/>
      <c r="AJ8" s="48"/>
      <c r="AK8" s="49"/>
      <c r="AL8" s="169">
        <f t="shared" si="4"/>
        <v>1.47E-2</v>
      </c>
      <c r="AM8" s="320">
        <f t="shared" si="9"/>
        <v>1.7149999999999999E-2</v>
      </c>
      <c r="AN8" s="48"/>
      <c r="AO8" s="49"/>
      <c r="AP8" s="51"/>
      <c r="AQ8" s="48"/>
      <c r="AR8" s="320">
        <f t="shared" si="10"/>
        <v>9.8000000000000014E-3</v>
      </c>
      <c r="AS8" s="355">
        <f t="shared" si="11"/>
        <v>7.3499999999999998E-3</v>
      </c>
      <c r="AT8" s="51"/>
      <c r="AU8" s="48"/>
      <c r="AV8" s="328"/>
      <c r="AW8" s="49"/>
    </row>
    <row r="9" spans="1:49" x14ac:dyDescent="0.25">
      <c r="A9" s="25">
        <v>351</v>
      </c>
      <c r="B9" s="25" t="s">
        <v>28</v>
      </c>
      <c r="C9" s="25" t="s">
        <v>260</v>
      </c>
      <c r="D9" s="25" t="s">
        <v>261</v>
      </c>
      <c r="E9" s="24"/>
      <c r="F9" s="25" t="s">
        <v>225</v>
      </c>
      <c r="G9" s="25"/>
      <c r="H9" s="139" t="s">
        <v>31</v>
      </c>
      <c r="I9" s="25"/>
      <c r="J9" s="25">
        <v>4.9000000000000002E-2</v>
      </c>
      <c r="K9" s="39">
        <v>4.9000000000000002E-2</v>
      </c>
      <c r="L9" s="25">
        <v>1</v>
      </c>
      <c r="M9" s="25" t="s">
        <v>33</v>
      </c>
      <c r="N9" s="39">
        <f t="shared" si="5"/>
        <v>1.2642</v>
      </c>
      <c r="O9" s="39">
        <f t="shared" si="6"/>
        <v>1.4749000000000001</v>
      </c>
      <c r="P9" s="39">
        <f t="shared" si="7"/>
        <v>0.8428000000000001</v>
      </c>
      <c r="Q9" s="39">
        <f t="shared" si="8"/>
        <v>0.6321</v>
      </c>
      <c r="R9" s="138">
        <v>4.2140000000000004</v>
      </c>
      <c r="S9" s="106">
        <v>105991.94</v>
      </c>
      <c r="T9" s="106">
        <v>5193.6050599999999</v>
      </c>
      <c r="U9" s="9"/>
      <c r="V9" s="9"/>
      <c r="W9" s="25" t="s">
        <v>265</v>
      </c>
      <c r="X9" s="25">
        <v>500208</v>
      </c>
      <c r="Y9" s="19" t="s">
        <v>264</v>
      </c>
      <c r="Z9" s="9" t="s">
        <v>225</v>
      </c>
      <c r="AA9" s="70">
        <v>6</v>
      </c>
      <c r="AB9" s="71">
        <v>2909</v>
      </c>
      <c r="AD9" s="73"/>
      <c r="AE9" s="48"/>
      <c r="AF9" s="48"/>
      <c r="AG9" s="49"/>
      <c r="AH9" s="51"/>
      <c r="AI9" s="48"/>
      <c r="AJ9" s="48"/>
      <c r="AK9" s="49"/>
      <c r="AL9" s="169">
        <f t="shared" si="4"/>
        <v>1.47E-2</v>
      </c>
      <c r="AM9" s="320">
        <f t="shared" si="9"/>
        <v>1.7149999999999999E-2</v>
      </c>
      <c r="AN9" s="48"/>
      <c r="AO9" s="49"/>
      <c r="AP9" s="51"/>
      <c r="AQ9" s="48"/>
      <c r="AR9" s="320">
        <f t="shared" si="10"/>
        <v>9.8000000000000014E-3</v>
      </c>
      <c r="AS9" s="355">
        <f t="shared" si="11"/>
        <v>7.3499999999999998E-3</v>
      </c>
      <c r="AT9" s="51"/>
      <c r="AU9" s="48"/>
      <c r="AV9" s="328"/>
      <c r="AW9" s="49"/>
    </row>
    <row r="10" spans="1:49" x14ac:dyDescent="0.25">
      <c r="A10" s="25">
        <v>352</v>
      </c>
      <c r="B10" s="25" t="s">
        <v>28</v>
      </c>
      <c r="C10" s="25" t="s">
        <v>260</v>
      </c>
      <c r="D10" s="25" t="s">
        <v>261</v>
      </c>
      <c r="E10" s="24"/>
      <c r="F10" s="25" t="s">
        <v>225</v>
      </c>
      <c r="G10" s="25"/>
      <c r="H10" s="139" t="s">
        <v>31</v>
      </c>
      <c r="I10" s="25"/>
      <c r="J10" s="25">
        <v>0.05</v>
      </c>
      <c r="K10" s="39">
        <v>0.05</v>
      </c>
      <c r="L10" s="25">
        <v>1</v>
      </c>
      <c r="M10" s="25" t="s">
        <v>33</v>
      </c>
      <c r="N10" s="39">
        <f t="shared" si="5"/>
        <v>1.2899999999999998</v>
      </c>
      <c r="O10" s="39">
        <f t="shared" si="6"/>
        <v>1.5049999999999999</v>
      </c>
      <c r="P10" s="39">
        <f t="shared" si="7"/>
        <v>0.86</v>
      </c>
      <c r="Q10" s="39">
        <f t="shared" si="8"/>
        <v>0.64499999999999991</v>
      </c>
      <c r="R10" s="138">
        <v>4.3</v>
      </c>
      <c r="S10" s="106">
        <v>105991.94</v>
      </c>
      <c r="T10" s="106">
        <v>5299.5970000000007</v>
      </c>
      <c r="U10" s="9"/>
      <c r="V10" s="9"/>
      <c r="W10" s="25" t="s">
        <v>266</v>
      </c>
      <c r="X10" s="25">
        <v>500208</v>
      </c>
      <c r="Y10" s="19" t="s">
        <v>264</v>
      </c>
      <c r="Z10" s="9" t="s">
        <v>225</v>
      </c>
      <c r="AA10" s="70">
        <v>7</v>
      </c>
      <c r="AB10" s="71">
        <v>2909</v>
      </c>
      <c r="AD10" s="73"/>
      <c r="AE10" s="48"/>
      <c r="AF10" s="48"/>
      <c r="AG10" s="49"/>
      <c r="AH10" s="51"/>
      <c r="AI10" s="48"/>
      <c r="AJ10" s="48"/>
      <c r="AK10" s="49"/>
      <c r="AL10" s="169">
        <f t="shared" si="4"/>
        <v>1.4999999999999999E-2</v>
      </c>
      <c r="AM10" s="320">
        <f t="shared" si="9"/>
        <v>1.7499999999999998E-2</v>
      </c>
      <c r="AN10" s="48"/>
      <c r="AO10" s="49"/>
      <c r="AP10" s="51"/>
      <c r="AQ10" s="48"/>
      <c r="AR10" s="320">
        <f t="shared" si="10"/>
        <v>1.0000000000000002E-2</v>
      </c>
      <c r="AS10" s="355">
        <f t="shared" si="11"/>
        <v>7.4999999999999997E-3</v>
      </c>
      <c r="AT10" s="51"/>
      <c r="AU10" s="48"/>
      <c r="AV10" s="328"/>
      <c r="AW10" s="49"/>
    </row>
    <row r="11" spans="1:49" x14ac:dyDescent="0.25">
      <c r="A11" s="25">
        <v>353</v>
      </c>
      <c r="B11" s="25" t="s">
        <v>28</v>
      </c>
      <c r="C11" s="25" t="s">
        <v>260</v>
      </c>
      <c r="D11" s="25" t="s">
        <v>261</v>
      </c>
      <c r="E11" s="24"/>
      <c r="F11" s="25" t="s">
        <v>225</v>
      </c>
      <c r="G11" s="25"/>
      <c r="H11" s="139" t="s">
        <v>31</v>
      </c>
      <c r="I11" s="25"/>
      <c r="J11" s="25">
        <v>0.05</v>
      </c>
      <c r="K11" s="39">
        <v>0.05</v>
      </c>
      <c r="L11" s="25">
        <v>1</v>
      </c>
      <c r="M11" s="25" t="s">
        <v>33</v>
      </c>
      <c r="N11" s="39">
        <f t="shared" si="5"/>
        <v>1.2899999999999998</v>
      </c>
      <c r="O11" s="39">
        <f t="shared" si="6"/>
        <v>1.5049999999999999</v>
      </c>
      <c r="P11" s="39">
        <f t="shared" si="7"/>
        <v>0.86</v>
      </c>
      <c r="Q11" s="39">
        <f t="shared" si="8"/>
        <v>0.64499999999999991</v>
      </c>
      <c r="R11" s="138">
        <v>4.3</v>
      </c>
      <c r="S11" s="106">
        <v>105991.94</v>
      </c>
      <c r="T11" s="106">
        <v>5299.5970000000007</v>
      </c>
      <c r="U11" s="9"/>
      <c r="V11" s="9"/>
      <c r="W11" s="25" t="s">
        <v>266</v>
      </c>
      <c r="X11" s="25">
        <v>500208</v>
      </c>
      <c r="Y11" s="19" t="s">
        <v>264</v>
      </c>
      <c r="Z11" s="9" t="s">
        <v>225</v>
      </c>
      <c r="AA11" s="70">
        <v>8</v>
      </c>
      <c r="AB11" s="71">
        <v>2909</v>
      </c>
      <c r="AD11" s="73"/>
      <c r="AE11" s="48"/>
      <c r="AF11" s="48"/>
      <c r="AG11" s="49"/>
      <c r="AH11" s="51"/>
      <c r="AI11" s="48"/>
      <c r="AJ11" s="48"/>
      <c r="AK11" s="49"/>
      <c r="AL11" s="169">
        <f t="shared" si="4"/>
        <v>1.4999999999999999E-2</v>
      </c>
      <c r="AM11" s="320">
        <f t="shared" si="9"/>
        <v>1.7499999999999998E-2</v>
      </c>
      <c r="AN11" s="48"/>
      <c r="AO11" s="49"/>
      <c r="AP11" s="51"/>
      <c r="AQ11" s="48"/>
      <c r="AR11" s="320">
        <f t="shared" si="10"/>
        <v>1.0000000000000002E-2</v>
      </c>
      <c r="AS11" s="355">
        <f t="shared" si="11"/>
        <v>7.4999999999999997E-3</v>
      </c>
      <c r="AT11" s="51"/>
      <c r="AU11" s="48"/>
      <c r="AV11" s="328"/>
      <c r="AW11" s="49"/>
    </row>
    <row r="12" spans="1:49" x14ac:dyDescent="0.25">
      <c r="A12" s="25">
        <v>354</v>
      </c>
      <c r="B12" s="25" t="s">
        <v>28</v>
      </c>
      <c r="C12" s="25" t="s">
        <v>260</v>
      </c>
      <c r="D12" s="25" t="s">
        <v>261</v>
      </c>
      <c r="E12" s="24"/>
      <c r="F12" s="25" t="s">
        <v>262</v>
      </c>
      <c r="G12" s="25"/>
      <c r="H12" s="139" t="s">
        <v>31</v>
      </c>
      <c r="I12" s="25"/>
      <c r="J12" s="25">
        <v>0.252</v>
      </c>
      <c r="K12" s="39">
        <v>0.252</v>
      </c>
      <c r="L12" s="25">
        <v>1</v>
      </c>
      <c r="M12" s="25" t="s">
        <v>33</v>
      </c>
      <c r="N12" s="39">
        <f t="shared" si="5"/>
        <v>5.2164000000000001</v>
      </c>
      <c r="O12" s="39">
        <f t="shared" si="6"/>
        <v>6.0857999999999999</v>
      </c>
      <c r="P12" s="39">
        <f t="shared" si="7"/>
        <v>3.4776000000000007</v>
      </c>
      <c r="Q12" s="39">
        <f t="shared" si="8"/>
        <v>2.6082000000000001</v>
      </c>
      <c r="R12" s="138">
        <v>17.388000000000002</v>
      </c>
      <c r="S12" s="106">
        <v>105991.94</v>
      </c>
      <c r="T12" s="106">
        <v>26709.96888</v>
      </c>
      <c r="U12" s="9"/>
      <c r="V12" s="9"/>
      <c r="W12" s="25" t="s">
        <v>267</v>
      </c>
      <c r="X12" s="25">
        <v>500208</v>
      </c>
      <c r="Y12" s="19" t="s">
        <v>264</v>
      </c>
      <c r="Z12" s="9" t="s">
        <v>262</v>
      </c>
      <c r="AA12" s="70">
        <v>9</v>
      </c>
      <c r="AB12" s="71">
        <v>2909</v>
      </c>
      <c r="AD12" s="73"/>
      <c r="AE12" s="48"/>
      <c r="AF12" s="48"/>
      <c r="AG12" s="49"/>
      <c r="AH12" s="51"/>
      <c r="AI12" s="48"/>
      <c r="AJ12" s="48"/>
      <c r="AK12" s="49"/>
      <c r="AL12" s="169">
        <f t="shared" si="4"/>
        <v>7.5600000000000001E-2</v>
      </c>
      <c r="AM12" s="320">
        <f t="shared" si="9"/>
        <v>8.8200000000000001E-2</v>
      </c>
      <c r="AN12" s="48"/>
      <c r="AO12" s="49"/>
      <c r="AP12" s="51"/>
      <c r="AQ12" s="48"/>
      <c r="AR12" s="320">
        <f t="shared" si="10"/>
        <v>5.04E-2</v>
      </c>
      <c r="AS12" s="355">
        <f t="shared" si="11"/>
        <v>3.78E-2</v>
      </c>
      <c r="AT12" s="51"/>
      <c r="AU12" s="48"/>
      <c r="AV12" s="328"/>
      <c r="AW12" s="49"/>
    </row>
    <row r="13" spans="1:49" x14ac:dyDescent="0.25">
      <c r="A13" s="25">
        <v>355</v>
      </c>
      <c r="B13" s="25" t="s">
        <v>28</v>
      </c>
      <c r="C13" s="25" t="s">
        <v>260</v>
      </c>
      <c r="D13" s="25" t="s">
        <v>261</v>
      </c>
      <c r="E13" s="24"/>
      <c r="F13" s="25" t="s">
        <v>262</v>
      </c>
      <c r="G13" s="25"/>
      <c r="H13" s="139" t="s">
        <v>31</v>
      </c>
      <c r="I13" s="25"/>
      <c r="J13" s="25">
        <v>0.252</v>
      </c>
      <c r="K13" s="39">
        <v>0.252</v>
      </c>
      <c r="L13" s="25">
        <v>1</v>
      </c>
      <c r="M13" s="25" t="s">
        <v>33</v>
      </c>
      <c r="N13" s="39">
        <f t="shared" si="5"/>
        <v>5.2164000000000001</v>
      </c>
      <c r="O13" s="39">
        <f t="shared" si="6"/>
        <v>6.0857999999999999</v>
      </c>
      <c r="P13" s="39">
        <f t="shared" si="7"/>
        <v>3.4776000000000007</v>
      </c>
      <c r="Q13" s="39">
        <f t="shared" si="8"/>
        <v>2.6082000000000001</v>
      </c>
      <c r="R13" s="138">
        <v>17.388000000000002</v>
      </c>
      <c r="S13" s="106">
        <v>105991.94</v>
      </c>
      <c r="T13" s="106">
        <v>26709.96888</v>
      </c>
      <c r="U13" s="9"/>
      <c r="V13" s="9"/>
      <c r="W13" s="25" t="s">
        <v>267</v>
      </c>
      <c r="X13" s="25">
        <v>500208</v>
      </c>
      <c r="Y13" s="19" t="s">
        <v>264</v>
      </c>
      <c r="Z13" s="9" t="s">
        <v>262</v>
      </c>
      <c r="AA13" s="70">
        <v>10</v>
      </c>
      <c r="AB13" s="71">
        <v>2909</v>
      </c>
      <c r="AD13" s="73"/>
      <c r="AE13" s="48"/>
      <c r="AF13" s="48"/>
      <c r="AG13" s="49"/>
      <c r="AH13" s="51"/>
      <c r="AI13" s="48"/>
      <c r="AJ13" s="48"/>
      <c r="AK13" s="49"/>
      <c r="AL13" s="169">
        <f t="shared" si="4"/>
        <v>7.5600000000000001E-2</v>
      </c>
      <c r="AM13" s="320">
        <f t="shared" si="9"/>
        <v>8.8200000000000001E-2</v>
      </c>
      <c r="AN13" s="48"/>
      <c r="AO13" s="49"/>
      <c r="AP13" s="51"/>
      <c r="AQ13" s="48"/>
      <c r="AR13" s="320">
        <f t="shared" si="10"/>
        <v>5.04E-2</v>
      </c>
      <c r="AS13" s="355">
        <f t="shared" si="11"/>
        <v>3.78E-2</v>
      </c>
      <c r="AT13" s="51"/>
      <c r="AU13" s="48"/>
      <c r="AV13" s="328"/>
      <c r="AW13" s="49"/>
    </row>
    <row r="14" spans="1:49" x14ac:dyDescent="0.25">
      <c r="A14" s="25">
        <v>356</v>
      </c>
      <c r="B14" s="25" t="s">
        <v>28</v>
      </c>
      <c r="C14" s="25" t="s">
        <v>260</v>
      </c>
      <c r="D14" s="25" t="s">
        <v>261</v>
      </c>
      <c r="E14" s="24"/>
      <c r="F14" s="25" t="s">
        <v>225</v>
      </c>
      <c r="G14" s="25"/>
      <c r="H14" s="139" t="s">
        <v>31</v>
      </c>
      <c r="I14" s="25"/>
      <c r="J14" s="25">
        <v>0.05</v>
      </c>
      <c r="K14" s="39">
        <v>0.05</v>
      </c>
      <c r="L14" s="25">
        <v>1</v>
      </c>
      <c r="M14" s="25" t="s">
        <v>33</v>
      </c>
      <c r="N14" s="39">
        <f t="shared" si="5"/>
        <v>1.2899999999999998</v>
      </c>
      <c r="O14" s="39">
        <f t="shared" si="6"/>
        <v>1.5049999999999999</v>
      </c>
      <c r="P14" s="39">
        <f t="shared" si="7"/>
        <v>0.86</v>
      </c>
      <c r="Q14" s="39">
        <f t="shared" si="8"/>
        <v>0.64499999999999991</v>
      </c>
      <c r="R14" s="138">
        <v>4.3</v>
      </c>
      <c r="S14" s="106">
        <v>105991.94</v>
      </c>
      <c r="T14" s="106">
        <v>5299.5970000000007</v>
      </c>
      <c r="U14" s="9"/>
      <c r="V14" s="9"/>
      <c r="W14" s="25" t="s">
        <v>268</v>
      </c>
      <c r="X14" s="25">
        <v>500208</v>
      </c>
      <c r="Y14" s="19" t="s">
        <v>264</v>
      </c>
      <c r="Z14" s="9" t="s">
        <v>225</v>
      </c>
      <c r="AA14" s="70">
        <v>11</v>
      </c>
      <c r="AB14" s="71">
        <v>2909</v>
      </c>
      <c r="AD14" s="73"/>
      <c r="AE14" s="48"/>
      <c r="AF14" s="48"/>
      <c r="AG14" s="49"/>
      <c r="AH14" s="51"/>
      <c r="AI14" s="48"/>
      <c r="AJ14" s="48"/>
      <c r="AK14" s="49"/>
      <c r="AL14" s="169">
        <f t="shared" si="4"/>
        <v>1.4999999999999999E-2</v>
      </c>
      <c r="AM14" s="320">
        <f t="shared" si="9"/>
        <v>1.7499999999999998E-2</v>
      </c>
      <c r="AN14" s="48"/>
      <c r="AO14" s="49"/>
      <c r="AP14" s="51"/>
      <c r="AQ14" s="48"/>
      <c r="AR14" s="320">
        <f t="shared" si="10"/>
        <v>1.0000000000000002E-2</v>
      </c>
      <c r="AS14" s="355">
        <f t="shared" si="11"/>
        <v>7.4999999999999997E-3</v>
      </c>
      <c r="AT14" s="51"/>
      <c r="AU14" s="48"/>
      <c r="AV14" s="328"/>
      <c r="AW14" s="49"/>
    </row>
    <row r="15" spans="1:49" x14ac:dyDescent="0.25">
      <c r="A15" s="25">
        <v>357</v>
      </c>
      <c r="B15" s="25" t="s">
        <v>28</v>
      </c>
      <c r="C15" s="25" t="s">
        <v>260</v>
      </c>
      <c r="D15" s="25" t="s">
        <v>261</v>
      </c>
      <c r="E15" s="24"/>
      <c r="F15" s="25" t="s">
        <v>225</v>
      </c>
      <c r="G15" s="25"/>
      <c r="H15" s="139" t="s">
        <v>31</v>
      </c>
      <c r="I15" s="25"/>
      <c r="J15" s="25">
        <v>0.05</v>
      </c>
      <c r="K15" s="39">
        <v>0.05</v>
      </c>
      <c r="L15" s="25">
        <v>1</v>
      </c>
      <c r="M15" s="25" t="s">
        <v>33</v>
      </c>
      <c r="N15" s="39">
        <f t="shared" si="5"/>
        <v>1.2899999999999998</v>
      </c>
      <c r="O15" s="39">
        <f t="shared" si="6"/>
        <v>1.5049999999999999</v>
      </c>
      <c r="P15" s="39">
        <f t="shared" si="7"/>
        <v>0.86</v>
      </c>
      <c r="Q15" s="39">
        <f t="shared" si="8"/>
        <v>0.64499999999999991</v>
      </c>
      <c r="R15" s="138">
        <v>4.3</v>
      </c>
      <c r="S15" s="106">
        <v>105991.94</v>
      </c>
      <c r="T15" s="106">
        <v>5299.5970000000007</v>
      </c>
      <c r="U15" s="9"/>
      <c r="V15" s="9"/>
      <c r="W15" s="25" t="s">
        <v>268</v>
      </c>
      <c r="X15" s="25">
        <v>500208</v>
      </c>
      <c r="Y15" s="19" t="s">
        <v>264</v>
      </c>
      <c r="Z15" s="9" t="s">
        <v>225</v>
      </c>
      <c r="AA15" s="70">
        <v>12</v>
      </c>
      <c r="AB15" s="71">
        <v>2909</v>
      </c>
      <c r="AD15" s="73"/>
      <c r="AE15" s="48"/>
      <c r="AF15" s="48"/>
      <c r="AG15" s="49"/>
      <c r="AH15" s="51"/>
      <c r="AI15" s="48"/>
      <c r="AJ15" s="48"/>
      <c r="AK15" s="49"/>
      <c r="AL15" s="169">
        <f t="shared" si="4"/>
        <v>1.4999999999999999E-2</v>
      </c>
      <c r="AM15" s="320">
        <f t="shared" si="9"/>
        <v>1.7499999999999998E-2</v>
      </c>
      <c r="AN15" s="48"/>
      <c r="AO15" s="49"/>
      <c r="AP15" s="51"/>
      <c r="AQ15" s="48"/>
      <c r="AR15" s="320">
        <f t="shared" si="10"/>
        <v>1.0000000000000002E-2</v>
      </c>
      <c r="AS15" s="355">
        <f t="shared" si="11"/>
        <v>7.4999999999999997E-3</v>
      </c>
      <c r="AT15" s="51"/>
      <c r="AU15" s="48"/>
      <c r="AV15" s="328"/>
      <c r="AW15" s="49"/>
    </row>
    <row r="16" spans="1:49" x14ac:dyDescent="0.25">
      <c r="A16" s="25">
        <v>358</v>
      </c>
      <c r="B16" s="25" t="s">
        <v>28</v>
      </c>
      <c r="C16" s="25" t="s">
        <v>260</v>
      </c>
      <c r="D16" s="25" t="s">
        <v>261</v>
      </c>
      <c r="E16" s="24"/>
      <c r="F16" s="25" t="s">
        <v>225</v>
      </c>
      <c r="G16" s="25"/>
      <c r="H16" s="139" t="s">
        <v>31</v>
      </c>
      <c r="I16" s="25"/>
      <c r="J16" s="25">
        <v>7.8E-2</v>
      </c>
      <c r="K16" s="39">
        <v>7.8E-2</v>
      </c>
      <c r="L16" s="25">
        <v>1</v>
      </c>
      <c r="M16" s="25" t="s">
        <v>33</v>
      </c>
      <c r="N16" s="39">
        <f t="shared" si="5"/>
        <v>1.8018000000000001</v>
      </c>
      <c r="O16" s="39">
        <f t="shared" si="6"/>
        <v>2.1021000000000001</v>
      </c>
      <c r="P16" s="39">
        <f t="shared" si="7"/>
        <v>1.2012</v>
      </c>
      <c r="Q16" s="39">
        <f t="shared" si="8"/>
        <v>0.90090000000000003</v>
      </c>
      <c r="R16" s="138">
        <v>6.0060000000000002</v>
      </c>
      <c r="S16" s="106">
        <v>105991.94</v>
      </c>
      <c r="T16" s="106">
        <v>8267.3713200000002</v>
      </c>
      <c r="U16" s="9"/>
      <c r="V16" s="9"/>
      <c r="W16" s="25" t="s">
        <v>269</v>
      </c>
      <c r="X16" s="25">
        <v>500209</v>
      </c>
      <c r="Y16" s="19" t="s">
        <v>264</v>
      </c>
      <c r="Z16" s="9" t="s">
        <v>225</v>
      </c>
      <c r="AA16" s="70">
        <v>1</v>
      </c>
      <c r="AB16" s="71">
        <v>2909</v>
      </c>
      <c r="AD16" s="73"/>
      <c r="AE16" s="48"/>
      <c r="AF16" s="48"/>
      <c r="AG16" s="49"/>
      <c r="AH16" s="51"/>
      <c r="AI16" s="48"/>
      <c r="AJ16" s="48"/>
      <c r="AK16" s="49"/>
      <c r="AL16" s="169">
        <f t="shared" si="4"/>
        <v>2.3400000000000001E-2</v>
      </c>
      <c r="AM16" s="320">
        <f t="shared" si="9"/>
        <v>2.7299999999999998E-2</v>
      </c>
      <c r="AN16" s="48"/>
      <c r="AO16" s="49"/>
      <c r="AP16" s="51"/>
      <c r="AQ16" s="48"/>
      <c r="AR16" s="320">
        <f t="shared" si="10"/>
        <v>1.5600000000000001E-2</v>
      </c>
      <c r="AS16" s="355">
        <f t="shared" si="11"/>
        <v>1.17E-2</v>
      </c>
      <c r="AT16" s="51"/>
      <c r="AU16" s="48"/>
      <c r="AV16" s="328"/>
      <c r="AW16" s="49"/>
    </row>
    <row r="17" spans="1:49" x14ac:dyDescent="0.25">
      <c r="A17" s="25">
        <v>359</v>
      </c>
      <c r="B17" s="25" t="s">
        <v>28</v>
      </c>
      <c r="C17" s="25" t="s">
        <v>260</v>
      </c>
      <c r="D17" s="25" t="s">
        <v>261</v>
      </c>
      <c r="E17" s="24"/>
      <c r="F17" s="25" t="s">
        <v>225</v>
      </c>
      <c r="G17" s="25"/>
      <c r="H17" s="139" t="s">
        <v>31</v>
      </c>
      <c r="I17" s="25"/>
      <c r="J17" s="25">
        <v>7.8E-2</v>
      </c>
      <c r="K17" s="39">
        <v>7.8E-2</v>
      </c>
      <c r="L17" s="25">
        <v>1</v>
      </c>
      <c r="M17" s="25" t="s">
        <v>33</v>
      </c>
      <c r="N17" s="39">
        <f t="shared" si="5"/>
        <v>1.8018000000000001</v>
      </c>
      <c r="O17" s="39">
        <f t="shared" si="6"/>
        <v>2.1021000000000001</v>
      </c>
      <c r="P17" s="39">
        <f t="shared" si="7"/>
        <v>1.2012</v>
      </c>
      <c r="Q17" s="39">
        <f t="shared" si="8"/>
        <v>0.90090000000000003</v>
      </c>
      <c r="R17" s="138">
        <v>6.0060000000000002</v>
      </c>
      <c r="S17" s="106">
        <v>105991.94</v>
      </c>
      <c r="T17" s="106">
        <v>8267.3713200000002</v>
      </c>
      <c r="U17" s="9"/>
      <c r="V17" s="9"/>
      <c r="W17" s="25" t="s">
        <v>269</v>
      </c>
      <c r="X17" s="25">
        <v>500209</v>
      </c>
      <c r="Y17" s="19" t="s">
        <v>264</v>
      </c>
      <c r="Z17" s="9" t="s">
        <v>225</v>
      </c>
      <c r="AA17" s="70">
        <v>2</v>
      </c>
      <c r="AB17" s="71">
        <v>2909</v>
      </c>
      <c r="AD17" s="73"/>
      <c r="AE17" s="48"/>
      <c r="AF17" s="48"/>
      <c r="AG17" s="49"/>
      <c r="AH17" s="51"/>
      <c r="AI17" s="48"/>
      <c r="AJ17" s="48"/>
      <c r="AK17" s="49"/>
      <c r="AL17" s="169">
        <f t="shared" si="4"/>
        <v>2.3400000000000001E-2</v>
      </c>
      <c r="AM17" s="320">
        <f t="shared" si="9"/>
        <v>2.7299999999999998E-2</v>
      </c>
      <c r="AN17" s="48"/>
      <c r="AO17" s="49"/>
      <c r="AP17" s="51"/>
      <c r="AQ17" s="48"/>
      <c r="AR17" s="320">
        <f t="shared" si="10"/>
        <v>1.5600000000000001E-2</v>
      </c>
      <c r="AS17" s="355">
        <f t="shared" si="11"/>
        <v>1.17E-2</v>
      </c>
      <c r="AT17" s="51"/>
      <c r="AU17" s="48"/>
      <c r="AV17" s="328"/>
      <c r="AW17" s="49"/>
    </row>
    <row r="18" spans="1:49" x14ac:dyDescent="0.25">
      <c r="A18" s="25">
        <v>360</v>
      </c>
      <c r="B18" s="25" t="s">
        <v>28</v>
      </c>
      <c r="C18" s="25" t="s">
        <v>260</v>
      </c>
      <c r="D18" s="25" t="s">
        <v>261</v>
      </c>
      <c r="E18" s="24"/>
      <c r="F18" s="25" t="s">
        <v>225</v>
      </c>
      <c r="G18" s="25"/>
      <c r="H18" s="139" t="s">
        <v>31</v>
      </c>
      <c r="I18" s="25"/>
      <c r="J18" s="25">
        <v>7.8E-2</v>
      </c>
      <c r="K18" s="39">
        <v>7.8E-2</v>
      </c>
      <c r="L18" s="25">
        <v>1</v>
      </c>
      <c r="M18" s="25" t="s">
        <v>33</v>
      </c>
      <c r="N18" s="39">
        <f t="shared" si="5"/>
        <v>1.8018000000000001</v>
      </c>
      <c r="O18" s="39">
        <f t="shared" si="6"/>
        <v>2.1021000000000001</v>
      </c>
      <c r="P18" s="39">
        <f t="shared" si="7"/>
        <v>1.2012</v>
      </c>
      <c r="Q18" s="39">
        <f t="shared" si="8"/>
        <v>0.90090000000000003</v>
      </c>
      <c r="R18" s="138">
        <v>6.0060000000000002</v>
      </c>
      <c r="S18" s="106">
        <v>105991.94</v>
      </c>
      <c r="T18" s="106">
        <v>8267.3713200000002</v>
      </c>
      <c r="U18" s="9"/>
      <c r="V18" s="9"/>
      <c r="W18" s="25" t="s">
        <v>270</v>
      </c>
      <c r="X18" s="25">
        <v>500209</v>
      </c>
      <c r="Y18" s="19" t="s">
        <v>264</v>
      </c>
      <c r="Z18" s="9" t="s">
        <v>225</v>
      </c>
      <c r="AA18" s="70">
        <v>3</v>
      </c>
      <c r="AB18" s="71">
        <v>2909</v>
      </c>
      <c r="AD18" s="73"/>
      <c r="AE18" s="48"/>
      <c r="AF18" s="48"/>
      <c r="AG18" s="49"/>
      <c r="AH18" s="51"/>
      <c r="AI18" s="48"/>
      <c r="AJ18" s="48"/>
      <c r="AK18" s="49"/>
      <c r="AL18" s="169">
        <f t="shared" si="4"/>
        <v>2.3400000000000001E-2</v>
      </c>
      <c r="AM18" s="320">
        <f t="shared" si="9"/>
        <v>2.7299999999999998E-2</v>
      </c>
      <c r="AN18" s="48"/>
      <c r="AO18" s="49"/>
      <c r="AP18" s="51"/>
      <c r="AQ18" s="48"/>
      <c r="AR18" s="320">
        <f t="shared" si="10"/>
        <v>1.5600000000000001E-2</v>
      </c>
      <c r="AS18" s="355">
        <f t="shared" si="11"/>
        <v>1.17E-2</v>
      </c>
      <c r="AT18" s="51"/>
      <c r="AU18" s="48"/>
      <c r="AV18" s="328"/>
      <c r="AW18" s="49"/>
    </row>
    <row r="19" spans="1:49" x14ac:dyDescent="0.25">
      <c r="A19" s="25">
        <v>361</v>
      </c>
      <c r="B19" s="25" t="s">
        <v>28</v>
      </c>
      <c r="C19" s="25" t="s">
        <v>260</v>
      </c>
      <c r="D19" s="25" t="s">
        <v>261</v>
      </c>
      <c r="E19" s="24"/>
      <c r="F19" s="25" t="s">
        <v>225</v>
      </c>
      <c r="G19" s="25"/>
      <c r="H19" s="139" t="s">
        <v>31</v>
      </c>
      <c r="I19" s="25"/>
      <c r="J19" s="25">
        <v>7.8E-2</v>
      </c>
      <c r="K19" s="39">
        <v>7.8E-2</v>
      </c>
      <c r="L19" s="25">
        <v>1</v>
      </c>
      <c r="M19" s="25" t="s">
        <v>33</v>
      </c>
      <c r="N19" s="39">
        <f t="shared" si="5"/>
        <v>1.8018000000000001</v>
      </c>
      <c r="O19" s="39">
        <f t="shared" si="6"/>
        <v>2.1021000000000001</v>
      </c>
      <c r="P19" s="39">
        <f t="shared" si="7"/>
        <v>1.2012</v>
      </c>
      <c r="Q19" s="39">
        <f t="shared" si="8"/>
        <v>0.90090000000000003</v>
      </c>
      <c r="R19" s="138">
        <v>6.0060000000000002</v>
      </c>
      <c r="S19" s="106">
        <v>105991.94</v>
      </c>
      <c r="T19" s="106">
        <v>8267.3713200000002</v>
      </c>
      <c r="U19" s="9"/>
      <c r="V19" s="9"/>
      <c r="W19" s="25" t="s">
        <v>270</v>
      </c>
      <c r="X19" s="25">
        <v>500209</v>
      </c>
      <c r="Y19" s="19" t="s">
        <v>264</v>
      </c>
      <c r="Z19" s="9" t="s">
        <v>225</v>
      </c>
      <c r="AA19" s="70">
        <v>4</v>
      </c>
      <c r="AB19" s="71">
        <v>2909</v>
      </c>
      <c r="AD19" s="73"/>
      <c r="AE19" s="48"/>
      <c r="AF19" s="48"/>
      <c r="AG19" s="49"/>
      <c r="AH19" s="51"/>
      <c r="AI19" s="48"/>
      <c r="AJ19" s="48"/>
      <c r="AK19" s="49"/>
      <c r="AL19" s="169">
        <f t="shared" si="4"/>
        <v>2.3400000000000001E-2</v>
      </c>
      <c r="AM19" s="320">
        <f t="shared" si="9"/>
        <v>2.7299999999999998E-2</v>
      </c>
      <c r="AN19" s="48"/>
      <c r="AO19" s="49"/>
      <c r="AP19" s="51"/>
      <c r="AQ19" s="48"/>
      <c r="AR19" s="320">
        <f t="shared" si="10"/>
        <v>1.5600000000000001E-2</v>
      </c>
      <c r="AS19" s="355">
        <f t="shared" si="11"/>
        <v>1.17E-2</v>
      </c>
      <c r="AT19" s="51"/>
      <c r="AU19" s="48"/>
      <c r="AV19" s="328"/>
      <c r="AW19" s="49"/>
    </row>
    <row r="20" spans="1:49" x14ac:dyDescent="0.25">
      <c r="A20" s="25">
        <v>362</v>
      </c>
      <c r="B20" s="25" t="s">
        <v>28</v>
      </c>
      <c r="C20" s="25" t="s">
        <v>260</v>
      </c>
      <c r="D20" s="25" t="s">
        <v>261</v>
      </c>
      <c r="E20" s="24"/>
      <c r="F20" s="25" t="s">
        <v>262</v>
      </c>
      <c r="G20" s="25"/>
      <c r="H20" s="139" t="s">
        <v>31</v>
      </c>
      <c r="I20" s="25"/>
      <c r="J20" s="25">
        <v>0.26500000000000001</v>
      </c>
      <c r="K20" s="39">
        <v>0.26500000000000001</v>
      </c>
      <c r="L20" s="25">
        <v>1</v>
      </c>
      <c r="M20" s="25" t="s">
        <v>33</v>
      </c>
      <c r="N20" s="39">
        <f t="shared" si="5"/>
        <v>5.4855</v>
      </c>
      <c r="O20" s="39">
        <f t="shared" si="6"/>
        <v>6.39975</v>
      </c>
      <c r="P20" s="39">
        <f t="shared" si="7"/>
        <v>3.657</v>
      </c>
      <c r="Q20" s="39">
        <f t="shared" si="8"/>
        <v>2.74275</v>
      </c>
      <c r="R20" s="138">
        <v>18.285</v>
      </c>
      <c r="S20" s="106">
        <v>105991.94</v>
      </c>
      <c r="T20" s="106">
        <v>28087.864100000003</v>
      </c>
      <c r="U20" s="9"/>
      <c r="V20" s="9"/>
      <c r="W20" s="25" t="s">
        <v>271</v>
      </c>
      <c r="X20" s="25">
        <v>500209</v>
      </c>
      <c r="Y20" s="19" t="s">
        <v>264</v>
      </c>
      <c r="Z20" s="9" t="s">
        <v>262</v>
      </c>
      <c r="AA20" s="70">
        <v>5</v>
      </c>
      <c r="AB20" s="71">
        <v>2909</v>
      </c>
      <c r="AD20" s="73"/>
      <c r="AE20" s="48"/>
      <c r="AF20" s="48"/>
      <c r="AG20" s="49"/>
      <c r="AH20" s="51"/>
      <c r="AI20" s="48"/>
      <c r="AJ20" s="48"/>
      <c r="AK20" s="49"/>
      <c r="AL20" s="169">
        <f t="shared" si="4"/>
        <v>7.9500000000000001E-2</v>
      </c>
      <c r="AM20" s="320">
        <f t="shared" si="9"/>
        <v>9.2749999999999999E-2</v>
      </c>
      <c r="AN20" s="48"/>
      <c r="AO20" s="49"/>
      <c r="AP20" s="51"/>
      <c r="AQ20" s="48"/>
      <c r="AR20" s="320">
        <f t="shared" si="10"/>
        <v>5.3000000000000005E-2</v>
      </c>
      <c r="AS20" s="355">
        <f t="shared" si="11"/>
        <v>3.9750000000000001E-2</v>
      </c>
      <c r="AT20" s="51"/>
      <c r="AU20" s="48"/>
      <c r="AV20" s="328"/>
      <c r="AW20" s="49"/>
    </row>
    <row r="21" spans="1:49" x14ac:dyDescent="0.25">
      <c r="A21" s="25">
        <v>363</v>
      </c>
      <c r="B21" s="25" t="s">
        <v>28</v>
      </c>
      <c r="C21" s="25" t="s">
        <v>260</v>
      </c>
      <c r="D21" s="25" t="s">
        <v>261</v>
      </c>
      <c r="E21" s="24"/>
      <c r="F21" s="25" t="s">
        <v>262</v>
      </c>
      <c r="G21" s="25"/>
      <c r="H21" s="139" t="s">
        <v>31</v>
      </c>
      <c r="I21" s="25"/>
      <c r="J21" s="25">
        <v>0.26500000000000001</v>
      </c>
      <c r="K21" s="39">
        <v>0.26500000000000001</v>
      </c>
      <c r="L21" s="25">
        <v>1</v>
      </c>
      <c r="M21" s="25" t="s">
        <v>33</v>
      </c>
      <c r="N21" s="39">
        <f t="shared" si="5"/>
        <v>5.4855</v>
      </c>
      <c r="O21" s="39">
        <f t="shared" si="6"/>
        <v>6.39975</v>
      </c>
      <c r="P21" s="39">
        <f t="shared" si="7"/>
        <v>3.657</v>
      </c>
      <c r="Q21" s="39">
        <f t="shared" si="8"/>
        <v>2.74275</v>
      </c>
      <c r="R21" s="138">
        <v>18.285</v>
      </c>
      <c r="S21" s="106">
        <v>105991.94</v>
      </c>
      <c r="T21" s="106">
        <v>28087.864100000003</v>
      </c>
      <c r="U21" s="9"/>
      <c r="V21" s="9"/>
      <c r="W21" s="25" t="s">
        <v>271</v>
      </c>
      <c r="X21" s="25">
        <v>500209</v>
      </c>
      <c r="Y21" s="19" t="s">
        <v>264</v>
      </c>
      <c r="Z21" s="9" t="s">
        <v>262</v>
      </c>
      <c r="AA21" s="70">
        <v>6</v>
      </c>
      <c r="AB21" s="71">
        <v>2909</v>
      </c>
      <c r="AD21" s="73"/>
      <c r="AE21" s="48"/>
      <c r="AF21" s="48"/>
      <c r="AG21" s="49"/>
      <c r="AH21" s="51"/>
      <c r="AI21" s="48"/>
      <c r="AJ21" s="48"/>
      <c r="AK21" s="49"/>
      <c r="AL21" s="169">
        <f t="shared" si="4"/>
        <v>7.9500000000000001E-2</v>
      </c>
      <c r="AM21" s="320">
        <f t="shared" si="9"/>
        <v>9.2749999999999999E-2</v>
      </c>
      <c r="AN21" s="48"/>
      <c r="AO21" s="49"/>
      <c r="AP21" s="51"/>
      <c r="AQ21" s="48"/>
      <c r="AR21" s="320">
        <f t="shared" si="10"/>
        <v>5.3000000000000005E-2</v>
      </c>
      <c r="AS21" s="355">
        <f t="shared" si="11"/>
        <v>3.9750000000000001E-2</v>
      </c>
      <c r="AT21" s="51"/>
      <c r="AU21" s="48"/>
      <c r="AV21" s="328"/>
      <c r="AW21" s="49"/>
    </row>
    <row r="22" spans="1:49" x14ac:dyDescent="0.25">
      <c r="A22" s="25">
        <v>364</v>
      </c>
      <c r="B22" s="25" t="s">
        <v>28</v>
      </c>
      <c r="C22" s="25" t="s">
        <v>260</v>
      </c>
      <c r="D22" s="25" t="s">
        <v>261</v>
      </c>
      <c r="E22" s="24"/>
      <c r="F22" s="25" t="s">
        <v>262</v>
      </c>
      <c r="G22" s="25"/>
      <c r="H22" s="139" t="s">
        <v>31</v>
      </c>
      <c r="I22" s="25"/>
      <c r="J22" s="25">
        <v>0.26500000000000001</v>
      </c>
      <c r="K22" s="39">
        <v>0.26500000000000001</v>
      </c>
      <c r="L22" s="25">
        <v>1</v>
      </c>
      <c r="M22" s="25" t="s">
        <v>33</v>
      </c>
      <c r="N22" s="39">
        <f t="shared" si="5"/>
        <v>5.4855</v>
      </c>
      <c r="O22" s="39">
        <f t="shared" si="6"/>
        <v>6.39975</v>
      </c>
      <c r="P22" s="39">
        <f t="shared" si="7"/>
        <v>3.657</v>
      </c>
      <c r="Q22" s="39">
        <f t="shared" si="8"/>
        <v>2.74275</v>
      </c>
      <c r="R22" s="138">
        <v>18.285</v>
      </c>
      <c r="S22" s="106">
        <v>105991.94</v>
      </c>
      <c r="T22" s="106">
        <v>28087.864100000003</v>
      </c>
      <c r="U22" s="9"/>
      <c r="V22" s="9"/>
      <c r="W22" s="25" t="s">
        <v>271</v>
      </c>
      <c r="X22" s="25">
        <v>500209</v>
      </c>
      <c r="Y22" s="19" t="s">
        <v>264</v>
      </c>
      <c r="Z22" s="9" t="s">
        <v>262</v>
      </c>
      <c r="AA22" s="70">
        <v>7</v>
      </c>
      <c r="AB22" s="71">
        <v>2909</v>
      </c>
      <c r="AD22" s="73"/>
      <c r="AE22" s="48"/>
      <c r="AF22" s="48"/>
      <c r="AG22" s="49"/>
      <c r="AH22" s="51"/>
      <c r="AI22" s="48"/>
      <c r="AJ22" s="48"/>
      <c r="AK22" s="49"/>
      <c r="AL22" s="169">
        <f t="shared" si="4"/>
        <v>7.9500000000000001E-2</v>
      </c>
      <c r="AM22" s="320">
        <f t="shared" si="9"/>
        <v>9.2749999999999999E-2</v>
      </c>
      <c r="AN22" s="48"/>
      <c r="AO22" s="49"/>
      <c r="AP22" s="51"/>
      <c r="AQ22" s="48"/>
      <c r="AR22" s="320">
        <f t="shared" si="10"/>
        <v>5.3000000000000005E-2</v>
      </c>
      <c r="AS22" s="355">
        <f t="shared" si="11"/>
        <v>3.9750000000000001E-2</v>
      </c>
      <c r="AT22" s="51"/>
      <c r="AU22" s="48"/>
      <c r="AV22" s="328"/>
      <c r="AW22" s="49"/>
    </row>
    <row r="23" spans="1:49" x14ac:dyDescent="0.25">
      <c r="A23" s="25">
        <v>365</v>
      </c>
      <c r="B23" s="25" t="s">
        <v>28</v>
      </c>
      <c r="C23" s="25" t="s">
        <v>260</v>
      </c>
      <c r="D23" s="25" t="s">
        <v>261</v>
      </c>
      <c r="E23" s="24"/>
      <c r="F23" s="25" t="s">
        <v>262</v>
      </c>
      <c r="G23" s="25"/>
      <c r="H23" s="139" t="s">
        <v>31</v>
      </c>
      <c r="I23" s="25"/>
      <c r="J23" s="25">
        <v>0.26500000000000001</v>
      </c>
      <c r="K23" s="39">
        <v>0.26500000000000001</v>
      </c>
      <c r="L23" s="25">
        <v>1</v>
      </c>
      <c r="M23" s="25" t="s">
        <v>33</v>
      </c>
      <c r="N23" s="39">
        <f t="shared" si="5"/>
        <v>5.4855</v>
      </c>
      <c r="O23" s="39">
        <f t="shared" si="6"/>
        <v>6.39975</v>
      </c>
      <c r="P23" s="39">
        <f t="shared" si="7"/>
        <v>3.657</v>
      </c>
      <c r="Q23" s="39">
        <f t="shared" si="8"/>
        <v>2.74275</v>
      </c>
      <c r="R23" s="138">
        <v>18.285</v>
      </c>
      <c r="S23" s="106">
        <v>105991.94</v>
      </c>
      <c r="T23" s="106">
        <v>28087.864100000003</v>
      </c>
      <c r="U23" s="9"/>
      <c r="V23" s="9"/>
      <c r="W23" s="25" t="s">
        <v>271</v>
      </c>
      <c r="X23" s="25">
        <v>500209</v>
      </c>
      <c r="Y23" s="19" t="s">
        <v>264</v>
      </c>
      <c r="Z23" s="9" t="s">
        <v>262</v>
      </c>
      <c r="AA23" s="70">
        <v>8</v>
      </c>
      <c r="AB23" s="71">
        <v>2909</v>
      </c>
      <c r="AD23" s="73"/>
      <c r="AE23" s="48"/>
      <c r="AF23" s="48"/>
      <c r="AG23" s="49"/>
      <c r="AH23" s="51"/>
      <c r="AI23" s="48"/>
      <c r="AJ23" s="48"/>
      <c r="AK23" s="49"/>
      <c r="AL23" s="169">
        <f t="shared" si="4"/>
        <v>7.9500000000000001E-2</v>
      </c>
      <c r="AM23" s="320">
        <f t="shared" si="9"/>
        <v>9.2749999999999999E-2</v>
      </c>
      <c r="AN23" s="48"/>
      <c r="AO23" s="49"/>
      <c r="AP23" s="51"/>
      <c r="AQ23" s="48"/>
      <c r="AR23" s="320">
        <f t="shared" si="10"/>
        <v>5.3000000000000005E-2</v>
      </c>
      <c r="AS23" s="355">
        <f t="shared" si="11"/>
        <v>3.9750000000000001E-2</v>
      </c>
      <c r="AT23" s="51"/>
      <c r="AU23" s="48"/>
      <c r="AV23" s="328"/>
      <c r="AW23" s="49"/>
    </row>
    <row r="24" spans="1:49" x14ac:dyDescent="0.25">
      <c r="A24" s="25">
        <v>366</v>
      </c>
      <c r="B24" s="25" t="s">
        <v>28</v>
      </c>
      <c r="C24" s="25" t="s">
        <v>260</v>
      </c>
      <c r="D24" s="25" t="s">
        <v>261</v>
      </c>
      <c r="E24" s="24"/>
      <c r="F24" s="25" t="s">
        <v>272</v>
      </c>
      <c r="G24" s="25"/>
      <c r="H24" s="139" t="s">
        <v>31</v>
      </c>
      <c r="I24" s="25"/>
      <c r="J24" s="25">
        <v>0.98</v>
      </c>
      <c r="K24" s="39">
        <v>0.98</v>
      </c>
      <c r="L24" s="25">
        <v>1</v>
      </c>
      <c r="M24" s="25" t="s">
        <v>33</v>
      </c>
      <c r="N24" s="39">
        <f t="shared" si="5"/>
        <v>18.227999999999998</v>
      </c>
      <c r="O24" s="39">
        <f t="shared" si="6"/>
        <v>21.265999999999998</v>
      </c>
      <c r="P24" s="39">
        <f t="shared" si="7"/>
        <v>12.152000000000001</v>
      </c>
      <c r="Q24" s="39">
        <f t="shared" si="8"/>
        <v>9.113999999999999</v>
      </c>
      <c r="R24" s="138">
        <v>60.76</v>
      </c>
      <c r="S24" s="106">
        <v>105991.94</v>
      </c>
      <c r="T24" s="106">
        <v>103872.1012</v>
      </c>
      <c r="U24" s="9"/>
      <c r="V24" s="9"/>
      <c r="W24" s="25" t="s">
        <v>273</v>
      </c>
      <c r="X24" s="25">
        <v>500210</v>
      </c>
      <c r="Y24" s="19" t="s">
        <v>264</v>
      </c>
      <c r="Z24" s="9" t="s">
        <v>272</v>
      </c>
      <c r="AA24" s="70">
        <v>1</v>
      </c>
      <c r="AB24" s="71">
        <v>2813</v>
      </c>
      <c r="AD24" s="73"/>
      <c r="AE24" s="48"/>
      <c r="AF24" s="48"/>
      <c r="AG24" s="49"/>
      <c r="AH24" s="51"/>
      <c r="AI24" s="48"/>
      <c r="AJ24" s="48"/>
      <c r="AK24" s="49"/>
      <c r="AL24" s="169">
        <f t="shared" si="4"/>
        <v>0.29399999999999998</v>
      </c>
      <c r="AM24" s="320">
        <f t="shared" si="9"/>
        <v>0.34299999999999997</v>
      </c>
      <c r="AN24" s="48"/>
      <c r="AO24" s="49"/>
      <c r="AP24" s="51"/>
      <c r="AQ24" s="48"/>
      <c r="AR24" s="320">
        <f t="shared" si="10"/>
        <v>0.19600000000000001</v>
      </c>
      <c r="AS24" s="355">
        <f t="shared" si="11"/>
        <v>0.14699999999999999</v>
      </c>
      <c r="AT24" s="51"/>
      <c r="AU24" s="48"/>
      <c r="AV24" s="328"/>
      <c r="AW24" s="49"/>
    </row>
    <row r="25" spans="1:49" x14ac:dyDescent="0.25">
      <c r="A25" s="25">
        <v>367</v>
      </c>
      <c r="B25" s="25" t="s">
        <v>28</v>
      </c>
      <c r="C25" s="25" t="s">
        <v>260</v>
      </c>
      <c r="D25" s="25" t="s">
        <v>261</v>
      </c>
      <c r="E25" s="24"/>
      <c r="F25" s="25" t="s">
        <v>272</v>
      </c>
      <c r="G25" s="25"/>
      <c r="H25" s="139" t="s">
        <v>31</v>
      </c>
      <c r="I25" s="25"/>
      <c r="J25" s="25">
        <v>0.98</v>
      </c>
      <c r="K25" s="39">
        <v>0.98</v>
      </c>
      <c r="L25" s="25">
        <v>1</v>
      </c>
      <c r="M25" s="25" t="s">
        <v>33</v>
      </c>
      <c r="N25" s="39">
        <f t="shared" si="5"/>
        <v>18.227999999999998</v>
      </c>
      <c r="O25" s="39">
        <f t="shared" si="6"/>
        <v>21.265999999999998</v>
      </c>
      <c r="P25" s="39">
        <f t="shared" si="7"/>
        <v>12.152000000000001</v>
      </c>
      <c r="Q25" s="39">
        <f t="shared" si="8"/>
        <v>9.113999999999999</v>
      </c>
      <c r="R25" s="138">
        <v>60.76</v>
      </c>
      <c r="S25" s="106">
        <v>105991.94</v>
      </c>
      <c r="T25" s="106">
        <v>103872.1012</v>
      </c>
      <c r="U25" s="9"/>
      <c r="V25" s="9"/>
      <c r="W25" s="25" t="s">
        <v>273</v>
      </c>
      <c r="X25" s="25">
        <v>500210</v>
      </c>
      <c r="Y25" s="19" t="s">
        <v>264</v>
      </c>
      <c r="Z25" s="9" t="s">
        <v>272</v>
      </c>
      <c r="AA25" s="70">
        <v>2</v>
      </c>
      <c r="AB25" s="71">
        <v>2813</v>
      </c>
      <c r="AD25" s="73"/>
      <c r="AE25" s="48"/>
      <c r="AF25" s="48"/>
      <c r="AG25" s="49"/>
      <c r="AH25" s="51"/>
      <c r="AI25" s="48"/>
      <c r="AJ25" s="48"/>
      <c r="AK25" s="49"/>
      <c r="AL25" s="169">
        <f t="shared" si="4"/>
        <v>0.29399999999999998</v>
      </c>
      <c r="AM25" s="320">
        <f t="shared" si="9"/>
        <v>0.34299999999999997</v>
      </c>
      <c r="AN25" s="48"/>
      <c r="AO25" s="49"/>
      <c r="AP25" s="51"/>
      <c r="AQ25" s="48"/>
      <c r="AR25" s="320">
        <f t="shared" si="10"/>
        <v>0.19600000000000001</v>
      </c>
      <c r="AS25" s="355">
        <f t="shared" si="11"/>
        <v>0.14699999999999999</v>
      </c>
      <c r="AT25" s="51"/>
      <c r="AU25" s="48"/>
      <c r="AV25" s="328"/>
      <c r="AW25" s="49"/>
    </row>
    <row r="26" spans="1:49" x14ac:dyDescent="0.25">
      <c r="A26" s="25">
        <v>368</v>
      </c>
      <c r="B26" s="25" t="s">
        <v>28</v>
      </c>
      <c r="C26" s="25" t="s">
        <v>260</v>
      </c>
      <c r="D26" s="25" t="s">
        <v>261</v>
      </c>
      <c r="E26" s="24"/>
      <c r="F26" s="25" t="s">
        <v>262</v>
      </c>
      <c r="G26" s="25"/>
      <c r="H26" s="139" t="s">
        <v>31</v>
      </c>
      <c r="I26" s="25"/>
      <c r="J26" s="25">
        <v>0.755</v>
      </c>
      <c r="K26" s="39">
        <v>0.755</v>
      </c>
      <c r="L26" s="25">
        <v>1</v>
      </c>
      <c r="M26" s="25" t="s">
        <v>33</v>
      </c>
      <c r="N26" s="39">
        <f t="shared" si="5"/>
        <v>14.043000000000001</v>
      </c>
      <c r="O26" s="39">
        <f t="shared" si="6"/>
        <v>16.383500000000002</v>
      </c>
      <c r="P26" s="39">
        <f t="shared" si="7"/>
        <v>9.3620000000000001</v>
      </c>
      <c r="Q26" s="39">
        <f t="shared" si="8"/>
        <v>7.0215000000000005</v>
      </c>
      <c r="R26" s="138">
        <v>46.81</v>
      </c>
      <c r="S26" s="106">
        <v>105991.94</v>
      </c>
      <c r="T26" s="106">
        <v>80023.914700000008</v>
      </c>
      <c r="U26" s="9"/>
      <c r="V26" s="9"/>
      <c r="W26" s="25" t="s">
        <v>274</v>
      </c>
      <c r="X26" s="25">
        <v>500211</v>
      </c>
      <c r="Y26" s="19" t="s">
        <v>264</v>
      </c>
      <c r="Z26" s="9" t="s">
        <v>262</v>
      </c>
      <c r="AA26" s="70">
        <v>1</v>
      </c>
      <c r="AB26" s="71">
        <v>2909</v>
      </c>
      <c r="AD26" s="73"/>
      <c r="AE26" s="48"/>
      <c r="AF26" s="48"/>
      <c r="AG26" s="49"/>
      <c r="AH26" s="51"/>
      <c r="AI26" s="48"/>
      <c r="AJ26" s="48"/>
      <c r="AK26" s="49"/>
      <c r="AL26" s="169">
        <f t="shared" si="4"/>
        <v>0.22649999999999998</v>
      </c>
      <c r="AM26" s="320">
        <f t="shared" si="9"/>
        <v>0.26424999999999998</v>
      </c>
      <c r="AN26" s="48"/>
      <c r="AO26" s="49"/>
      <c r="AP26" s="51"/>
      <c r="AQ26" s="48"/>
      <c r="AR26" s="320">
        <f t="shared" si="10"/>
        <v>0.15100000000000002</v>
      </c>
      <c r="AS26" s="355">
        <f t="shared" si="11"/>
        <v>0.11324999999999999</v>
      </c>
      <c r="AT26" s="51"/>
      <c r="AU26" s="48"/>
      <c r="AV26" s="328"/>
      <c r="AW26" s="49"/>
    </row>
    <row r="27" spans="1:49" x14ac:dyDescent="0.25">
      <c r="A27" s="25">
        <v>369</v>
      </c>
      <c r="B27" s="25" t="s">
        <v>28</v>
      </c>
      <c r="C27" s="25" t="s">
        <v>260</v>
      </c>
      <c r="D27" s="25" t="s">
        <v>261</v>
      </c>
      <c r="E27" s="24"/>
      <c r="F27" s="25" t="s">
        <v>262</v>
      </c>
      <c r="G27" s="25"/>
      <c r="H27" s="139" t="s">
        <v>31</v>
      </c>
      <c r="I27" s="25"/>
      <c r="J27" s="25">
        <v>0.755</v>
      </c>
      <c r="K27" s="39">
        <v>0.755</v>
      </c>
      <c r="L27" s="25">
        <v>1</v>
      </c>
      <c r="M27" s="25" t="s">
        <v>33</v>
      </c>
      <c r="N27" s="39">
        <f t="shared" si="5"/>
        <v>14.043000000000001</v>
      </c>
      <c r="O27" s="39">
        <f t="shared" si="6"/>
        <v>16.383500000000002</v>
      </c>
      <c r="P27" s="39">
        <f t="shared" si="7"/>
        <v>9.3620000000000001</v>
      </c>
      <c r="Q27" s="39">
        <f t="shared" si="8"/>
        <v>7.0215000000000005</v>
      </c>
      <c r="R27" s="138">
        <v>46.81</v>
      </c>
      <c r="S27" s="106">
        <v>105991.94</v>
      </c>
      <c r="T27" s="106">
        <v>80023.914700000008</v>
      </c>
      <c r="U27" s="9"/>
      <c r="V27" s="9"/>
      <c r="W27" s="25" t="s">
        <v>274</v>
      </c>
      <c r="X27" s="25">
        <v>500211</v>
      </c>
      <c r="Y27" s="19" t="s">
        <v>264</v>
      </c>
      <c r="Z27" s="9" t="s">
        <v>262</v>
      </c>
      <c r="AA27" s="70">
        <v>2</v>
      </c>
      <c r="AB27" s="71">
        <v>2909</v>
      </c>
      <c r="AD27" s="73"/>
      <c r="AE27" s="48"/>
      <c r="AF27" s="48"/>
      <c r="AG27" s="49"/>
      <c r="AH27" s="51"/>
      <c r="AI27" s="48"/>
      <c r="AJ27" s="48"/>
      <c r="AK27" s="49"/>
      <c r="AL27" s="169">
        <f t="shared" si="4"/>
        <v>0.22649999999999998</v>
      </c>
      <c r="AM27" s="320">
        <f t="shared" si="9"/>
        <v>0.26424999999999998</v>
      </c>
      <c r="AN27" s="48"/>
      <c r="AO27" s="49"/>
      <c r="AP27" s="51"/>
      <c r="AQ27" s="48"/>
      <c r="AR27" s="320">
        <f t="shared" si="10"/>
        <v>0.15100000000000002</v>
      </c>
      <c r="AS27" s="355">
        <f t="shared" si="11"/>
        <v>0.11324999999999999</v>
      </c>
      <c r="AT27" s="51"/>
      <c r="AU27" s="48"/>
      <c r="AV27" s="328"/>
      <c r="AW27" s="49"/>
    </row>
    <row r="28" spans="1:49" x14ac:dyDescent="0.25">
      <c r="A28" s="25">
        <v>370</v>
      </c>
      <c r="B28" s="25" t="s">
        <v>28</v>
      </c>
      <c r="C28" s="25" t="s">
        <v>260</v>
      </c>
      <c r="D28" s="25" t="s">
        <v>261</v>
      </c>
      <c r="E28" s="24"/>
      <c r="F28" s="25" t="s">
        <v>225</v>
      </c>
      <c r="G28" s="25"/>
      <c r="H28" s="139" t="s">
        <v>31</v>
      </c>
      <c r="I28" s="25"/>
      <c r="J28" s="25">
        <v>8.4000000000000005E-2</v>
      </c>
      <c r="K28" s="39">
        <v>8.4000000000000005E-2</v>
      </c>
      <c r="L28" s="25">
        <v>1</v>
      </c>
      <c r="M28" s="25" t="s">
        <v>33</v>
      </c>
      <c r="N28" s="39">
        <f t="shared" si="5"/>
        <v>1.9403999999999999</v>
      </c>
      <c r="O28" s="39">
        <f t="shared" si="6"/>
        <v>2.2637999999999998</v>
      </c>
      <c r="P28" s="39">
        <f t="shared" si="7"/>
        <v>1.2936000000000001</v>
      </c>
      <c r="Q28" s="39">
        <f t="shared" si="8"/>
        <v>0.97019999999999995</v>
      </c>
      <c r="R28" s="138">
        <v>6.468</v>
      </c>
      <c r="S28" s="106">
        <v>105991.94</v>
      </c>
      <c r="T28" s="106">
        <v>8903.3229600000013</v>
      </c>
      <c r="U28" s="9"/>
      <c r="V28" s="9"/>
      <c r="W28" s="25" t="s">
        <v>275</v>
      </c>
      <c r="X28" s="25">
        <v>500211</v>
      </c>
      <c r="Y28" s="19" t="s">
        <v>264</v>
      </c>
      <c r="Z28" s="9" t="s">
        <v>225</v>
      </c>
      <c r="AA28" s="70">
        <v>3</v>
      </c>
      <c r="AB28" s="71">
        <v>2909</v>
      </c>
      <c r="AD28" s="73"/>
      <c r="AE28" s="48"/>
      <c r="AF28" s="48"/>
      <c r="AG28" s="49"/>
      <c r="AH28" s="51"/>
      <c r="AI28" s="48"/>
      <c r="AJ28" s="48"/>
      <c r="AK28" s="49"/>
      <c r="AL28" s="169">
        <f t="shared" si="4"/>
        <v>2.52E-2</v>
      </c>
      <c r="AM28" s="320">
        <f t="shared" si="9"/>
        <v>2.9399999999999999E-2</v>
      </c>
      <c r="AN28" s="48"/>
      <c r="AO28" s="49"/>
      <c r="AP28" s="51"/>
      <c r="AQ28" s="48"/>
      <c r="AR28" s="320">
        <f t="shared" si="10"/>
        <v>1.6800000000000002E-2</v>
      </c>
      <c r="AS28" s="355">
        <f t="shared" si="11"/>
        <v>1.26E-2</v>
      </c>
      <c r="AT28" s="51"/>
      <c r="AU28" s="48"/>
      <c r="AV28" s="328"/>
      <c r="AW28" s="49"/>
    </row>
    <row r="29" spans="1:49" x14ac:dyDescent="0.25">
      <c r="A29" s="25">
        <v>371</v>
      </c>
      <c r="B29" s="25" t="s">
        <v>28</v>
      </c>
      <c r="C29" s="25" t="s">
        <v>260</v>
      </c>
      <c r="D29" s="25" t="s">
        <v>261</v>
      </c>
      <c r="E29" s="24"/>
      <c r="F29" s="25" t="s">
        <v>225</v>
      </c>
      <c r="G29" s="25"/>
      <c r="H29" s="139" t="s">
        <v>31</v>
      </c>
      <c r="I29" s="25"/>
      <c r="J29" s="25">
        <v>8.4000000000000005E-2</v>
      </c>
      <c r="K29" s="39">
        <v>8.4000000000000005E-2</v>
      </c>
      <c r="L29" s="25">
        <v>1</v>
      </c>
      <c r="M29" s="25" t="s">
        <v>33</v>
      </c>
      <c r="N29" s="39">
        <f t="shared" si="5"/>
        <v>1.9403999999999999</v>
      </c>
      <c r="O29" s="39">
        <f t="shared" si="6"/>
        <v>2.2637999999999998</v>
      </c>
      <c r="P29" s="39">
        <f t="shared" si="7"/>
        <v>1.2936000000000001</v>
      </c>
      <c r="Q29" s="39">
        <f t="shared" si="8"/>
        <v>0.97019999999999995</v>
      </c>
      <c r="R29" s="138">
        <v>6.468</v>
      </c>
      <c r="S29" s="106">
        <v>105991.94</v>
      </c>
      <c r="T29" s="106">
        <v>8903.3229600000013</v>
      </c>
      <c r="U29" s="9"/>
      <c r="V29" s="9"/>
      <c r="W29" s="25" t="s">
        <v>275</v>
      </c>
      <c r="X29" s="25">
        <v>500211</v>
      </c>
      <c r="Y29" s="19" t="s">
        <v>264</v>
      </c>
      <c r="Z29" s="9" t="s">
        <v>225</v>
      </c>
      <c r="AA29" s="70">
        <v>4</v>
      </c>
      <c r="AB29" s="71">
        <v>2909</v>
      </c>
      <c r="AD29" s="73"/>
      <c r="AE29" s="48"/>
      <c r="AF29" s="48"/>
      <c r="AG29" s="49"/>
      <c r="AH29" s="51"/>
      <c r="AI29" s="48"/>
      <c r="AJ29" s="48"/>
      <c r="AK29" s="49"/>
      <c r="AL29" s="169">
        <f t="shared" si="4"/>
        <v>2.52E-2</v>
      </c>
      <c r="AM29" s="320">
        <f t="shared" si="9"/>
        <v>2.9399999999999999E-2</v>
      </c>
      <c r="AN29" s="48"/>
      <c r="AO29" s="49"/>
      <c r="AP29" s="51"/>
      <c r="AQ29" s="48"/>
      <c r="AR29" s="320">
        <f t="shared" si="10"/>
        <v>1.6800000000000002E-2</v>
      </c>
      <c r="AS29" s="355">
        <f t="shared" si="11"/>
        <v>1.26E-2</v>
      </c>
      <c r="AT29" s="51"/>
      <c r="AU29" s="48"/>
      <c r="AV29" s="328"/>
      <c r="AW29" s="49"/>
    </row>
    <row r="30" spans="1:49" x14ac:dyDescent="0.25">
      <c r="A30" s="25">
        <v>372</v>
      </c>
      <c r="B30" s="25" t="s">
        <v>28</v>
      </c>
      <c r="C30" s="25" t="s">
        <v>260</v>
      </c>
      <c r="D30" s="25" t="s">
        <v>261</v>
      </c>
      <c r="E30" s="24"/>
      <c r="F30" s="25" t="s">
        <v>225</v>
      </c>
      <c r="G30" s="25"/>
      <c r="H30" s="139" t="s">
        <v>31</v>
      </c>
      <c r="I30" s="25"/>
      <c r="J30" s="25">
        <v>1.4E-2</v>
      </c>
      <c r="K30" s="39">
        <v>1.4E-2</v>
      </c>
      <c r="L30" s="25">
        <v>1</v>
      </c>
      <c r="M30" s="25" t="s">
        <v>33</v>
      </c>
      <c r="N30" s="39">
        <f t="shared" si="5"/>
        <v>0.36119999999999997</v>
      </c>
      <c r="O30" s="39">
        <f t="shared" si="6"/>
        <v>0.42139999999999994</v>
      </c>
      <c r="P30" s="39">
        <f t="shared" si="7"/>
        <v>0.24080000000000001</v>
      </c>
      <c r="Q30" s="39">
        <f t="shared" si="8"/>
        <v>0.18059999999999998</v>
      </c>
      <c r="R30" s="138">
        <v>1.204</v>
      </c>
      <c r="S30" s="106">
        <v>105991.94</v>
      </c>
      <c r="T30" s="106">
        <v>1483.88716</v>
      </c>
      <c r="U30" s="9"/>
      <c r="V30" s="9"/>
      <c r="W30" s="25" t="s">
        <v>276</v>
      </c>
      <c r="X30" s="25">
        <v>500211</v>
      </c>
      <c r="Y30" s="19" t="s">
        <v>264</v>
      </c>
      <c r="Z30" s="9" t="s">
        <v>225</v>
      </c>
      <c r="AA30" s="70">
        <v>5</v>
      </c>
      <c r="AB30" s="71">
        <v>2909</v>
      </c>
      <c r="AD30" s="73"/>
      <c r="AE30" s="48"/>
      <c r="AF30" s="48"/>
      <c r="AG30" s="49"/>
      <c r="AH30" s="51"/>
      <c r="AI30" s="48"/>
      <c r="AJ30" s="48"/>
      <c r="AK30" s="49"/>
      <c r="AL30" s="169">
        <f t="shared" si="4"/>
        <v>4.1999999999999997E-3</v>
      </c>
      <c r="AM30" s="320">
        <f t="shared" si="9"/>
        <v>4.8999999999999998E-3</v>
      </c>
      <c r="AN30" s="48"/>
      <c r="AO30" s="49"/>
      <c r="AP30" s="51"/>
      <c r="AQ30" s="48"/>
      <c r="AR30" s="320">
        <f t="shared" si="10"/>
        <v>2.8000000000000004E-3</v>
      </c>
      <c r="AS30" s="355">
        <f t="shared" si="11"/>
        <v>2.0999999999999999E-3</v>
      </c>
      <c r="AT30" s="51"/>
      <c r="AU30" s="48"/>
      <c r="AV30" s="328"/>
      <c r="AW30" s="49"/>
    </row>
    <row r="31" spans="1:49" x14ac:dyDescent="0.25">
      <c r="A31" s="25">
        <v>373</v>
      </c>
      <c r="B31" s="25" t="s">
        <v>28</v>
      </c>
      <c r="C31" s="25" t="s">
        <v>260</v>
      </c>
      <c r="D31" s="25" t="s">
        <v>261</v>
      </c>
      <c r="E31" s="24"/>
      <c r="F31" s="25" t="s">
        <v>225</v>
      </c>
      <c r="G31" s="25"/>
      <c r="H31" s="139" t="s">
        <v>31</v>
      </c>
      <c r="I31" s="25"/>
      <c r="J31" s="25">
        <v>1.4E-2</v>
      </c>
      <c r="K31" s="39">
        <v>1.4E-2</v>
      </c>
      <c r="L31" s="25">
        <v>1</v>
      </c>
      <c r="M31" s="25" t="s">
        <v>33</v>
      </c>
      <c r="N31" s="39">
        <f t="shared" si="5"/>
        <v>0.36119999999999997</v>
      </c>
      <c r="O31" s="39">
        <f t="shared" si="6"/>
        <v>0.42139999999999994</v>
      </c>
      <c r="P31" s="39">
        <f t="shared" si="7"/>
        <v>0.24080000000000001</v>
      </c>
      <c r="Q31" s="39">
        <f t="shared" si="8"/>
        <v>0.18059999999999998</v>
      </c>
      <c r="R31" s="138">
        <v>1.204</v>
      </c>
      <c r="S31" s="106">
        <v>105991.94</v>
      </c>
      <c r="T31" s="106">
        <v>1483.88716</v>
      </c>
      <c r="U31" s="9"/>
      <c r="V31" s="9"/>
      <c r="W31" s="25" t="s">
        <v>276</v>
      </c>
      <c r="X31" s="25">
        <v>500211</v>
      </c>
      <c r="Y31" s="19" t="s">
        <v>264</v>
      </c>
      <c r="Z31" s="9" t="s">
        <v>225</v>
      </c>
      <c r="AA31" s="70">
        <v>6</v>
      </c>
      <c r="AB31" s="71">
        <v>2909</v>
      </c>
      <c r="AD31" s="73"/>
      <c r="AE31" s="48"/>
      <c r="AF31" s="48"/>
      <c r="AG31" s="49"/>
      <c r="AH31" s="51"/>
      <c r="AI31" s="48"/>
      <c r="AJ31" s="48"/>
      <c r="AK31" s="49"/>
      <c r="AL31" s="169">
        <f t="shared" si="4"/>
        <v>4.1999999999999997E-3</v>
      </c>
      <c r="AM31" s="320">
        <f t="shared" si="9"/>
        <v>4.8999999999999998E-3</v>
      </c>
      <c r="AN31" s="48"/>
      <c r="AO31" s="49"/>
      <c r="AP31" s="51"/>
      <c r="AQ31" s="48"/>
      <c r="AR31" s="320">
        <f t="shared" si="10"/>
        <v>2.8000000000000004E-3</v>
      </c>
      <c r="AS31" s="355">
        <f t="shared" si="11"/>
        <v>2.0999999999999999E-3</v>
      </c>
      <c r="AT31" s="51"/>
      <c r="AU31" s="48"/>
      <c r="AV31" s="328"/>
      <c r="AW31" s="49"/>
    </row>
    <row r="32" spans="1:49" x14ac:dyDescent="0.25">
      <c r="A32" s="25">
        <v>374</v>
      </c>
      <c r="B32" s="25" t="s">
        <v>28</v>
      </c>
      <c r="C32" s="25" t="s">
        <v>260</v>
      </c>
      <c r="D32" s="25" t="s">
        <v>261</v>
      </c>
      <c r="E32" s="24"/>
      <c r="F32" s="25" t="s">
        <v>225</v>
      </c>
      <c r="G32" s="25"/>
      <c r="H32" s="139" t="s">
        <v>31</v>
      </c>
      <c r="I32" s="25"/>
      <c r="J32" s="25">
        <v>1.4E-2</v>
      </c>
      <c r="K32" s="39">
        <v>1.4E-2</v>
      </c>
      <c r="L32" s="25">
        <v>1</v>
      </c>
      <c r="M32" s="25" t="s">
        <v>33</v>
      </c>
      <c r="N32" s="39">
        <f t="shared" si="5"/>
        <v>0.36119999999999997</v>
      </c>
      <c r="O32" s="39">
        <f t="shared" si="6"/>
        <v>0.42139999999999994</v>
      </c>
      <c r="P32" s="39">
        <f t="shared" si="7"/>
        <v>0.24080000000000001</v>
      </c>
      <c r="Q32" s="39">
        <f t="shared" si="8"/>
        <v>0.18059999999999998</v>
      </c>
      <c r="R32" s="138">
        <v>1.204</v>
      </c>
      <c r="S32" s="106">
        <v>105991.94</v>
      </c>
      <c r="T32" s="106">
        <v>1483.88716</v>
      </c>
      <c r="U32" s="9"/>
      <c r="V32" s="9"/>
      <c r="W32" s="25" t="s">
        <v>277</v>
      </c>
      <c r="X32" s="25">
        <v>500211</v>
      </c>
      <c r="Y32" s="19" t="s">
        <v>264</v>
      </c>
      <c r="Z32" s="9" t="s">
        <v>225</v>
      </c>
      <c r="AA32" s="70">
        <v>7</v>
      </c>
      <c r="AB32" s="71">
        <v>2909</v>
      </c>
      <c r="AD32" s="73"/>
      <c r="AE32" s="48"/>
      <c r="AF32" s="48"/>
      <c r="AG32" s="49"/>
      <c r="AH32" s="51"/>
      <c r="AI32" s="48"/>
      <c r="AJ32" s="48"/>
      <c r="AK32" s="49"/>
      <c r="AL32" s="169">
        <f t="shared" si="4"/>
        <v>4.1999999999999997E-3</v>
      </c>
      <c r="AM32" s="320">
        <f t="shared" si="9"/>
        <v>4.8999999999999998E-3</v>
      </c>
      <c r="AN32" s="48"/>
      <c r="AO32" s="49"/>
      <c r="AP32" s="51"/>
      <c r="AQ32" s="48"/>
      <c r="AR32" s="320">
        <f t="shared" si="10"/>
        <v>2.8000000000000004E-3</v>
      </c>
      <c r="AS32" s="355">
        <f t="shared" si="11"/>
        <v>2.0999999999999999E-3</v>
      </c>
      <c r="AT32" s="51"/>
      <c r="AU32" s="48"/>
      <c r="AV32" s="328"/>
      <c r="AW32" s="49"/>
    </row>
    <row r="33" spans="1:49" x14ac:dyDescent="0.25">
      <c r="A33" s="25">
        <v>375</v>
      </c>
      <c r="B33" s="25" t="s">
        <v>28</v>
      </c>
      <c r="C33" s="25" t="s">
        <v>260</v>
      </c>
      <c r="D33" s="25" t="s">
        <v>261</v>
      </c>
      <c r="E33" s="24"/>
      <c r="F33" s="25" t="s">
        <v>225</v>
      </c>
      <c r="G33" s="25"/>
      <c r="H33" s="139" t="s">
        <v>31</v>
      </c>
      <c r="I33" s="25"/>
      <c r="J33" s="25">
        <v>1.4E-2</v>
      </c>
      <c r="K33" s="39">
        <v>1.4E-2</v>
      </c>
      <c r="L33" s="25">
        <v>1</v>
      </c>
      <c r="M33" s="25" t="s">
        <v>33</v>
      </c>
      <c r="N33" s="39">
        <f t="shared" si="5"/>
        <v>0.36119999999999997</v>
      </c>
      <c r="O33" s="39">
        <f t="shared" si="6"/>
        <v>0.42139999999999994</v>
      </c>
      <c r="P33" s="39">
        <f t="shared" si="7"/>
        <v>0.24080000000000001</v>
      </c>
      <c r="Q33" s="39">
        <f t="shared" si="8"/>
        <v>0.18059999999999998</v>
      </c>
      <c r="R33" s="138">
        <v>1.204</v>
      </c>
      <c r="S33" s="106">
        <v>105991.94</v>
      </c>
      <c r="T33" s="106">
        <v>1483.88716</v>
      </c>
      <c r="U33" s="9"/>
      <c r="V33" s="9"/>
      <c r="W33" s="25" t="s">
        <v>278</v>
      </c>
      <c r="X33" s="25">
        <v>500211</v>
      </c>
      <c r="Y33" s="19" t="s">
        <v>264</v>
      </c>
      <c r="Z33" s="9" t="s">
        <v>225</v>
      </c>
      <c r="AA33" s="70">
        <v>8</v>
      </c>
      <c r="AB33" s="71">
        <v>2909</v>
      </c>
      <c r="AD33" s="73"/>
      <c r="AE33" s="48"/>
      <c r="AF33" s="48"/>
      <c r="AG33" s="49"/>
      <c r="AH33" s="51"/>
      <c r="AI33" s="48"/>
      <c r="AJ33" s="48"/>
      <c r="AK33" s="49"/>
      <c r="AL33" s="169">
        <f t="shared" si="4"/>
        <v>4.1999999999999997E-3</v>
      </c>
      <c r="AM33" s="320">
        <f t="shared" si="9"/>
        <v>4.8999999999999998E-3</v>
      </c>
      <c r="AN33" s="48"/>
      <c r="AO33" s="49"/>
      <c r="AP33" s="51"/>
      <c r="AQ33" s="48"/>
      <c r="AR33" s="320">
        <f t="shared" si="10"/>
        <v>2.8000000000000004E-3</v>
      </c>
      <c r="AS33" s="355">
        <f t="shared" si="11"/>
        <v>2.0999999999999999E-3</v>
      </c>
      <c r="AT33" s="51"/>
      <c r="AU33" s="48"/>
      <c r="AV33" s="328"/>
      <c r="AW33" s="49"/>
    </row>
    <row r="34" spans="1:49" x14ac:dyDescent="0.25">
      <c r="A34" s="25">
        <v>376</v>
      </c>
      <c r="B34" s="25" t="s">
        <v>28</v>
      </c>
      <c r="C34" s="25" t="s">
        <v>260</v>
      </c>
      <c r="D34" s="25" t="s">
        <v>261</v>
      </c>
      <c r="E34" s="24"/>
      <c r="F34" s="25" t="s">
        <v>161</v>
      </c>
      <c r="G34" s="25"/>
      <c r="H34" s="139" t="s">
        <v>31</v>
      </c>
      <c r="I34" s="25"/>
      <c r="J34" s="25">
        <v>5.2999999999999999E-2</v>
      </c>
      <c r="K34" s="39">
        <v>5.2999999999999999E-2</v>
      </c>
      <c r="L34" s="25">
        <v>1</v>
      </c>
      <c r="M34" s="25" t="s">
        <v>33</v>
      </c>
      <c r="N34" s="39">
        <f t="shared" si="5"/>
        <v>1.2242999999999997</v>
      </c>
      <c r="O34" s="39">
        <f t="shared" si="6"/>
        <v>1.4283499999999998</v>
      </c>
      <c r="P34" s="39">
        <f t="shared" si="7"/>
        <v>0.81619999999999993</v>
      </c>
      <c r="Q34" s="39">
        <f t="shared" si="8"/>
        <v>0.61214999999999986</v>
      </c>
      <c r="R34" s="138">
        <v>4.0809999999999995</v>
      </c>
      <c r="S34" s="106">
        <v>105991.94</v>
      </c>
      <c r="T34" s="106">
        <v>5617.5728200000003</v>
      </c>
      <c r="U34" s="9"/>
      <c r="V34" s="9"/>
      <c r="W34" s="25" t="s">
        <v>279</v>
      </c>
      <c r="X34" s="25">
        <v>500211</v>
      </c>
      <c r="Y34" s="19" t="s">
        <v>264</v>
      </c>
      <c r="Z34" s="9" t="s">
        <v>161</v>
      </c>
      <c r="AA34" s="70">
        <v>9</v>
      </c>
      <c r="AB34" s="71">
        <v>2909</v>
      </c>
      <c r="AD34" s="73"/>
      <c r="AE34" s="48"/>
      <c r="AF34" s="48"/>
      <c r="AG34" s="49"/>
      <c r="AH34" s="51"/>
      <c r="AI34" s="48"/>
      <c r="AJ34" s="48"/>
      <c r="AK34" s="49"/>
      <c r="AL34" s="169">
        <f t="shared" si="4"/>
        <v>1.5899999999999997E-2</v>
      </c>
      <c r="AM34" s="320">
        <f t="shared" si="9"/>
        <v>1.8549999999999997E-2</v>
      </c>
      <c r="AN34" s="48"/>
      <c r="AO34" s="49"/>
      <c r="AP34" s="51"/>
      <c r="AQ34" s="48"/>
      <c r="AR34" s="320">
        <f t="shared" si="10"/>
        <v>1.06E-2</v>
      </c>
      <c r="AS34" s="355">
        <f t="shared" si="11"/>
        <v>7.9499999999999987E-3</v>
      </c>
      <c r="AT34" s="51"/>
      <c r="AU34" s="48"/>
      <c r="AV34" s="328"/>
      <c r="AW34" s="49"/>
    </row>
    <row r="35" spans="1:49" x14ac:dyDescent="0.25">
      <c r="A35" s="25">
        <v>377</v>
      </c>
      <c r="B35" s="25" t="s">
        <v>28</v>
      </c>
      <c r="C35" s="25" t="s">
        <v>260</v>
      </c>
      <c r="D35" s="25" t="s">
        <v>261</v>
      </c>
      <c r="E35" s="24"/>
      <c r="F35" s="25" t="s">
        <v>161</v>
      </c>
      <c r="G35" s="25"/>
      <c r="H35" s="139" t="s">
        <v>31</v>
      </c>
      <c r="I35" s="25"/>
      <c r="J35" s="25">
        <v>5.2999999999999999E-2</v>
      </c>
      <c r="K35" s="39">
        <v>5.2999999999999999E-2</v>
      </c>
      <c r="L35" s="25">
        <v>1</v>
      </c>
      <c r="M35" s="25" t="s">
        <v>33</v>
      </c>
      <c r="N35" s="39">
        <f t="shared" si="5"/>
        <v>1.2242999999999997</v>
      </c>
      <c r="O35" s="39">
        <f t="shared" si="6"/>
        <v>1.4283499999999998</v>
      </c>
      <c r="P35" s="39">
        <f t="shared" si="7"/>
        <v>0.81619999999999993</v>
      </c>
      <c r="Q35" s="39">
        <f t="shared" si="8"/>
        <v>0.61214999999999986</v>
      </c>
      <c r="R35" s="138">
        <v>4.0809999999999995</v>
      </c>
      <c r="S35" s="106">
        <v>105991.94</v>
      </c>
      <c r="T35" s="106">
        <v>5617.5728200000003</v>
      </c>
      <c r="U35" s="9"/>
      <c r="V35" s="9"/>
      <c r="W35" s="25" t="s">
        <v>279</v>
      </c>
      <c r="X35" s="25">
        <v>500211</v>
      </c>
      <c r="Y35" s="19" t="s">
        <v>264</v>
      </c>
      <c r="Z35" s="9" t="s">
        <v>161</v>
      </c>
      <c r="AA35" s="70">
        <v>10</v>
      </c>
      <c r="AB35" s="71">
        <v>2909</v>
      </c>
      <c r="AD35" s="73"/>
      <c r="AE35" s="48"/>
      <c r="AF35" s="48"/>
      <c r="AG35" s="49"/>
      <c r="AH35" s="51"/>
      <c r="AI35" s="48"/>
      <c r="AJ35" s="48"/>
      <c r="AK35" s="49"/>
      <c r="AL35" s="169">
        <f t="shared" si="4"/>
        <v>1.5899999999999997E-2</v>
      </c>
      <c r="AM35" s="320">
        <f t="shared" si="9"/>
        <v>1.8549999999999997E-2</v>
      </c>
      <c r="AN35" s="48"/>
      <c r="AO35" s="49"/>
      <c r="AP35" s="51"/>
      <c r="AQ35" s="48"/>
      <c r="AR35" s="320">
        <f t="shared" si="10"/>
        <v>1.06E-2</v>
      </c>
      <c r="AS35" s="355">
        <f t="shared" si="11"/>
        <v>7.9499999999999987E-3</v>
      </c>
      <c r="AT35" s="51"/>
      <c r="AU35" s="48"/>
      <c r="AV35" s="328"/>
      <c r="AW35" s="49"/>
    </row>
    <row r="36" spans="1:49" x14ac:dyDescent="0.25">
      <c r="A36" s="25">
        <v>378</v>
      </c>
      <c r="B36" s="25" t="s">
        <v>28</v>
      </c>
      <c r="C36" s="25" t="s">
        <v>260</v>
      </c>
      <c r="D36" s="25" t="s">
        <v>261</v>
      </c>
      <c r="E36" s="24"/>
      <c r="F36" s="25" t="s">
        <v>161</v>
      </c>
      <c r="G36" s="25"/>
      <c r="H36" s="139" t="s">
        <v>31</v>
      </c>
      <c r="I36" s="25"/>
      <c r="J36" s="25">
        <v>5.7000000000000002E-2</v>
      </c>
      <c r="K36" s="39">
        <v>5.7000000000000002E-2</v>
      </c>
      <c r="L36" s="25">
        <v>1</v>
      </c>
      <c r="M36" s="25" t="s">
        <v>33</v>
      </c>
      <c r="N36" s="39">
        <f t="shared" si="5"/>
        <v>1.3167</v>
      </c>
      <c r="O36" s="39">
        <f t="shared" si="6"/>
        <v>1.5361499999999999</v>
      </c>
      <c r="P36" s="39">
        <f t="shared" si="7"/>
        <v>0.87780000000000014</v>
      </c>
      <c r="Q36" s="39">
        <f t="shared" si="8"/>
        <v>0.65834999999999999</v>
      </c>
      <c r="R36" s="138">
        <v>4.3890000000000002</v>
      </c>
      <c r="S36" s="106">
        <v>105991.94</v>
      </c>
      <c r="T36" s="106">
        <v>6041.5405800000008</v>
      </c>
      <c r="U36" s="9"/>
      <c r="V36" s="9"/>
      <c r="W36" s="25" t="s">
        <v>280</v>
      </c>
      <c r="X36" s="25">
        <v>500212</v>
      </c>
      <c r="Y36" s="19" t="s">
        <v>264</v>
      </c>
      <c r="Z36" s="9" t="s">
        <v>161</v>
      </c>
      <c r="AA36" s="70">
        <v>1</v>
      </c>
      <c r="AB36" s="71">
        <v>2909</v>
      </c>
      <c r="AD36" s="73"/>
      <c r="AE36" s="48"/>
      <c r="AF36" s="48"/>
      <c r="AG36" s="49"/>
      <c r="AH36" s="51"/>
      <c r="AI36" s="48"/>
      <c r="AJ36" s="48"/>
      <c r="AK36" s="49"/>
      <c r="AL36" s="169">
        <f t="shared" si="4"/>
        <v>1.7100000000000001E-2</v>
      </c>
      <c r="AM36" s="320">
        <f t="shared" si="9"/>
        <v>1.9949999999999999E-2</v>
      </c>
      <c r="AN36" s="48"/>
      <c r="AO36" s="49"/>
      <c r="AP36" s="51"/>
      <c r="AQ36" s="48"/>
      <c r="AR36" s="320">
        <f t="shared" si="10"/>
        <v>1.14E-2</v>
      </c>
      <c r="AS36" s="355">
        <f t="shared" si="11"/>
        <v>8.5500000000000003E-3</v>
      </c>
      <c r="AT36" s="51"/>
      <c r="AU36" s="48"/>
      <c r="AV36" s="328"/>
      <c r="AW36" s="49"/>
    </row>
    <row r="37" spans="1:49" x14ac:dyDescent="0.25">
      <c r="A37" s="25">
        <v>379</v>
      </c>
      <c r="B37" s="25" t="s">
        <v>28</v>
      </c>
      <c r="C37" s="25" t="s">
        <v>260</v>
      </c>
      <c r="D37" s="25" t="s">
        <v>261</v>
      </c>
      <c r="E37" s="24"/>
      <c r="F37" s="25" t="s">
        <v>161</v>
      </c>
      <c r="G37" s="25"/>
      <c r="H37" s="139" t="s">
        <v>31</v>
      </c>
      <c r="I37" s="25"/>
      <c r="J37" s="25">
        <v>5.7000000000000002E-2</v>
      </c>
      <c r="K37" s="39">
        <v>5.7000000000000002E-2</v>
      </c>
      <c r="L37" s="25">
        <v>1</v>
      </c>
      <c r="M37" s="25" t="s">
        <v>33</v>
      </c>
      <c r="N37" s="39">
        <f t="shared" si="5"/>
        <v>1.3167</v>
      </c>
      <c r="O37" s="39">
        <f t="shared" si="6"/>
        <v>1.5361499999999999</v>
      </c>
      <c r="P37" s="39">
        <f t="shared" si="7"/>
        <v>0.87780000000000014</v>
      </c>
      <c r="Q37" s="39">
        <f t="shared" si="8"/>
        <v>0.65834999999999999</v>
      </c>
      <c r="R37" s="138">
        <v>4.3890000000000002</v>
      </c>
      <c r="S37" s="106">
        <v>105991.94</v>
      </c>
      <c r="T37" s="106">
        <v>6041.5405800000008</v>
      </c>
      <c r="U37" s="9"/>
      <c r="V37" s="9"/>
      <c r="W37" s="25" t="s">
        <v>280</v>
      </c>
      <c r="X37" s="25">
        <v>500212</v>
      </c>
      <c r="Y37" s="19" t="s">
        <v>264</v>
      </c>
      <c r="Z37" s="9" t="s">
        <v>161</v>
      </c>
      <c r="AA37" s="70">
        <v>2</v>
      </c>
      <c r="AB37" s="71">
        <v>2909</v>
      </c>
      <c r="AD37" s="73"/>
      <c r="AE37" s="48"/>
      <c r="AF37" s="48"/>
      <c r="AG37" s="49"/>
      <c r="AH37" s="51"/>
      <c r="AI37" s="48"/>
      <c r="AJ37" s="48"/>
      <c r="AK37" s="49"/>
      <c r="AL37" s="169">
        <f t="shared" si="4"/>
        <v>1.7100000000000001E-2</v>
      </c>
      <c r="AM37" s="320">
        <f t="shared" si="9"/>
        <v>1.9949999999999999E-2</v>
      </c>
      <c r="AN37" s="48"/>
      <c r="AO37" s="49"/>
      <c r="AP37" s="51"/>
      <c r="AQ37" s="48"/>
      <c r="AR37" s="320">
        <f t="shared" si="10"/>
        <v>1.14E-2</v>
      </c>
      <c r="AS37" s="355">
        <f t="shared" si="11"/>
        <v>8.5500000000000003E-3</v>
      </c>
      <c r="AT37" s="51"/>
      <c r="AU37" s="48"/>
      <c r="AV37" s="328"/>
      <c r="AW37" s="49"/>
    </row>
    <row r="38" spans="1:49" x14ac:dyDescent="0.25">
      <c r="A38" s="25">
        <v>380</v>
      </c>
      <c r="B38" s="25" t="s">
        <v>28</v>
      </c>
      <c r="C38" s="25" t="s">
        <v>260</v>
      </c>
      <c r="D38" s="25" t="s">
        <v>261</v>
      </c>
      <c r="E38" s="24"/>
      <c r="F38" s="25" t="s">
        <v>161</v>
      </c>
      <c r="G38" s="25"/>
      <c r="H38" s="139" t="s">
        <v>31</v>
      </c>
      <c r="I38" s="25"/>
      <c r="J38" s="25">
        <v>5.9000000000000004E-2</v>
      </c>
      <c r="K38" s="39">
        <v>5.9000000000000004E-2</v>
      </c>
      <c r="L38" s="25">
        <v>1</v>
      </c>
      <c r="M38" s="25" t="s">
        <v>33</v>
      </c>
      <c r="N38" s="39">
        <f t="shared" si="5"/>
        <v>1.3629</v>
      </c>
      <c r="O38" s="39">
        <f t="shared" si="6"/>
        <v>1.59005</v>
      </c>
      <c r="P38" s="39">
        <f t="shared" si="7"/>
        <v>0.90860000000000007</v>
      </c>
      <c r="Q38" s="39">
        <f t="shared" si="8"/>
        <v>0.68145</v>
      </c>
      <c r="R38" s="138">
        <v>4.5430000000000001</v>
      </c>
      <c r="S38" s="106">
        <v>105991.94</v>
      </c>
      <c r="T38" s="106">
        <v>6253.5244600000005</v>
      </c>
      <c r="U38" s="9"/>
      <c r="V38" s="9"/>
      <c r="W38" s="25" t="s">
        <v>281</v>
      </c>
      <c r="X38" s="25">
        <v>500212</v>
      </c>
      <c r="Y38" s="19" t="s">
        <v>264</v>
      </c>
      <c r="Z38" s="9" t="s">
        <v>161</v>
      </c>
      <c r="AA38" s="70">
        <v>3</v>
      </c>
      <c r="AB38" s="71">
        <v>2909</v>
      </c>
      <c r="AD38" s="73"/>
      <c r="AE38" s="163"/>
      <c r="AF38" s="163"/>
      <c r="AG38" s="164"/>
      <c r="AH38" s="141"/>
      <c r="AI38" s="163"/>
      <c r="AJ38" s="163"/>
      <c r="AK38" s="164"/>
      <c r="AL38" s="169">
        <f t="shared" si="4"/>
        <v>1.77E-2</v>
      </c>
      <c r="AM38" s="320">
        <f t="shared" si="9"/>
        <v>2.0650000000000002E-2</v>
      </c>
      <c r="AN38" s="163"/>
      <c r="AO38" s="164"/>
      <c r="AP38" s="141"/>
      <c r="AQ38" s="163"/>
      <c r="AR38" s="320">
        <f t="shared" si="10"/>
        <v>1.1800000000000001E-2</v>
      </c>
      <c r="AS38" s="355">
        <f t="shared" si="11"/>
        <v>8.8500000000000002E-3</v>
      </c>
      <c r="AT38" s="141"/>
      <c r="AU38" s="163"/>
      <c r="AV38" s="328"/>
      <c r="AW38" s="164"/>
    </row>
    <row r="39" spans="1:49" x14ac:dyDescent="0.25">
      <c r="A39" s="25">
        <v>381</v>
      </c>
      <c r="B39" s="25" t="s">
        <v>28</v>
      </c>
      <c r="C39" s="25" t="s">
        <v>260</v>
      </c>
      <c r="D39" s="25" t="s">
        <v>261</v>
      </c>
      <c r="E39" s="24"/>
      <c r="F39" s="25" t="s">
        <v>161</v>
      </c>
      <c r="G39" s="25"/>
      <c r="H39" s="139" t="s">
        <v>31</v>
      </c>
      <c r="I39" s="25"/>
      <c r="J39" s="25">
        <v>5.9000000000000004E-2</v>
      </c>
      <c r="K39" s="39">
        <v>5.9000000000000004E-2</v>
      </c>
      <c r="L39" s="25">
        <v>1</v>
      </c>
      <c r="M39" s="25" t="s">
        <v>33</v>
      </c>
      <c r="N39" s="39">
        <f t="shared" si="5"/>
        <v>1.3629</v>
      </c>
      <c r="O39" s="39">
        <f t="shared" si="6"/>
        <v>1.59005</v>
      </c>
      <c r="P39" s="39">
        <f t="shared" si="7"/>
        <v>0.90860000000000007</v>
      </c>
      <c r="Q39" s="39">
        <f t="shared" si="8"/>
        <v>0.68145</v>
      </c>
      <c r="R39" s="138">
        <v>4.5430000000000001</v>
      </c>
      <c r="S39" s="106">
        <v>105991.94</v>
      </c>
      <c r="T39" s="106">
        <v>6253.5244600000005</v>
      </c>
      <c r="U39" s="9"/>
      <c r="V39" s="9"/>
      <c r="W39" s="25" t="s">
        <v>282</v>
      </c>
      <c r="X39" s="25">
        <v>500212</v>
      </c>
      <c r="Y39" s="19" t="s">
        <v>264</v>
      </c>
      <c r="Z39" s="9" t="s">
        <v>161</v>
      </c>
      <c r="AA39" s="70">
        <v>4</v>
      </c>
      <c r="AB39" s="71">
        <v>2909</v>
      </c>
      <c r="AD39" s="165"/>
      <c r="AE39" s="163"/>
      <c r="AF39" s="163"/>
      <c r="AG39" s="164"/>
      <c r="AH39" s="141"/>
      <c r="AI39" s="163"/>
      <c r="AJ39" s="163"/>
      <c r="AK39" s="164"/>
      <c r="AL39" s="169">
        <f t="shared" si="4"/>
        <v>1.77E-2</v>
      </c>
      <c r="AM39" s="320">
        <f t="shared" si="9"/>
        <v>2.0650000000000002E-2</v>
      </c>
      <c r="AN39" s="163"/>
      <c r="AO39" s="164"/>
      <c r="AP39" s="141"/>
      <c r="AQ39" s="163"/>
      <c r="AR39" s="320">
        <f t="shared" si="10"/>
        <v>1.1800000000000001E-2</v>
      </c>
      <c r="AS39" s="355">
        <f t="shared" si="11"/>
        <v>8.8500000000000002E-3</v>
      </c>
      <c r="AT39" s="141"/>
      <c r="AU39" s="163"/>
      <c r="AV39" s="328"/>
      <c r="AW39" s="164"/>
    </row>
    <row r="40" spans="1:49" x14ac:dyDescent="0.25">
      <c r="A40" s="25">
        <v>382</v>
      </c>
      <c r="B40" s="25" t="s">
        <v>28</v>
      </c>
      <c r="C40" s="25" t="s">
        <v>260</v>
      </c>
      <c r="D40" s="25" t="s">
        <v>261</v>
      </c>
      <c r="E40" s="24"/>
      <c r="F40" s="25" t="s">
        <v>161</v>
      </c>
      <c r="G40" s="25"/>
      <c r="H40" s="139" t="s">
        <v>31</v>
      </c>
      <c r="I40" s="25"/>
      <c r="J40" s="25">
        <v>4.1000000000000002E-2</v>
      </c>
      <c r="K40" s="39">
        <v>4.1000000000000002E-2</v>
      </c>
      <c r="L40" s="25">
        <v>1</v>
      </c>
      <c r="M40" s="25" t="s">
        <v>33</v>
      </c>
      <c r="N40" s="39">
        <f t="shared" si="5"/>
        <v>1.0578000000000001</v>
      </c>
      <c r="O40" s="39">
        <f t="shared" si="6"/>
        <v>1.2341</v>
      </c>
      <c r="P40" s="39">
        <f t="shared" si="7"/>
        <v>0.70520000000000005</v>
      </c>
      <c r="Q40" s="39">
        <f t="shared" si="8"/>
        <v>0.52890000000000004</v>
      </c>
      <c r="R40" s="138">
        <v>3.5260000000000002</v>
      </c>
      <c r="S40" s="106">
        <v>105991.94</v>
      </c>
      <c r="T40" s="106">
        <v>4345.6695399999999</v>
      </c>
      <c r="U40" s="9"/>
      <c r="V40" s="9"/>
      <c r="W40" s="25" t="s">
        <v>283</v>
      </c>
      <c r="X40" s="25">
        <v>500212</v>
      </c>
      <c r="Y40" s="19" t="s">
        <v>264</v>
      </c>
      <c r="Z40" s="9" t="s">
        <v>161</v>
      </c>
      <c r="AA40" s="70">
        <v>5</v>
      </c>
      <c r="AB40" s="71">
        <v>2909</v>
      </c>
      <c r="AD40" s="165"/>
      <c r="AE40" s="163"/>
      <c r="AF40" s="163"/>
      <c r="AG40" s="164"/>
      <c r="AH40" s="141"/>
      <c r="AI40" s="163"/>
      <c r="AJ40" s="163"/>
      <c r="AK40" s="164"/>
      <c r="AL40" s="169">
        <f t="shared" si="4"/>
        <v>1.23E-2</v>
      </c>
      <c r="AM40" s="320">
        <f t="shared" si="9"/>
        <v>1.435E-2</v>
      </c>
      <c r="AN40" s="163"/>
      <c r="AO40" s="164"/>
      <c r="AP40" s="141"/>
      <c r="AQ40" s="163"/>
      <c r="AR40" s="320">
        <f t="shared" si="10"/>
        <v>8.2000000000000007E-3</v>
      </c>
      <c r="AS40" s="355">
        <f t="shared" si="11"/>
        <v>6.1500000000000001E-3</v>
      </c>
      <c r="AT40" s="141"/>
      <c r="AU40" s="163"/>
      <c r="AV40" s="328"/>
      <c r="AW40" s="164"/>
    </row>
    <row r="41" spans="1:49" x14ac:dyDescent="0.25">
      <c r="A41" s="25">
        <v>383</v>
      </c>
      <c r="B41" s="25" t="s">
        <v>28</v>
      </c>
      <c r="C41" s="25" t="s">
        <v>260</v>
      </c>
      <c r="D41" s="25" t="s">
        <v>261</v>
      </c>
      <c r="E41" s="24"/>
      <c r="F41" s="25" t="s">
        <v>150</v>
      </c>
      <c r="G41" s="25"/>
      <c r="H41" s="139" t="s">
        <v>31</v>
      </c>
      <c r="I41" s="25"/>
      <c r="J41" s="25">
        <v>5.0000000000000001E-3</v>
      </c>
      <c r="K41" s="39">
        <v>5.0000000000000001E-3</v>
      </c>
      <c r="L41" s="25">
        <v>1</v>
      </c>
      <c r="M41" s="25" t="s">
        <v>33</v>
      </c>
      <c r="N41" s="39">
        <f t="shared" si="5"/>
        <v>0.129</v>
      </c>
      <c r="O41" s="39">
        <f t="shared" si="6"/>
        <v>0.15049999999999999</v>
      </c>
      <c r="P41" s="39">
        <f t="shared" si="7"/>
        <v>8.6000000000000007E-2</v>
      </c>
      <c r="Q41" s="39">
        <f t="shared" si="8"/>
        <v>6.4500000000000002E-2</v>
      </c>
      <c r="R41" s="138">
        <v>0.43</v>
      </c>
      <c r="S41" s="106">
        <v>105991.94</v>
      </c>
      <c r="T41" s="106">
        <v>529.9597</v>
      </c>
      <c r="U41" s="9"/>
      <c r="V41" s="9"/>
      <c r="W41" s="25" t="s">
        <v>284</v>
      </c>
      <c r="X41" s="25">
        <v>500212</v>
      </c>
      <c r="Y41" s="19" t="s">
        <v>264</v>
      </c>
      <c r="Z41" s="9" t="s">
        <v>150</v>
      </c>
      <c r="AA41" s="70">
        <v>6</v>
      </c>
      <c r="AB41" s="71">
        <v>2909</v>
      </c>
      <c r="AD41" s="165"/>
      <c r="AE41" s="163"/>
      <c r="AF41" s="163"/>
      <c r="AG41" s="164"/>
      <c r="AH41" s="141"/>
      <c r="AI41" s="163"/>
      <c r="AJ41" s="163"/>
      <c r="AK41" s="164"/>
      <c r="AL41" s="169">
        <f t="shared" si="4"/>
        <v>1.5E-3</v>
      </c>
      <c r="AM41" s="320">
        <f t="shared" si="9"/>
        <v>1.7499999999999998E-3</v>
      </c>
      <c r="AN41" s="163"/>
      <c r="AO41" s="164"/>
      <c r="AP41" s="141"/>
      <c r="AQ41" s="163"/>
      <c r="AR41" s="320">
        <f t="shared" si="10"/>
        <v>1E-3</v>
      </c>
      <c r="AS41" s="355">
        <f t="shared" si="11"/>
        <v>7.5000000000000002E-4</v>
      </c>
      <c r="AT41" s="141"/>
      <c r="AU41" s="163"/>
      <c r="AV41" s="328"/>
      <c r="AW41" s="164"/>
    </row>
    <row r="42" spans="1:49" x14ac:dyDescent="0.25">
      <c r="A42" s="25">
        <v>384</v>
      </c>
      <c r="B42" s="25" t="s">
        <v>28</v>
      </c>
      <c r="C42" s="25" t="s">
        <v>260</v>
      </c>
      <c r="D42" s="25" t="s">
        <v>261</v>
      </c>
      <c r="E42" s="24"/>
      <c r="F42" s="25" t="s">
        <v>214</v>
      </c>
      <c r="G42" s="25"/>
      <c r="H42" s="139" t="s">
        <v>31</v>
      </c>
      <c r="I42" s="25"/>
      <c r="J42" s="25">
        <v>5.0000000000000001E-4</v>
      </c>
      <c r="K42" s="39">
        <v>5.0000000000000001E-4</v>
      </c>
      <c r="L42" s="25">
        <v>1</v>
      </c>
      <c r="M42" s="25" t="s">
        <v>33</v>
      </c>
      <c r="N42" s="39">
        <f t="shared" si="5"/>
        <v>1.29E-2</v>
      </c>
      <c r="O42" s="39">
        <f t="shared" si="6"/>
        <v>1.5050000000000001E-2</v>
      </c>
      <c r="P42" s="39">
        <f t="shared" si="7"/>
        <v>8.6000000000000017E-3</v>
      </c>
      <c r="Q42" s="39">
        <f t="shared" si="8"/>
        <v>6.45E-3</v>
      </c>
      <c r="R42" s="138">
        <v>4.3000000000000003E-2</v>
      </c>
      <c r="S42" s="106">
        <v>105991.94</v>
      </c>
      <c r="T42" s="106">
        <v>52.99597</v>
      </c>
      <c r="U42" s="9"/>
      <c r="V42" s="9"/>
      <c r="W42" s="25" t="s">
        <v>285</v>
      </c>
      <c r="X42" s="25">
        <v>500212</v>
      </c>
      <c r="Y42" s="19" t="s">
        <v>264</v>
      </c>
      <c r="Z42" s="9" t="s">
        <v>214</v>
      </c>
      <c r="AA42" s="70">
        <v>7</v>
      </c>
      <c r="AB42" s="71">
        <v>2909</v>
      </c>
      <c r="AD42" s="165"/>
      <c r="AE42" s="163"/>
      <c r="AF42" s="163"/>
      <c r="AG42" s="164"/>
      <c r="AH42" s="141"/>
      <c r="AI42" s="163"/>
      <c r="AJ42" s="163"/>
      <c r="AK42" s="164"/>
      <c r="AL42" s="169">
        <f t="shared" si="4"/>
        <v>1.4999999999999999E-4</v>
      </c>
      <c r="AM42" s="320">
        <f t="shared" si="9"/>
        <v>1.75E-4</v>
      </c>
      <c r="AN42" s="163"/>
      <c r="AO42" s="164"/>
      <c r="AP42" s="141"/>
      <c r="AQ42" s="163"/>
      <c r="AR42" s="320">
        <f t="shared" si="10"/>
        <v>1E-4</v>
      </c>
      <c r="AS42" s="355">
        <f t="shared" si="11"/>
        <v>7.4999999999999993E-5</v>
      </c>
      <c r="AT42" s="141"/>
      <c r="AU42" s="163"/>
      <c r="AV42" s="328"/>
      <c r="AW42" s="164"/>
    </row>
    <row r="43" spans="1:49" x14ac:dyDescent="0.25">
      <c r="A43" s="25">
        <v>385</v>
      </c>
      <c r="B43" s="25" t="s">
        <v>28</v>
      </c>
      <c r="C43" s="25" t="s">
        <v>260</v>
      </c>
      <c r="D43" s="25" t="s">
        <v>261</v>
      </c>
      <c r="E43" s="24"/>
      <c r="F43" s="25" t="s">
        <v>214</v>
      </c>
      <c r="G43" s="25"/>
      <c r="H43" s="139" t="s">
        <v>31</v>
      </c>
      <c r="I43" s="25"/>
      <c r="J43" s="25">
        <v>5.0000000000000001E-4</v>
      </c>
      <c r="K43" s="39">
        <v>5.0000000000000001E-4</v>
      </c>
      <c r="L43" s="25">
        <v>1</v>
      </c>
      <c r="M43" s="25" t="s">
        <v>33</v>
      </c>
      <c r="N43" s="39">
        <f t="shared" si="5"/>
        <v>1.29E-2</v>
      </c>
      <c r="O43" s="39">
        <f t="shared" si="6"/>
        <v>1.5050000000000001E-2</v>
      </c>
      <c r="P43" s="39">
        <f t="shared" si="7"/>
        <v>8.6000000000000017E-3</v>
      </c>
      <c r="Q43" s="39">
        <f t="shared" si="8"/>
        <v>6.45E-3</v>
      </c>
      <c r="R43" s="138">
        <v>4.3000000000000003E-2</v>
      </c>
      <c r="S43" s="106">
        <v>105991.94</v>
      </c>
      <c r="T43" s="106">
        <v>52.99597</v>
      </c>
      <c r="U43" s="9"/>
      <c r="V43" s="9"/>
      <c r="W43" s="25" t="s">
        <v>285</v>
      </c>
      <c r="X43" s="25">
        <v>500212</v>
      </c>
      <c r="Y43" s="19" t="s">
        <v>264</v>
      </c>
      <c r="Z43" s="9" t="s">
        <v>214</v>
      </c>
      <c r="AA43" s="70">
        <v>8</v>
      </c>
      <c r="AB43" s="71">
        <v>2909</v>
      </c>
      <c r="AD43" s="73"/>
      <c r="AE43" s="163"/>
      <c r="AF43" s="163"/>
      <c r="AG43" s="164"/>
      <c r="AH43" s="141"/>
      <c r="AI43" s="163"/>
      <c r="AJ43" s="163"/>
      <c r="AK43" s="164"/>
      <c r="AL43" s="169">
        <f t="shared" si="4"/>
        <v>1.4999999999999999E-4</v>
      </c>
      <c r="AM43" s="320">
        <f t="shared" si="9"/>
        <v>1.75E-4</v>
      </c>
      <c r="AN43" s="163"/>
      <c r="AO43" s="164"/>
      <c r="AP43" s="141"/>
      <c r="AQ43" s="163"/>
      <c r="AR43" s="320">
        <f t="shared" si="10"/>
        <v>1E-4</v>
      </c>
      <c r="AS43" s="355">
        <f t="shared" si="11"/>
        <v>7.4999999999999993E-5</v>
      </c>
      <c r="AT43" s="141"/>
      <c r="AU43" s="163"/>
      <c r="AV43" s="328"/>
      <c r="AW43" s="164"/>
    </row>
    <row r="44" spans="1:49" ht="15.75" thickBot="1" x14ac:dyDescent="0.3">
      <c r="A44" s="25">
        <v>386</v>
      </c>
      <c r="B44" s="9" t="s">
        <v>28</v>
      </c>
      <c r="C44" s="104" t="s">
        <v>260</v>
      </c>
      <c r="D44" s="25" t="s">
        <v>261</v>
      </c>
      <c r="E44" s="8"/>
      <c r="F44" s="25" t="s">
        <v>286</v>
      </c>
      <c r="G44" s="9"/>
      <c r="H44" s="105" t="s">
        <v>31</v>
      </c>
      <c r="I44" s="9"/>
      <c r="J44" s="25">
        <v>1.44</v>
      </c>
      <c r="K44" s="39">
        <v>5.76</v>
      </c>
      <c r="L44" s="25">
        <v>4</v>
      </c>
      <c r="M44" s="25" t="s">
        <v>33</v>
      </c>
      <c r="N44" s="39">
        <f t="shared" si="5"/>
        <v>91.583999999999989</v>
      </c>
      <c r="O44" s="39">
        <f t="shared" si="6"/>
        <v>106.84799999999998</v>
      </c>
      <c r="P44" s="39">
        <f t="shared" si="7"/>
        <v>61.055999999999997</v>
      </c>
      <c r="Q44" s="39">
        <f t="shared" si="8"/>
        <v>45.791999999999994</v>
      </c>
      <c r="R44" s="138">
        <v>305.27999999999997</v>
      </c>
      <c r="S44" s="106">
        <v>105991.94</v>
      </c>
      <c r="T44" s="106">
        <v>610513.57440000004</v>
      </c>
      <c r="U44" s="9"/>
      <c r="V44" s="9"/>
      <c r="W44" s="25" t="s">
        <v>287</v>
      </c>
      <c r="X44" s="25">
        <v>500213</v>
      </c>
      <c r="Y44" s="19" t="s">
        <v>264</v>
      </c>
      <c r="Z44" s="9" t="s">
        <v>286</v>
      </c>
      <c r="AA44" s="70">
        <v>9</v>
      </c>
      <c r="AB44" s="71">
        <v>2909</v>
      </c>
      <c r="AD44" s="73"/>
      <c r="AE44" s="163"/>
      <c r="AF44" s="163"/>
      <c r="AG44" s="164"/>
      <c r="AH44" s="141"/>
      <c r="AI44" s="163"/>
      <c r="AJ44" s="163"/>
      <c r="AK44" s="164"/>
      <c r="AL44" s="169">
        <f>K44*0.3</f>
        <v>1.728</v>
      </c>
      <c r="AM44" s="196">
        <f>K44*0.35</f>
        <v>2.016</v>
      </c>
      <c r="AN44" s="196">
        <f>K44*0.2</f>
        <v>1.1519999999999999</v>
      </c>
      <c r="AO44" s="164"/>
      <c r="AP44" s="141"/>
      <c r="AQ44" s="167"/>
      <c r="AR44" s="167"/>
      <c r="AS44" s="264">
        <f>K44*0.15</f>
        <v>0.86399999999999999</v>
      </c>
      <c r="AT44" s="141"/>
      <c r="AU44" s="163"/>
      <c r="AV44" s="163"/>
      <c r="AW44" s="164"/>
    </row>
    <row r="45" spans="1:49" x14ac:dyDescent="0.25">
      <c r="A45" s="25">
        <v>387</v>
      </c>
      <c r="B45" s="25" t="s">
        <v>28</v>
      </c>
      <c r="C45" s="25" t="s">
        <v>260</v>
      </c>
      <c r="D45" s="25" t="s">
        <v>261</v>
      </c>
      <c r="E45" s="24"/>
      <c r="F45" s="25" t="s">
        <v>126</v>
      </c>
      <c r="G45" s="25"/>
      <c r="H45" s="139" t="s">
        <v>31</v>
      </c>
      <c r="I45" s="25"/>
      <c r="J45" s="25">
        <v>0.20400000000000001</v>
      </c>
      <c r="K45" s="39">
        <v>0.20400000000000001</v>
      </c>
      <c r="L45" s="25">
        <v>1</v>
      </c>
      <c r="M45" s="25" t="s">
        <v>33</v>
      </c>
      <c r="N45" s="39">
        <f t="shared" si="5"/>
        <v>4.2228000000000003</v>
      </c>
      <c r="O45" s="39">
        <f t="shared" si="6"/>
        <v>4.9265999999999996</v>
      </c>
      <c r="P45" s="39">
        <f t="shared" si="7"/>
        <v>2.8152000000000004</v>
      </c>
      <c r="Q45" s="39">
        <f t="shared" si="8"/>
        <v>2.1114000000000002</v>
      </c>
      <c r="R45" s="138">
        <v>14.076000000000001</v>
      </c>
      <c r="S45" s="106">
        <v>105991.94</v>
      </c>
      <c r="T45" s="106">
        <v>21622.355760000002</v>
      </c>
      <c r="U45" s="9"/>
      <c r="V45" s="9"/>
      <c r="W45" s="25" t="s">
        <v>288</v>
      </c>
      <c r="X45" s="25">
        <v>500214</v>
      </c>
      <c r="Y45" s="19" t="s">
        <v>264</v>
      </c>
      <c r="Z45" s="9" t="s">
        <v>126</v>
      </c>
      <c r="AA45" s="70">
        <v>10</v>
      </c>
      <c r="AB45" s="71">
        <v>2909</v>
      </c>
      <c r="AD45" s="165"/>
      <c r="AE45" s="163"/>
      <c r="AF45" s="163"/>
      <c r="AG45" s="164"/>
      <c r="AH45" s="141"/>
      <c r="AI45" s="163"/>
      <c r="AJ45" s="163"/>
      <c r="AK45" s="164"/>
      <c r="AL45" s="169">
        <f t="shared" si="4"/>
        <v>6.1200000000000004E-2</v>
      </c>
      <c r="AM45" s="320">
        <f t="shared" ref="AM45:AM48" si="12">K45*0.35</f>
        <v>7.1400000000000005E-2</v>
      </c>
      <c r="AN45" s="163"/>
      <c r="AO45" s="164"/>
      <c r="AP45" s="141"/>
      <c r="AQ45" s="163"/>
      <c r="AR45" s="320">
        <f t="shared" ref="AR45:AR68" si="13">K45*0.2</f>
        <v>4.0800000000000003E-2</v>
      </c>
      <c r="AS45" s="355">
        <f t="shared" ref="AS45:AS68" si="14">K45*0.15</f>
        <v>3.0600000000000002E-2</v>
      </c>
      <c r="AT45" s="141"/>
      <c r="AU45" s="163"/>
      <c r="AV45" s="328"/>
      <c r="AW45" s="164"/>
    </row>
    <row r="46" spans="1:49" x14ac:dyDescent="0.25">
      <c r="A46" s="25">
        <v>388</v>
      </c>
      <c r="B46" s="25" t="s">
        <v>28</v>
      </c>
      <c r="C46" s="25" t="s">
        <v>260</v>
      </c>
      <c r="D46" s="25" t="s">
        <v>261</v>
      </c>
      <c r="E46" s="24"/>
      <c r="F46" s="25" t="s">
        <v>126</v>
      </c>
      <c r="G46" s="25"/>
      <c r="H46" s="139" t="s">
        <v>31</v>
      </c>
      <c r="I46" s="25"/>
      <c r="J46" s="25">
        <v>0.20400000000000001</v>
      </c>
      <c r="K46" s="39">
        <v>0.20400000000000001</v>
      </c>
      <c r="L46" s="25">
        <v>1</v>
      </c>
      <c r="M46" s="25" t="s">
        <v>33</v>
      </c>
      <c r="N46" s="39">
        <f t="shared" si="5"/>
        <v>4.2228000000000003</v>
      </c>
      <c r="O46" s="39">
        <f t="shared" si="6"/>
        <v>4.9265999999999996</v>
      </c>
      <c r="P46" s="39">
        <f t="shared" si="7"/>
        <v>2.8152000000000004</v>
      </c>
      <c r="Q46" s="39">
        <f t="shared" si="8"/>
        <v>2.1114000000000002</v>
      </c>
      <c r="R46" s="138">
        <v>14.076000000000001</v>
      </c>
      <c r="S46" s="106">
        <v>105991.94</v>
      </c>
      <c r="T46" s="106">
        <v>21622.355760000002</v>
      </c>
      <c r="U46" s="9"/>
      <c r="V46" s="9"/>
      <c r="W46" s="25" t="s">
        <v>288</v>
      </c>
      <c r="X46" s="25">
        <v>500214</v>
      </c>
      <c r="Y46" s="19" t="s">
        <v>264</v>
      </c>
      <c r="Z46" s="9" t="s">
        <v>126</v>
      </c>
      <c r="AA46" s="70">
        <v>11</v>
      </c>
      <c r="AB46" s="71">
        <v>2909</v>
      </c>
      <c r="AD46" s="165"/>
      <c r="AE46" s="163"/>
      <c r="AF46" s="163"/>
      <c r="AG46" s="164"/>
      <c r="AH46" s="141"/>
      <c r="AI46" s="163"/>
      <c r="AJ46" s="163"/>
      <c r="AK46" s="164"/>
      <c r="AL46" s="169">
        <f t="shared" si="4"/>
        <v>6.1200000000000004E-2</v>
      </c>
      <c r="AM46" s="320">
        <f t="shared" si="12"/>
        <v>7.1400000000000005E-2</v>
      </c>
      <c r="AN46" s="163"/>
      <c r="AO46" s="164"/>
      <c r="AP46" s="141"/>
      <c r="AQ46" s="163"/>
      <c r="AR46" s="320">
        <f t="shared" si="13"/>
        <v>4.0800000000000003E-2</v>
      </c>
      <c r="AS46" s="355">
        <f t="shared" si="14"/>
        <v>3.0600000000000002E-2</v>
      </c>
      <c r="AT46" s="141"/>
      <c r="AU46" s="163"/>
      <c r="AV46" s="328"/>
      <c r="AW46" s="164"/>
    </row>
    <row r="47" spans="1:49" x14ac:dyDescent="0.25">
      <c r="A47" s="25">
        <v>389</v>
      </c>
      <c r="B47" s="25" t="s">
        <v>28</v>
      </c>
      <c r="C47" s="25" t="s">
        <v>260</v>
      </c>
      <c r="D47" s="25" t="s">
        <v>261</v>
      </c>
      <c r="E47" s="24"/>
      <c r="F47" s="25" t="s">
        <v>225</v>
      </c>
      <c r="G47" s="25"/>
      <c r="H47" s="139" t="s">
        <v>31</v>
      </c>
      <c r="I47" s="25"/>
      <c r="J47" s="25">
        <v>0.02</v>
      </c>
      <c r="K47" s="39">
        <v>0.02</v>
      </c>
      <c r="L47" s="25">
        <v>1</v>
      </c>
      <c r="M47" s="25" t="s">
        <v>33</v>
      </c>
      <c r="N47" s="39">
        <f t="shared" si="5"/>
        <v>0.51600000000000001</v>
      </c>
      <c r="O47" s="39">
        <f t="shared" si="6"/>
        <v>0.60199999999999998</v>
      </c>
      <c r="P47" s="39">
        <f t="shared" si="7"/>
        <v>0.34400000000000003</v>
      </c>
      <c r="Q47" s="39">
        <f t="shared" si="8"/>
        <v>0.25800000000000001</v>
      </c>
      <c r="R47" s="138">
        <v>1.72</v>
      </c>
      <c r="S47" s="106">
        <v>105991.94</v>
      </c>
      <c r="T47" s="106">
        <v>2119.8388</v>
      </c>
      <c r="U47" s="9"/>
      <c r="V47" s="9"/>
      <c r="W47" s="25" t="s">
        <v>289</v>
      </c>
      <c r="X47" s="25">
        <v>500214</v>
      </c>
      <c r="Y47" s="19" t="s">
        <v>264</v>
      </c>
      <c r="Z47" s="9" t="s">
        <v>225</v>
      </c>
      <c r="AA47" s="70">
        <v>12</v>
      </c>
      <c r="AB47" s="71">
        <v>2909</v>
      </c>
      <c r="AD47" s="165"/>
      <c r="AE47" s="163"/>
      <c r="AF47" s="163"/>
      <c r="AG47" s="164"/>
      <c r="AH47" s="141"/>
      <c r="AI47" s="163"/>
      <c r="AJ47" s="163"/>
      <c r="AK47" s="164"/>
      <c r="AL47" s="169">
        <f t="shared" si="4"/>
        <v>6.0000000000000001E-3</v>
      </c>
      <c r="AM47" s="320">
        <f t="shared" si="12"/>
        <v>6.9999999999999993E-3</v>
      </c>
      <c r="AN47" s="163"/>
      <c r="AO47" s="164"/>
      <c r="AP47" s="141"/>
      <c r="AQ47" s="163"/>
      <c r="AR47" s="320">
        <f t="shared" si="13"/>
        <v>4.0000000000000001E-3</v>
      </c>
      <c r="AS47" s="355">
        <f t="shared" si="14"/>
        <v>3.0000000000000001E-3</v>
      </c>
      <c r="AT47" s="141"/>
      <c r="AU47" s="163"/>
      <c r="AV47" s="328"/>
      <c r="AW47" s="164"/>
    </row>
    <row r="48" spans="1:49" x14ac:dyDescent="0.25">
      <c r="A48" s="25">
        <v>390</v>
      </c>
      <c r="B48" s="25" t="s">
        <v>28</v>
      </c>
      <c r="C48" s="25" t="s">
        <v>260</v>
      </c>
      <c r="D48" s="25" t="s">
        <v>261</v>
      </c>
      <c r="E48" s="24"/>
      <c r="F48" s="25" t="s">
        <v>225</v>
      </c>
      <c r="G48" s="25"/>
      <c r="H48" s="139" t="s">
        <v>31</v>
      </c>
      <c r="I48" s="25"/>
      <c r="J48" s="25">
        <v>0.02</v>
      </c>
      <c r="K48" s="39">
        <v>0.02</v>
      </c>
      <c r="L48" s="25">
        <v>1</v>
      </c>
      <c r="M48" s="25" t="s">
        <v>33</v>
      </c>
      <c r="N48" s="39">
        <f t="shared" si="5"/>
        <v>0.51600000000000001</v>
      </c>
      <c r="O48" s="39">
        <f t="shared" si="6"/>
        <v>0.60199999999999998</v>
      </c>
      <c r="P48" s="39">
        <f t="shared" si="7"/>
        <v>0.34400000000000003</v>
      </c>
      <c r="Q48" s="39">
        <f t="shared" si="8"/>
        <v>0.25800000000000001</v>
      </c>
      <c r="R48" s="138">
        <v>1.72</v>
      </c>
      <c r="S48" s="106">
        <v>105991.94</v>
      </c>
      <c r="T48" s="106">
        <v>2119.8388</v>
      </c>
      <c r="U48" s="9"/>
      <c r="V48" s="9"/>
      <c r="W48" s="25" t="s">
        <v>289</v>
      </c>
      <c r="X48" s="25">
        <v>500214</v>
      </c>
      <c r="Y48" s="19" t="s">
        <v>264</v>
      </c>
      <c r="Z48" s="9" t="s">
        <v>225</v>
      </c>
      <c r="AA48" s="70">
        <v>13</v>
      </c>
      <c r="AB48" s="71">
        <v>2909</v>
      </c>
      <c r="AD48" s="165"/>
      <c r="AE48" s="163"/>
      <c r="AF48" s="163"/>
      <c r="AG48" s="164"/>
      <c r="AH48" s="141"/>
      <c r="AI48" s="163"/>
      <c r="AJ48" s="163"/>
      <c r="AK48" s="164"/>
      <c r="AL48" s="169">
        <f t="shared" si="4"/>
        <v>6.0000000000000001E-3</v>
      </c>
      <c r="AM48" s="320">
        <f t="shared" si="12"/>
        <v>6.9999999999999993E-3</v>
      </c>
      <c r="AN48" s="163"/>
      <c r="AO48" s="164"/>
      <c r="AP48" s="141"/>
      <c r="AQ48" s="163"/>
      <c r="AR48" s="320">
        <f t="shared" si="13"/>
        <v>4.0000000000000001E-3</v>
      </c>
      <c r="AS48" s="355">
        <f t="shared" si="14"/>
        <v>3.0000000000000001E-3</v>
      </c>
      <c r="AT48" s="141"/>
      <c r="AU48" s="163"/>
      <c r="AV48" s="328"/>
      <c r="AW48" s="164"/>
    </row>
    <row r="49" spans="1:49" x14ac:dyDescent="0.25">
      <c r="A49" s="25">
        <v>391</v>
      </c>
      <c r="B49" s="25" t="s">
        <v>28</v>
      </c>
      <c r="C49" s="25" t="s">
        <v>260</v>
      </c>
      <c r="D49" s="25" t="s">
        <v>261</v>
      </c>
      <c r="E49" s="24"/>
      <c r="F49" s="25" t="s">
        <v>290</v>
      </c>
      <c r="G49" s="25"/>
      <c r="H49" s="139" t="s">
        <v>31</v>
      </c>
      <c r="I49" s="25"/>
      <c r="J49" s="25">
        <v>1.2E-2</v>
      </c>
      <c r="K49" s="39">
        <v>2.4E-2</v>
      </c>
      <c r="L49" s="25">
        <v>2</v>
      </c>
      <c r="M49" s="25" t="s">
        <v>33</v>
      </c>
      <c r="N49" s="39">
        <f t="shared" si="5"/>
        <v>0.61919999999999997</v>
      </c>
      <c r="O49" s="39">
        <f t="shared" si="6"/>
        <v>0.72239999999999993</v>
      </c>
      <c r="P49" s="39">
        <f t="shared" si="7"/>
        <v>0.41280000000000006</v>
      </c>
      <c r="Q49" s="39">
        <f t="shared" si="8"/>
        <v>0.30959999999999999</v>
      </c>
      <c r="R49" s="138">
        <v>2.0640000000000001</v>
      </c>
      <c r="S49" s="106">
        <v>105991.94</v>
      </c>
      <c r="T49" s="106">
        <v>2543.80656</v>
      </c>
      <c r="U49" s="9"/>
      <c r="V49" s="9"/>
      <c r="W49" s="25" t="s">
        <v>291</v>
      </c>
      <c r="X49" s="25">
        <v>500215</v>
      </c>
      <c r="Y49" s="19" t="s">
        <v>264</v>
      </c>
      <c r="Z49" s="9" t="s">
        <v>290</v>
      </c>
      <c r="AA49" s="70">
        <v>1</v>
      </c>
      <c r="AB49" s="71">
        <v>2909</v>
      </c>
      <c r="AD49" s="165"/>
      <c r="AE49" s="163"/>
      <c r="AF49" s="163"/>
      <c r="AG49" s="164"/>
      <c r="AH49" s="141"/>
      <c r="AI49" s="163"/>
      <c r="AJ49" s="163"/>
      <c r="AK49" s="164"/>
      <c r="AL49" s="169">
        <f t="shared" ref="AL49:AL68" si="15">K49*0.3</f>
        <v>7.1999999999999998E-3</v>
      </c>
      <c r="AM49" s="320">
        <f t="shared" ref="AM49:AM68" si="16">K49*0.35</f>
        <v>8.3999999999999995E-3</v>
      </c>
      <c r="AN49" s="163"/>
      <c r="AO49" s="164"/>
      <c r="AP49" s="141"/>
      <c r="AQ49" s="163"/>
      <c r="AR49" s="320">
        <f t="shared" si="13"/>
        <v>4.8000000000000004E-3</v>
      </c>
      <c r="AS49" s="355">
        <f t="shared" si="14"/>
        <v>3.5999999999999999E-3</v>
      </c>
      <c r="AT49" s="141"/>
      <c r="AU49" s="163"/>
      <c r="AV49" s="328"/>
      <c r="AW49" s="164"/>
    </row>
    <row r="50" spans="1:49" x14ac:dyDescent="0.25">
      <c r="A50" s="25">
        <v>392</v>
      </c>
      <c r="B50" s="25" t="s">
        <v>28</v>
      </c>
      <c r="C50" s="25" t="s">
        <v>260</v>
      </c>
      <c r="D50" s="25" t="s">
        <v>261</v>
      </c>
      <c r="E50" s="24"/>
      <c r="F50" s="25" t="s">
        <v>225</v>
      </c>
      <c r="G50" s="25"/>
      <c r="H50" s="139" t="s">
        <v>31</v>
      </c>
      <c r="I50" s="25"/>
      <c r="J50" s="25">
        <v>0.108</v>
      </c>
      <c r="K50" s="39">
        <v>0.108</v>
      </c>
      <c r="L50" s="25">
        <v>1</v>
      </c>
      <c r="M50" s="25" t="s">
        <v>33</v>
      </c>
      <c r="N50" s="39">
        <f t="shared" si="5"/>
        <v>2.2355999999999998</v>
      </c>
      <c r="O50" s="39">
        <f t="shared" si="6"/>
        <v>2.6081999999999996</v>
      </c>
      <c r="P50" s="39">
        <f t="shared" si="7"/>
        <v>1.4904000000000002</v>
      </c>
      <c r="Q50" s="39">
        <f t="shared" si="8"/>
        <v>1.1177999999999999</v>
      </c>
      <c r="R50" s="138">
        <v>7.452</v>
      </c>
      <c r="S50" s="106">
        <v>105991.94</v>
      </c>
      <c r="T50" s="106">
        <v>11447.12952</v>
      </c>
      <c r="U50" s="9"/>
      <c r="V50" s="9"/>
      <c r="W50" s="25" t="s">
        <v>289</v>
      </c>
      <c r="X50" s="25">
        <v>500215</v>
      </c>
      <c r="Y50" s="19" t="s">
        <v>264</v>
      </c>
      <c r="Z50" s="9" t="s">
        <v>225</v>
      </c>
      <c r="AA50" s="70">
        <v>2</v>
      </c>
      <c r="AB50" s="71">
        <v>2909</v>
      </c>
      <c r="AD50" s="165"/>
      <c r="AE50" s="163"/>
      <c r="AF50" s="163"/>
      <c r="AG50" s="164"/>
      <c r="AH50" s="141"/>
      <c r="AI50" s="163"/>
      <c r="AJ50" s="163"/>
      <c r="AK50" s="164"/>
      <c r="AL50" s="169">
        <f t="shared" si="15"/>
        <v>3.2399999999999998E-2</v>
      </c>
      <c r="AM50" s="320">
        <f t="shared" si="16"/>
        <v>3.78E-2</v>
      </c>
      <c r="AN50" s="163"/>
      <c r="AO50" s="164"/>
      <c r="AP50" s="141"/>
      <c r="AQ50" s="163"/>
      <c r="AR50" s="320">
        <f t="shared" si="13"/>
        <v>2.1600000000000001E-2</v>
      </c>
      <c r="AS50" s="355">
        <f t="shared" si="14"/>
        <v>1.6199999999999999E-2</v>
      </c>
      <c r="AT50" s="141"/>
      <c r="AU50" s="163"/>
      <c r="AV50" s="328"/>
      <c r="AW50" s="164"/>
    </row>
    <row r="51" spans="1:49" x14ac:dyDescent="0.25">
      <c r="A51" s="25">
        <v>393</v>
      </c>
      <c r="B51" s="25" t="s">
        <v>28</v>
      </c>
      <c r="C51" s="25" t="s">
        <v>260</v>
      </c>
      <c r="D51" s="25" t="s">
        <v>261</v>
      </c>
      <c r="E51" s="24"/>
      <c r="F51" s="25" t="s">
        <v>225</v>
      </c>
      <c r="G51" s="25"/>
      <c r="H51" s="139" t="s">
        <v>31</v>
      </c>
      <c r="I51" s="25"/>
      <c r="J51" s="25">
        <v>0.108</v>
      </c>
      <c r="K51" s="39">
        <v>0.108</v>
      </c>
      <c r="L51" s="25">
        <v>1</v>
      </c>
      <c r="M51" s="25" t="s">
        <v>33</v>
      </c>
      <c r="N51" s="39">
        <f t="shared" si="5"/>
        <v>2.2355999999999998</v>
      </c>
      <c r="O51" s="39">
        <f t="shared" si="6"/>
        <v>2.6081999999999996</v>
      </c>
      <c r="P51" s="39">
        <f t="shared" si="7"/>
        <v>1.4904000000000002</v>
      </c>
      <c r="Q51" s="39">
        <f t="shared" si="8"/>
        <v>1.1177999999999999</v>
      </c>
      <c r="R51" s="138">
        <v>7.452</v>
      </c>
      <c r="S51" s="106">
        <v>105991.94</v>
      </c>
      <c r="T51" s="106">
        <v>11447.12952</v>
      </c>
      <c r="U51" s="9"/>
      <c r="V51" s="9"/>
      <c r="W51" s="25" t="s">
        <v>289</v>
      </c>
      <c r="X51" s="25">
        <v>500215</v>
      </c>
      <c r="Y51" s="19" t="s">
        <v>264</v>
      </c>
      <c r="Z51" s="9" t="s">
        <v>225</v>
      </c>
      <c r="AA51" s="70">
        <v>3</v>
      </c>
      <c r="AB51" s="71">
        <v>2909</v>
      </c>
      <c r="AD51" s="73"/>
      <c r="AE51" s="163"/>
      <c r="AF51" s="163"/>
      <c r="AG51" s="164"/>
      <c r="AH51" s="141"/>
      <c r="AI51" s="163"/>
      <c r="AJ51" s="163"/>
      <c r="AK51" s="164"/>
      <c r="AL51" s="169">
        <f t="shared" si="15"/>
        <v>3.2399999999999998E-2</v>
      </c>
      <c r="AM51" s="320">
        <f t="shared" si="16"/>
        <v>3.78E-2</v>
      </c>
      <c r="AN51" s="163"/>
      <c r="AO51" s="164"/>
      <c r="AP51" s="141"/>
      <c r="AQ51" s="163"/>
      <c r="AR51" s="320">
        <f t="shared" si="13"/>
        <v>2.1600000000000001E-2</v>
      </c>
      <c r="AS51" s="355">
        <f t="shared" si="14"/>
        <v>1.6199999999999999E-2</v>
      </c>
      <c r="AT51" s="141"/>
      <c r="AU51" s="163"/>
      <c r="AV51" s="328"/>
      <c r="AW51" s="164"/>
    </row>
    <row r="52" spans="1:49" x14ac:dyDescent="0.25">
      <c r="A52" s="25">
        <v>394</v>
      </c>
      <c r="B52" s="25" t="s">
        <v>28</v>
      </c>
      <c r="C52" s="25" t="s">
        <v>260</v>
      </c>
      <c r="D52" s="25" t="s">
        <v>261</v>
      </c>
      <c r="E52" s="24"/>
      <c r="F52" s="25" t="s">
        <v>225</v>
      </c>
      <c r="G52" s="25"/>
      <c r="H52" s="139" t="s">
        <v>31</v>
      </c>
      <c r="I52" s="25"/>
      <c r="J52" s="25">
        <v>0.11</v>
      </c>
      <c r="K52" s="39">
        <v>0.11</v>
      </c>
      <c r="L52" s="25">
        <v>1</v>
      </c>
      <c r="M52" s="25" t="s">
        <v>33</v>
      </c>
      <c r="N52" s="39">
        <f t="shared" si="5"/>
        <v>2.2769999999999997</v>
      </c>
      <c r="O52" s="39">
        <f t="shared" si="6"/>
        <v>2.6564999999999999</v>
      </c>
      <c r="P52" s="39">
        <f t="shared" si="7"/>
        <v>1.518</v>
      </c>
      <c r="Q52" s="39">
        <f t="shared" si="8"/>
        <v>1.1384999999999998</v>
      </c>
      <c r="R52" s="138">
        <v>7.59</v>
      </c>
      <c r="S52" s="106">
        <v>105991.94</v>
      </c>
      <c r="T52" s="106">
        <v>11659.1134</v>
      </c>
      <c r="U52" s="9"/>
      <c r="V52" s="9"/>
      <c r="W52" s="25" t="s">
        <v>292</v>
      </c>
      <c r="X52" s="25">
        <v>500215</v>
      </c>
      <c r="Y52" s="19" t="s">
        <v>264</v>
      </c>
      <c r="Z52" s="9" t="s">
        <v>225</v>
      </c>
      <c r="AA52" s="70">
        <v>4</v>
      </c>
      <c r="AB52" s="71">
        <v>2909</v>
      </c>
      <c r="AD52" s="73"/>
      <c r="AE52" s="163"/>
      <c r="AF52" s="163"/>
      <c r="AG52" s="164"/>
      <c r="AH52" s="141"/>
      <c r="AI52" s="163"/>
      <c r="AJ52" s="163"/>
      <c r="AK52" s="164"/>
      <c r="AL52" s="169">
        <f t="shared" si="15"/>
        <v>3.3000000000000002E-2</v>
      </c>
      <c r="AM52" s="320">
        <f t="shared" si="16"/>
        <v>3.85E-2</v>
      </c>
      <c r="AN52" s="163"/>
      <c r="AO52" s="164"/>
      <c r="AP52" s="141"/>
      <c r="AQ52" s="163"/>
      <c r="AR52" s="320">
        <f t="shared" si="13"/>
        <v>2.2000000000000002E-2</v>
      </c>
      <c r="AS52" s="355">
        <f t="shared" si="14"/>
        <v>1.6500000000000001E-2</v>
      </c>
      <c r="AT52" s="141"/>
      <c r="AU52" s="163"/>
      <c r="AV52" s="328"/>
      <c r="AW52" s="164"/>
    </row>
    <row r="53" spans="1:49" x14ac:dyDescent="0.25">
      <c r="A53" s="25">
        <v>395</v>
      </c>
      <c r="B53" s="25" t="s">
        <v>28</v>
      </c>
      <c r="C53" s="25" t="s">
        <v>260</v>
      </c>
      <c r="D53" s="25" t="s">
        <v>261</v>
      </c>
      <c r="E53" s="24"/>
      <c r="F53" s="25" t="s">
        <v>225</v>
      </c>
      <c r="G53" s="25"/>
      <c r="H53" s="139" t="s">
        <v>31</v>
      </c>
      <c r="I53" s="25"/>
      <c r="J53" s="25">
        <v>0.11</v>
      </c>
      <c r="K53" s="39">
        <v>0.11</v>
      </c>
      <c r="L53" s="25">
        <v>1</v>
      </c>
      <c r="M53" s="25" t="s">
        <v>33</v>
      </c>
      <c r="N53" s="39">
        <f t="shared" si="5"/>
        <v>2.2769999999999997</v>
      </c>
      <c r="O53" s="39">
        <f t="shared" si="6"/>
        <v>2.6564999999999999</v>
      </c>
      <c r="P53" s="39">
        <f t="shared" si="7"/>
        <v>1.518</v>
      </c>
      <c r="Q53" s="39">
        <f t="shared" si="8"/>
        <v>1.1384999999999998</v>
      </c>
      <c r="R53" s="138">
        <v>7.59</v>
      </c>
      <c r="S53" s="106">
        <v>105991.94</v>
      </c>
      <c r="T53" s="106">
        <v>11659.1134</v>
      </c>
      <c r="U53" s="9"/>
      <c r="V53" s="9"/>
      <c r="W53" s="25" t="s">
        <v>292</v>
      </c>
      <c r="X53" s="25">
        <v>500215</v>
      </c>
      <c r="Y53" s="19" t="s">
        <v>264</v>
      </c>
      <c r="Z53" s="9" t="s">
        <v>225</v>
      </c>
      <c r="AA53" s="70">
        <v>5</v>
      </c>
      <c r="AB53" s="71">
        <v>2909</v>
      </c>
      <c r="AD53" s="165"/>
      <c r="AE53" s="163"/>
      <c r="AF53" s="163"/>
      <c r="AG53" s="164"/>
      <c r="AH53" s="141"/>
      <c r="AI53" s="163"/>
      <c r="AJ53" s="163"/>
      <c r="AK53" s="164"/>
      <c r="AL53" s="169">
        <f t="shared" si="15"/>
        <v>3.3000000000000002E-2</v>
      </c>
      <c r="AM53" s="320">
        <f t="shared" si="16"/>
        <v>3.85E-2</v>
      </c>
      <c r="AN53" s="163"/>
      <c r="AO53" s="164"/>
      <c r="AP53" s="141"/>
      <c r="AQ53" s="163"/>
      <c r="AR53" s="320">
        <f t="shared" si="13"/>
        <v>2.2000000000000002E-2</v>
      </c>
      <c r="AS53" s="355">
        <f t="shared" si="14"/>
        <v>1.6500000000000001E-2</v>
      </c>
      <c r="AT53" s="141"/>
      <c r="AU53" s="163"/>
      <c r="AV53" s="328"/>
      <c r="AW53" s="164"/>
    </row>
    <row r="54" spans="1:49" x14ac:dyDescent="0.25">
      <c r="A54" s="25">
        <v>396</v>
      </c>
      <c r="B54" s="25" t="s">
        <v>28</v>
      </c>
      <c r="C54" s="25" t="s">
        <v>260</v>
      </c>
      <c r="D54" s="25" t="s">
        <v>261</v>
      </c>
      <c r="E54" s="24"/>
      <c r="F54" s="25" t="s">
        <v>293</v>
      </c>
      <c r="G54" s="25"/>
      <c r="H54" s="139" t="s">
        <v>31</v>
      </c>
      <c r="I54" s="25"/>
      <c r="J54" s="25">
        <v>1.0000000000000001E-5</v>
      </c>
      <c r="K54" s="39">
        <v>1.0000000000000001E-5</v>
      </c>
      <c r="L54" s="25">
        <v>1</v>
      </c>
      <c r="M54" s="25" t="s">
        <v>33</v>
      </c>
      <c r="N54" s="39">
        <f t="shared" si="5"/>
        <v>2.5800000000000004E-4</v>
      </c>
      <c r="O54" s="39">
        <f t="shared" si="6"/>
        <v>3.01E-4</v>
      </c>
      <c r="P54" s="39">
        <f t="shared" si="7"/>
        <v>1.7200000000000003E-4</v>
      </c>
      <c r="Q54" s="39">
        <f t="shared" si="8"/>
        <v>1.2900000000000002E-4</v>
      </c>
      <c r="R54" s="138">
        <v>8.6000000000000009E-4</v>
      </c>
      <c r="S54" s="106">
        <v>105991.94</v>
      </c>
      <c r="T54" s="106">
        <v>1.0599194000000001</v>
      </c>
      <c r="U54" s="9"/>
      <c r="V54" s="9"/>
      <c r="W54" s="25" t="s">
        <v>294</v>
      </c>
      <c r="X54" s="25">
        <v>500216</v>
      </c>
      <c r="Y54" s="19" t="s">
        <v>264</v>
      </c>
      <c r="Z54" s="9" t="s">
        <v>293</v>
      </c>
      <c r="AA54" s="70">
        <v>1</v>
      </c>
      <c r="AB54" s="71">
        <v>2909</v>
      </c>
      <c r="AD54" s="165"/>
      <c r="AE54" s="163"/>
      <c r="AF54" s="163"/>
      <c r="AG54" s="164"/>
      <c r="AH54" s="141"/>
      <c r="AI54" s="163"/>
      <c r="AJ54" s="163"/>
      <c r="AK54" s="164"/>
      <c r="AL54" s="169">
        <f t="shared" si="15"/>
        <v>3.0000000000000001E-6</v>
      </c>
      <c r="AM54" s="320">
        <f t="shared" si="16"/>
        <v>3.4999999999999999E-6</v>
      </c>
      <c r="AN54" s="163"/>
      <c r="AO54" s="164"/>
      <c r="AP54" s="141"/>
      <c r="AQ54" s="163"/>
      <c r="AR54" s="320">
        <f t="shared" si="13"/>
        <v>2.0000000000000003E-6</v>
      </c>
      <c r="AS54" s="355">
        <f t="shared" si="14"/>
        <v>1.5E-6</v>
      </c>
      <c r="AT54" s="141"/>
      <c r="AU54" s="163"/>
      <c r="AV54" s="328"/>
      <c r="AW54" s="164"/>
    </row>
    <row r="55" spans="1:49" x14ac:dyDescent="0.25">
      <c r="A55" s="25">
        <v>397</v>
      </c>
      <c r="B55" s="25" t="s">
        <v>28</v>
      </c>
      <c r="C55" s="25" t="s">
        <v>260</v>
      </c>
      <c r="D55" s="25" t="s">
        <v>261</v>
      </c>
      <c r="E55" s="24"/>
      <c r="F55" s="25" t="s">
        <v>126</v>
      </c>
      <c r="G55" s="25"/>
      <c r="H55" s="139" t="s">
        <v>31</v>
      </c>
      <c r="I55" s="25"/>
      <c r="J55" s="25">
        <v>0.193</v>
      </c>
      <c r="K55" s="39">
        <v>0.193</v>
      </c>
      <c r="L55" s="25">
        <v>1</v>
      </c>
      <c r="M55" s="25" t="s">
        <v>33</v>
      </c>
      <c r="N55" s="39">
        <f t="shared" si="5"/>
        <v>3.9950999999999999</v>
      </c>
      <c r="O55" s="39">
        <f t="shared" si="6"/>
        <v>4.6609499999999997</v>
      </c>
      <c r="P55" s="39">
        <f t="shared" si="7"/>
        <v>2.6634000000000002</v>
      </c>
      <c r="Q55" s="39">
        <f t="shared" si="8"/>
        <v>1.9975499999999999</v>
      </c>
      <c r="R55" s="138">
        <v>13.317</v>
      </c>
      <c r="S55" s="106">
        <v>105991.94</v>
      </c>
      <c r="T55" s="106">
        <v>20456.44442</v>
      </c>
      <c r="U55" s="9"/>
      <c r="V55" s="9"/>
      <c r="W55" s="25" t="s">
        <v>295</v>
      </c>
      <c r="X55" s="25">
        <v>500216</v>
      </c>
      <c r="Y55" s="19" t="s">
        <v>264</v>
      </c>
      <c r="Z55" s="9" t="s">
        <v>126</v>
      </c>
      <c r="AA55" s="70">
        <v>2</v>
      </c>
      <c r="AB55" s="71">
        <v>2909</v>
      </c>
      <c r="AD55" s="165"/>
      <c r="AE55" s="163"/>
      <c r="AF55" s="163"/>
      <c r="AG55" s="164"/>
      <c r="AH55" s="141"/>
      <c r="AI55" s="163"/>
      <c r="AJ55" s="163"/>
      <c r="AK55" s="164"/>
      <c r="AL55" s="169">
        <f t="shared" si="15"/>
        <v>5.79E-2</v>
      </c>
      <c r="AM55" s="320">
        <f t="shared" si="16"/>
        <v>6.7549999999999999E-2</v>
      </c>
      <c r="AN55" s="163"/>
      <c r="AO55" s="164"/>
      <c r="AP55" s="141"/>
      <c r="AQ55" s="163"/>
      <c r="AR55" s="320">
        <f t="shared" si="13"/>
        <v>3.8600000000000002E-2</v>
      </c>
      <c r="AS55" s="355">
        <f t="shared" si="14"/>
        <v>2.895E-2</v>
      </c>
      <c r="AT55" s="141"/>
      <c r="AU55" s="163"/>
      <c r="AV55" s="328"/>
      <c r="AW55" s="164"/>
    </row>
    <row r="56" spans="1:49" x14ac:dyDescent="0.25">
      <c r="A56" s="25">
        <v>398</v>
      </c>
      <c r="B56" s="25" t="s">
        <v>28</v>
      </c>
      <c r="C56" s="25" t="s">
        <v>260</v>
      </c>
      <c r="D56" s="25" t="s">
        <v>261</v>
      </c>
      <c r="E56" s="24"/>
      <c r="F56" s="25" t="s">
        <v>126</v>
      </c>
      <c r="G56" s="25"/>
      <c r="H56" s="139" t="s">
        <v>31</v>
      </c>
      <c r="I56" s="25"/>
      <c r="J56" s="25">
        <v>0.193</v>
      </c>
      <c r="K56" s="39">
        <v>0.193</v>
      </c>
      <c r="L56" s="25">
        <v>1</v>
      </c>
      <c r="M56" s="25" t="s">
        <v>33</v>
      </c>
      <c r="N56" s="39">
        <f t="shared" si="5"/>
        <v>3.9950999999999999</v>
      </c>
      <c r="O56" s="39">
        <f t="shared" si="6"/>
        <v>4.6609499999999997</v>
      </c>
      <c r="P56" s="39">
        <f t="shared" si="7"/>
        <v>2.6634000000000002</v>
      </c>
      <c r="Q56" s="39">
        <f t="shared" si="8"/>
        <v>1.9975499999999999</v>
      </c>
      <c r="R56" s="138">
        <v>13.317</v>
      </c>
      <c r="S56" s="106">
        <v>105991.94</v>
      </c>
      <c r="T56" s="106">
        <v>20456.44442</v>
      </c>
      <c r="U56" s="9"/>
      <c r="V56" s="9"/>
      <c r="W56" s="25" t="s">
        <v>295</v>
      </c>
      <c r="X56" s="25">
        <v>500216</v>
      </c>
      <c r="Y56" s="19" t="s">
        <v>264</v>
      </c>
      <c r="Z56" s="9" t="s">
        <v>126</v>
      </c>
      <c r="AA56" s="70">
        <v>3</v>
      </c>
      <c r="AB56" s="71">
        <v>2909</v>
      </c>
      <c r="AD56" s="165"/>
      <c r="AE56" s="163"/>
      <c r="AF56" s="163"/>
      <c r="AG56" s="164"/>
      <c r="AH56" s="141"/>
      <c r="AI56" s="163"/>
      <c r="AJ56" s="163"/>
      <c r="AK56" s="164"/>
      <c r="AL56" s="169">
        <f t="shared" si="15"/>
        <v>5.79E-2</v>
      </c>
      <c r="AM56" s="320">
        <f t="shared" si="16"/>
        <v>6.7549999999999999E-2</v>
      </c>
      <c r="AN56" s="163"/>
      <c r="AO56" s="164"/>
      <c r="AP56" s="141"/>
      <c r="AQ56" s="163"/>
      <c r="AR56" s="320">
        <f t="shared" si="13"/>
        <v>3.8600000000000002E-2</v>
      </c>
      <c r="AS56" s="355">
        <f t="shared" si="14"/>
        <v>2.895E-2</v>
      </c>
      <c r="AT56" s="141"/>
      <c r="AU56" s="163"/>
      <c r="AV56" s="328"/>
      <c r="AW56" s="164"/>
    </row>
    <row r="57" spans="1:49" x14ac:dyDescent="0.25">
      <c r="A57" s="25">
        <v>399</v>
      </c>
      <c r="B57" s="25" t="s">
        <v>28</v>
      </c>
      <c r="C57" s="25" t="s">
        <v>260</v>
      </c>
      <c r="D57" s="25" t="s">
        <v>261</v>
      </c>
      <c r="E57" s="24"/>
      <c r="F57" s="25" t="s">
        <v>225</v>
      </c>
      <c r="G57" s="25"/>
      <c r="H57" s="139" t="s">
        <v>31</v>
      </c>
      <c r="I57" s="25"/>
      <c r="J57" s="25">
        <v>2.3E-2</v>
      </c>
      <c r="K57" s="39">
        <v>2.3E-2</v>
      </c>
      <c r="L57" s="25">
        <v>1</v>
      </c>
      <c r="M57" s="25" t="s">
        <v>33</v>
      </c>
      <c r="N57" s="39">
        <f t="shared" si="5"/>
        <v>0.59339999999999993</v>
      </c>
      <c r="O57" s="39">
        <f t="shared" si="6"/>
        <v>0.69229999999999992</v>
      </c>
      <c r="P57" s="39">
        <f t="shared" si="7"/>
        <v>0.39560000000000001</v>
      </c>
      <c r="Q57" s="39">
        <f t="shared" si="8"/>
        <v>0.29669999999999996</v>
      </c>
      <c r="R57" s="138">
        <v>1.978</v>
      </c>
      <c r="S57" s="106">
        <v>105991.94</v>
      </c>
      <c r="T57" s="106">
        <v>2437.8146200000001</v>
      </c>
      <c r="U57" s="9"/>
      <c r="V57" s="9"/>
      <c r="W57" s="25" t="s">
        <v>296</v>
      </c>
      <c r="X57" s="25">
        <v>500216</v>
      </c>
      <c r="Y57" s="19" t="s">
        <v>264</v>
      </c>
      <c r="Z57" s="9" t="s">
        <v>225</v>
      </c>
      <c r="AA57" s="70">
        <v>4</v>
      </c>
      <c r="AB57" s="71">
        <v>2909</v>
      </c>
      <c r="AD57" s="165"/>
      <c r="AE57" s="163"/>
      <c r="AF57" s="163"/>
      <c r="AG57" s="164"/>
      <c r="AH57" s="141"/>
      <c r="AI57" s="163"/>
      <c r="AJ57" s="163"/>
      <c r="AK57" s="164"/>
      <c r="AL57" s="169">
        <f t="shared" si="15"/>
        <v>6.8999999999999999E-3</v>
      </c>
      <c r="AM57" s="320">
        <f t="shared" si="16"/>
        <v>8.0499999999999999E-3</v>
      </c>
      <c r="AN57" s="163"/>
      <c r="AO57" s="164"/>
      <c r="AP57" s="141"/>
      <c r="AQ57" s="163"/>
      <c r="AR57" s="320">
        <f t="shared" si="13"/>
        <v>4.5999999999999999E-3</v>
      </c>
      <c r="AS57" s="355">
        <f t="shared" si="14"/>
        <v>3.4499999999999999E-3</v>
      </c>
      <c r="AT57" s="141"/>
      <c r="AU57" s="163"/>
      <c r="AV57" s="328"/>
      <c r="AW57" s="164"/>
    </row>
    <row r="58" spans="1:49" x14ac:dyDescent="0.25">
      <c r="A58" s="25">
        <v>400</v>
      </c>
      <c r="B58" s="25" t="s">
        <v>28</v>
      </c>
      <c r="C58" s="25" t="s">
        <v>260</v>
      </c>
      <c r="D58" s="25" t="s">
        <v>261</v>
      </c>
      <c r="E58" s="24"/>
      <c r="F58" s="25" t="s">
        <v>225</v>
      </c>
      <c r="G58" s="25"/>
      <c r="H58" s="139" t="s">
        <v>31</v>
      </c>
      <c r="I58" s="25"/>
      <c r="J58" s="25">
        <v>2.3E-2</v>
      </c>
      <c r="K58" s="39">
        <v>2.3E-2</v>
      </c>
      <c r="L58" s="25">
        <v>1</v>
      </c>
      <c r="M58" s="25" t="s">
        <v>33</v>
      </c>
      <c r="N58" s="39">
        <f t="shared" si="5"/>
        <v>0.59339999999999993</v>
      </c>
      <c r="O58" s="39">
        <f t="shared" si="6"/>
        <v>0.69229999999999992</v>
      </c>
      <c r="P58" s="39">
        <f t="shared" si="7"/>
        <v>0.39560000000000001</v>
      </c>
      <c r="Q58" s="39">
        <f t="shared" si="8"/>
        <v>0.29669999999999996</v>
      </c>
      <c r="R58" s="138">
        <v>1.978</v>
      </c>
      <c r="S58" s="106">
        <v>105991.94</v>
      </c>
      <c r="T58" s="106">
        <v>2437.8146200000001</v>
      </c>
      <c r="U58" s="9"/>
      <c r="V58" s="9"/>
      <c r="W58" s="25" t="s">
        <v>296</v>
      </c>
      <c r="X58" s="25">
        <v>500216</v>
      </c>
      <c r="Y58" s="19" t="s">
        <v>264</v>
      </c>
      <c r="Z58" s="9" t="s">
        <v>225</v>
      </c>
      <c r="AA58" s="70">
        <v>5</v>
      </c>
      <c r="AB58" s="71">
        <v>2909</v>
      </c>
      <c r="AD58" s="165"/>
      <c r="AE58" s="163"/>
      <c r="AF58" s="163"/>
      <c r="AG58" s="164"/>
      <c r="AH58" s="141"/>
      <c r="AI58" s="163"/>
      <c r="AJ58" s="163"/>
      <c r="AK58" s="164"/>
      <c r="AL58" s="169">
        <f t="shared" si="15"/>
        <v>6.8999999999999999E-3</v>
      </c>
      <c r="AM58" s="320">
        <f t="shared" si="16"/>
        <v>8.0499999999999999E-3</v>
      </c>
      <c r="AN58" s="163"/>
      <c r="AO58" s="164"/>
      <c r="AP58" s="141"/>
      <c r="AQ58" s="163"/>
      <c r="AR58" s="320">
        <f t="shared" si="13"/>
        <v>4.5999999999999999E-3</v>
      </c>
      <c r="AS58" s="355">
        <f t="shared" si="14"/>
        <v>3.4499999999999999E-3</v>
      </c>
      <c r="AT58" s="141"/>
      <c r="AU58" s="163"/>
      <c r="AV58" s="328"/>
      <c r="AW58" s="164"/>
    </row>
    <row r="59" spans="1:49" x14ac:dyDescent="0.25">
      <c r="A59" s="25">
        <v>401</v>
      </c>
      <c r="B59" s="25" t="s">
        <v>28</v>
      </c>
      <c r="C59" s="25" t="s">
        <v>260</v>
      </c>
      <c r="D59" s="25" t="s">
        <v>261</v>
      </c>
      <c r="E59" s="24"/>
      <c r="F59" s="25" t="s">
        <v>225</v>
      </c>
      <c r="G59" s="25"/>
      <c r="H59" s="139" t="s">
        <v>31</v>
      </c>
      <c r="I59" s="25"/>
      <c r="J59" s="25">
        <v>1.7500000000000002E-2</v>
      </c>
      <c r="K59" s="39">
        <v>1.7500000000000002E-2</v>
      </c>
      <c r="L59" s="25">
        <v>1</v>
      </c>
      <c r="M59" s="25" t="s">
        <v>33</v>
      </c>
      <c r="N59" s="39">
        <f t="shared" si="5"/>
        <v>0.45150000000000001</v>
      </c>
      <c r="O59" s="39">
        <f t="shared" si="6"/>
        <v>0.52675000000000005</v>
      </c>
      <c r="P59" s="39">
        <f t="shared" si="7"/>
        <v>0.30100000000000005</v>
      </c>
      <c r="Q59" s="39">
        <f t="shared" si="8"/>
        <v>0.22575000000000001</v>
      </c>
      <c r="R59" s="138">
        <v>1.5050000000000001</v>
      </c>
      <c r="S59" s="106">
        <v>105991.94</v>
      </c>
      <c r="T59" s="106">
        <v>1854.8589500000003</v>
      </c>
      <c r="U59" s="9"/>
      <c r="V59" s="9"/>
      <c r="W59" s="25" t="s">
        <v>297</v>
      </c>
      <c r="X59" s="25">
        <v>500216</v>
      </c>
      <c r="Y59" s="19" t="s">
        <v>264</v>
      </c>
      <c r="Z59" s="9" t="s">
        <v>225</v>
      </c>
      <c r="AA59" s="70">
        <v>6</v>
      </c>
      <c r="AB59" s="71">
        <v>2909</v>
      </c>
      <c r="AD59" s="165"/>
      <c r="AE59" s="163"/>
      <c r="AF59" s="163"/>
      <c r="AG59" s="164"/>
      <c r="AH59" s="141"/>
      <c r="AI59" s="163"/>
      <c r="AJ59" s="163"/>
      <c r="AK59" s="164"/>
      <c r="AL59" s="169">
        <f t="shared" si="15"/>
        <v>5.2500000000000003E-3</v>
      </c>
      <c r="AM59" s="320">
        <f t="shared" si="16"/>
        <v>6.1250000000000002E-3</v>
      </c>
      <c r="AN59" s="163"/>
      <c r="AO59" s="164"/>
      <c r="AP59" s="141"/>
      <c r="AQ59" s="163"/>
      <c r="AR59" s="320">
        <f t="shared" si="13"/>
        <v>3.5000000000000005E-3</v>
      </c>
      <c r="AS59" s="355">
        <f t="shared" si="14"/>
        <v>2.6250000000000002E-3</v>
      </c>
      <c r="AT59" s="141"/>
      <c r="AU59" s="163"/>
      <c r="AV59" s="328"/>
      <c r="AW59" s="164"/>
    </row>
    <row r="60" spans="1:49" x14ac:dyDescent="0.25">
      <c r="A60" s="25">
        <v>402</v>
      </c>
      <c r="B60" s="25" t="s">
        <v>28</v>
      </c>
      <c r="C60" s="25" t="s">
        <v>260</v>
      </c>
      <c r="D60" s="25" t="s">
        <v>261</v>
      </c>
      <c r="E60" s="24"/>
      <c r="F60" s="25" t="s">
        <v>225</v>
      </c>
      <c r="G60" s="25"/>
      <c r="H60" s="139" t="s">
        <v>31</v>
      </c>
      <c r="I60" s="25"/>
      <c r="J60" s="25">
        <v>1.7500000000000002E-2</v>
      </c>
      <c r="K60" s="39">
        <v>1.7500000000000002E-2</v>
      </c>
      <c r="L60" s="25">
        <v>1</v>
      </c>
      <c r="M60" s="25" t="s">
        <v>33</v>
      </c>
      <c r="N60" s="39">
        <f t="shared" si="5"/>
        <v>0.45150000000000001</v>
      </c>
      <c r="O60" s="39">
        <f t="shared" si="6"/>
        <v>0.52675000000000005</v>
      </c>
      <c r="P60" s="39">
        <f t="shared" si="7"/>
        <v>0.30100000000000005</v>
      </c>
      <c r="Q60" s="39">
        <f t="shared" si="8"/>
        <v>0.22575000000000001</v>
      </c>
      <c r="R60" s="138">
        <v>1.5050000000000001</v>
      </c>
      <c r="S60" s="106">
        <v>105991.94</v>
      </c>
      <c r="T60" s="106">
        <v>1854.8589500000003</v>
      </c>
      <c r="U60" s="9"/>
      <c r="V60" s="9"/>
      <c r="W60" s="25" t="s">
        <v>297</v>
      </c>
      <c r="X60" s="25">
        <v>500216</v>
      </c>
      <c r="Y60" s="19" t="s">
        <v>264</v>
      </c>
      <c r="Z60" s="9" t="s">
        <v>225</v>
      </c>
      <c r="AA60" s="70">
        <v>7</v>
      </c>
      <c r="AB60" s="71">
        <v>2909</v>
      </c>
      <c r="AD60" s="165"/>
      <c r="AE60" s="163"/>
      <c r="AF60" s="163"/>
      <c r="AG60" s="164"/>
      <c r="AH60" s="141"/>
      <c r="AI60" s="163"/>
      <c r="AJ60" s="163"/>
      <c r="AK60" s="164"/>
      <c r="AL60" s="169">
        <f t="shared" si="15"/>
        <v>5.2500000000000003E-3</v>
      </c>
      <c r="AM60" s="320">
        <f t="shared" si="16"/>
        <v>6.1250000000000002E-3</v>
      </c>
      <c r="AN60" s="163"/>
      <c r="AO60" s="164"/>
      <c r="AP60" s="141"/>
      <c r="AQ60" s="163"/>
      <c r="AR60" s="320">
        <f t="shared" si="13"/>
        <v>3.5000000000000005E-3</v>
      </c>
      <c r="AS60" s="355">
        <f t="shared" si="14"/>
        <v>2.6250000000000002E-3</v>
      </c>
      <c r="AT60" s="141"/>
      <c r="AU60" s="163"/>
      <c r="AV60" s="328"/>
      <c r="AW60" s="164"/>
    </row>
    <row r="61" spans="1:49" x14ac:dyDescent="0.25">
      <c r="A61" s="25">
        <v>403</v>
      </c>
      <c r="B61" s="25" t="s">
        <v>28</v>
      </c>
      <c r="C61" s="25" t="s">
        <v>260</v>
      </c>
      <c r="D61" s="25" t="s">
        <v>261</v>
      </c>
      <c r="E61" s="24"/>
      <c r="F61" s="25" t="s">
        <v>225</v>
      </c>
      <c r="G61" s="25"/>
      <c r="H61" s="139" t="s">
        <v>31</v>
      </c>
      <c r="I61" s="25"/>
      <c r="J61" s="25">
        <v>1.7500000000000002E-2</v>
      </c>
      <c r="K61" s="39">
        <v>1.7500000000000002E-2</v>
      </c>
      <c r="L61" s="25">
        <v>1</v>
      </c>
      <c r="M61" s="25" t="s">
        <v>33</v>
      </c>
      <c r="N61" s="39">
        <f t="shared" si="5"/>
        <v>0.45150000000000001</v>
      </c>
      <c r="O61" s="39">
        <f t="shared" si="6"/>
        <v>0.52675000000000005</v>
      </c>
      <c r="P61" s="39">
        <f t="shared" si="7"/>
        <v>0.30100000000000005</v>
      </c>
      <c r="Q61" s="39">
        <f t="shared" si="8"/>
        <v>0.22575000000000001</v>
      </c>
      <c r="R61" s="138">
        <v>1.5050000000000001</v>
      </c>
      <c r="S61" s="106">
        <v>105991.94</v>
      </c>
      <c r="T61" s="106">
        <v>1854.8589500000003</v>
      </c>
      <c r="U61" s="9"/>
      <c r="V61" s="9"/>
      <c r="W61" s="25" t="s">
        <v>297</v>
      </c>
      <c r="X61" s="25">
        <v>500216</v>
      </c>
      <c r="Y61" s="19" t="s">
        <v>264</v>
      </c>
      <c r="Z61" s="9" t="s">
        <v>225</v>
      </c>
      <c r="AA61" s="70">
        <v>8</v>
      </c>
      <c r="AB61" s="71">
        <v>2909</v>
      </c>
      <c r="AD61" s="165"/>
      <c r="AE61" s="163"/>
      <c r="AF61" s="163"/>
      <c r="AG61" s="164"/>
      <c r="AH61" s="141"/>
      <c r="AI61" s="163"/>
      <c r="AJ61" s="163"/>
      <c r="AK61" s="164"/>
      <c r="AL61" s="169">
        <f t="shared" si="15"/>
        <v>5.2500000000000003E-3</v>
      </c>
      <c r="AM61" s="320">
        <f t="shared" si="16"/>
        <v>6.1250000000000002E-3</v>
      </c>
      <c r="AN61" s="163"/>
      <c r="AO61" s="164"/>
      <c r="AP61" s="141"/>
      <c r="AQ61" s="163"/>
      <c r="AR61" s="320">
        <f t="shared" si="13"/>
        <v>3.5000000000000005E-3</v>
      </c>
      <c r="AS61" s="355">
        <f t="shared" si="14"/>
        <v>2.6250000000000002E-3</v>
      </c>
      <c r="AT61" s="141"/>
      <c r="AU61" s="163"/>
      <c r="AV61" s="328"/>
      <c r="AW61" s="164"/>
    </row>
    <row r="62" spans="1:49" x14ac:dyDescent="0.25">
      <c r="A62" s="25">
        <v>404</v>
      </c>
      <c r="B62" s="25" t="s">
        <v>28</v>
      </c>
      <c r="C62" s="25" t="s">
        <v>260</v>
      </c>
      <c r="D62" s="25" t="s">
        <v>261</v>
      </c>
      <c r="E62" s="24"/>
      <c r="F62" s="25" t="s">
        <v>225</v>
      </c>
      <c r="G62" s="25"/>
      <c r="H62" s="139" t="s">
        <v>31</v>
      </c>
      <c r="I62" s="25"/>
      <c r="J62" s="25">
        <v>1.7500000000000002E-2</v>
      </c>
      <c r="K62" s="39">
        <v>1.7500000000000002E-2</v>
      </c>
      <c r="L62" s="25">
        <v>1</v>
      </c>
      <c r="M62" s="25" t="s">
        <v>33</v>
      </c>
      <c r="N62" s="39">
        <f t="shared" si="5"/>
        <v>0.45150000000000001</v>
      </c>
      <c r="O62" s="39">
        <f t="shared" si="6"/>
        <v>0.52675000000000005</v>
      </c>
      <c r="P62" s="39">
        <f t="shared" si="7"/>
        <v>0.30100000000000005</v>
      </c>
      <c r="Q62" s="39">
        <f t="shared" si="8"/>
        <v>0.22575000000000001</v>
      </c>
      <c r="R62" s="138">
        <v>1.5050000000000001</v>
      </c>
      <c r="S62" s="106">
        <v>105991.94</v>
      </c>
      <c r="T62" s="106">
        <v>1854.8589500000003</v>
      </c>
      <c r="U62" s="9"/>
      <c r="V62" s="9"/>
      <c r="W62" s="25" t="s">
        <v>297</v>
      </c>
      <c r="X62" s="25">
        <v>500216</v>
      </c>
      <c r="Y62" s="19" t="s">
        <v>264</v>
      </c>
      <c r="Z62" s="9" t="s">
        <v>225</v>
      </c>
      <c r="AA62" s="70">
        <v>9</v>
      </c>
      <c r="AB62" s="71">
        <v>2909</v>
      </c>
      <c r="AD62" s="165"/>
      <c r="AE62" s="163"/>
      <c r="AF62" s="163"/>
      <c r="AG62" s="164"/>
      <c r="AH62" s="141"/>
      <c r="AI62" s="163"/>
      <c r="AJ62" s="163"/>
      <c r="AK62" s="164"/>
      <c r="AL62" s="169">
        <f t="shared" si="15"/>
        <v>5.2500000000000003E-3</v>
      </c>
      <c r="AM62" s="320">
        <f t="shared" si="16"/>
        <v>6.1250000000000002E-3</v>
      </c>
      <c r="AN62" s="163"/>
      <c r="AO62" s="164"/>
      <c r="AP62" s="141"/>
      <c r="AQ62" s="163"/>
      <c r="AR62" s="320">
        <f t="shared" si="13"/>
        <v>3.5000000000000005E-3</v>
      </c>
      <c r="AS62" s="355">
        <f t="shared" si="14"/>
        <v>2.6250000000000002E-3</v>
      </c>
      <c r="AT62" s="141"/>
      <c r="AU62" s="163"/>
      <c r="AV62" s="328"/>
      <c r="AW62" s="164"/>
    </row>
    <row r="63" spans="1:49" x14ac:dyDescent="0.25">
      <c r="A63" s="25">
        <v>405</v>
      </c>
      <c r="B63" s="25" t="s">
        <v>28</v>
      </c>
      <c r="C63" s="25" t="s">
        <v>260</v>
      </c>
      <c r="D63" s="25" t="s">
        <v>261</v>
      </c>
      <c r="E63" s="24"/>
      <c r="F63" s="25" t="s">
        <v>225</v>
      </c>
      <c r="G63" s="25"/>
      <c r="H63" s="139" t="s">
        <v>31</v>
      </c>
      <c r="I63" s="25"/>
      <c r="J63" s="25">
        <v>3.3500000000000002E-2</v>
      </c>
      <c r="K63" s="39">
        <v>3.3500000000000002E-2</v>
      </c>
      <c r="L63" s="25">
        <v>1</v>
      </c>
      <c r="M63" s="25" t="s">
        <v>33</v>
      </c>
      <c r="N63" s="39">
        <f t="shared" si="5"/>
        <v>0.86430000000000007</v>
      </c>
      <c r="O63" s="39">
        <f t="shared" si="6"/>
        <v>1.0083500000000001</v>
      </c>
      <c r="P63" s="39">
        <f t="shared" si="7"/>
        <v>0.57620000000000005</v>
      </c>
      <c r="Q63" s="39">
        <f t="shared" si="8"/>
        <v>0.43215000000000003</v>
      </c>
      <c r="R63" s="138">
        <v>2.8810000000000002</v>
      </c>
      <c r="S63" s="106">
        <v>105991.94</v>
      </c>
      <c r="T63" s="106">
        <v>3550.7299900000003</v>
      </c>
      <c r="U63" s="9"/>
      <c r="V63" s="9"/>
      <c r="W63" s="25" t="s">
        <v>298</v>
      </c>
      <c r="X63" s="25">
        <v>500216</v>
      </c>
      <c r="Y63" s="19" t="s">
        <v>264</v>
      </c>
      <c r="Z63" s="9" t="s">
        <v>225</v>
      </c>
      <c r="AA63" s="70">
        <v>10</v>
      </c>
      <c r="AB63" s="71">
        <v>2909</v>
      </c>
      <c r="AD63" s="165"/>
      <c r="AE63" s="163"/>
      <c r="AF63" s="163"/>
      <c r="AG63" s="164"/>
      <c r="AH63" s="141"/>
      <c r="AI63" s="163"/>
      <c r="AJ63" s="163"/>
      <c r="AK63" s="164"/>
      <c r="AL63" s="169">
        <f t="shared" si="15"/>
        <v>1.005E-2</v>
      </c>
      <c r="AM63" s="320">
        <f t="shared" si="16"/>
        <v>1.1724999999999999E-2</v>
      </c>
      <c r="AN63" s="163"/>
      <c r="AO63" s="164"/>
      <c r="AP63" s="141"/>
      <c r="AQ63" s="163"/>
      <c r="AR63" s="320">
        <f t="shared" si="13"/>
        <v>6.7000000000000011E-3</v>
      </c>
      <c r="AS63" s="355">
        <f t="shared" si="14"/>
        <v>5.025E-3</v>
      </c>
      <c r="AT63" s="141"/>
      <c r="AU63" s="163"/>
      <c r="AV63" s="328"/>
      <c r="AW63" s="164"/>
    </row>
    <row r="64" spans="1:49" x14ac:dyDescent="0.25">
      <c r="A64" s="25">
        <v>406</v>
      </c>
      <c r="B64" s="25" t="s">
        <v>28</v>
      </c>
      <c r="C64" s="25" t="s">
        <v>260</v>
      </c>
      <c r="D64" s="25" t="s">
        <v>261</v>
      </c>
      <c r="E64" s="24"/>
      <c r="F64" s="25" t="s">
        <v>225</v>
      </c>
      <c r="G64" s="25"/>
      <c r="H64" s="139" t="s">
        <v>31</v>
      </c>
      <c r="I64" s="25"/>
      <c r="J64" s="25">
        <v>3.3500000000000002E-2</v>
      </c>
      <c r="K64" s="39">
        <v>3.3500000000000002E-2</v>
      </c>
      <c r="L64" s="25">
        <v>1</v>
      </c>
      <c r="M64" s="25" t="s">
        <v>33</v>
      </c>
      <c r="N64" s="39">
        <f t="shared" si="5"/>
        <v>0.86430000000000007</v>
      </c>
      <c r="O64" s="39">
        <f t="shared" si="6"/>
        <v>1.0083500000000001</v>
      </c>
      <c r="P64" s="39">
        <f t="shared" si="7"/>
        <v>0.57620000000000005</v>
      </c>
      <c r="Q64" s="39">
        <f t="shared" si="8"/>
        <v>0.43215000000000003</v>
      </c>
      <c r="R64" s="138">
        <v>2.8810000000000002</v>
      </c>
      <c r="S64" s="106">
        <v>105991.94</v>
      </c>
      <c r="T64" s="106">
        <v>3550.7299900000003</v>
      </c>
      <c r="U64" s="9"/>
      <c r="V64" s="9"/>
      <c r="W64" s="25" t="s">
        <v>298</v>
      </c>
      <c r="X64" s="25">
        <v>500216</v>
      </c>
      <c r="Y64" s="19" t="s">
        <v>264</v>
      </c>
      <c r="Z64" s="9" t="s">
        <v>225</v>
      </c>
      <c r="AA64" s="70">
        <v>11</v>
      </c>
      <c r="AB64" s="71">
        <v>2909</v>
      </c>
      <c r="AD64" s="165"/>
      <c r="AE64" s="163"/>
      <c r="AF64" s="163"/>
      <c r="AG64" s="164"/>
      <c r="AH64" s="141"/>
      <c r="AI64" s="163"/>
      <c r="AJ64" s="163"/>
      <c r="AK64" s="164"/>
      <c r="AL64" s="169">
        <f t="shared" si="15"/>
        <v>1.005E-2</v>
      </c>
      <c r="AM64" s="320">
        <f t="shared" si="16"/>
        <v>1.1724999999999999E-2</v>
      </c>
      <c r="AN64" s="163"/>
      <c r="AO64" s="164"/>
      <c r="AP64" s="141"/>
      <c r="AQ64" s="163"/>
      <c r="AR64" s="320">
        <f t="shared" si="13"/>
        <v>6.7000000000000011E-3</v>
      </c>
      <c r="AS64" s="355">
        <f t="shared" si="14"/>
        <v>5.025E-3</v>
      </c>
      <c r="AT64" s="141"/>
      <c r="AU64" s="163"/>
      <c r="AV64" s="328"/>
      <c r="AW64" s="164"/>
    </row>
    <row r="65" spans="1:49" x14ac:dyDescent="0.25">
      <c r="A65" s="25">
        <v>407</v>
      </c>
      <c r="B65" s="25" t="s">
        <v>28</v>
      </c>
      <c r="C65" s="25" t="s">
        <v>260</v>
      </c>
      <c r="D65" s="25" t="s">
        <v>261</v>
      </c>
      <c r="E65" s="24"/>
      <c r="F65" s="25" t="s">
        <v>225</v>
      </c>
      <c r="G65" s="25"/>
      <c r="H65" s="139" t="s">
        <v>31</v>
      </c>
      <c r="I65" s="25"/>
      <c r="J65" s="25">
        <v>1.9E-2</v>
      </c>
      <c r="K65" s="39">
        <v>1.9E-2</v>
      </c>
      <c r="L65" s="25">
        <v>1</v>
      </c>
      <c r="M65" s="25" t="s">
        <v>33</v>
      </c>
      <c r="N65" s="39">
        <f t="shared" si="5"/>
        <v>0.49019999999999997</v>
      </c>
      <c r="O65" s="39">
        <f t="shared" si="6"/>
        <v>0.57189999999999996</v>
      </c>
      <c r="P65" s="39">
        <f t="shared" si="7"/>
        <v>0.32679999999999998</v>
      </c>
      <c r="Q65" s="39">
        <f t="shared" si="8"/>
        <v>0.24509999999999998</v>
      </c>
      <c r="R65" s="138">
        <v>1.6339999999999999</v>
      </c>
      <c r="S65" s="106">
        <v>105991.94</v>
      </c>
      <c r="T65" s="106">
        <v>2013.8468600000001</v>
      </c>
      <c r="U65" s="9"/>
      <c r="V65" s="9"/>
      <c r="W65" s="25" t="s">
        <v>299</v>
      </c>
      <c r="X65" s="25">
        <v>500216</v>
      </c>
      <c r="Y65" s="19" t="s">
        <v>264</v>
      </c>
      <c r="Z65" s="9" t="s">
        <v>225</v>
      </c>
      <c r="AA65" s="70">
        <v>12</v>
      </c>
      <c r="AB65" s="71">
        <v>2909</v>
      </c>
      <c r="AD65" s="165"/>
      <c r="AE65" s="163"/>
      <c r="AF65" s="163"/>
      <c r="AG65" s="164"/>
      <c r="AH65" s="141"/>
      <c r="AI65" s="163"/>
      <c r="AJ65" s="163"/>
      <c r="AK65" s="164"/>
      <c r="AL65" s="169">
        <f t="shared" si="15"/>
        <v>5.6999999999999993E-3</v>
      </c>
      <c r="AM65" s="320">
        <f t="shared" si="16"/>
        <v>6.6499999999999997E-3</v>
      </c>
      <c r="AN65" s="163"/>
      <c r="AO65" s="164"/>
      <c r="AP65" s="141"/>
      <c r="AQ65" s="163"/>
      <c r="AR65" s="320">
        <f t="shared" si="13"/>
        <v>3.8E-3</v>
      </c>
      <c r="AS65" s="355">
        <f t="shared" si="14"/>
        <v>2.8499999999999997E-3</v>
      </c>
      <c r="AT65" s="141"/>
      <c r="AU65" s="163"/>
      <c r="AV65" s="328"/>
      <c r="AW65" s="164"/>
    </row>
    <row r="66" spans="1:49" x14ac:dyDescent="0.25">
      <c r="A66" s="25">
        <v>408</v>
      </c>
      <c r="B66" s="25" t="s">
        <v>28</v>
      </c>
      <c r="C66" s="25" t="s">
        <v>260</v>
      </c>
      <c r="D66" s="25" t="s">
        <v>261</v>
      </c>
      <c r="E66" s="24"/>
      <c r="F66" s="25" t="s">
        <v>225</v>
      </c>
      <c r="G66" s="25"/>
      <c r="H66" s="139" t="s">
        <v>31</v>
      </c>
      <c r="I66" s="25"/>
      <c r="J66" s="25">
        <v>1.9E-2</v>
      </c>
      <c r="K66" s="39">
        <v>1.9E-2</v>
      </c>
      <c r="L66" s="25">
        <v>1</v>
      </c>
      <c r="M66" s="25" t="s">
        <v>33</v>
      </c>
      <c r="N66" s="39">
        <f t="shared" si="5"/>
        <v>0.49019999999999997</v>
      </c>
      <c r="O66" s="39">
        <f t="shared" si="6"/>
        <v>0.57189999999999996</v>
      </c>
      <c r="P66" s="39">
        <f t="shared" si="7"/>
        <v>0.32679999999999998</v>
      </c>
      <c r="Q66" s="39">
        <f t="shared" si="8"/>
        <v>0.24509999999999998</v>
      </c>
      <c r="R66" s="138">
        <v>1.6339999999999999</v>
      </c>
      <c r="S66" s="106">
        <v>105991.94</v>
      </c>
      <c r="T66" s="106">
        <v>2013.8468600000001</v>
      </c>
      <c r="U66" s="9"/>
      <c r="V66" s="9"/>
      <c r="W66" s="25" t="s">
        <v>299</v>
      </c>
      <c r="X66" s="25">
        <v>500216</v>
      </c>
      <c r="Y66" s="19" t="s">
        <v>264</v>
      </c>
      <c r="Z66" s="9" t="s">
        <v>225</v>
      </c>
      <c r="AA66" s="70">
        <v>13</v>
      </c>
      <c r="AB66" s="71">
        <v>2909</v>
      </c>
      <c r="AD66" s="165"/>
      <c r="AE66" s="163"/>
      <c r="AF66" s="163"/>
      <c r="AG66" s="164"/>
      <c r="AH66" s="141"/>
      <c r="AI66" s="163"/>
      <c r="AJ66" s="163"/>
      <c r="AK66" s="164"/>
      <c r="AL66" s="169">
        <f t="shared" si="15"/>
        <v>5.6999999999999993E-3</v>
      </c>
      <c r="AM66" s="320">
        <f t="shared" si="16"/>
        <v>6.6499999999999997E-3</v>
      </c>
      <c r="AN66" s="163"/>
      <c r="AO66" s="164"/>
      <c r="AP66" s="141"/>
      <c r="AQ66" s="163"/>
      <c r="AR66" s="320">
        <f t="shared" si="13"/>
        <v>3.8E-3</v>
      </c>
      <c r="AS66" s="355">
        <f t="shared" si="14"/>
        <v>2.8499999999999997E-3</v>
      </c>
      <c r="AT66" s="141"/>
      <c r="AU66" s="163"/>
      <c r="AV66" s="328"/>
      <c r="AW66" s="164"/>
    </row>
    <row r="67" spans="1:49" x14ac:dyDescent="0.25">
      <c r="A67" s="25">
        <v>409</v>
      </c>
      <c r="B67" s="25" t="s">
        <v>28</v>
      </c>
      <c r="C67" s="25" t="s">
        <v>260</v>
      </c>
      <c r="D67" s="25" t="s">
        <v>261</v>
      </c>
      <c r="E67" s="24"/>
      <c r="F67" s="25" t="s">
        <v>225</v>
      </c>
      <c r="G67" s="25"/>
      <c r="H67" s="139" t="s">
        <v>31</v>
      </c>
      <c r="I67" s="25"/>
      <c r="J67" s="25">
        <v>0.15</v>
      </c>
      <c r="K67" s="39">
        <v>0.15</v>
      </c>
      <c r="L67" s="25">
        <v>1</v>
      </c>
      <c r="M67" s="25" t="s">
        <v>33</v>
      </c>
      <c r="N67" s="39">
        <f t="shared" si="5"/>
        <v>3.105</v>
      </c>
      <c r="O67" s="39">
        <f t="shared" si="6"/>
        <v>3.6224999999999996</v>
      </c>
      <c r="P67" s="39">
        <f t="shared" si="7"/>
        <v>2.0699999999999998</v>
      </c>
      <c r="Q67" s="39">
        <f t="shared" si="8"/>
        <v>1.5525</v>
      </c>
      <c r="R67" s="138">
        <v>10.35</v>
      </c>
      <c r="S67" s="106">
        <v>105991.94</v>
      </c>
      <c r="T67" s="106">
        <v>15898.790999999999</v>
      </c>
      <c r="U67" s="9"/>
      <c r="V67" s="9"/>
      <c r="W67" s="25" t="s">
        <v>300</v>
      </c>
      <c r="X67" s="25">
        <v>500217</v>
      </c>
      <c r="Y67" s="19" t="s">
        <v>264</v>
      </c>
      <c r="Z67" s="9" t="s">
        <v>225</v>
      </c>
      <c r="AA67" s="70">
        <v>1</v>
      </c>
      <c r="AB67" s="71">
        <v>2909</v>
      </c>
      <c r="AD67" s="165"/>
      <c r="AE67" s="163"/>
      <c r="AF67" s="163"/>
      <c r="AG67" s="164"/>
      <c r="AH67" s="141"/>
      <c r="AI67" s="163"/>
      <c r="AJ67" s="163"/>
      <c r="AK67" s="164"/>
      <c r="AL67" s="169">
        <f t="shared" si="15"/>
        <v>4.4999999999999998E-2</v>
      </c>
      <c r="AM67" s="320">
        <f t="shared" si="16"/>
        <v>5.2499999999999998E-2</v>
      </c>
      <c r="AN67" s="163"/>
      <c r="AO67" s="164"/>
      <c r="AP67" s="141"/>
      <c r="AQ67" s="163"/>
      <c r="AR67" s="320">
        <f t="shared" si="13"/>
        <v>0.03</v>
      </c>
      <c r="AS67" s="355">
        <f t="shared" si="14"/>
        <v>2.2499999999999999E-2</v>
      </c>
      <c r="AT67" s="141"/>
      <c r="AU67" s="163"/>
      <c r="AV67" s="328"/>
      <c r="AW67" s="164"/>
    </row>
    <row r="68" spans="1:49" x14ac:dyDescent="0.25">
      <c r="A68" s="25">
        <v>410</v>
      </c>
      <c r="B68" s="25" t="s">
        <v>28</v>
      </c>
      <c r="C68" s="25" t="s">
        <v>260</v>
      </c>
      <c r="D68" s="25" t="s">
        <v>261</v>
      </c>
      <c r="E68" s="24"/>
      <c r="F68" s="25" t="s">
        <v>225</v>
      </c>
      <c r="G68" s="25"/>
      <c r="H68" s="139" t="s">
        <v>31</v>
      </c>
      <c r="I68" s="25"/>
      <c r="J68" s="25">
        <v>0.15</v>
      </c>
      <c r="K68" s="39">
        <v>0.15</v>
      </c>
      <c r="L68" s="25">
        <v>1</v>
      </c>
      <c r="M68" s="25" t="s">
        <v>33</v>
      </c>
      <c r="N68" s="39">
        <f t="shared" si="5"/>
        <v>3.105</v>
      </c>
      <c r="O68" s="39">
        <f t="shared" si="6"/>
        <v>3.6224999999999996</v>
      </c>
      <c r="P68" s="39">
        <f t="shared" si="7"/>
        <v>2.0699999999999998</v>
      </c>
      <c r="Q68" s="39">
        <f t="shared" si="8"/>
        <v>1.5525</v>
      </c>
      <c r="R68" s="138">
        <v>10.35</v>
      </c>
      <c r="S68" s="106">
        <v>105991.94</v>
      </c>
      <c r="T68" s="106">
        <v>15898.790999999999</v>
      </c>
      <c r="U68" s="9"/>
      <c r="V68" s="9"/>
      <c r="W68" s="25" t="s">
        <v>300</v>
      </c>
      <c r="X68" s="25">
        <v>500217</v>
      </c>
      <c r="Y68" s="19" t="s">
        <v>264</v>
      </c>
      <c r="Z68" s="9" t="s">
        <v>225</v>
      </c>
      <c r="AA68" s="70">
        <v>2</v>
      </c>
      <c r="AB68" s="71">
        <v>2909</v>
      </c>
      <c r="AD68" s="165"/>
      <c r="AE68" s="163"/>
      <c r="AF68" s="163"/>
      <c r="AG68" s="164"/>
      <c r="AH68" s="141"/>
      <c r="AI68" s="163"/>
      <c r="AJ68" s="163"/>
      <c r="AK68" s="164"/>
      <c r="AL68" s="169">
        <f t="shared" si="15"/>
        <v>4.4999999999999998E-2</v>
      </c>
      <c r="AM68" s="320">
        <f t="shared" si="16"/>
        <v>5.2499999999999998E-2</v>
      </c>
      <c r="AN68" s="163"/>
      <c r="AO68" s="164"/>
      <c r="AP68" s="141"/>
      <c r="AQ68" s="163"/>
      <c r="AR68" s="320">
        <f t="shared" si="13"/>
        <v>0.03</v>
      </c>
      <c r="AS68" s="355">
        <f t="shared" si="14"/>
        <v>2.2499999999999999E-2</v>
      </c>
      <c r="AT68" s="141"/>
      <c r="AU68" s="163"/>
      <c r="AV68" s="328"/>
      <c r="AW68" s="164"/>
    </row>
    <row r="69" spans="1:49" x14ac:dyDescent="0.25">
      <c r="A69" s="25">
        <v>411</v>
      </c>
      <c r="B69" s="25" t="s">
        <v>28</v>
      </c>
      <c r="C69" s="25" t="s">
        <v>260</v>
      </c>
      <c r="D69" s="25" t="s">
        <v>261</v>
      </c>
      <c r="E69" s="24"/>
      <c r="F69" s="25" t="s">
        <v>301</v>
      </c>
      <c r="G69" s="25"/>
      <c r="H69" s="139" t="s">
        <v>31</v>
      </c>
      <c r="I69" s="25"/>
      <c r="J69" s="25">
        <v>0.49</v>
      </c>
      <c r="K69" s="39">
        <v>0.49</v>
      </c>
      <c r="L69" s="25">
        <v>1</v>
      </c>
      <c r="M69" s="25" t="s">
        <v>33</v>
      </c>
      <c r="N69" s="39">
        <f t="shared" ref="N69:N132" si="17">R69*0.3</f>
        <v>10.143000000000001</v>
      </c>
      <c r="O69" s="39">
        <f t="shared" ref="O69:O132" si="18">R69*0.35</f>
        <v>11.833500000000001</v>
      </c>
      <c r="P69" s="39">
        <f t="shared" ref="P69:P132" si="19">R69*0.2</f>
        <v>6.7620000000000005</v>
      </c>
      <c r="Q69" s="39">
        <f t="shared" ref="Q69:Q132" si="20">R69*0.15</f>
        <v>5.0715000000000003</v>
      </c>
      <c r="R69" s="138">
        <v>33.81</v>
      </c>
      <c r="S69" s="140">
        <v>105991.94</v>
      </c>
      <c r="T69" s="140">
        <v>51936.050600000002</v>
      </c>
      <c r="U69" s="25"/>
      <c r="V69" s="25"/>
      <c r="W69" s="25" t="s">
        <v>302</v>
      </c>
      <c r="X69" s="25">
        <v>500218</v>
      </c>
      <c r="Y69" s="19" t="s">
        <v>264</v>
      </c>
      <c r="Z69" s="9" t="s">
        <v>301</v>
      </c>
      <c r="AA69" s="70">
        <v>1</v>
      </c>
      <c r="AB69" s="71">
        <v>2813</v>
      </c>
      <c r="AD69" s="165"/>
      <c r="AE69" s="163"/>
      <c r="AF69" s="163"/>
      <c r="AG69" s="164"/>
      <c r="AH69" s="141"/>
      <c r="AI69" s="163"/>
      <c r="AJ69" s="163"/>
      <c r="AK69" s="164"/>
      <c r="AL69" s="169">
        <f>K69*0.3</f>
        <v>0.14699999999999999</v>
      </c>
      <c r="AM69" s="163"/>
      <c r="AN69" s="163"/>
      <c r="AO69" s="164"/>
      <c r="AP69" s="141"/>
      <c r="AQ69" s="163"/>
      <c r="AR69" s="163"/>
      <c r="AS69" s="164"/>
      <c r="AT69" s="141"/>
      <c r="AU69" s="163"/>
      <c r="AV69" s="163"/>
      <c r="AW69" s="164"/>
    </row>
    <row r="70" spans="1:49" x14ac:dyDescent="0.25">
      <c r="A70" s="25">
        <v>412</v>
      </c>
      <c r="B70" s="25" t="s">
        <v>28</v>
      </c>
      <c r="C70" s="25" t="s">
        <v>260</v>
      </c>
      <c r="D70" s="25" t="s">
        <v>261</v>
      </c>
      <c r="E70" s="24"/>
      <c r="F70" s="25" t="s">
        <v>303</v>
      </c>
      <c r="G70" s="25"/>
      <c r="H70" s="139" t="s">
        <v>31</v>
      </c>
      <c r="I70" s="25"/>
      <c r="J70" s="25">
        <v>27.414000000000001</v>
      </c>
      <c r="K70" s="39">
        <v>27.414000000000001</v>
      </c>
      <c r="L70" s="25">
        <v>1</v>
      </c>
      <c r="M70" s="25" t="s">
        <v>33</v>
      </c>
      <c r="N70" s="39">
        <f t="shared" si="17"/>
        <v>238.5018</v>
      </c>
      <c r="O70" s="39">
        <f t="shared" si="18"/>
        <v>278.25209999999998</v>
      </c>
      <c r="P70" s="39">
        <f t="shared" si="19"/>
        <v>159.00120000000004</v>
      </c>
      <c r="Q70" s="39">
        <f t="shared" si="20"/>
        <v>119.2509</v>
      </c>
      <c r="R70" s="138">
        <v>795.00600000000009</v>
      </c>
      <c r="S70" s="140">
        <v>105991.94</v>
      </c>
      <c r="T70" s="140">
        <v>2905663.0431600004</v>
      </c>
      <c r="U70" s="25"/>
      <c r="V70" s="25"/>
      <c r="W70" s="25" t="s">
        <v>304</v>
      </c>
      <c r="X70" s="25">
        <v>500218</v>
      </c>
      <c r="Y70" s="19" t="s">
        <v>264</v>
      </c>
      <c r="Z70" s="9" t="s">
        <v>303</v>
      </c>
      <c r="AA70" s="70">
        <v>2</v>
      </c>
      <c r="AB70" s="71">
        <v>2813</v>
      </c>
      <c r="AD70" s="165"/>
      <c r="AE70" s="163"/>
      <c r="AF70" s="163"/>
      <c r="AG70" s="164"/>
      <c r="AH70" s="169">
        <f>K70*0.3</f>
        <v>8.2241999999999997</v>
      </c>
      <c r="AI70" s="184">
        <f>K70*0.35</f>
        <v>9.5948999999999991</v>
      </c>
      <c r="AJ70" s="184">
        <f>K70*0.2</f>
        <v>5.482800000000001</v>
      </c>
      <c r="AK70" s="164"/>
      <c r="AL70" s="141"/>
      <c r="AM70" s="163"/>
      <c r="AN70" s="163"/>
      <c r="AO70" s="164"/>
      <c r="AP70" s="141"/>
      <c r="AQ70" s="163"/>
      <c r="AR70" s="163"/>
      <c r="AS70" s="355">
        <f>K70*0.15</f>
        <v>4.1120999999999999</v>
      </c>
      <c r="AT70" s="141"/>
      <c r="AU70" s="163"/>
      <c r="AV70" s="163"/>
      <c r="AW70" s="164"/>
    </row>
    <row r="71" spans="1:49" x14ac:dyDescent="0.25">
      <c r="A71" s="25">
        <v>413</v>
      </c>
      <c r="B71" s="25" t="s">
        <v>28</v>
      </c>
      <c r="C71" s="25" t="s">
        <v>260</v>
      </c>
      <c r="D71" s="25" t="s">
        <v>261</v>
      </c>
      <c r="E71" s="24"/>
      <c r="F71" s="25" t="s">
        <v>305</v>
      </c>
      <c r="G71" s="25"/>
      <c r="H71" s="139" t="s">
        <v>31</v>
      </c>
      <c r="I71" s="25"/>
      <c r="J71" s="25">
        <v>0.91</v>
      </c>
      <c r="K71" s="39">
        <v>0.91</v>
      </c>
      <c r="L71" s="25">
        <v>1</v>
      </c>
      <c r="M71" s="25" t="s">
        <v>33</v>
      </c>
      <c r="N71" s="39">
        <f t="shared" si="17"/>
        <v>16.925999999999998</v>
      </c>
      <c r="O71" s="39">
        <f t="shared" si="18"/>
        <v>19.747</v>
      </c>
      <c r="P71" s="39">
        <f t="shared" si="19"/>
        <v>11.284000000000001</v>
      </c>
      <c r="Q71" s="39">
        <f t="shared" si="20"/>
        <v>8.4629999999999992</v>
      </c>
      <c r="R71" s="138">
        <v>56.42</v>
      </c>
      <c r="S71" s="140">
        <v>105991.94</v>
      </c>
      <c r="T71" s="140">
        <v>96452.665400000013</v>
      </c>
      <c r="U71" s="25"/>
      <c r="V71" s="25"/>
      <c r="W71" s="25" t="s">
        <v>306</v>
      </c>
      <c r="X71" s="25">
        <v>500218</v>
      </c>
      <c r="Y71" s="19" t="s">
        <v>264</v>
      </c>
      <c r="Z71" s="9" t="s">
        <v>305</v>
      </c>
      <c r="AA71" s="70">
        <v>3</v>
      </c>
      <c r="AB71" s="71">
        <v>2813</v>
      </c>
      <c r="AD71" s="165"/>
      <c r="AE71" s="163"/>
      <c r="AF71" s="163"/>
      <c r="AG71" s="164"/>
      <c r="AH71" s="141"/>
      <c r="AI71" s="163"/>
      <c r="AJ71" s="163"/>
      <c r="AK71" s="164"/>
      <c r="AL71" s="169">
        <f t="shared" ref="AL71:AL82" si="21">K71*0.3</f>
        <v>0.27300000000000002</v>
      </c>
      <c r="AM71" s="163"/>
      <c r="AN71" s="163"/>
      <c r="AO71" s="164"/>
      <c r="AP71" s="141"/>
      <c r="AQ71" s="163"/>
      <c r="AR71" s="163"/>
      <c r="AS71" s="164"/>
      <c r="AT71" s="141"/>
      <c r="AU71" s="72"/>
      <c r="AV71" s="72"/>
      <c r="AW71" s="127"/>
    </row>
    <row r="72" spans="1:49" x14ac:dyDescent="0.25">
      <c r="A72" s="25">
        <v>414</v>
      </c>
      <c r="B72" s="25" t="s">
        <v>28</v>
      </c>
      <c r="C72" s="25" t="s">
        <v>260</v>
      </c>
      <c r="D72" s="25" t="s">
        <v>261</v>
      </c>
      <c r="E72" s="24"/>
      <c r="F72" s="25" t="s">
        <v>307</v>
      </c>
      <c r="G72" s="25"/>
      <c r="H72" s="139" t="s">
        <v>31</v>
      </c>
      <c r="I72" s="25"/>
      <c r="J72" s="25">
        <v>0.1</v>
      </c>
      <c r="K72" s="39">
        <v>0.1</v>
      </c>
      <c r="L72" s="25">
        <v>1</v>
      </c>
      <c r="M72" s="25" t="s">
        <v>33</v>
      </c>
      <c r="N72" s="39">
        <f t="shared" si="17"/>
        <v>2.31</v>
      </c>
      <c r="O72" s="39">
        <f t="shared" si="18"/>
        <v>2.6949999999999998</v>
      </c>
      <c r="P72" s="39">
        <f t="shared" si="19"/>
        <v>1.54</v>
      </c>
      <c r="Q72" s="39">
        <f t="shared" si="20"/>
        <v>1.155</v>
      </c>
      <c r="R72" s="138">
        <v>7.7</v>
      </c>
      <c r="S72" s="140">
        <v>105991.94</v>
      </c>
      <c r="T72" s="140">
        <v>10599.194000000001</v>
      </c>
      <c r="U72" s="25"/>
      <c r="V72" s="25"/>
      <c r="W72" s="25" t="s">
        <v>308</v>
      </c>
      <c r="X72" s="25">
        <v>500218</v>
      </c>
      <c r="Y72" s="19" t="s">
        <v>264</v>
      </c>
      <c r="Z72" s="9" t="s">
        <v>307</v>
      </c>
      <c r="AA72" s="70">
        <v>4</v>
      </c>
      <c r="AB72" s="71">
        <v>2813</v>
      </c>
      <c r="AD72" s="165"/>
      <c r="AE72" s="163"/>
      <c r="AF72" s="163"/>
      <c r="AG72" s="164"/>
      <c r="AH72" s="141"/>
      <c r="AI72" s="163"/>
      <c r="AJ72" s="163"/>
      <c r="AK72" s="164"/>
      <c r="AL72" s="169">
        <f t="shared" si="21"/>
        <v>0.03</v>
      </c>
      <c r="AM72" s="163"/>
      <c r="AN72" s="163"/>
      <c r="AO72" s="164"/>
      <c r="AP72" s="141"/>
      <c r="AQ72" s="163"/>
      <c r="AR72" s="163"/>
      <c r="AS72" s="164"/>
      <c r="AT72" s="141"/>
      <c r="AU72" s="72"/>
      <c r="AV72" s="72"/>
      <c r="AW72" s="127"/>
    </row>
    <row r="73" spans="1:49" x14ac:dyDescent="0.25">
      <c r="A73" s="25">
        <v>415</v>
      </c>
      <c r="B73" s="25" t="s">
        <v>28</v>
      </c>
      <c r="C73" s="25" t="s">
        <v>260</v>
      </c>
      <c r="D73" s="25" t="s">
        <v>261</v>
      </c>
      <c r="E73" s="24"/>
      <c r="F73" s="25" t="s">
        <v>309</v>
      </c>
      <c r="G73" s="25"/>
      <c r="H73" s="139" t="s">
        <v>31</v>
      </c>
      <c r="I73" s="25"/>
      <c r="J73" s="25">
        <v>0.37</v>
      </c>
      <c r="K73" s="39">
        <v>0.37</v>
      </c>
      <c r="L73" s="25">
        <v>1</v>
      </c>
      <c r="M73" s="25" t="s">
        <v>33</v>
      </c>
      <c r="N73" s="39">
        <f t="shared" si="17"/>
        <v>7.6589999999999998</v>
      </c>
      <c r="O73" s="39">
        <f t="shared" si="18"/>
        <v>8.9354999999999993</v>
      </c>
      <c r="P73" s="39">
        <f t="shared" si="19"/>
        <v>5.1060000000000008</v>
      </c>
      <c r="Q73" s="39">
        <f t="shared" si="20"/>
        <v>3.8294999999999999</v>
      </c>
      <c r="R73" s="138">
        <v>25.53</v>
      </c>
      <c r="S73" s="140">
        <v>105991.94</v>
      </c>
      <c r="T73" s="140">
        <v>39217.017800000001</v>
      </c>
      <c r="U73" s="25"/>
      <c r="V73" s="25"/>
      <c r="W73" s="25" t="s">
        <v>310</v>
      </c>
      <c r="X73" s="25">
        <v>500218</v>
      </c>
      <c r="Y73" s="19" t="s">
        <v>264</v>
      </c>
      <c r="Z73" s="9" t="s">
        <v>309</v>
      </c>
      <c r="AA73" s="70">
        <v>5</v>
      </c>
      <c r="AB73" s="71">
        <v>2813</v>
      </c>
      <c r="AD73" s="165"/>
      <c r="AE73" s="163"/>
      <c r="AF73" s="163"/>
      <c r="AG73" s="164"/>
      <c r="AH73" s="141"/>
      <c r="AI73" s="163"/>
      <c r="AJ73" s="163"/>
      <c r="AK73" s="164"/>
      <c r="AL73" s="169">
        <f t="shared" si="21"/>
        <v>0.111</v>
      </c>
      <c r="AM73" s="163"/>
      <c r="AN73" s="163"/>
      <c r="AO73" s="164"/>
      <c r="AP73" s="141"/>
      <c r="AQ73" s="163"/>
      <c r="AR73" s="163"/>
      <c r="AS73" s="164"/>
      <c r="AT73" s="141"/>
      <c r="AU73" s="72"/>
      <c r="AV73" s="72"/>
      <c r="AW73" s="127"/>
    </row>
    <row r="74" spans="1:49" x14ac:dyDescent="0.25">
      <c r="A74" s="25">
        <v>416</v>
      </c>
      <c r="B74" s="25" t="s">
        <v>28</v>
      </c>
      <c r="C74" s="25" t="s">
        <v>260</v>
      </c>
      <c r="D74" s="25" t="s">
        <v>261</v>
      </c>
      <c r="E74" s="24"/>
      <c r="F74" s="25" t="s">
        <v>311</v>
      </c>
      <c r="G74" s="25"/>
      <c r="H74" s="139" t="s">
        <v>31</v>
      </c>
      <c r="I74" s="25"/>
      <c r="J74" s="25">
        <v>0.12</v>
      </c>
      <c r="K74" s="39">
        <v>0.12</v>
      </c>
      <c r="L74" s="25">
        <v>1</v>
      </c>
      <c r="M74" s="25" t="s">
        <v>33</v>
      </c>
      <c r="N74" s="39">
        <f t="shared" si="17"/>
        <v>2.4839999999999995</v>
      </c>
      <c r="O74" s="39">
        <f t="shared" si="18"/>
        <v>2.8979999999999997</v>
      </c>
      <c r="P74" s="39">
        <f t="shared" si="19"/>
        <v>1.6559999999999999</v>
      </c>
      <c r="Q74" s="39">
        <f t="shared" si="20"/>
        <v>1.2419999999999998</v>
      </c>
      <c r="R74" s="138">
        <v>8.2799999999999994</v>
      </c>
      <c r="S74" s="140">
        <v>105991.94</v>
      </c>
      <c r="T74" s="140">
        <v>12719.032799999999</v>
      </c>
      <c r="U74" s="25"/>
      <c r="V74" s="25"/>
      <c r="W74" s="25" t="s">
        <v>312</v>
      </c>
      <c r="X74" s="25">
        <v>500218</v>
      </c>
      <c r="Y74" s="19" t="s">
        <v>264</v>
      </c>
      <c r="Z74" s="9" t="s">
        <v>311</v>
      </c>
      <c r="AA74" s="70">
        <v>6</v>
      </c>
      <c r="AB74" s="71">
        <v>2813</v>
      </c>
      <c r="AD74" s="165"/>
      <c r="AE74" s="163"/>
      <c r="AF74" s="163"/>
      <c r="AG74" s="164"/>
      <c r="AH74" s="141"/>
      <c r="AI74" s="163"/>
      <c r="AJ74" s="163"/>
      <c r="AK74" s="164"/>
      <c r="AL74" s="169">
        <f t="shared" si="21"/>
        <v>3.5999999999999997E-2</v>
      </c>
      <c r="AM74" s="163"/>
      <c r="AN74" s="163"/>
      <c r="AO74" s="164"/>
      <c r="AP74" s="141"/>
      <c r="AQ74" s="163"/>
      <c r="AR74" s="163"/>
      <c r="AS74" s="164"/>
      <c r="AT74" s="141"/>
      <c r="AU74" s="72"/>
      <c r="AV74" s="72"/>
      <c r="AW74" s="127"/>
    </row>
    <row r="75" spans="1:49" x14ac:dyDescent="0.25">
      <c r="A75" s="25">
        <v>417</v>
      </c>
      <c r="B75" s="25" t="s">
        <v>28</v>
      </c>
      <c r="C75" s="25" t="s">
        <v>260</v>
      </c>
      <c r="D75" s="25" t="s">
        <v>261</v>
      </c>
      <c r="E75" s="24"/>
      <c r="F75" s="25" t="s">
        <v>313</v>
      </c>
      <c r="G75" s="25"/>
      <c r="H75" s="139" t="s">
        <v>31</v>
      </c>
      <c r="I75" s="25"/>
      <c r="J75" s="25">
        <v>0.23</v>
      </c>
      <c r="K75" s="39">
        <v>0.23</v>
      </c>
      <c r="L75" s="25">
        <v>1</v>
      </c>
      <c r="M75" s="25" t="s">
        <v>33</v>
      </c>
      <c r="N75" s="39">
        <f t="shared" si="17"/>
        <v>4.7610000000000001</v>
      </c>
      <c r="O75" s="39">
        <f t="shared" si="18"/>
        <v>5.5545</v>
      </c>
      <c r="P75" s="39">
        <f t="shared" si="19"/>
        <v>3.1740000000000004</v>
      </c>
      <c r="Q75" s="39">
        <f t="shared" si="20"/>
        <v>2.3805000000000001</v>
      </c>
      <c r="R75" s="138">
        <v>15.870000000000001</v>
      </c>
      <c r="S75" s="140">
        <v>105991.94</v>
      </c>
      <c r="T75" s="140">
        <v>24378.146200000003</v>
      </c>
      <c r="U75" s="25"/>
      <c r="V75" s="25"/>
      <c r="W75" s="25" t="s">
        <v>314</v>
      </c>
      <c r="X75" s="25">
        <v>500218</v>
      </c>
      <c r="Y75" s="19" t="s">
        <v>264</v>
      </c>
      <c r="Z75" s="9" t="s">
        <v>313</v>
      </c>
      <c r="AA75" s="70">
        <v>7</v>
      </c>
      <c r="AB75" s="71">
        <v>2813</v>
      </c>
      <c r="AD75" s="165"/>
      <c r="AE75" s="163"/>
      <c r="AF75" s="163"/>
      <c r="AG75" s="164"/>
      <c r="AH75" s="141"/>
      <c r="AI75" s="163"/>
      <c r="AJ75" s="163"/>
      <c r="AK75" s="164"/>
      <c r="AL75" s="169">
        <f t="shared" si="21"/>
        <v>6.9000000000000006E-2</v>
      </c>
      <c r="AM75" s="163"/>
      <c r="AN75" s="163"/>
      <c r="AO75" s="164"/>
      <c r="AP75" s="141"/>
      <c r="AQ75" s="163"/>
      <c r="AR75" s="163"/>
      <c r="AS75" s="164"/>
      <c r="AT75" s="141"/>
      <c r="AU75" s="72"/>
      <c r="AV75" s="72"/>
      <c r="AW75" s="127"/>
    </row>
    <row r="76" spans="1:49" x14ac:dyDescent="0.25">
      <c r="A76" s="25">
        <v>418</v>
      </c>
      <c r="B76" s="25" t="s">
        <v>28</v>
      </c>
      <c r="C76" s="25" t="s">
        <v>260</v>
      </c>
      <c r="D76" s="25" t="s">
        <v>261</v>
      </c>
      <c r="E76" s="24"/>
      <c r="F76" s="25" t="s">
        <v>313</v>
      </c>
      <c r="G76" s="25"/>
      <c r="H76" s="139" t="s">
        <v>31</v>
      </c>
      <c r="I76" s="25"/>
      <c r="J76" s="25">
        <v>0.12</v>
      </c>
      <c r="K76" s="39">
        <v>0.12</v>
      </c>
      <c r="L76" s="25">
        <v>1</v>
      </c>
      <c r="M76" s="25" t="s">
        <v>33</v>
      </c>
      <c r="N76" s="39">
        <f t="shared" si="17"/>
        <v>2.4839999999999995</v>
      </c>
      <c r="O76" s="39">
        <f t="shared" si="18"/>
        <v>2.8979999999999997</v>
      </c>
      <c r="P76" s="39">
        <f t="shared" si="19"/>
        <v>1.6559999999999999</v>
      </c>
      <c r="Q76" s="39">
        <f t="shared" si="20"/>
        <v>1.2419999999999998</v>
      </c>
      <c r="R76" s="138">
        <v>8.2799999999999994</v>
      </c>
      <c r="S76" s="140">
        <v>105991.94</v>
      </c>
      <c r="T76" s="140">
        <v>12719.032799999999</v>
      </c>
      <c r="U76" s="25"/>
      <c r="V76" s="25"/>
      <c r="W76" s="25" t="s">
        <v>315</v>
      </c>
      <c r="X76" s="25">
        <v>500218</v>
      </c>
      <c r="Y76" s="19" t="s">
        <v>264</v>
      </c>
      <c r="Z76" s="9" t="s">
        <v>313</v>
      </c>
      <c r="AA76" s="70">
        <v>8</v>
      </c>
      <c r="AB76" s="71">
        <v>2813</v>
      </c>
      <c r="AD76" s="165"/>
      <c r="AE76" s="163"/>
      <c r="AF76" s="163"/>
      <c r="AG76" s="164"/>
      <c r="AH76" s="141"/>
      <c r="AI76" s="163"/>
      <c r="AJ76" s="163"/>
      <c r="AK76" s="164"/>
      <c r="AL76" s="169">
        <f t="shared" si="21"/>
        <v>3.5999999999999997E-2</v>
      </c>
      <c r="AM76" s="163"/>
      <c r="AN76" s="163"/>
      <c r="AO76" s="164"/>
      <c r="AP76" s="141"/>
      <c r="AQ76" s="163"/>
      <c r="AR76" s="163"/>
      <c r="AS76" s="164"/>
      <c r="AT76" s="141"/>
      <c r="AU76" s="72"/>
      <c r="AV76" s="72"/>
      <c r="AW76" s="127"/>
    </row>
    <row r="77" spans="1:49" x14ac:dyDescent="0.25">
      <c r="A77" s="25">
        <v>419</v>
      </c>
      <c r="B77" s="25" t="s">
        <v>28</v>
      </c>
      <c r="C77" s="25" t="s">
        <v>260</v>
      </c>
      <c r="D77" s="25" t="s">
        <v>261</v>
      </c>
      <c r="E77" s="24"/>
      <c r="F77" s="25" t="s">
        <v>316</v>
      </c>
      <c r="G77" s="25"/>
      <c r="H77" s="139" t="s">
        <v>31</v>
      </c>
      <c r="I77" s="25"/>
      <c r="J77" s="25">
        <v>0.105</v>
      </c>
      <c r="K77" s="39">
        <v>0.105</v>
      </c>
      <c r="L77" s="25">
        <v>1</v>
      </c>
      <c r="M77" s="25" t="s">
        <v>33</v>
      </c>
      <c r="N77" s="39">
        <f t="shared" si="17"/>
        <v>2.1734999999999998</v>
      </c>
      <c r="O77" s="39">
        <f t="shared" si="18"/>
        <v>2.5357499999999997</v>
      </c>
      <c r="P77" s="39">
        <f t="shared" si="19"/>
        <v>1.4490000000000001</v>
      </c>
      <c r="Q77" s="39">
        <f t="shared" si="20"/>
        <v>1.0867499999999999</v>
      </c>
      <c r="R77" s="138">
        <v>7.2450000000000001</v>
      </c>
      <c r="S77" s="140">
        <v>105991.94</v>
      </c>
      <c r="T77" s="140">
        <v>11129.153699999999</v>
      </c>
      <c r="U77" s="25"/>
      <c r="V77" s="25"/>
      <c r="W77" s="25" t="s">
        <v>317</v>
      </c>
      <c r="X77" s="25">
        <v>500218</v>
      </c>
      <c r="Y77" s="19" t="s">
        <v>264</v>
      </c>
      <c r="Z77" s="9" t="s">
        <v>316</v>
      </c>
      <c r="AA77" s="70">
        <v>9</v>
      </c>
      <c r="AB77" s="71">
        <v>2813</v>
      </c>
      <c r="AD77" s="165"/>
      <c r="AE77" s="163"/>
      <c r="AF77" s="163"/>
      <c r="AG77" s="164"/>
      <c r="AH77" s="141"/>
      <c r="AI77" s="163"/>
      <c r="AJ77" s="163"/>
      <c r="AK77" s="164"/>
      <c r="AL77" s="169">
        <f t="shared" si="21"/>
        <v>3.15E-2</v>
      </c>
      <c r="AM77" s="163"/>
      <c r="AN77" s="163"/>
      <c r="AO77" s="164"/>
      <c r="AP77" s="141"/>
      <c r="AQ77" s="163"/>
      <c r="AR77" s="163"/>
      <c r="AS77" s="164"/>
      <c r="AT77" s="141"/>
      <c r="AU77" s="72"/>
      <c r="AV77" s="72"/>
      <c r="AW77" s="127"/>
    </row>
    <row r="78" spans="1:49" x14ac:dyDescent="0.25">
      <c r="A78" s="25">
        <v>420</v>
      </c>
      <c r="B78" s="25" t="s">
        <v>28</v>
      </c>
      <c r="C78" s="25" t="s">
        <v>260</v>
      </c>
      <c r="D78" s="25" t="s">
        <v>261</v>
      </c>
      <c r="E78" s="24"/>
      <c r="F78" s="25" t="s">
        <v>318</v>
      </c>
      <c r="G78" s="25"/>
      <c r="H78" s="139" t="s">
        <v>31</v>
      </c>
      <c r="I78" s="25"/>
      <c r="J78" s="25">
        <v>2.8450000000000002</v>
      </c>
      <c r="K78" s="39">
        <v>2.8450000000000002</v>
      </c>
      <c r="L78" s="25">
        <v>1</v>
      </c>
      <c r="M78" s="25" t="s">
        <v>33</v>
      </c>
      <c r="N78" s="39">
        <f t="shared" si="17"/>
        <v>45.235499999999995</v>
      </c>
      <c r="O78" s="39">
        <f t="shared" si="18"/>
        <v>52.774749999999997</v>
      </c>
      <c r="P78" s="39">
        <f t="shared" si="19"/>
        <v>30.157</v>
      </c>
      <c r="Q78" s="39">
        <f t="shared" si="20"/>
        <v>22.617749999999997</v>
      </c>
      <c r="R78" s="138">
        <v>150.785</v>
      </c>
      <c r="S78" s="140">
        <v>105991.94</v>
      </c>
      <c r="T78" s="140">
        <v>301547.06930000003</v>
      </c>
      <c r="U78" s="25"/>
      <c r="V78" s="25"/>
      <c r="W78" s="25" t="s">
        <v>319</v>
      </c>
      <c r="X78" s="25">
        <v>500218</v>
      </c>
      <c r="Y78" s="19" t="s">
        <v>264</v>
      </c>
      <c r="Z78" s="9" t="s">
        <v>318</v>
      </c>
      <c r="AA78" s="70">
        <v>10</v>
      </c>
      <c r="AB78" s="71">
        <v>2813</v>
      </c>
      <c r="AD78" s="165"/>
      <c r="AE78" s="163"/>
      <c r="AF78" s="163"/>
      <c r="AG78" s="164"/>
      <c r="AH78" s="141"/>
      <c r="AI78" s="163"/>
      <c r="AJ78" s="163"/>
      <c r="AK78" s="164"/>
      <c r="AL78" s="169">
        <f t="shared" si="21"/>
        <v>0.85350000000000004</v>
      </c>
      <c r="AM78" s="163"/>
      <c r="AN78" s="163"/>
      <c r="AO78" s="164"/>
      <c r="AP78" s="141"/>
      <c r="AQ78" s="163"/>
      <c r="AR78" s="163"/>
      <c r="AS78" s="164"/>
      <c r="AT78" s="141"/>
      <c r="AU78" s="72"/>
      <c r="AV78" s="72"/>
      <c r="AW78" s="127"/>
    </row>
    <row r="79" spans="1:49" x14ac:dyDescent="0.25">
      <c r="A79" s="25">
        <v>421</v>
      </c>
      <c r="B79" s="25" t="s">
        <v>28</v>
      </c>
      <c r="C79" s="25" t="s">
        <v>260</v>
      </c>
      <c r="D79" s="25" t="s">
        <v>261</v>
      </c>
      <c r="E79" s="24"/>
      <c r="F79" s="25" t="s">
        <v>320</v>
      </c>
      <c r="G79" s="25"/>
      <c r="H79" s="139" t="s">
        <v>31</v>
      </c>
      <c r="I79" s="25"/>
      <c r="J79" s="25">
        <v>0.33</v>
      </c>
      <c r="K79" s="39">
        <v>0.33</v>
      </c>
      <c r="L79" s="25">
        <v>1</v>
      </c>
      <c r="M79" s="25" t="s">
        <v>33</v>
      </c>
      <c r="N79" s="39">
        <f t="shared" si="17"/>
        <v>6.8309999999999995</v>
      </c>
      <c r="O79" s="39">
        <f t="shared" si="18"/>
        <v>7.9694999999999991</v>
      </c>
      <c r="P79" s="39">
        <f t="shared" si="19"/>
        <v>4.5540000000000003</v>
      </c>
      <c r="Q79" s="39">
        <f t="shared" si="20"/>
        <v>3.4154999999999998</v>
      </c>
      <c r="R79" s="138">
        <v>22.77</v>
      </c>
      <c r="S79" s="140">
        <v>105991.94</v>
      </c>
      <c r="T79" s="140">
        <v>34977.340200000006</v>
      </c>
      <c r="U79" s="25"/>
      <c r="V79" s="25"/>
      <c r="W79" s="25" t="s">
        <v>321</v>
      </c>
      <c r="X79" s="25">
        <v>500218</v>
      </c>
      <c r="Y79" s="19" t="s">
        <v>264</v>
      </c>
      <c r="Z79" s="9" t="s">
        <v>320</v>
      </c>
      <c r="AA79" s="70">
        <v>11</v>
      </c>
      <c r="AB79" s="71">
        <v>2813</v>
      </c>
      <c r="AD79" s="165"/>
      <c r="AE79" s="163"/>
      <c r="AF79" s="163"/>
      <c r="AG79" s="164"/>
      <c r="AH79" s="141"/>
      <c r="AI79" s="163"/>
      <c r="AJ79" s="163"/>
      <c r="AK79" s="164"/>
      <c r="AL79" s="169">
        <f t="shared" si="21"/>
        <v>9.9000000000000005E-2</v>
      </c>
      <c r="AM79" s="163"/>
      <c r="AN79" s="163"/>
      <c r="AO79" s="164"/>
      <c r="AP79" s="141"/>
      <c r="AQ79" s="163"/>
      <c r="AR79" s="163"/>
      <c r="AS79" s="164"/>
      <c r="AT79" s="141"/>
      <c r="AU79" s="72"/>
      <c r="AV79" s="72"/>
      <c r="AW79" s="127"/>
    </row>
    <row r="80" spans="1:49" x14ac:dyDescent="0.25">
      <c r="A80" s="25">
        <v>422</v>
      </c>
      <c r="B80" s="25" t="s">
        <v>28</v>
      </c>
      <c r="C80" s="25" t="s">
        <v>260</v>
      </c>
      <c r="D80" s="25" t="s">
        <v>261</v>
      </c>
      <c r="E80" s="24"/>
      <c r="F80" s="25" t="s">
        <v>322</v>
      </c>
      <c r="G80" s="25"/>
      <c r="H80" s="139" t="s">
        <v>31</v>
      </c>
      <c r="I80" s="25"/>
      <c r="J80" s="25">
        <v>0.36099999999999999</v>
      </c>
      <c r="K80" s="39">
        <v>0.36099999999999999</v>
      </c>
      <c r="L80" s="25">
        <v>1</v>
      </c>
      <c r="M80" s="25" t="s">
        <v>33</v>
      </c>
      <c r="N80" s="39">
        <f t="shared" si="17"/>
        <v>7.4726999999999997</v>
      </c>
      <c r="O80" s="39">
        <f t="shared" si="18"/>
        <v>8.7181499999999996</v>
      </c>
      <c r="P80" s="39">
        <f t="shared" si="19"/>
        <v>4.9817999999999998</v>
      </c>
      <c r="Q80" s="39">
        <f t="shared" si="20"/>
        <v>3.7363499999999998</v>
      </c>
      <c r="R80" s="138">
        <v>24.908999999999999</v>
      </c>
      <c r="S80" s="140">
        <v>105991.94</v>
      </c>
      <c r="T80" s="140">
        <v>38263.090340000002</v>
      </c>
      <c r="U80" s="25"/>
      <c r="V80" s="25"/>
      <c r="W80" s="25" t="s">
        <v>323</v>
      </c>
      <c r="X80" s="25">
        <v>500218</v>
      </c>
      <c r="Y80" s="19" t="s">
        <v>264</v>
      </c>
      <c r="Z80" s="9" t="s">
        <v>322</v>
      </c>
      <c r="AA80" s="70">
        <v>12</v>
      </c>
      <c r="AB80" s="71">
        <v>2813</v>
      </c>
      <c r="AD80" s="165"/>
      <c r="AE80" s="163"/>
      <c r="AF80" s="163"/>
      <c r="AG80" s="164"/>
      <c r="AH80" s="141"/>
      <c r="AI80" s="163"/>
      <c r="AJ80" s="163"/>
      <c r="AK80" s="164"/>
      <c r="AL80" s="169">
        <f t="shared" si="21"/>
        <v>0.10829999999999999</v>
      </c>
      <c r="AM80" s="163"/>
      <c r="AN80" s="163"/>
      <c r="AO80" s="164"/>
      <c r="AP80" s="141"/>
      <c r="AQ80" s="163"/>
      <c r="AR80" s="163"/>
      <c r="AS80" s="164"/>
      <c r="AT80" s="141"/>
      <c r="AU80" s="72"/>
      <c r="AV80" s="72"/>
      <c r="AW80" s="127"/>
    </row>
    <row r="81" spans="1:49" x14ac:dyDescent="0.25">
      <c r="A81" s="25">
        <v>423</v>
      </c>
      <c r="B81" s="25" t="s">
        <v>28</v>
      </c>
      <c r="C81" s="25" t="s">
        <v>260</v>
      </c>
      <c r="D81" s="25" t="s">
        <v>261</v>
      </c>
      <c r="E81" s="24"/>
      <c r="F81" s="25" t="s">
        <v>324</v>
      </c>
      <c r="G81" s="25"/>
      <c r="H81" s="139" t="s">
        <v>31</v>
      </c>
      <c r="I81" s="25"/>
      <c r="J81" s="25">
        <v>5.2000000000000005E-2</v>
      </c>
      <c r="K81" s="39">
        <v>5.2000000000000005E-2</v>
      </c>
      <c r="L81" s="25">
        <v>1</v>
      </c>
      <c r="M81" s="25" t="s">
        <v>33</v>
      </c>
      <c r="N81" s="39">
        <f t="shared" si="17"/>
        <v>1.2012</v>
      </c>
      <c r="O81" s="39">
        <f t="shared" si="18"/>
        <v>1.4014</v>
      </c>
      <c r="P81" s="39">
        <f t="shared" si="19"/>
        <v>0.80080000000000018</v>
      </c>
      <c r="Q81" s="39">
        <f t="shared" si="20"/>
        <v>0.60060000000000002</v>
      </c>
      <c r="R81" s="138">
        <v>4.0040000000000004</v>
      </c>
      <c r="S81" s="140">
        <v>105991.94</v>
      </c>
      <c r="T81" s="140">
        <v>5511.5808800000004</v>
      </c>
      <c r="U81" s="25"/>
      <c r="V81" s="25"/>
      <c r="W81" s="25" t="s">
        <v>472</v>
      </c>
      <c r="X81" s="25">
        <v>500218</v>
      </c>
      <c r="Y81" s="19" t="s">
        <v>264</v>
      </c>
      <c r="Z81" s="9" t="s">
        <v>324</v>
      </c>
      <c r="AA81" s="70">
        <v>13</v>
      </c>
      <c r="AB81" s="71">
        <v>2813</v>
      </c>
      <c r="AD81" s="165"/>
      <c r="AE81" s="163"/>
      <c r="AF81" s="163"/>
      <c r="AG81" s="164"/>
      <c r="AH81" s="141"/>
      <c r="AI81" s="163"/>
      <c r="AJ81" s="163"/>
      <c r="AK81" s="164"/>
      <c r="AL81" s="169">
        <f t="shared" si="21"/>
        <v>1.5600000000000001E-2</v>
      </c>
      <c r="AM81" s="163"/>
      <c r="AN81" s="163"/>
      <c r="AO81" s="164"/>
      <c r="AP81" s="141"/>
      <c r="AQ81" s="163"/>
      <c r="AR81" s="163"/>
      <c r="AS81" s="164"/>
      <c r="AT81" s="141"/>
      <c r="AU81" s="72"/>
      <c r="AV81" s="72"/>
      <c r="AW81" s="127"/>
    </row>
    <row r="82" spans="1:49" x14ac:dyDescent="0.25">
      <c r="A82" s="25">
        <v>424</v>
      </c>
      <c r="B82" s="25" t="s">
        <v>28</v>
      </c>
      <c r="C82" s="25" t="s">
        <v>260</v>
      </c>
      <c r="D82" s="25" t="s">
        <v>261</v>
      </c>
      <c r="E82" s="24"/>
      <c r="F82" s="25" t="s">
        <v>325</v>
      </c>
      <c r="G82" s="25"/>
      <c r="H82" s="139" t="s">
        <v>31</v>
      </c>
      <c r="I82" s="25"/>
      <c r="J82" s="25">
        <v>6.8000000000000005E-2</v>
      </c>
      <c r="K82" s="39">
        <v>6.8000000000000005E-2</v>
      </c>
      <c r="L82" s="25">
        <v>1</v>
      </c>
      <c r="M82" s="25" t="s">
        <v>33</v>
      </c>
      <c r="N82" s="39">
        <f t="shared" si="17"/>
        <v>1.5708000000000002</v>
      </c>
      <c r="O82" s="39">
        <f t="shared" si="18"/>
        <v>1.8326</v>
      </c>
      <c r="P82" s="39">
        <f t="shared" si="19"/>
        <v>1.0472000000000001</v>
      </c>
      <c r="Q82" s="39">
        <f t="shared" si="20"/>
        <v>0.7854000000000001</v>
      </c>
      <c r="R82" s="138">
        <v>5.2360000000000007</v>
      </c>
      <c r="S82" s="140">
        <v>105991.94</v>
      </c>
      <c r="T82" s="140">
        <v>7207.4519200000004</v>
      </c>
      <c r="U82" s="25"/>
      <c r="V82" s="25"/>
      <c r="W82" s="25" t="s">
        <v>326</v>
      </c>
      <c r="X82" s="25">
        <v>500218</v>
      </c>
      <c r="Y82" s="19" t="s">
        <v>264</v>
      </c>
      <c r="Z82" s="9" t="s">
        <v>325</v>
      </c>
      <c r="AA82" s="70">
        <v>14</v>
      </c>
      <c r="AB82" s="71">
        <v>2813</v>
      </c>
      <c r="AD82" s="165"/>
      <c r="AE82" s="163"/>
      <c r="AF82" s="163"/>
      <c r="AG82" s="164"/>
      <c r="AH82" s="141"/>
      <c r="AI82" s="163"/>
      <c r="AJ82" s="163"/>
      <c r="AK82" s="164"/>
      <c r="AL82" s="169">
        <f t="shared" si="21"/>
        <v>2.0400000000000001E-2</v>
      </c>
      <c r="AM82" s="163"/>
      <c r="AN82" s="163"/>
      <c r="AO82" s="164"/>
      <c r="AP82" s="141"/>
      <c r="AQ82" s="163"/>
      <c r="AR82" s="163"/>
      <c r="AS82" s="164"/>
      <c r="AT82" s="141"/>
      <c r="AU82" s="72"/>
      <c r="AV82" s="72"/>
      <c r="AW82" s="127"/>
    </row>
    <row r="83" spans="1:49" x14ac:dyDescent="0.25">
      <c r="A83" s="25">
        <v>425</v>
      </c>
      <c r="B83" s="25" t="s">
        <v>28</v>
      </c>
      <c r="C83" s="25" t="s">
        <v>260</v>
      </c>
      <c r="D83" s="25" t="s">
        <v>261</v>
      </c>
      <c r="E83" s="24"/>
      <c r="F83" s="25" t="s">
        <v>126</v>
      </c>
      <c r="G83" s="25"/>
      <c r="H83" s="139" t="s">
        <v>31</v>
      </c>
      <c r="I83" s="25"/>
      <c r="J83" s="25">
        <v>0.25</v>
      </c>
      <c r="K83" s="39">
        <v>0.25</v>
      </c>
      <c r="L83" s="25">
        <v>1</v>
      </c>
      <c r="M83" s="25" t="s">
        <v>33</v>
      </c>
      <c r="N83" s="39">
        <f t="shared" si="17"/>
        <v>5.1749999999999998</v>
      </c>
      <c r="O83" s="39">
        <f t="shared" si="18"/>
        <v>6.0374999999999996</v>
      </c>
      <c r="P83" s="39">
        <f t="shared" si="19"/>
        <v>3.45</v>
      </c>
      <c r="Q83" s="39">
        <f t="shared" si="20"/>
        <v>2.5874999999999999</v>
      </c>
      <c r="R83" s="138">
        <v>17.25</v>
      </c>
      <c r="S83" s="106">
        <v>105991.94</v>
      </c>
      <c r="T83" s="106">
        <v>26497.985000000001</v>
      </c>
      <c r="U83" s="9"/>
      <c r="V83" s="9"/>
      <c r="W83" s="25" t="s">
        <v>327</v>
      </c>
      <c r="X83" s="25">
        <v>500219</v>
      </c>
      <c r="Y83" s="19" t="s">
        <v>264</v>
      </c>
      <c r="Z83" s="9" t="s">
        <v>126</v>
      </c>
      <c r="AA83" s="70">
        <v>1</v>
      </c>
      <c r="AB83" s="71">
        <v>2813</v>
      </c>
      <c r="AD83" s="165"/>
      <c r="AE83" s="163"/>
      <c r="AF83" s="163"/>
      <c r="AG83" s="164"/>
      <c r="AH83" s="141"/>
      <c r="AI83" s="163"/>
      <c r="AJ83" s="163"/>
      <c r="AK83" s="164"/>
      <c r="AL83" s="141"/>
      <c r="AM83" s="163"/>
      <c r="AN83" s="163"/>
      <c r="AO83" s="164"/>
      <c r="AP83" s="169">
        <f>K83*0.3</f>
        <v>7.4999999999999997E-2</v>
      </c>
      <c r="AQ83" s="320">
        <f>K83*0.2</f>
        <v>0.05</v>
      </c>
      <c r="AR83" s="320">
        <f t="shared" ref="AR83:AR84" si="22">K83*0.2</f>
        <v>0.05</v>
      </c>
      <c r="AS83" s="164"/>
      <c r="AT83" s="141"/>
      <c r="AU83" s="163"/>
      <c r="AV83" s="163"/>
      <c r="AW83" s="264">
        <f>K83*0.15</f>
        <v>3.7499999999999999E-2</v>
      </c>
    </row>
    <row r="84" spans="1:49" x14ac:dyDescent="0.25">
      <c r="A84" s="25">
        <v>426</v>
      </c>
      <c r="B84" s="25" t="s">
        <v>28</v>
      </c>
      <c r="C84" s="25" t="s">
        <v>260</v>
      </c>
      <c r="D84" s="25" t="s">
        <v>261</v>
      </c>
      <c r="E84" s="24"/>
      <c r="F84" s="25" t="s">
        <v>328</v>
      </c>
      <c r="G84" s="25"/>
      <c r="H84" s="139" t="s">
        <v>31</v>
      </c>
      <c r="I84" s="25"/>
      <c r="J84" s="25">
        <v>0.70699999999999996</v>
      </c>
      <c r="K84" s="39">
        <v>0.70699999999999996</v>
      </c>
      <c r="L84" s="25">
        <v>1</v>
      </c>
      <c r="M84" s="25" t="s">
        <v>33</v>
      </c>
      <c r="N84" s="39">
        <f t="shared" si="17"/>
        <v>13.150199999999998</v>
      </c>
      <c r="O84" s="39">
        <f t="shared" si="18"/>
        <v>15.341899999999997</v>
      </c>
      <c r="P84" s="39">
        <f t="shared" si="19"/>
        <v>8.7667999999999999</v>
      </c>
      <c r="Q84" s="39">
        <f t="shared" si="20"/>
        <v>6.5750999999999991</v>
      </c>
      <c r="R84" s="138">
        <v>43.833999999999996</v>
      </c>
      <c r="S84" s="140">
        <v>105991.94</v>
      </c>
      <c r="T84" s="140">
        <v>74936.301579999999</v>
      </c>
      <c r="U84" s="25"/>
      <c r="V84" s="25"/>
      <c r="W84" s="25" t="s">
        <v>329</v>
      </c>
      <c r="X84" s="25">
        <v>500221</v>
      </c>
      <c r="Y84" s="19" t="s">
        <v>264</v>
      </c>
      <c r="Z84" s="9" t="s">
        <v>328</v>
      </c>
      <c r="AA84" s="70">
        <v>1</v>
      </c>
      <c r="AB84" s="71">
        <v>2813</v>
      </c>
      <c r="AD84" s="165"/>
      <c r="AE84" s="163"/>
      <c r="AF84" s="163"/>
      <c r="AG84" s="164"/>
      <c r="AH84" s="169">
        <f>K84*0.3</f>
        <v>0.21209999999999998</v>
      </c>
      <c r="AI84" s="184">
        <f>K84*0.35</f>
        <v>0.24744999999999998</v>
      </c>
      <c r="AJ84" s="163"/>
      <c r="AK84" s="164"/>
      <c r="AL84" s="141"/>
      <c r="AM84" s="163"/>
      <c r="AN84" s="163"/>
      <c r="AO84" s="164"/>
      <c r="AP84" s="141"/>
      <c r="AQ84" s="163"/>
      <c r="AR84" s="320">
        <f t="shared" si="22"/>
        <v>0.1414</v>
      </c>
      <c r="AS84" s="264">
        <f>K84*0.15</f>
        <v>0.10604999999999999</v>
      </c>
      <c r="AT84" s="141"/>
      <c r="AU84" s="163"/>
      <c r="AV84" s="163"/>
      <c r="AW84" s="164"/>
    </row>
    <row r="85" spans="1:49" x14ac:dyDescent="0.25">
      <c r="A85" s="25">
        <v>427</v>
      </c>
      <c r="B85" s="25" t="s">
        <v>28</v>
      </c>
      <c r="C85" s="25" t="s">
        <v>260</v>
      </c>
      <c r="D85" s="25" t="s">
        <v>261</v>
      </c>
      <c r="E85" s="24"/>
      <c r="F85" s="25" t="s">
        <v>330</v>
      </c>
      <c r="G85" s="25"/>
      <c r="H85" s="139" t="s">
        <v>31</v>
      </c>
      <c r="I85" s="25"/>
      <c r="J85" s="25">
        <v>5.9999999999999995E-4</v>
      </c>
      <c r="K85" s="39">
        <v>5.9999999999999995E-4</v>
      </c>
      <c r="L85" s="25">
        <v>1</v>
      </c>
      <c r="M85" s="25" t="s">
        <v>33</v>
      </c>
      <c r="N85" s="39">
        <f t="shared" si="17"/>
        <v>1.5479999999999997E-2</v>
      </c>
      <c r="O85" s="39">
        <f t="shared" si="18"/>
        <v>1.8059999999999996E-2</v>
      </c>
      <c r="P85" s="39">
        <f t="shared" si="19"/>
        <v>1.0319999999999999E-2</v>
      </c>
      <c r="Q85" s="39">
        <f t="shared" si="20"/>
        <v>7.7399999999999986E-3</v>
      </c>
      <c r="R85" s="138">
        <v>5.1599999999999993E-2</v>
      </c>
      <c r="S85" s="140">
        <v>105991.94</v>
      </c>
      <c r="T85" s="140">
        <v>63.595163999999997</v>
      </c>
      <c r="U85" s="25"/>
      <c r="V85" s="25"/>
      <c r="W85" s="25" t="s">
        <v>331</v>
      </c>
      <c r="X85" s="25">
        <v>500221</v>
      </c>
      <c r="Y85" s="19" t="s">
        <v>264</v>
      </c>
      <c r="Z85" s="9" t="s">
        <v>330</v>
      </c>
      <c r="AA85" s="70">
        <v>2</v>
      </c>
      <c r="AB85" s="71">
        <v>2813</v>
      </c>
      <c r="AD85" s="165"/>
      <c r="AE85" s="163"/>
      <c r="AF85" s="163"/>
      <c r="AG85" s="164"/>
      <c r="AH85" s="141"/>
      <c r="AI85" s="163"/>
      <c r="AJ85" s="163"/>
      <c r="AK85" s="164"/>
      <c r="AL85" s="141"/>
      <c r="AM85" s="163"/>
      <c r="AN85" s="163"/>
      <c r="AO85" s="164"/>
      <c r="AP85" s="141"/>
      <c r="AQ85" s="163"/>
      <c r="AR85" s="163"/>
      <c r="AS85" s="164"/>
      <c r="AT85" s="126"/>
      <c r="AU85" s="72"/>
      <c r="AV85" s="72"/>
      <c r="AW85" s="127"/>
    </row>
    <row r="86" spans="1:49" x14ac:dyDescent="0.25">
      <c r="A86" s="25">
        <v>428</v>
      </c>
      <c r="B86" s="25" t="s">
        <v>28</v>
      </c>
      <c r="C86" s="25" t="s">
        <v>260</v>
      </c>
      <c r="D86" s="25" t="s">
        <v>261</v>
      </c>
      <c r="E86" s="24"/>
      <c r="F86" s="25" t="s">
        <v>332</v>
      </c>
      <c r="G86" s="25"/>
      <c r="H86" s="139" t="s">
        <v>31</v>
      </c>
      <c r="I86" s="25"/>
      <c r="J86" s="25">
        <v>7.0000000000000007E-5</v>
      </c>
      <c r="K86" s="39">
        <v>1.1200000000000001E-3</v>
      </c>
      <c r="L86" s="25">
        <v>16</v>
      </c>
      <c r="M86" s="25" t="s">
        <v>33</v>
      </c>
      <c r="N86" s="39">
        <f t="shared" si="17"/>
        <v>2.8896000000000005E-2</v>
      </c>
      <c r="O86" s="39">
        <f t="shared" si="18"/>
        <v>3.3712000000000006E-2</v>
      </c>
      <c r="P86" s="39">
        <f t="shared" si="19"/>
        <v>1.9264000000000003E-2</v>
      </c>
      <c r="Q86" s="39">
        <f t="shared" si="20"/>
        <v>1.4448000000000003E-2</v>
      </c>
      <c r="R86" s="138">
        <v>9.6320000000000017E-2</v>
      </c>
      <c r="S86" s="140">
        <v>105991.94</v>
      </c>
      <c r="T86" s="140">
        <v>118.71097280000002</v>
      </c>
      <c r="U86" s="25"/>
      <c r="V86" s="25"/>
      <c r="W86" s="25" t="s">
        <v>333</v>
      </c>
      <c r="X86" s="25">
        <v>500221</v>
      </c>
      <c r="Y86" s="19" t="s">
        <v>264</v>
      </c>
      <c r="Z86" s="9" t="s">
        <v>332</v>
      </c>
      <c r="AA86" s="70">
        <v>3</v>
      </c>
      <c r="AB86" s="71">
        <v>2813</v>
      </c>
      <c r="AD86" s="165"/>
      <c r="AE86" s="163"/>
      <c r="AF86" s="163"/>
      <c r="AG86" s="164"/>
      <c r="AH86" s="141"/>
      <c r="AI86" s="163"/>
      <c r="AJ86" s="163"/>
      <c r="AK86" s="164"/>
      <c r="AL86" s="141"/>
      <c r="AM86" s="163"/>
      <c r="AN86" s="163"/>
      <c r="AO86" s="164"/>
      <c r="AP86" s="141"/>
      <c r="AQ86" s="163"/>
      <c r="AR86" s="163"/>
      <c r="AS86" s="164"/>
      <c r="AT86" s="126"/>
      <c r="AU86" s="72"/>
      <c r="AV86" s="72"/>
      <c r="AW86" s="127"/>
    </row>
    <row r="87" spans="1:49" x14ac:dyDescent="0.25">
      <c r="A87" s="25">
        <v>429</v>
      </c>
      <c r="B87" s="25" t="s">
        <v>28</v>
      </c>
      <c r="C87" s="25" t="s">
        <v>260</v>
      </c>
      <c r="D87" s="25" t="s">
        <v>261</v>
      </c>
      <c r="E87" s="24"/>
      <c r="F87" s="25" t="s">
        <v>334</v>
      </c>
      <c r="G87" s="25"/>
      <c r="H87" s="139" t="s">
        <v>31</v>
      </c>
      <c r="I87" s="25"/>
      <c r="J87" s="25">
        <v>0</v>
      </c>
      <c r="K87" s="39">
        <v>0</v>
      </c>
      <c r="L87" s="25">
        <v>8</v>
      </c>
      <c r="M87" s="25" t="s">
        <v>33</v>
      </c>
      <c r="N87" s="39">
        <f t="shared" si="17"/>
        <v>0</v>
      </c>
      <c r="O87" s="39">
        <f t="shared" si="18"/>
        <v>0</v>
      </c>
      <c r="P87" s="39">
        <f t="shared" si="19"/>
        <v>0</v>
      </c>
      <c r="Q87" s="39">
        <f t="shared" si="20"/>
        <v>0</v>
      </c>
      <c r="R87" s="138">
        <v>0</v>
      </c>
      <c r="S87" s="140">
        <v>105991.94</v>
      </c>
      <c r="T87" s="140">
        <v>0</v>
      </c>
      <c r="U87" s="25"/>
      <c r="V87" s="25"/>
      <c r="W87" s="25" t="s">
        <v>335</v>
      </c>
      <c r="X87" s="25">
        <v>500221</v>
      </c>
      <c r="Y87" s="19" t="s">
        <v>264</v>
      </c>
      <c r="Z87" s="9" t="s">
        <v>334</v>
      </c>
      <c r="AA87" s="70">
        <v>4</v>
      </c>
      <c r="AB87" s="71">
        <v>2813</v>
      </c>
      <c r="AD87" s="165"/>
      <c r="AE87" s="163"/>
      <c r="AF87" s="163"/>
      <c r="AG87" s="164"/>
      <c r="AH87" s="141"/>
      <c r="AI87" s="163"/>
      <c r="AJ87" s="163"/>
      <c r="AK87" s="164"/>
      <c r="AL87" s="141"/>
      <c r="AM87" s="163"/>
      <c r="AN87" s="163"/>
      <c r="AO87" s="164"/>
      <c r="AP87" s="141"/>
      <c r="AQ87" s="163"/>
      <c r="AR87" s="163"/>
      <c r="AS87" s="164"/>
      <c r="AT87" s="126"/>
      <c r="AU87" s="72"/>
      <c r="AV87" s="72"/>
      <c r="AW87" s="127"/>
    </row>
    <row r="88" spans="1:49" x14ac:dyDescent="0.25">
      <c r="A88" s="25">
        <v>430</v>
      </c>
      <c r="B88" s="25" t="s">
        <v>28</v>
      </c>
      <c r="C88" s="25" t="s">
        <v>260</v>
      </c>
      <c r="D88" s="25" t="s">
        <v>261</v>
      </c>
      <c r="E88" s="24"/>
      <c r="F88" s="25" t="s">
        <v>336</v>
      </c>
      <c r="G88" s="25"/>
      <c r="H88" s="139" t="s">
        <v>31</v>
      </c>
      <c r="I88" s="25"/>
      <c r="J88" s="25">
        <v>1.3000000000000002E-4</v>
      </c>
      <c r="K88" s="39">
        <v>5.2000000000000006E-4</v>
      </c>
      <c r="L88" s="25">
        <v>4</v>
      </c>
      <c r="M88" s="25" t="s">
        <v>33</v>
      </c>
      <c r="N88" s="39">
        <f t="shared" si="17"/>
        <v>1.3416000000000001E-2</v>
      </c>
      <c r="O88" s="39">
        <f t="shared" si="18"/>
        <v>1.5651999999999999E-2</v>
      </c>
      <c r="P88" s="39">
        <f t="shared" si="19"/>
        <v>8.9440000000000006E-3</v>
      </c>
      <c r="Q88" s="39">
        <f t="shared" si="20"/>
        <v>6.7080000000000004E-3</v>
      </c>
      <c r="R88" s="138">
        <v>4.4720000000000003E-2</v>
      </c>
      <c r="S88" s="140">
        <v>105991.94</v>
      </c>
      <c r="T88" s="140">
        <v>55.115808800000011</v>
      </c>
      <c r="U88" s="25"/>
      <c r="V88" s="25"/>
      <c r="W88" s="25" t="s">
        <v>337</v>
      </c>
      <c r="X88" s="25">
        <v>500221</v>
      </c>
      <c r="Y88" s="19" t="s">
        <v>264</v>
      </c>
      <c r="Z88" s="9" t="s">
        <v>336</v>
      </c>
      <c r="AA88" s="70">
        <v>5</v>
      </c>
      <c r="AB88" s="71">
        <v>2813</v>
      </c>
      <c r="AD88" s="165"/>
      <c r="AE88" s="163"/>
      <c r="AF88" s="163"/>
      <c r="AG88" s="164"/>
      <c r="AH88" s="141"/>
      <c r="AI88" s="163"/>
      <c r="AJ88" s="163"/>
      <c r="AK88" s="164"/>
      <c r="AL88" s="141"/>
      <c r="AM88" s="163"/>
      <c r="AN88" s="163"/>
      <c r="AO88" s="164"/>
      <c r="AP88" s="141"/>
      <c r="AQ88" s="163"/>
      <c r="AR88" s="163"/>
      <c r="AS88" s="164"/>
      <c r="AT88" s="126"/>
      <c r="AU88" s="72"/>
      <c r="AV88" s="72"/>
      <c r="AW88" s="127"/>
    </row>
    <row r="89" spans="1:49" x14ac:dyDescent="0.25">
      <c r="A89" s="25">
        <v>431</v>
      </c>
      <c r="B89" s="25" t="s">
        <v>28</v>
      </c>
      <c r="C89" s="25" t="s">
        <v>260</v>
      </c>
      <c r="D89" s="25" t="s">
        <v>261</v>
      </c>
      <c r="E89" s="24"/>
      <c r="F89" s="25" t="s">
        <v>338</v>
      </c>
      <c r="G89" s="25"/>
      <c r="H89" s="139" t="s">
        <v>31</v>
      </c>
      <c r="I89" s="25"/>
      <c r="J89" s="25">
        <v>0</v>
      </c>
      <c r="K89" s="39">
        <v>0</v>
      </c>
      <c r="L89" s="25">
        <v>8</v>
      </c>
      <c r="M89" s="25" t="s">
        <v>33</v>
      </c>
      <c r="N89" s="39">
        <f t="shared" si="17"/>
        <v>0</v>
      </c>
      <c r="O89" s="39">
        <f t="shared" si="18"/>
        <v>0</v>
      </c>
      <c r="P89" s="39">
        <f t="shared" si="19"/>
        <v>0</v>
      </c>
      <c r="Q89" s="39">
        <f t="shared" si="20"/>
        <v>0</v>
      </c>
      <c r="R89" s="138">
        <v>0</v>
      </c>
      <c r="S89" s="140">
        <v>105991.94</v>
      </c>
      <c r="T89" s="140">
        <v>0</v>
      </c>
      <c r="U89" s="25"/>
      <c r="V89" s="25"/>
      <c r="W89" s="25" t="s">
        <v>339</v>
      </c>
      <c r="X89" s="25">
        <v>500221</v>
      </c>
      <c r="Y89" s="19" t="s">
        <v>264</v>
      </c>
      <c r="Z89" s="9" t="s">
        <v>338</v>
      </c>
      <c r="AA89" s="70">
        <v>6</v>
      </c>
      <c r="AB89" s="71">
        <v>2813</v>
      </c>
      <c r="AD89" s="165"/>
      <c r="AE89" s="163"/>
      <c r="AF89" s="163"/>
      <c r="AG89" s="164"/>
      <c r="AH89" s="141"/>
      <c r="AI89" s="163"/>
      <c r="AJ89" s="163"/>
      <c r="AK89" s="164"/>
      <c r="AL89" s="141"/>
      <c r="AM89" s="163"/>
      <c r="AN89" s="163"/>
      <c r="AO89" s="164"/>
      <c r="AP89" s="141"/>
      <c r="AQ89" s="163"/>
      <c r="AR89" s="163"/>
      <c r="AS89" s="164"/>
      <c r="AT89" s="126"/>
      <c r="AU89" s="72"/>
      <c r="AV89" s="72"/>
      <c r="AW89" s="127"/>
    </row>
    <row r="90" spans="1:49" x14ac:dyDescent="0.25">
      <c r="A90" s="25">
        <v>432</v>
      </c>
      <c r="B90" s="25" t="s">
        <v>28</v>
      </c>
      <c r="C90" s="25" t="s">
        <v>260</v>
      </c>
      <c r="D90" s="25" t="s">
        <v>261</v>
      </c>
      <c r="E90" s="24"/>
      <c r="F90" s="25" t="s">
        <v>340</v>
      </c>
      <c r="G90" s="25"/>
      <c r="H90" s="139" t="s">
        <v>31</v>
      </c>
      <c r="I90" s="25"/>
      <c r="J90" s="25">
        <v>1.6000000000000001E-4</v>
      </c>
      <c r="K90" s="39">
        <v>1.6000000000000001E-4</v>
      </c>
      <c r="L90" s="25">
        <v>1</v>
      </c>
      <c r="M90" s="25" t="s">
        <v>33</v>
      </c>
      <c r="N90" s="39">
        <f t="shared" si="17"/>
        <v>4.1280000000000006E-3</v>
      </c>
      <c r="O90" s="39">
        <f t="shared" si="18"/>
        <v>4.816E-3</v>
      </c>
      <c r="P90" s="39">
        <f t="shared" si="19"/>
        <v>2.7520000000000005E-3</v>
      </c>
      <c r="Q90" s="39">
        <f t="shared" si="20"/>
        <v>2.0640000000000003E-3</v>
      </c>
      <c r="R90" s="138">
        <v>1.3760000000000001E-2</v>
      </c>
      <c r="S90" s="140">
        <v>105991.94</v>
      </c>
      <c r="T90" s="140">
        <v>16.958710400000001</v>
      </c>
      <c r="U90" s="25"/>
      <c r="V90" s="25"/>
      <c r="W90" s="25" t="s">
        <v>341</v>
      </c>
      <c r="X90" s="25">
        <v>500221</v>
      </c>
      <c r="Y90" s="19" t="s">
        <v>264</v>
      </c>
      <c r="Z90" s="9" t="s">
        <v>340</v>
      </c>
      <c r="AA90" s="70">
        <v>7</v>
      </c>
      <c r="AB90" s="71">
        <v>2813</v>
      </c>
      <c r="AD90" s="165"/>
      <c r="AE90" s="163"/>
      <c r="AF90" s="163"/>
      <c r="AG90" s="164"/>
      <c r="AH90" s="141"/>
      <c r="AI90" s="163"/>
      <c r="AJ90" s="163"/>
      <c r="AK90" s="164"/>
      <c r="AL90" s="141"/>
      <c r="AM90" s="163"/>
      <c r="AN90" s="163"/>
      <c r="AO90" s="164"/>
      <c r="AP90" s="141"/>
      <c r="AQ90" s="163"/>
      <c r="AR90" s="163"/>
      <c r="AS90" s="164"/>
      <c r="AT90" s="126"/>
      <c r="AU90" s="72"/>
      <c r="AV90" s="72"/>
      <c r="AW90" s="127"/>
    </row>
    <row r="91" spans="1:49" x14ac:dyDescent="0.25">
      <c r="A91" s="25">
        <v>433</v>
      </c>
      <c r="B91" s="25" t="s">
        <v>28</v>
      </c>
      <c r="C91" s="25" t="s">
        <v>260</v>
      </c>
      <c r="D91" s="25" t="s">
        <v>261</v>
      </c>
      <c r="E91" s="24"/>
      <c r="F91" s="25" t="s">
        <v>342</v>
      </c>
      <c r="G91" s="25"/>
      <c r="H91" s="139" t="s">
        <v>31</v>
      </c>
      <c r="I91" s="25"/>
      <c r="J91" s="25">
        <v>5.4000000000000001E-4</v>
      </c>
      <c r="K91" s="39">
        <v>5.4000000000000001E-4</v>
      </c>
      <c r="L91" s="25">
        <v>1</v>
      </c>
      <c r="M91" s="25" t="s">
        <v>33</v>
      </c>
      <c r="N91" s="39">
        <f t="shared" si="17"/>
        <v>1.3932E-2</v>
      </c>
      <c r="O91" s="39">
        <f t="shared" si="18"/>
        <v>1.6254000000000001E-2</v>
      </c>
      <c r="P91" s="39">
        <f t="shared" si="19"/>
        <v>9.2880000000000011E-3</v>
      </c>
      <c r="Q91" s="39">
        <f t="shared" si="20"/>
        <v>6.966E-3</v>
      </c>
      <c r="R91" s="138">
        <v>4.6440000000000002E-2</v>
      </c>
      <c r="S91" s="140">
        <v>105991.94</v>
      </c>
      <c r="T91" s="140">
        <v>57.2356476</v>
      </c>
      <c r="U91" s="25"/>
      <c r="V91" s="25"/>
      <c r="W91" s="25" t="s">
        <v>343</v>
      </c>
      <c r="X91" s="25">
        <v>500221</v>
      </c>
      <c r="Y91" s="19" t="s">
        <v>264</v>
      </c>
      <c r="Z91" s="9" t="s">
        <v>342</v>
      </c>
      <c r="AA91" s="70">
        <v>8</v>
      </c>
      <c r="AB91" s="71">
        <v>2813</v>
      </c>
      <c r="AD91" s="165"/>
      <c r="AE91" s="163"/>
      <c r="AF91" s="163"/>
      <c r="AG91" s="164"/>
      <c r="AH91" s="141"/>
      <c r="AI91" s="163"/>
      <c r="AJ91" s="163"/>
      <c r="AK91" s="164"/>
      <c r="AL91" s="141"/>
      <c r="AM91" s="163"/>
      <c r="AN91" s="163"/>
      <c r="AO91" s="164"/>
      <c r="AP91" s="141"/>
      <c r="AQ91" s="163"/>
      <c r="AR91" s="163"/>
      <c r="AS91" s="164"/>
      <c r="AT91" s="126"/>
      <c r="AU91" s="72"/>
      <c r="AV91" s="72"/>
      <c r="AW91" s="127"/>
    </row>
    <row r="92" spans="1:49" x14ac:dyDescent="0.25">
      <c r="A92" s="25">
        <v>434</v>
      </c>
      <c r="B92" s="25" t="s">
        <v>28</v>
      </c>
      <c r="C92" s="25" t="s">
        <v>260</v>
      </c>
      <c r="D92" s="25" t="s">
        <v>261</v>
      </c>
      <c r="E92" s="24"/>
      <c r="F92" s="25" t="s">
        <v>344</v>
      </c>
      <c r="G92" s="25"/>
      <c r="H92" s="139" t="s">
        <v>31</v>
      </c>
      <c r="I92" s="25"/>
      <c r="J92" s="25">
        <v>6.5000000000000008E-4</v>
      </c>
      <c r="K92" s="39">
        <v>6.5000000000000008E-4</v>
      </c>
      <c r="L92" s="25">
        <v>1</v>
      </c>
      <c r="M92" s="25" t="s">
        <v>33</v>
      </c>
      <c r="N92" s="39">
        <f t="shared" si="17"/>
        <v>1.677E-2</v>
      </c>
      <c r="O92" s="39">
        <f t="shared" si="18"/>
        <v>1.9564999999999999E-2</v>
      </c>
      <c r="P92" s="39">
        <f t="shared" si="19"/>
        <v>1.1180000000000002E-2</v>
      </c>
      <c r="Q92" s="39">
        <f t="shared" si="20"/>
        <v>8.3850000000000001E-3</v>
      </c>
      <c r="R92" s="138">
        <v>5.5900000000000005E-2</v>
      </c>
      <c r="S92" s="140">
        <v>105991.94</v>
      </c>
      <c r="T92" s="140">
        <v>68.894761000000017</v>
      </c>
      <c r="U92" s="25"/>
      <c r="V92" s="25"/>
      <c r="W92" s="25" t="s">
        <v>345</v>
      </c>
      <c r="X92" s="25">
        <v>500221</v>
      </c>
      <c r="Y92" s="19" t="s">
        <v>264</v>
      </c>
      <c r="Z92" s="9" t="s">
        <v>344</v>
      </c>
      <c r="AA92" s="70">
        <v>9</v>
      </c>
      <c r="AB92" s="71">
        <v>2813</v>
      </c>
      <c r="AD92" s="165"/>
      <c r="AE92" s="163"/>
      <c r="AF92" s="163"/>
      <c r="AG92" s="164"/>
      <c r="AH92" s="141"/>
      <c r="AI92" s="163"/>
      <c r="AJ92" s="163"/>
      <c r="AK92" s="164"/>
      <c r="AL92" s="141"/>
      <c r="AM92" s="163"/>
      <c r="AN92" s="163"/>
      <c r="AO92" s="164"/>
      <c r="AP92" s="141"/>
      <c r="AQ92" s="163"/>
      <c r="AR92" s="163"/>
      <c r="AS92" s="164"/>
      <c r="AT92" s="126"/>
      <c r="AU92" s="72"/>
      <c r="AV92" s="72"/>
      <c r="AW92" s="127"/>
    </row>
    <row r="93" spans="1:49" x14ac:dyDescent="0.25">
      <c r="A93" s="25">
        <v>435</v>
      </c>
      <c r="B93" s="25" t="s">
        <v>28</v>
      </c>
      <c r="C93" s="25" t="s">
        <v>260</v>
      </c>
      <c r="D93" s="25" t="s">
        <v>261</v>
      </c>
      <c r="E93" s="24"/>
      <c r="F93" s="25" t="s">
        <v>346</v>
      </c>
      <c r="G93" s="25"/>
      <c r="H93" s="139" t="s">
        <v>31</v>
      </c>
      <c r="I93" s="25"/>
      <c r="J93" s="25">
        <v>1.0000000000000001E-5</v>
      </c>
      <c r="K93" s="39">
        <v>9.0000000000000006E-5</v>
      </c>
      <c r="L93" s="25">
        <v>9</v>
      </c>
      <c r="M93" s="25" t="s">
        <v>33</v>
      </c>
      <c r="N93" s="39">
        <f t="shared" si="17"/>
        <v>2.3219999999999998E-3</v>
      </c>
      <c r="O93" s="39">
        <f t="shared" si="18"/>
        <v>2.709E-3</v>
      </c>
      <c r="P93" s="39">
        <f t="shared" si="19"/>
        <v>1.5480000000000001E-3</v>
      </c>
      <c r="Q93" s="39">
        <f t="shared" si="20"/>
        <v>1.1609999999999999E-3</v>
      </c>
      <c r="R93" s="138">
        <v>7.7400000000000004E-3</v>
      </c>
      <c r="S93" s="140">
        <v>105991.94</v>
      </c>
      <c r="T93" s="140">
        <v>9.5392746000000006</v>
      </c>
      <c r="U93" s="25"/>
      <c r="V93" s="25"/>
      <c r="W93" s="25" t="s">
        <v>347</v>
      </c>
      <c r="X93" s="25">
        <v>500221</v>
      </c>
      <c r="Y93" s="19" t="s">
        <v>264</v>
      </c>
      <c r="Z93" s="9" t="s">
        <v>346</v>
      </c>
      <c r="AA93" s="70">
        <v>10</v>
      </c>
      <c r="AB93" s="71">
        <v>2813</v>
      </c>
      <c r="AD93" s="165"/>
      <c r="AE93" s="163"/>
      <c r="AF93" s="163"/>
      <c r="AG93" s="164"/>
      <c r="AH93" s="141"/>
      <c r="AI93" s="163"/>
      <c r="AJ93" s="163"/>
      <c r="AK93" s="164"/>
      <c r="AL93" s="141"/>
      <c r="AM93" s="163"/>
      <c r="AN93" s="163"/>
      <c r="AO93" s="164"/>
      <c r="AP93" s="141"/>
      <c r="AQ93" s="163"/>
      <c r="AR93" s="163"/>
      <c r="AS93" s="164"/>
      <c r="AT93" s="126"/>
      <c r="AU93" s="72"/>
      <c r="AV93" s="72"/>
      <c r="AW93" s="127"/>
    </row>
    <row r="94" spans="1:49" x14ac:dyDescent="0.25">
      <c r="A94" s="25">
        <v>436</v>
      </c>
      <c r="B94" s="25" t="s">
        <v>28</v>
      </c>
      <c r="C94" s="25" t="s">
        <v>260</v>
      </c>
      <c r="D94" s="25" t="s">
        <v>261</v>
      </c>
      <c r="E94" s="24"/>
      <c r="F94" s="25" t="s">
        <v>348</v>
      </c>
      <c r="G94" s="25"/>
      <c r="H94" s="139" t="s">
        <v>31</v>
      </c>
      <c r="I94" s="25"/>
      <c r="J94" s="25">
        <v>3.0000000000000001E-5</v>
      </c>
      <c r="K94" s="39">
        <v>6.0000000000000002E-5</v>
      </c>
      <c r="L94" s="25">
        <v>2</v>
      </c>
      <c r="M94" s="25" t="s">
        <v>33</v>
      </c>
      <c r="N94" s="39">
        <f t="shared" si="17"/>
        <v>1.5480000000000001E-3</v>
      </c>
      <c r="O94" s="39">
        <f t="shared" si="18"/>
        <v>1.8060000000000001E-3</v>
      </c>
      <c r="P94" s="39">
        <f t="shared" si="19"/>
        <v>1.0320000000000001E-3</v>
      </c>
      <c r="Q94" s="39">
        <f t="shared" si="20"/>
        <v>7.7400000000000006E-4</v>
      </c>
      <c r="R94" s="138">
        <v>5.1600000000000005E-3</v>
      </c>
      <c r="S94" s="140">
        <v>105991.94</v>
      </c>
      <c r="T94" s="140">
        <v>6.3595164000000004</v>
      </c>
      <c r="U94" s="25"/>
      <c r="V94" s="25"/>
      <c r="W94" s="25" t="s">
        <v>349</v>
      </c>
      <c r="X94" s="25">
        <v>500221</v>
      </c>
      <c r="Y94" s="19" t="s">
        <v>264</v>
      </c>
      <c r="Z94" s="9" t="s">
        <v>348</v>
      </c>
      <c r="AA94" s="70">
        <v>11</v>
      </c>
      <c r="AB94" s="71">
        <v>2813</v>
      </c>
      <c r="AD94" s="165"/>
      <c r="AE94" s="163"/>
      <c r="AF94" s="163"/>
      <c r="AG94" s="164"/>
      <c r="AH94" s="141"/>
      <c r="AI94" s="163"/>
      <c r="AJ94" s="163"/>
      <c r="AK94" s="164"/>
      <c r="AL94" s="141"/>
      <c r="AM94" s="163"/>
      <c r="AN94" s="163"/>
      <c r="AO94" s="164"/>
      <c r="AP94" s="141"/>
      <c r="AQ94" s="163"/>
      <c r="AR94" s="163"/>
      <c r="AS94" s="164"/>
      <c r="AT94" s="126"/>
      <c r="AU94" s="72"/>
      <c r="AV94" s="72"/>
      <c r="AW94" s="127"/>
    </row>
    <row r="95" spans="1:49" x14ac:dyDescent="0.25">
      <c r="A95" s="25">
        <v>437</v>
      </c>
      <c r="B95" s="25" t="s">
        <v>28</v>
      </c>
      <c r="C95" s="25" t="s">
        <v>260</v>
      </c>
      <c r="D95" s="25" t="s">
        <v>261</v>
      </c>
      <c r="E95" s="24"/>
      <c r="F95" s="25" t="s">
        <v>350</v>
      </c>
      <c r="G95" s="25"/>
      <c r="H95" s="139" t="s">
        <v>31</v>
      </c>
      <c r="I95" s="25"/>
      <c r="J95" s="25">
        <v>0</v>
      </c>
      <c r="K95" s="39">
        <v>0</v>
      </c>
      <c r="L95" s="25">
        <v>1</v>
      </c>
      <c r="M95" s="25" t="s">
        <v>33</v>
      </c>
      <c r="N95" s="39">
        <f t="shared" si="17"/>
        <v>0</v>
      </c>
      <c r="O95" s="39">
        <f t="shared" si="18"/>
        <v>0</v>
      </c>
      <c r="P95" s="39">
        <f t="shared" si="19"/>
        <v>0</v>
      </c>
      <c r="Q95" s="39">
        <f t="shared" si="20"/>
        <v>0</v>
      </c>
      <c r="R95" s="138">
        <v>0</v>
      </c>
      <c r="S95" s="140">
        <v>105991.94</v>
      </c>
      <c r="T95" s="140">
        <v>0</v>
      </c>
      <c r="U95" s="25"/>
      <c r="V95" s="25"/>
      <c r="W95" s="25" t="s">
        <v>351</v>
      </c>
      <c r="X95" s="25">
        <v>500221</v>
      </c>
      <c r="Y95" s="19" t="s">
        <v>264</v>
      </c>
      <c r="Z95" s="9" t="s">
        <v>350</v>
      </c>
      <c r="AA95" s="70">
        <v>12</v>
      </c>
      <c r="AB95" s="71">
        <v>2813</v>
      </c>
      <c r="AD95" s="165"/>
      <c r="AE95" s="163"/>
      <c r="AF95" s="163"/>
      <c r="AG95" s="164"/>
      <c r="AH95" s="141"/>
      <c r="AI95" s="163"/>
      <c r="AJ95" s="163"/>
      <c r="AK95" s="164"/>
      <c r="AL95" s="141"/>
      <c r="AM95" s="163"/>
      <c r="AN95" s="163"/>
      <c r="AO95" s="164"/>
      <c r="AP95" s="141"/>
      <c r="AQ95" s="163"/>
      <c r="AR95" s="163"/>
      <c r="AS95" s="164"/>
      <c r="AT95" s="126"/>
      <c r="AU95" s="72"/>
      <c r="AV95" s="72"/>
      <c r="AW95" s="127"/>
    </row>
    <row r="96" spans="1:49" x14ac:dyDescent="0.25">
      <c r="A96" s="25">
        <v>438</v>
      </c>
      <c r="B96" s="25" t="s">
        <v>28</v>
      </c>
      <c r="C96" s="25" t="s">
        <v>260</v>
      </c>
      <c r="D96" s="25" t="s">
        <v>261</v>
      </c>
      <c r="E96" s="24"/>
      <c r="F96" s="25" t="s">
        <v>352</v>
      </c>
      <c r="G96" s="25"/>
      <c r="H96" s="139" t="s">
        <v>31</v>
      </c>
      <c r="I96" s="25"/>
      <c r="J96" s="25">
        <v>4.4000000000000002E-4</v>
      </c>
      <c r="K96" s="39">
        <v>4.4000000000000003E-3</v>
      </c>
      <c r="L96" s="25">
        <v>10</v>
      </c>
      <c r="M96" s="25" t="s">
        <v>33</v>
      </c>
      <c r="N96" s="39">
        <f t="shared" si="17"/>
        <v>0.11352</v>
      </c>
      <c r="O96" s="39">
        <f t="shared" si="18"/>
        <v>0.13244</v>
      </c>
      <c r="P96" s="39">
        <f t="shared" si="19"/>
        <v>7.5680000000000011E-2</v>
      </c>
      <c r="Q96" s="39">
        <f t="shared" si="20"/>
        <v>5.6759999999999998E-2</v>
      </c>
      <c r="R96" s="138">
        <v>0.37840000000000001</v>
      </c>
      <c r="S96" s="140">
        <v>105991.94</v>
      </c>
      <c r="T96" s="140">
        <v>466.36453600000004</v>
      </c>
      <c r="U96" s="25"/>
      <c r="V96" s="25"/>
      <c r="W96" s="25" t="s">
        <v>353</v>
      </c>
      <c r="X96" s="25">
        <v>500221</v>
      </c>
      <c r="Y96" s="19" t="s">
        <v>264</v>
      </c>
      <c r="Z96" s="9" t="s">
        <v>352</v>
      </c>
      <c r="AA96" s="70">
        <v>13</v>
      </c>
      <c r="AB96" s="71">
        <v>2813</v>
      </c>
      <c r="AD96" s="165"/>
      <c r="AE96" s="163"/>
      <c r="AF96" s="163"/>
      <c r="AG96" s="164"/>
      <c r="AH96" s="141"/>
      <c r="AI96" s="163"/>
      <c r="AJ96" s="163"/>
      <c r="AK96" s="164"/>
      <c r="AL96" s="141"/>
      <c r="AM96" s="163"/>
      <c r="AN96" s="163"/>
      <c r="AO96" s="164"/>
      <c r="AP96" s="141"/>
      <c r="AQ96" s="163"/>
      <c r="AR96" s="163"/>
      <c r="AS96" s="164"/>
      <c r="AT96" s="126"/>
      <c r="AU96" s="72"/>
      <c r="AV96" s="72"/>
      <c r="AW96" s="127"/>
    </row>
    <row r="97" spans="1:49" x14ac:dyDescent="0.25">
      <c r="A97" s="25">
        <v>439</v>
      </c>
      <c r="B97" s="25" t="s">
        <v>28</v>
      </c>
      <c r="C97" s="25" t="s">
        <v>260</v>
      </c>
      <c r="D97" s="25" t="s">
        <v>261</v>
      </c>
      <c r="E97" s="24"/>
      <c r="F97" s="25" t="s">
        <v>354</v>
      </c>
      <c r="G97" s="25"/>
      <c r="H97" s="139" t="s">
        <v>31</v>
      </c>
      <c r="I97" s="25"/>
      <c r="J97" s="25">
        <v>7.0000000000000007E-5</v>
      </c>
      <c r="K97" s="39">
        <v>1.4700000000000002E-3</v>
      </c>
      <c r="L97" s="25">
        <v>21</v>
      </c>
      <c r="M97" s="25" t="s">
        <v>33</v>
      </c>
      <c r="N97" s="39">
        <f t="shared" si="17"/>
        <v>3.7926000000000001E-2</v>
      </c>
      <c r="O97" s="39">
        <f t="shared" si="18"/>
        <v>4.4247000000000002E-2</v>
      </c>
      <c r="P97" s="39">
        <f t="shared" si="19"/>
        <v>2.5284000000000001E-2</v>
      </c>
      <c r="Q97" s="39">
        <f t="shared" si="20"/>
        <v>1.8963000000000001E-2</v>
      </c>
      <c r="R97" s="138">
        <v>0.12642</v>
      </c>
      <c r="S97" s="140">
        <v>105991.94</v>
      </c>
      <c r="T97" s="140">
        <v>155.80815180000002</v>
      </c>
      <c r="U97" s="25"/>
      <c r="V97" s="25"/>
      <c r="W97" s="25" t="s">
        <v>333</v>
      </c>
      <c r="X97" s="25">
        <v>500221</v>
      </c>
      <c r="Y97" s="19" t="s">
        <v>264</v>
      </c>
      <c r="Z97" s="9" t="s">
        <v>354</v>
      </c>
      <c r="AA97" s="70">
        <v>14</v>
      </c>
      <c r="AB97" s="71">
        <v>2813</v>
      </c>
      <c r="AD97" s="165"/>
      <c r="AE97" s="163"/>
      <c r="AF97" s="163"/>
      <c r="AG97" s="164"/>
      <c r="AH97" s="141"/>
      <c r="AI97" s="163"/>
      <c r="AJ97" s="163"/>
      <c r="AK97" s="164"/>
      <c r="AL97" s="141"/>
      <c r="AM97" s="163"/>
      <c r="AN97" s="163"/>
      <c r="AO97" s="164"/>
      <c r="AP97" s="141"/>
      <c r="AQ97" s="163"/>
      <c r="AR97" s="163"/>
      <c r="AS97" s="164"/>
      <c r="AT97" s="126"/>
      <c r="AU97" s="72"/>
      <c r="AV97" s="72"/>
      <c r="AW97" s="127"/>
    </row>
    <row r="98" spans="1:49" x14ac:dyDescent="0.25">
      <c r="A98" s="25">
        <v>440</v>
      </c>
      <c r="B98" s="25" t="s">
        <v>28</v>
      </c>
      <c r="C98" s="25" t="s">
        <v>260</v>
      </c>
      <c r="D98" s="25" t="s">
        <v>261</v>
      </c>
      <c r="E98" s="24"/>
      <c r="F98" s="25" t="s">
        <v>355</v>
      </c>
      <c r="G98" s="25"/>
      <c r="H98" s="139" t="s">
        <v>31</v>
      </c>
      <c r="I98" s="25"/>
      <c r="J98" s="25">
        <v>1.6000000000000001E-4</v>
      </c>
      <c r="K98" s="39">
        <v>2.2400000000000002E-3</v>
      </c>
      <c r="L98" s="25">
        <v>14</v>
      </c>
      <c r="M98" s="25" t="s">
        <v>33</v>
      </c>
      <c r="N98" s="39">
        <f t="shared" si="17"/>
        <v>5.779200000000001E-2</v>
      </c>
      <c r="O98" s="39">
        <f t="shared" si="18"/>
        <v>6.7424000000000012E-2</v>
      </c>
      <c r="P98" s="39">
        <f t="shared" si="19"/>
        <v>3.8528000000000007E-2</v>
      </c>
      <c r="Q98" s="39">
        <f t="shared" si="20"/>
        <v>2.8896000000000005E-2</v>
      </c>
      <c r="R98" s="138">
        <v>0.19264000000000003</v>
      </c>
      <c r="S98" s="140">
        <v>105991.94</v>
      </c>
      <c r="T98" s="140">
        <v>237.42194560000004</v>
      </c>
      <c r="U98" s="25"/>
      <c r="V98" s="25"/>
      <c r="W98" s="25" t="s">
        <v>341</v>
      </c>
      <c r="X98" s="25">
        <v>500221</v>
      </c>
      <c r="Y98" s="19" t="s">
        <v>264</v>
      </c>
      <c r="Z98" s="9" t="s">
        <v>355</v>
      </c>
      <c r="AA98" s="70">
        <v>15</v>
      </c>
      <c r="AB98" s="71">
        <v>2813</v>
      </c>
      <c r="AD98" s="165"/>
      <c r="AE98" s="163"/>
      <c r="AF98" s="163"/>
      <c r="AG98" s="164"/>
      <c r="AH98" s="141"/>
      <c r="AI98" s="163"/>
      <c r="AJ98" s="163"/>
      <c r="AK98" s="164"/>
      <c r="AL98" s="141"/>
      <c r="AM98" s="163"/>
      <c r="AN98" s="163"/>
      <c r="AO98" s="164"/>
      <c r="AP98" s="141"/>
      <c r="AQ98" s="163"/>
      <c r="AR98" s="163"/>
      <c r="AS98" s="164"/>
      <c r="AT98" s="126"/>
      <c r="AU98" s="72"/>
      <c r="AV98" s="72"/>
      <c r="AW98" s="127"/>
    </row>
    <row r="99" spans="1:49" x14ac:dyDescent="0.25">
      <c r="A99" s="25">
        <v>441</v>
      </c>
      <c r="B99" s="25" t="s">
        <v>28</v>
      </c>
      <c r="C99" s="25" t="s">
        <v>260</v>
      </c>
      <c r="D99" s="25" t="s">
        <v>261</v>
      </c>
      <c r="E99" s="24"/>
      <c r="F99" s="25" t="s">
        <v>356</v>
      </c>
      <c r="G99" s="25"/>
      <c r="H99" s="139" t="s">
        <v>31</v>
      </c>
      <c r="I99" s="25"/>
      <c r="J99" s="25">
        <v>2.9999999999999997E-4</v>
      </c>
      <c r="K99" s="39">
        <v>2.0999999999999999E-3</v>
      </c>
      <c r="L99" s="25">
        <v>7</v>
      </c>
      <c r="M99" s="25" t="s">
        <v>33</v>
      </c>
      <c r="N99" s="39">
        <f t="shared" si="17"/>
        <v>5.4179999999999992E-2</v>
      </c>
      <c r="O99" s="39">
        <f t="shared" si="18"/>
        <v>6.3209999999999988E-2</v>
      </c>
      <c r="P99" s="39">
        <f t="shared" si="19"/>
        <v>3.6119999999999999E-2</v>
      </c>
      <c r="Q99" s="39">
        <f t="shared" si="20"/>
        <v>2.7089999999999996E-2</v>
      </c>
      <c r="R99" s="138">
        <v>0.18059999999999998</v>
      </c>
      <c r="S99" s="140">
        <v>105991.94</v>
      </c>
      <c r="T99" s="140">
        <v>222.58307399999998</v>
      </c>
      <c r="U99" s="25"/>
      <c r="V99" s="25"/>
      <c r="W99" s="25" t="s">
        <v>357</v>
      </c>
      <c r="X99" s="25">
        <v>500221</v>
      </c>
      <c r="Y99" s="19" t="s">
        <v>264</v>
      </c>
      <c r="Z99" s="9" t="s">
        <v>356</v>
      </c>
      <c r="AA99" s="70">
        <v>16</v>
      </c>
      <c r="AB99" s="71">
        <v>2813</v>
      </c>
      <c r="AD99" s="165"/>
      <c r="AE99" s="163"/>
      <c r="AF99" s="163"/>
      <c r="AG99" s="164"/>
      <c r="AH99" s="141"/>
      <c r="AI99" s="163"/>
      <c r="AJ99" s="163"/>
      <c r="AK99" s="164"/>
      <c r="AL99" s="141"/>
      <c r="AM99" s="163"/>
      <c r="AN99" s="163"/>
      <c r="AO99" s="164"/>
      <c r="AP99" s="141"/>
      <c r="AQ99" s="163"/>
      <c r="AR99" s="163"/>
      <c r="AS99" s="164"/>
      <c r="AT99" s="126"/>
      <c r="AU99" s="72"/>
      <c r="AV99" s="72"/>
      <c r="AW99" s="127"/>
    </row>
    <row r="100" spans="1:49" x14ac:dyDescent="0.25">
      <c r="A100" s="25">
        <v>442</v>
      </c>
      <c r="B100" s="25" t="s">
        <v>28</v>
      </c>
      <c r="C100" s="25" t="s">
        <v>260</v>
      </c>
      <c r="D100" s="25" t="s">
        <v>261</v>
      </c>
      <c r="E100" s="24"/>
      <c r="F100" s="25" t="s">
        <v>358</v>
      </c>
      <c r="G100" s="25"/>
      <c r="H100" s="139" t="s">
        <v>31</v>
      </c>
      <c r="I100" s="25"/>
      <c r="J100" s="25">
        <v>5.0000000000000002E-5</v>
      </c>
      <c r="K100" s="39">
        <v>4.0000000000000002E-4</v>
      </c>
      <c r="L100" s="25">
        <v>8</v>
      </c>
      <c r="M100" s="25" t="s">
        <v>33</v>
      </c>
      <c r="N100" s="39">
        <f t="shared" si="17"/>
        <v>1.0319999999999999E-2</v>
      </c>
      <c r="O100" s="39">
        <f t="shared" si="18"/>
        <v>1.2039999999999999E-2</v>
      </c>
      <c r="P100" s="39">
        <f t="shared" si="19"/>
        <v>6.8800000000000007E-3</v>
      </c>
      <c r="Q100" s="39">
        <f t="shared" si="20"/>
        <v>5.1599999999999997E-3</v>
      </c>
      <c r="R100" s="138">
        <v>3.44E-2</v>
      </c>
      <c r="S100" s="140">
        <v>105991.94</v>
      </c>
      <c r="T100" s="140">
        <v>42.396776000000003</v>
      </c>
      <c r="U100" s="25"/>
      <c r="V100" s="25"/>
      <c r="W100" s="25" t="s">
        <v>359</v>
      </c>
      <c r="X100" s="25">
        <v>500221</v>
      </c>
      <c r="Y100" s="19" t="s">
        <v>264</v>
      </c>
      <c r="Z100" s="9" t="s">
        <v>358</v>
      </c>
      <c r="AA100" s="70">
        <v>17</v>
      </c>
      <c r="AB100" s="71">
        <v>2813</v>
      </c>
      <c r="AD100" s="165"/>
      <c r="AE100" s="163"/>
      <c r="AF100" s="163"/>
      <c r="AG100" s="164"/>
      <c r="AH100" s="141"/>
      <c r="AI100" s="163"/>
      <c r="AJ100" s="163"/>
      <c r="AK100" s="164"/>
      <c r="AL100" s="141"/>
      <c r="AM100" s="163"/>
      <c r="AN100" s="163"/>
      <c r="AO100" s="164"/>
      <c r="AP100" s="141"/>
      <c r="AQ100" s="163"/>
      <c r="AR100" s="163"/>
      <c r="AS100" s="164"/>
      <c r="AT100" s="126"/>
      <c r="AU100" s="72"/>
      <c r="AV100" s="72"/>
      <c r="AW100" s="127"/>
    </row>
    <row r="101" spans="1:49" x14ac:dyDescent="0.25">
      <c r="A101" s="25">
        <v>443</v>
      </c>
      <c r="B101" s="25" t="s">
        <v>28</v>
      </c>
      <c r="C101" s="25" t="s">
        <v>260</v>
      </c>
      <c r="D101" s="25" t="s">
        <v>261</v>
      </c>
      <c r="E101" s="24"/>
      <c r="F101" s="25" t="s">
        <v>360</v>
      </c>
      <c r="G101" s="25"/>
      <c r="H101" s="139" t="s">
        <v>31</v>
      </c>
      <c r="I101" s="25"/>
      <c r="J101" s="25">
        <v>5.0000000000000002E-5</v>
      </c>
      <c r="K101" s="39">
        <v>5.0000000000000001E-4</v>
      </c>
      <c r="L101" s="25">
        <v>10</v>
      </c>
      <c r="M101" s="25" t="s">
        <v>33</v>
      </c>
      <c r="N101" s="39">
        <f t="shared" si="17"/>
        <v>1.29E-2</v>
      </c>
      <c r="O101" s="39">
        <f t="shared" si="18"/>
        <v>1.5050000000000001E-2</v>
      </c>
      <c r="P101" s="39">
        <f t="shared" si="19"/>
        <v>8.6000000000000017E-3</v>
      </c>
      <c r="Q101" s="39">
        <f t="shared" si="20"/>
        <v>6.45E-3</v>
      </c>
      <c r="R101" s="138">
        <v>4.3000000000000003E-2</v>
      </c>
      <c r="S101" s="140">
        <v>105991.94</v>
      </c>
      <c r="T101" s="140">
        <v>52.99597</v>
      </c>
      <c r="U101" s="25"/>
      <c r="V101" s="25"/>
      <c r="W101" s="25" t="s">
        <v>361</v>
      </c>
      <c r="X101" s="25">
        <v>500221</v>
      </c>
      <c r="Y101" s="19" t="s">
        <v>264</v>
      </c>
      <c r="Z101" s="9" t="s">
        <v>360</v>
      </c>
      <c r="AA101" s="70">
        <v>18</v>
      </c>
      <c r="AB101" s="71">
        <v>2813</v>
      </c>
      <c r="AD101" s="165"/>
      <c r="AE101" s="163"/>
      <c r="AF101" s="163"/>
      <c r="AG101" s="164"/>
      <c r="AH101" s="141"/>
      <c r="AI101" s="163"/>
      <c r="AJ101" s="163"/>
      <c r="AK101" s="164"/>
      <c r="AL101" s="141"/>
      <c r="AM101" s="163"/>
      <c r="AN101" s="163"/>
      <c r="AO101" s="164"/>
      <c r="AP101" s="141"/>
      <c r="AQ101" s="163"/>
      <c r="AR101" s="163"/>
      <c r="AS101" s="164"/>
      <c r="AT101" s="126"/>
      <c r="AU101" s="72"/>
      <c r="AV101" s="72"/>
      <c r="AW101" s="127"/>
    </row>
    <row r="102" spans="1:49" x14ac:dyDescent="0.25">
      <c r="A102" s="25">
        <v>444</v>
      </c>
      <c r="B102" s="25" t="s">
        <v>28</v>
      </c>
      <c r="C102" s="25" t="s">
        <v>260</v>
      </c>
      <c r="D102" s="25" t="s">
        <v>261</v>
      </c>
      <c r="E102" s="24"/>
      <c r="F102" s="25" t="s">
        <v>362</v>
      </c>
      <c r="G102" s="25"/>
      <c r="H102" s="139" t="s">
        <v>31</v>
      </c>
      <c r="I102" s="25"/>
      <c r="J102" s="25">
        <v>2.3000000000000001E-4</v>
      </c>
      <c r="K102" s="39">
        <v>4.6000000000000001E-4</v>
      </c>
      <c r="L102" s="25">
        <v>2</v>
      </c>
      <c r="M102" s="25" t="s">
        <v>33</v>
      </c>
      <c r="N102" s="39">
        <f t="shared" si="17"/>
        <v>1.1867999999999998E-2</v>
      </c>
      <c r="O102" s="39">
        <f t="shared" si="18"/>
        <v>1.3845999999999999E-2</v>
      </c>
      <c r="P102" s="39">
        <f t="shared" si="19"/>
        <v>7.9120000000000006E-3</v>
      </c>
      <c r="Q102" s="39">
        <f t="shared" si="20"/>
        <v>5.9339999999999992E-3</v>
      </c>
      <c r="R102" s="138">
        <v>3.9559999999999998E-2</v>
      </c>
      <c r="S102" s="140">
        <v>105991.94</v>
      </c>
      <c r="T102" s="140">
        <v>48.7562924</v>
      </c>
      <c r="U102" s="25"/>
      <c r="V102" s="25"/>
      <c r="W102" s="25" t="s">
        <v>363</v>
      </c>
      <c r="X102" s="25">
        <v>500221</v>
      </c>
      <c r="Y102" s="19" t="s">
        <v>264</v>
      </c>
      <c r="Z102" s="9" t="s">
        <v>362</v>
      </c>
      <c r="AA102" s="70">
        <v>19</v>
      </c>
      <c r="AB102" s="71">
        <v>2813</v>
      </c>
      <c r="AD102" s="165"/>
      <c r="AE102" s="163"/>
      <c r="AF102" s="163"/>
      <c r="AG102" s="164"/>
      <c r="AH102" s="141"/>
      <c r="AI102" s="163"/>
      <c r="AJ102" s="163"/>
      <c r="AK102" s="164"/>
      <c r="AL102" s="141"/>
      <c r="AM102" s="163"/>
      <c r="AN102" s="163"/>
      <c r="AO102" s="164"/>
      <c r="AP102" s="141"/>
      <c r="AQ102" s="163"/>
      <c r="AR102" s="163"/>
      <c r="AS102" s="164"/>
      <c r="AT102" s="126"/>
      <c r="AU102" s="72"/>
      <c r="AV102" s="72"/>
      <c r="AW102" s="127"/>
    </row>
    <row r="103" spans="1:49" x14ac:dyDescent="0.25">
      <c r="A103" s="25">
        <v>445</v>
      </c>
      <c r="B103" s="25" t="s">
        <v>28</v>
      </c>
      <c r="C103" s="25" t="s">
        <v>260</v>
      </c>
      <c r="D103" s="25" t="s">
        <v>261</v>
      </c>
      <c r="E103" s="24"/>
      <c r="F103" s="25" t="s">
        <v>364</v>
      </c>
      <c r="G103" s="25"/>
      <c r="H103" s="139" t="s">
        <v>31</v>
      </c>
      <c r="I103" s="25"/>
      <c r="J103" s="25">
        <v>0</v>
      </c>
      <c r="K103" s="39">
        <v>0</v>
      </c>
      <c r="L103" s="25">
        <v>1</v>
      </c>
      <c r="M103" s="25" t="s">
        <v>33</v>
      </c>
      <c r="N103" s="39">
        <f t="shared" si="17"/>
        <v>0</v>
      </c>
      <c r="O103" s="39">
        <f t="shared" si="18"/>
        <v>0</v>
      </c>
      <c r="P103" s="39">
        <f t="shared" si="19"/>
        <v>0</v>
      </c>
      <c r="Q103" s="39">
        <f t="shared" si="20"/>
        <v>0</v>
      </c>
      <c r="R103" s="138">
        <v>0</v>
      </c>
      <c r="S103" s="140">
        <v>105991.94</v>
      </c>
      <c r="T103" s="140">
        <v>0</v>
      </c>
      <c r="U103" s="25"/>
      <c r="V103" s="25"/>
      <c r="W103" s="25" t="s">
        <v>365</v>
      </c>
      <c r="X103" s="25">
        <v>500221</v>
      </c>
      <c r="Y103" s="19" t="s">
        <v>264</v>
      </c>
      <c r="Z103" s="9" t="s">
        <v>364</v>
      </c>
      <c r="AA103" s="70">
        <v>20</v>
      </c>
      <c r="AB103" s="71">
        <v>2813</v>
      </c>
      <c r="AD103" s="165"/>
      <c r="AE103" s="163"/>
      <c r="AF103" s="163"/>
      <c r="AG103" s="164"/>
      <c r="AH103" s="141"/>
      <c r="AI103" s="163"/>
      <c r="AJ103" s="163"/>
      <c r="AK103" s="164"/>
      <c r="AL103" s="141"/>
      <c r="AM103" s="163"/>
      <c r="AN103" s="163"/>
      <c r="AO103" s="164"/>
      <c r="AP103" s="141"/>
      <c r="AQ103" s="163"/>
      <c r="AR103" s="163"/>
      <c r="AS103" s="164"/>
      <c r="AT103" s="126"/>
      <c r="AU103" s="72"/>
      <c r="AV103" s="72"/>
      <c r="AW103" s="127"/>
    </row>
    <row r="104" spans="1:49" x14ac:dyDescent="0.25">
      <c r="A104" s="25">
        <v>446</v>
      </c>
      <c r="B104" s="25" t="s">
        <v>28</v>
      </c>
      <c r="C104" s="25" t="s">
        <v>260</v>
      </c>
      <c r="D104" s="25" t="s">
        <v>261</v>
      </c>
      <c r="E104" s="24"/>
      <c r="F104" s="25" t="s">
        <v>366</v>
      </c>
      <c r="G104" s="25"/>
      <c r="H104" s="139" t="s">
        <v>31</v>
      </c>
      <c r="I104" s="25"/>
      <c r="J104" s="25">
        <v>1.0000000000000001E-5</v>
      </c>
      <c r="K104" s="39">
        <v>5.0000000000000002E-5</v>
      </c>
      <c r="L104" s="25">
        <v>5</v>
      </c>
      <c r="M104" s="25" t="s">
        <v>33</v>
      </c>
      <c r="N104" s="39">
        <f t="shared" si="17"/>
        <v>1.2899999999999999E-3</v>
      </c>
      <c r="O104" s="39">
        <f t="shared" si="18"/>
        <v>1.5049999999999998E-3</v>
      </c>
      <c r="P104" s="39">
        <f t="shared" si="19"/>
        <v>8.6000000000000009E-4</v>
      </c>
      <c r="Q104" s="39">
        <f t="shared" si="20"/>
        <v>6.4499999999999996E-4</v>
      </c>
      <c r="R104" s="138">
        <v>4.3E-3</v>
      </c>
      <c r="S104" s="140">
        <v>105991.94</v>
      </c>
      <c r="T104" s="140">
        <v>5.2995970000000003</v>
      </c>
      <c r="U104" s="25"/>
      <c r="V104" s="25"/>
      <c r="W104" s="25" t="s">
        <v>347</v>
      </c>
      <c r="X104" s="25">
        <v>500221</v>
      </c>
      <c r="Y104" s="19" t="s">
        <v>264</v>
      </c>
      <c r="Z104" s="9" t="s">
        <v>366</v>
      </c>
      <c r="AA104" s="70">
        <v>21</v>
      </c>
      <c r="AB104" s="71">
        <v>2813</v>
      </c>
      <c r="AD104" s="165"/>
      <c r="AE104" s="163"/>
      <c r="AF104" s="163"/>
      <c r="AG104" s="164"/>
      <c r="AH104" s="141"/>
      <c r="AI104" s="163"/>
      <c r="AJ104" s="163"/>
      <c r="AK104" s="164"/>
      <c r="AL104" s="141"/>
      <c r="AM104" s="163"/>
      <c r="AN104" s="163"/>
      <c r="AO104" s="164"/>
      <c r="AP104" s="141"/>
      <c r="AQ104" s="163"/>
      <c r="AR104" s="163"/>
      <c r="AS104" s="164"/>
      <c r="AT104" s="126"/>
      <c r="AU104" s="72"/>
      <c r="AV104" s="72"/>
      <c r="AW104" s="127"/>
    </row>
    <row r="105" spans="1:49" x14ac:dyDescent="0.25">
      <c r="A105" s="25">
        <v>447</v>
      </c>
      <c r="B105" s="25" t="s">
        <v>28</v>
      </c>
      <c r="C105" s="25" t="s">
        <v>260</v>
      </c>
      <c r="D105" s="25" t="s">
        <v>261</v>
      </c>
      <c r="E105" s="24"/>
      <c r="F105" s="25" t="s">
        <v>367</v>
      </c>
      <c r="G105" s="25"/>
      <c r="H105" s="139" t="s">
        <v>31</v>
      </c>
      <c r="I105" s="25"/>
      <c r="J105" s="25">
        <v>3.0000000000000001E-5</v>
      </c>
      <c r="K105" s="39">
        <v>3.0000000000000003E-4</v>
      </c>
      <c r="L105" s="25">
        <v>10</v>
      </c>
      <c r="M105" s="25" t="s">
        <v>33</v>
      </c>
      <c r="N105" s="39">
        <f t="shared" si="17"/>
        <v>7.7400000000000004E-3</v>
      </c>
      <c r="O105" s="39">
        <f t="shared" si="18"/>
        <v>9.0299999999999998E-3</v>
      </c>
      <c r="P105" s="39">
        <f t="shared" si="19"/>
        <v>5.1600000000000014E-3</v>
      </c>
      <c r="Q105" s="39">
        <f t="shared" si="20"/>
        <v>3.8700000000000002E-3</v>
      </c>
      <c r="R105" s="138">
        <v>2.5800000000000003E-2</v>
      </c>
      <c r="S105" s="140">
        <v>105991.94</v>
      </c>
      <c r="T105" s="140">
        <v>31.797582000000002</v>
      </c>
      <c r="U105" s="25"/>
      <c r="V105" s="25"/>
      <c r="W105" s="25" t="s">
        <v>349</v>
      </c>
      <c r="X105" s="25">
        <v>500221</v>
      </c>
      <c r="Y105" s="19" t="s">
        <v>264</v>
      </c>
      <c r="Z105" s="9" t="s">
        <v>367</v>
      </c>
      <c r="AA105" s="70">
        <v>22</v>
      </c>
      <c r="AB105" s="71">
        <v>2813</v>
      </c>
      <c r="AD105" s="165"/>
      <c r="AE105" s="163"/>
      <c r="AF105" s="163"/>
      <c r="AG105" s="164"/>
      <c r="AH105" s="141"/>
      <c r="AI105" s="163"/>
      <c r="AJ105" s="163"/>
      <c r="AK105" s="164"/>
      <c r="AL105" s="141"/>
      <c r="AM105" s="163"/>
      <c r="AN105" s="163"/>
      <c r="AO105" s="164"/>
      <c r="AP105" s="141"/>
      <c r="AQ105" s="163"/>
      <c r="AR105" s="163"/>
      <c r="AS105" s="164"/>
      <c r="AT105" s="126"/>
      <c r="AU105" s="72"/>
      <c r="AV105" s="72"/>
      <c r="AW105" s="127"/>
    </row>
    <row r="106" spans="1:49" x14ac:dyDescent="0.25">
      <c r="A106" s="25">
        <v>448</v>
      </c>
      <c r="B106" s="25" t="s">
        <v>28</v>
      </c>
      <c r="C106" s="25" t="s">
        <v>260</v>
      </c>
      <c r="D106" s="25" t="s">
        <v>261</v>
      </c>
      <c r="E106" s="24"/>
      <c r="F106" s="25" t="s">
        <v>368</v>
      </c>
      <c r="G106" s="25"/>
      <c r="H106" s="139" t="s">
        <v>31</v>
      </c>
      <c r="I106" s="25"/>
      <c r="J106" s="25">
        <v>3.0000000000000001E-5</v>
      </c>
      <c r="K106" s="39">
        <v>5.4000000000000001E-4</v>
      </c>
      <c r="L106" s="25">
        <v>18</v>
      </c>
      <c r="M106" s="25" t="s">
        <v>33</v>
      </c>
      <c r="N106" s="39">
        <f t="shared" si="17"/>
        <v>1.3932E-2</v>
      </c>
      <c r="O106" s="39">
        <f t="shared" si="18"/>
        <v>1.6254000000000001E-2</v>
      </c>
      <c r="P106" s="39">
        <f t="shared" si="19"/>
        <v>9.2880000000000011E-3</v>
      </c>
      <c r="Q106" s="39">
        <f t="shared" si="20"/>
        <v>6.966E-3</v>
      </c>
      <c r="R106" s="138">
        <v>4.6440000000000002E-2</v>
      </c>
      <c r="S106" s="140">
        <v>105991.94</v>
      </c>
      <c r="T106" s="140">
        <v>57.2356476</v>
      </c>
      <c r="U106" s="25"/>
      <c r="V106" s="25"/>
      <c r="W106" s="25" t="s">
        <v>369</v>
      </c>
      <c r="X106" s="25">
        <v>500221</v>
      </c>
      <c r="Y106" s="19" t="s">
        <v>264</v>
      </c>
      <c r="Z106" s="9" t="s">
        <v>368</v>
      </c>
      <c r="AA106" s="70">
        <v>23</v>
      </c>
      <c r="AB106" s="71">
        <v>2813</v>
      </c>
      <c r="AD106" s="165"/>
      <c r="AE106" s="163"/>
      <c r="AF106" s="163"/>
      <c r="AG106" s="164"/>
      <c r="AH106" s="141"/>
      <c r="AI106" s="163"/>
      <c r="AJ106" s="163"/>
      <c r="AK106" s="164"/>
      <c r="AL106" s="141"/>
      <c r="AM106" s="163"/>
      <c r="AN106" s="163"/>
      <c r="AO106" s="164"/>
      <c r="AP106" s="141"/>
      <c r="AQ106" s="163"/>
      <c r="AR106" s="163"/>
      <c r="AS106" s="164"/>
      <c r="AT106" s="126"/>
      <c r="AU106" s="72"/>
      <c r="AV106" s="72"/>
      <c r="AW106" s="127"/>
    </row>
    <row r="107" spans="1:49" x14ac:dyDescent="0.25">
      <c r="A107" s="25">
        <v>449</v>
      </c>
      <c r="B107" s="25" t="s">
        <v>28</v>
      </c>
      <c r="C107" s="25" t="s">
        <v>260</v>
      </c>
      <c r="D107" s="25" t="s">
        <v>261</v>
      </c>
      <c r="E107" s="24"/>
      <c r="F107" s="25" t="s">
        <v>370</v>
      </c>
      <c r="G107" s="25"/>
      <c r="H107" s="139" t="s">
        <v>31</v>
      </c>
      <c r="I107" s="25"/>
      <c r="J107" s="25">
        <v>1.49E-3</v>
      </c>
      <c r="K107" s="39">
        <v>2.2350000000000002E-2</v>
      </c>
      <c r="L107" s="25">
        <v>15</v>
      </c>
      <c r="M107" s="25" t="s">
        <v>33</v>
      </c>
      <c r="N107" s="39">
        <f t="shared" si="17"/>
        <v>0.57662999999999998</v>
      </c>
      <c r="O107" s="39">
        <f t="shared" si="18"/>
        <v>0.67273499999999997</v>
      </c>
      <c r="P107" s="39">
        <f t="shared" si="19"/>
        <v>0.38442000000000004</v>
      </c>
      <c r="Q107" s="39">
        <f t="shared" si="20"/>
        <v>0.28831499999999999</v>
      </c>
      <c r="R107" s="138">
        <v>1.9221000000000001</v>
      </c>
      <c r="S107" s="140">
        <v>105991.94</v>
      </c>
      <c r="T107" s="140">
        <v>2368.9198590000001</v>
      </c>
      <c r="U107" s="25"/>
      <c r="V107" s="25"/>
      <c r="W107" s="25" t="s">
        <v>371</v>
      </c>
      <c r="X107" s="25">
        <v>500221</v>
      </c>
      <c r="Y107" s="19" t="s">
        <v>264</v>
      </c>
      <c r="Z107" s="9" t="s">
        <v>370</v>
      </c>
      <c r="AA107" s="70">
        <v>24</v>
      </c>
      <c r="AB107" s="71">
        <v>2813</v>
      </c>
      <c r="AD107" s="165"/>
      <c r="AE107" s="163"/>
      <c r="AF107" s="163"/>
      <c r="AG107" s="164"/>
      <c r="AH107" s="141"/>
      <c r="AI107" s="163"/>
      <c r="AJ107" s="163"/>
      <c r="AK107" s="164"/>
      <c r="AL107" s="141"/>
      <c r="AM107" s="163"/>
      <c r="AN107" s="163"/>
      <c r="AO107" s="164"/>
      <c r="AP107" s="141"/>
      <c r="AQ107" s="163"/>
      <c r="AR107" s="163"/>
      <c r="AS107" s="164"/>
      <c r="AT107" s="126"/>
      <c r="AU107" s="72"/>
      <c r="AV107" s="72"/>
      <c r="AW107" s="127"/>
    </row>
    <row r="108" spans="1:49" x14ac:dyDescent="0.25">
      <c r="A108" s="25">
        <v>450</v>
      </c>
      <c r="B108" s="25" t="s">
        <v>28</v>
      </c>
      <c r="C108" s="25" t="s">
        <v>260</v>
      </c>
      <c r="D108" s="25" t="s">
        <v>261</v>
      </c>
      <c r="E108" s="24"/>
      <c r="F108" s="25" t="s">
        <v>372</v>
      </c>
      <c r="G108" s="25"/>
      <c r="H108" s="139" t="s">
        <v>31</v>
      </c>
      <c r="I108" s="25"/>
      <c r="J108" s="25">
        <v>2.9999999999999997E-4</v>
      </c>
      <c r="K108" s="39">
        <v>2.9999999999999996E-3</v>
      </c>
      <c r="L108" s="25">
        <v>10</v>
      </c>
      <c r="M108" s="25" t="s">
        <v>33</v>
      </c>
      <c r="N108" s="39">
        <f t="shared" si="17"/>
        <v>7.7399999999999983E-2</v>
      </c>
      <c r="O108" s="39">
        <f t="shared" si="18"/>
        <v>9.0299999999999978E-2</v>
      </c>
      <c r="P108" s="39">
        <f t="shared" si="19"/>
        <v>5.1599999999999993E-2</v>
      </c>
      <c r="Q108" s="39">
        <f t="shared" si="20"/>
        <v>3.8699999999999991E-2</v>
      </c>
      <c r="R108" s="138">
        <v>0.25799999999999995</v>
      </c>
      <c r="S108" s="140">
        <v>105991.94</v>
      </c>
      <c r="T108" s="140">
        <v>317.97581999999994</v>
      </c>
      <c r="U108" s="25"/>
      <c r="V108" s="25"/>
      <c r="W108" s="25" t="s">
        <v>373</v>
      </c>
      <c r="X108" s="25">
        <v>500221</v>
      </c>
      <c r="Y108" s="19" t="s">
        <v>264</v>
      </c>
      <c r="Z108" s="9" t="s">
        <v>372</v>
      </c>
      <c r="AA108" s="70">
        <v>25</v>
      </c>
      <c r="AB108" s="71">
        <v>2813</v>
      </c>
      <c r="AD108" s="165"/>
      <c r="AE108" s="163"/>
      <c r="AF108" s="163"/>
      <c r="AG108" s="164"/>
      <c r="AH108" s="141"/>
      <c r="AI108" s="163"/>
      <c r="AJ108" s="163"/>
      <c r="AK108" s="164"/>
      <c r="AL108" s="141"/>
      <c r="AM108" s="163"/>
      <c r="AN108" s="163"/>
      <c r="AO108" s="164"/>
      <c r="AP108" s="141"/>
      <c r="AQ108" s="163"/>
      <c r="AR108" s="163"/>
      <c r="AS108" s="164"/>
      <c r="AT108" s="126"/>
      <c r="AU108" s="72"/>
      <c r="AV108" s="72"/>
      <c r="AW108" s="127"/>
    </row>
    <row r="109" spans="1:49" x14ac:dyDescent="0.25">
      <c r="A109" s="25">
        <v>451</v>
      </c>
      <c r="B109" s="25" t="s">
        <v>28</v>
      </c>
      <c r="C109" s="25" t="s">
        <v>260</v>
      </c>
      <c r="D109" s="25" t="s">
        <v>261</v>
      </c>
      <c r="E109" s="24"/>
      <c r="F109" s="25" t="s">
        <v>350</v>
      </c>
      <c r="G109" s="25"/>
      <c r="H109" s="139" t="s">
        <v>31</v>
      </c>
      <c r="I109" s="25"/>
      <c r="J109" s="25">
        <v>4.4000000000000002E-4</v>
      </c>
      <c r="K109" s="39">
        <v>2.2000000000000001E-3</v>
      </c>
      <c r="L109" s="25">
        <v>5</v>
      </c>
      <c r="M109" s="25" t="s">
        <v>33</v>
      </c>
      <c r="N109" s="39">
        <f t="shared" si="17"/>
        <v>5.6759999999999998E-2</v>
      </c>
      <c r="O109" s="39">
        <f t="shared" si="18"/>
        <v>6.6220000000000001E-2</v>
      </c>
      <c r="P109" s="39">
        <f t="shared" si="19"/>
        <v>3.7840000000000006E-2</v>
      </c>
      <c r="Q109" s="39">
        <f t="shared" si="20"/>
        <v>2.8379999999999999E-2</v>
      </c>
      <c r="R109" s="138">
        <v>0.18920000000000001</v>
      </c>
      <c r="S109" s="140">
        <v>105991.94</v>
      </c>
      <c r="T109" s="140">
        <v>233.18226800000002</v>
      </c>
      <c r="U109" s="25"/>
      <c r="V109" s="25"/>
      <c r="W109" s="25" t="s">
        <v>353</v>
      </c>
      <c r="X109" s="25">
        <v>500221</v>
      </c>
      <c r="Y109" s="19" t="s">
        <v>264</v>
      </c>
      <c r="Z109" s="9" t="s">
        <v>350</v>
      </c>
      <c r="AA109" s="70">
        <v>26</v>
      </c>
      <c r="AB109" s="71">
        <v>2813</v>
      </c>
      <c r="AD109" s="165"/>
      <c r="AE109" s="163"/>
      <c r="AF109" s="163"/>
      <c r="AG109" s="164"/>
      <c r="AH109" s="141"/>
      <c r="AI109" s="163"/>
      <c r="AJ109" s="163"/>
      <c r="AK109" s="164"/>
      <c r="AL109" s="141"/>
      <c r="AM109" s="163"/>
      <c r="AN109" s="163"/>
      <c r="AO109" s="164"/>
      <c r="AP109" s="141"/>
      <c r="AQ109" s="163"/>
      <c r="AR109" s="163"/>
      <c r="AS109" s="164"/>
      <c r="AT109" s="126"/>
      <c r="AU109" s="72"/>
      <c r="AV109" s="72"/>
      <c r="AW109" s="127"/>
    </row>
    <row r="110" spans="1:49" x14ac:dyDescent="0.25">
      <c r="A110" s="25">
        <v>452</v>
      </c>
      <c r="B110" s="25" t="s">
        <v>28</v>
      </c>
      <c r="C110" s="25" t="s">
        <v>260</v>
      </c>
      <c r="D110" s="25" t="s">
        <v>261</v>
      </c>
      <c r="E110" s="24"/>
      <c r="F110" s="25" t="s">
        <v>374</v>
      </c>
      <c r="G110" s="25"/>
      <c r="H110" s="139" t="s">
        <v>31</v>
      </c>
      <c r="I110" s="25"/>
      <c r="J110" s="25">
        <v>6.0000000000000002E-5</v>
      </c>
      <c r="K110" s="39">
        <v>1.2E-4</v>
      </c>
      <c r="L110" s="25">
        <v>2</v>
      </c>
      <c r="M110" s="25" t="s">
        <v>33</v>
      </c>
      <c r="N110" s="39">
        <f t="shared" si="17"/>
        <v>3.0960000000000002E-3</v>
      </c>
      <c r="O110" s="39">
        <f t="shared" si="18"/>
        <v>3.6120000000000002E-3</v>
      </c>
      <c r="P110" s="39">
        <f t="shared" si="19"/>
        <v>2.0640000000000003E-3</v>
      </c>
      <c r="Q110" s="39">
        <f t="shared" si="20"/>
        <v>1.5480000000000001E-3</v>
      </c>
      <c r="R110" s="138">
        <v>1.0320000000000001E-2</v>
      </c>
      <c r="S110" s="140">
        <v>105991.94</v>
      </c>
      <c r="T110" s="140">
        <v>12.719032800000001</v>
      </c>
      <c r="U110" s="25"/>
      <c r="V110" s="25"/>
      <c r="W110" s="25" t="s">
        <v>375</v>
      </c>
      <c r="X110" s="25">
        <v>500221</v>
      </c>
      <c r="Y110" s="19" t="s">
        <v>264</v>
      </c>
      <c r="Z110" s="9" t="s">
        <v>374</v>
      </c>
      <c r="AA110" s="70">
        <v>27</v>
      </c>
      <c r="AB110" s="71">
        <v>2813</v>
      </c>
      <c r="AD110" s="165"/>
      <c r="AE110" s="163"/>
      <c r="AF110" s="163"/>
      <c r="AG110" s="164"/>
      <c r="AH110" s="141"/>
      <c r="AI110" s="163"/>
      <c r="AJ110" s="163"/>
      <c r="AK110" s="164"/>
      <c r="AL110" s="141"/>
      <c r="AM110" s="163"/>
      <c r="AN110" s="163"/>
      <c r="AO110" s="164"/>
      <c r="AP110" s="141"/>
      <c r="AQ110" s="163"/>
      <c r="AR110" s="163"/>
      <c r="AS110" s="164"/>
      <c r="AT110" s="126"/>
      <c r="AU110" s="72"/>
      <c r="AV110" s="72"/>
      <c r="AW110" s="127"/>
    </row>
    <row r="111" spans="1:49" x14ac:dyDescent="0.25">
      <c r="A111" s="25">
        <v>453</v>
      </c>
      <c r="B111" s="25" t="s">
        <v>28</v>
      </c>
      <c r="C111" s="25" t="s">
        <v>260</v>
      </c>
      <c r="D111" s="25" t="s">
        <v>261</v>
      </c>
      <c r="E111" s="24"/>
      <c r="F111" s="25" t="s">
        <v>376</v>
      </c>
      <c r="G111" s="25"/>
      <c r="H111" s="139" t="s">
        <v>31</v>
      </c>
      <c r="I111" s="25"/>
      <c r="J111" s="25">
        <v>5.0000000000000002E-5</v>
      </c>
      <c r="K111" s="39">
        <v>5.0000000000000002E-5</v>
      </c>
      <c r="L111" s="25">
        <v>1</v>
      </c>
      <c r="M111" s="25" t="s">
        <v>33</v>
      </c>
      <c r="N111" s="39">
        <f t="shared" si="17"/>
        <v>1.2899999999999999E-3</v>
      </c>
      <c r="O111" s="39">
        <f t="shared" si="18"/>
        <v>1.5049999999999998E-3</v>
      </c>
      <c r="P111" s="39">
        <f t="shared" si="19"/>
        <v>8.6000000000000009E-4</v>
      </c>
      <c r="Q111" s="39">
        <f t="shared" si="20"/>
        <v>6.4499999999999996E-4</v>
      </c>
      <c r="R111" s="138">
        <v>4.3E-3</v>
      </c>
      <c r="S111" s="140">
        <v>105991.94</v>
      </c>
      <c r="T111" s="140">
        <v>5.2995970000000003</v>
      </c>
      <c r="U111" s="25"/>
      <c r="V111" s="25"/>
      <c r="W111" s="25" t="s">
        <v>377</v>
      </c>
      <c r="X111" s="25">
        <v>500221</v>
      </c>
      <c r="Y111" s="19" t="s">
        <v>264</v>
      </c>
      <c r="Z111" s="9" t="s">
        <v>376</v>
      </c>
      <c r="AA111" s="70">
        <v>28</v>
      </c>
      <c r="AB111" s="71">
        <v>2813</v>
      </c>
      <c r="AD111" s="165"/>
      <c r="AE111" s="163"/>
      <c r="AF111" s="163"/>
      <c r="AG111" s="164"/>
      <c r="AH111" s="141"/>
      <c r="AI111" s="163"/>
      <c r="AJ111" s="163"/>
      <c r="AK111" s="164"/>
      <c r="AL111" s="141"/>
      <c r="AM111" s="163"/>
      <c r="AN111" s="163"/>
      <c r="AO111" s="164"/>
      <c r="AP111" s="141"/>
      <c r="AQ111" s="163"/>
      <c r="AR111" s="163"/>
      <c r="AS111" s="164"/>
      <c r="AT111" s="126"/>
      <c r="AU111" s="72"/>
      <c r="AV111" s="72"/>
      <c r="AW111" s="127"/>
    </row>
    <row r="112" spans="1:49" x14ac:dyDescent="0.25">
      <c r="A112" s="25">
        <v>454</v>
      </c>
      <c r="B112" s="25" t="s">
        <v>28</v>
      </c>
      <c r="C112" s="25" t="s">
        <v>260</v>
      </c>
      <c r="D112" s="25" t="s">
        <v>261</v>
      </c>
      <c r="E112" s="24"/>
      <c r="F112" s="25" t="s">
        <v>378</v>
      </c>
      <c r="G112" s="25"/>
      <c r="H112" s="139" t="s">
        <v>31</v>
      </c>
      <c r="I112" s="25"/>
      <c r="J112" s="25">
        <v>5.0000000000000002E-5</v>
      </c>
      <c r="K112" s="39">
        <v>5.0000000000000002E-5</v>
      </c>
      <c r="L112" s="25">
        <v>1</v>
      </c>
      <c r="M112" s="25" t="s">
        <v>33</v>
      </c>
      <c r="N112" s="39">
        <f t="shared" si="17"/>
        <v>1.2899999999999999E-3</v>
      </c>
      <c r="O112" s="39">
        <f t="shared" si="18"/>
        <v>1.5049999999999998E-3</v>
      </c>
      <c r="P112" s="39">
        <f t="shared" si="19"/>
        <v>8.6000000000000009E-4</v>
      </c>
      <c r="Q112" s="39">
        <f t="shared" si="20"/>
        <v>6.4499999999999996E-4</v>
      </c>
      <c r="R112" s="138">
        <v>4.3E-3</v>
      </c>
      <c r="S112" s="140">
        <v>105991.94</v>
      </c>
      <c r="T112" s="140">
        <v>5.2995970000000003</v>
      </c>
      <c r="U112" s="25"/>
      <c r="V112" s="25"/>
      <c r="W112" s="25" t="s">
        <v>379</v>
      </c>
      <c r="X112" s="25">
        <v>500221</v>
      </c>
      <c r="Y112" s="19" t="s">
        <v>264</v>
      </c>
      <c r="Z112" s="9" t="s">
        <v>378</v>
      </c>
      <c r="AA112" s="70">
        <v>29</v>
      </c>
      <c r="AB112" s="71">
        <v>2813</v>
      </c>
      <c r="AD112" s="165"/>
      <c r="AE112" s="163"/>
      <c r="AF112" s="163"/>
      <c r="AG112" s="164"/>
      <c r="AH112" s="141"/>
      <c r="AI112" s="163"/>
      <c r="AJ112" s="163"/>
      <c r="AK112" s="164"/>
      <c r="AL112" s="141"/>
      <c r="AM112" s="163"/>
      <c r="AN112" s="163"/>
      <c r="AO112" s="164"/>
      <c r="AP112" s="141"/>
      <c r="AQ112" s="163"/>
      <c r="AR112" s="163"/>
      <c r="AS112" s="164"/>
      <c r="AT112" s="126"/>
      <c r="AU112" s="72"/>
      <c r="AV112" s="72"/>
      <c r="AW112" s="127"/>
    </row>
    <row r="113" spans="1:49" x14ac:dyDescent="0.25">
      <c r="A113" s="25">
        <v>455</v>
      </c>
      <c r="B113" s="25" t="s">
        <v>28</v>
      </c>
      <c r="C113" s="25" t="s">
        <v>260</v>
      </c>
      <c r="D113" s="25" t="s">
        <v>261</v>
      </c>
      <c r="E113" s="24"/>
      <c r="F113" s="25" t="s">
        <v>380</v>
      </c>
      <c r="G113" s="25"/>
      <c r="H113" s="139" t="s">
        <v>31</v>
      </c>
      <c r="I113" s="25"/>
      <c r="J113" s="25">
        <v>1.9000000000000001E-4</v>
      </c>
      <c r="K113" s="39">
        <v>9.5000000000000011E-4</v>
      </c>
      <c r="L113" s="25">
        <v>5</v>
      </c>
      <c r="M113" s="25" t="s">
        <v>33</v>
      </c>
      <c r="N113" s="39">
        <f t="shared" si="17"/>
        <v>2.4510000000000001E-2</v>
      </c>
      <c r="O113" s="39">
        <f t="shared" si="18"/>
        <v>2.8595000000000002E-2</v>
      </c>
      <c r="P113" s="39">
        <f t="shared" si="19"/>
        <v>1.6340000000000004E-2</v>
      </c>
      <c r="Q113" s="39">
        <f t="shared" si="20"/>
        <v>1.2255E-2</v>
      </c>
      <c r="R113" s="138">
        <v>8.1700000000000009E-2</v>
      </c>
      <c r="S113" s="140">
        <v>105991.94</v>
      </c>
      <c r="T113" s="140">
        <v>100.69234300000001</v>
      </c>
      <c r="U113" s="25"/>
      <c r="V113" s="25"/>
      <c r="W113" s="25" t="s">
        <v>381</v>
      </c>
      <c r="X113" s="25">
        <v>500221</v>
      </c>
      <c r="Y113" s="19" t="s">
        <v>264</v>
      </c>
      <c r="Z113" s="9" t="s">
        <v>380</v>
      </c>
      <c r="AA113" s="70">
        <v>30</v>
      </c>
      <c r="AB113" s="71">
        <v>2813</v>
      </c>
      <c r="AD113" s="165"/>
      <c r="AE113" s="163"/>
      <c r="AF113" s="163"/>
      <c r="AG113" s="164"/>
      <c r="AH113" s="141"/>
      <c r="AI113" s="163"/>
      <c r="AJ113" s="163"/>
      <c r="AK113" s="164"/>
      <c r="AL113" s="141"/>
      <c r="AM113" s="163"/>
      <c r="AN113" s="163"/>
      <c r="AO113" s="164"/>
      <c r="AP113" s="141"/>
      <c r="AQ113" s="163"/>
      <c r="AR113" s="163"/>
      <c r="AS113" s="164"/>
      <c r="AT113" s="126"/>
      <c r="AU113" s="72"/>
      <c r="AV113" s="72"/>
      <c r="AW113" s="127"/>
    </row>
    <row r="114" spans="1:49" x14ac:dyDescent="0.25">
      <c r="A114" s="25">
        <v>456</v>
      </c>
      <c r="B114" s="25" t="s">
        <v>28</v>
      </c>
      <c r="C114" s="25" t="s">
        <v>260</v>
      </c>
      <c r="D114" s="25" t="s">
        <v>261</v>
      </c>
      <c r="E114" s="24"/>
      <c r="F114" s="25" t="s">
        <v>382</v>
      </c>
      <c r="G114" s="25"/>
      <c r="H114" s="139" t="s">
        <v>31</v>
      </c>
      <c r="I114" s="25"/>
      <c r="J114" s="25">
        <v>0</v>
      </c>
      <c r="K114" s="39">
        <v>0</v>
      </c>
      <c r="L114" s="25">
        <v>2</v>
      </c>
      <c r="M114" s="25" t="s">
        <v>33</v>
      </c>
      <c r="N114" s="39">
        <f t="shared" si="17"/>
        <v>0</v>
      </c>
      <c r="O114" s="39">
        <f t="shared" si="18"/>
        <v>0</v>
      </c>
      <c r="P114" s="39">
        <f t="shared" si="19"/>
        <v>0</v>
      </c>
      <c r="Q114" s="39">
        <f t="shared" si="20"/>
        <v>0</v>
      </c>
      <c r="R114" s="138">
        <v>0</v>
      </c>
      <c r="S114" s="140">
        <v>105991.94</v>
      </c>
      <c r="T114" s="140">
        <v>0</v>
      </c>
      <c r="U114" s="25"/>
      <c r="V114" s="25"/>
      <c r="W114" s="25" t="s">
        <v>383</v>
      </c>
      <c r="X114" s="25">
        <v>500221</v>
      </c>
      <c r="Y114" s="19" t="s">
        <v>264</v>
      </c>
      <c r="Z114" s="9" t="s">
        <v>382</v>
      </c>
      <c r="AA114" s="70">
        <v>31</v>
      </c>
      <c r="AB114" s="71">
        <v>2813</v>
      </c>
      <c r="AD114" s="165"/>
      <c r="AE114" s="163"/>
      <c r="AF114" s="163"/>
      <c r="AG114" s="164"/>
      <c r="AH114" s="141"/>
      <c r="AI114" s="163"/>
      <c r="AJ114" s="163"/>
      <c r="AK114" s="164"/>
      <c r="AL114" s="141"/>
      <c r="AM114" s="163"/>
      <c r="AN114" s="163"/>
      <c r="AO114" s="164"/>
      <c r="AP114" s="141"/>
      <c r="AQ114" s="163"/>
      <c r="AR114" s="163"/>
      <c r="AS114" s="164"/>
      <c r="AT114" s="126"/>
      <c r="AU114" s="72"/>
      <c r="AV114" s="72"/>
      <c r="AW114" s="127"/>
    </row>
    <row r="115" spans="1:49" x14ac:dyDescent="0.25">
      <c r="A115" s="25">
        <v>457</v>
      </c>
      <c r="B115" s="25" t="s">
        <v>28</v>
      </c>
      <c r="C115" s="25" t="s">
        <v>260</v>
      </c>
      <c r="D115" s="25" t="s">
        <v>261</v>
      </c>
      <c r="E115" s="24"/>
      <c r="F115" s="25" t="s">
        <v>384</v>
      </c>
      <c r="G115" s="25"/>
      <c r="H115" s="139" t="s">
        <v>31</v>
      </c>
      <c r="I115" s="25"/>
      <c r="J115" s="25">
        <v>1.0000000000000001E-5</v>
      </c>
      <c r="K115" s="39">
        <v>1E-4</v>
      </c>
      <c r="L115" s="25">
        <v>10</v>
      </c>
      <c r="M115" s="25" t="s">
        <v>33</v>
      </c>
      <c r="N115" s="39">
        <f t="shared" si="17"/>
        <v>2.5799999999999998E-3</v>
      </c>
      <c r="O115" s="39">
        <f t="shared" si="18"/>
        <v>3.0099999999999997E-3</v>
      </c>
      <c r="P115" s="39">
        <f t="shared" si="19"/>
        <v>1.7200000000000002E-3</v>
      </c>
      <c r="Q115" s="39">
        <f t="shared" si="20"/>
        <v>1.2899999999999999E-3</v>
      </c>
      <c r="R115" s="138">
        <v>8.6E-3</v>
      </c>
      <c r="S115" s="140">
        <v>105991.94</v>
      </c>
      <c r="T115" s="140">
        <v>10.599194000000001</v>
      </c>
      <c r="U115" s="25"/>
      <c r="V115" s="25"/>
      <c r="W115" s="25" t="s">
        <v>385</v>
      </c>
      <c r="X115" s="25">
        <v>500221</v>
      </c>
      <c r="Y115" s="19" t="s">
        <v>264</v>
      </c>
      <c r="Z115" s="9" t="s">
        <v>384</v>
      </c>
      <c r="AA115" s="70">
        <v>32</v>
      </c>
      <c r="AB115" s="71">
        <v>2813</v>
      </c>
      <c r="AD115" s="165"/>
      <c r="AE115" s="163"/>
      <c r="AF115" s="163"/>
      <c r="AG115" s="164"/>
      <c r="AH115" s="141"/>
      <c r="AI115" s="163"/>
      <c r="AJ115" s="163"/>
      <c r="AK115" s="164"/>
      <c r="AL115" s="141"/>
      <c r="AM115" s="163"/>
      <c r="AN115" s="163"/>
      <c r="AO115" s="164"/>
      <c r="AP115" s="141"/>
      <c r="AQ115" s="163"/>
      <c r="AR115" s="163"/>
      <c r="AS115" s="164"/>
      <c r="AT115" s="126"/>
      <c r="AU115" s="72"/>
      <c r="AV115" s="72"/>
      <c r="AW115" s="127"/>
    </row>
    <row r="116" spans="1:49" x14ac:dyDescent="0.25">
      <c r="A116" s="25">
        <v>458</v>
      </c>
      <c r="B116" s="25" t="s">
        <v>28</v>
      </c>
      <c r="C116" s="25" t="s">
        <v>260</v>
      </c>
      <c r="D116" s="25" t="s">
        <v>261</v>
      </c>
      <c r="E116" s="24"/>
      <c r="F116" s="25" t="s">
        <v>386</v>
      </c>
      <c r="G116" s="25"/>
      <c r="H116" s="139" t="s">
        <v>31</v>
      </c>
      <c r="I116" s="25"/>
      <c r="J116" s="25">
        <v>1.0000000000000001E-5</v>
      </c>
      <c r="K116" s="39">
        <v>6.0000000000000008E-5</v>
      </c>
      <c r="L116" s="25">
        <v>6</v>
      </c>
      <c r="M116" s="25" t="s">
        <v>33</v>
      </c>
      <c r="N116" s="39">
        <f t="shared" si="17"/>
        <v>1.5480000000000001E-3</v>
      </c>
      <c r="O116" s="39">
        <f t="shared" si="18"/>
        <v>1.8060000000000001E-3</v>
      </c>
      <c r="P116" s="39">
        <f t="shared" si="19"/>
        <v>1.0320000000000001E-3</v>
      </c>
      <c r="Q116" s="39">
        <f t="shared" si="20"/>
        <v>7.7400000000000006E-4</v>
      </c>
      <c r="R116" s="138">
        <v>5.1600000000000005E-3</v>
      </c>
      <c r="S116" s="140">
        <v>105991.94</v>
      </c>
      <c r="T116" s="140">
        <v>6.3595164000000013</v>
      </c>
      <c r="U116" s="25"/>
      <c r="V116" s="25"/>
      <c r="W116" s="25" t="s">
        <v>387</v>
      </c>
      <c r="X116" s="25">
        <v>500221</v>
      </c>
      <c r="Y116" s="19" t="s">
        <v>264</v>
      </c>
      <c r="Z116" s="9" t="s">
        <v>386</v>
      </c>
      <c r="AA116" s="70">
        <v>33</v>
      </c>
      <c r="AB116" s="71">
        <v>2813</v>
      </c>
      <c r="AD116" s="165"/>
      <c r="AE116" s="163"/>
      <c r="AF116" s="163"/>
      <c r="AG116" s="164"/>
      <c r="AH116" s="141"/>
      <c r="AI116" s="163"/>
      <c r="AJ116" s="163"/>
      <c r="AK116" s="164"/>
      <c r="AL116" s="141"/>
      <c r="AM116" s="163"/>
      <c r="AN116" s="163"/>
      <c r="AO116" s="164"/>
      <c r="AP116" s="141"/>
      <c r="AQ116" s="163"/>
      <c r="AR116" s="163"/>
      <c r="AS116" s="164"/>
      <c r="AT116" s="126"/>
      <c r="AU116" s="72"/>
      <c r="AV116" s="72"/>
      <c r="AW116" s="127"/>
    </row>
    <row r="117" spans="1:49" x14ac:dyDescent="0.25">
      <c r="A117" s="25">
        <v>459</v>
      </c>
      <c r="B117" s="25" t="s">
        <v>28</v>
      </c>
      <c r="C117" s="25" t="s">
        <v>260</v>
      </c>
      <c r="D117" s="25" t="s">
        <v>261</v>
      </c>
      <c r="E117" s="24"/>
      <c r="F117" s="25" t="s">
        <v>388</v>
      </c>
      <c r="G117" s="25"/>
      <c r="H117" s="139" t="s">
        <v>31</v>
      </c>
      <c r="I117" s="25"/>
      <c r="J117" s="25">
        <v>1.0000000000000001E-5</v>
      </c>
      <c r="K117" s="39">
        <v>8.0000000000000007E-5</v>
      </c>
      <c r="L117" s="25">
        <v>8</v>
      </c>
      <c r="M117" s="25" t="s">
        <v>33</v>
      </c>
      <c r="N117" s="39">
        <f t="shared" si="17"/>
        <v>2.0640000000000003E-3</v>
      </c>
      <c r="O117" s="39">
        <f t="shared" si="18"/>
        <v>2.408E-3</v>
      </c>
      <c r="P117" s="39">
        <f t="shared" si="19"/>
        <v>1.3760000000000003E-3</v>
      </c>
      <c r="Q117" s="39">
        <f t="shared" si="20"/>
        <v>1.0320000000000001E-3</v>
      </c>
      <c r="R117" s="138">
        <v>6.8800000000000007E-3</v>
      </c>
      <c r="S117" s="140">
        <v>105991.94</v>
      </c>
      <c r="T117" s="140">
        <v>8.4793552000000005</v>
      </c>
      <c r="U117" s="25"/>
      <c r="V117" s="25"/>
      <c r="W117" s="25" t="s">
        <v>389</v>
      </c>
      <c r="X117" s="25">
        <v>500221</v>
      </c>
      <c r="Y117" s="19" t="s">
        <v>264</v>
      </c>
      <c r="Z117" s="9" t="s">
        <v>388</v>
      </c>
      <c r="AA117" s="70">
        <v>34</v>
      </c>
      <c r="AB117" s="71">
        <v>2813</v>
      </c>
      <c r="AD117" s="165"/>
      <c r="AE117" s="163"/>
      <c r="AF117" s="163"/>
      <c r="AG117" s="164"/>
      <c r="AH117" s="141"/>
      <c r="AI117" s="163"/>
      <c r="AJ117" s="163"/>
      <c r="AK117" s="164"/>
      <c r="AL117" s="141"/>
      <c r="AM117" s="163"/>
      <c r="AN117" s="163"/>
      <c r="AO117" s="164"/>
      <c r="AP117" s="141"/>
      <c r="AQ117" s="163"/>
      <c r="AR117" s="163"/>
      <c r="AS117" s="164"/>
      <c r="AT117" s="126"/>
      <c r="AU117" s="72"/>
      <c r="AV117" s="72"/>
      <c r="AW117" s="127"/>
    </row>
    <row r="118" spans="1:49" x14ac:dyDescent="0.25">
      <c r="A118" s="25">
        <v>460</v>
      </c>
      <c r="B118" s="25" t="s">
        <v>28</v>
      </c>
      <c r="C118" s="25" t="s">
        <v>260</v>
      </c>
      <c r="D118" s="25" t="s">
        <v>261</v>
      </c>
      <c r="E118" s="24"/>
      <c r="F118" s="25" t="s">
        <v>390</v>
      </c>
      <c r="G118" s="25"/>
      <c r="H118" s="139" t="s">
        <v>31</v>
      </c>
      <c r="I118" s="25"/>
      <c r="J118" s="25">
        <v>7.3999999999999999E-4</v>
      </c>
      <c r="K118" s="39">
        <v>2.5899999999999999E-2</v>
      </c>
      <c r="L118" s="25">
        <v>35</v>
      </c>
      <c r="M118" s="25" t="s">
        <v>33</v>
      </c>
      <c r="N118" s="39">
        <f t="shared" si="17"/>
        <v>0.66821999999999993</v>
      </c>
      <c r="O118" s="39">
        <f t="shared" si="18"/>
        <v>0.77958999999999989</v>
      </c>
      <c r="P118" s="39">
        <f t="shared" si="19"/>
        <v>0.44547999999999999</v>
      </c>
      <c r="Q118" s="39">
        <f t="shared" si="20"/>
        <v>0.33410999999999996</v>
      </c>
      <c r="R118" s="138">
        <v>2.2273999999999998</v>
      </c>
      <c r="S118" s="140">
        <v>105991.94</v>
      </c>
      <c r="T118" s="140">
        <v>2745.1912459999999</v>
      </c>
      <c r="U118" s="25"/>
      <c r="V118" s="25"/>
      <c r="W118" s="25" t="s">
        <v>391</v>
      </c>
      <c r="X118" s="25">
        <v>500221</v>
      </c>
      <c r="Y118" s="19" t="s">
        <v>264</v>
      </c>
      <c r="Z118" s="9" t="s">
        <v>390</v>
      </c>
      <c r="AA118" s="70">
        <v>35</v>
      </c>
      <c r="AB118" s="71">
        <v>2813</v>
      </c>
      <c r="AD118" s="165"/>
      <c r="AE118" s="163"/>
      <c r="AF118" s="163"/>
      <c r="AG118" s="164"/>
      <c r="AH118" s="141"/>
      <c r="AI118" s="163"/>
      <c r="AJ118" s="163"/>
      <c r="AK118" s="164"/>
      <c r="AL118" s="141"/>
      <c r="AM118" s="163"/>
      <c r="AN118" s="163"/>
      <c r="AO118" s="164"/>
      <c r="AP118" s="141"/>
      <c r="AQ118" s="163"/>
      <c r="AR118" s="163"/>
      <c r="AS118" s="164"/>
      <c r="AT118" s="126"/>
      <c r="AU118" s="72"/>
      <c r="AV118" s="72"/>
      <c r="AW118" s="127"/>
    </row>
    <row r="119" spans="1:49" x14ac:dyDescent="0.25">
      <c r="A119" s="25">
        <v>461</v>
      </c>
      <c r="B119" s="25" t="s">
        <v>28</v>
      </c>
      <c r="C119" s="25" t="s">
        <v>260</v>
      </c>
      <c r="D119" s="25" t="s">
        <v>261</v>
      </c>
      <c r="E119" s="24"/>
      <c r="F119" s="25" t="s">
        <v>392</v>
      </c>
      <c r="G119" s="25"/>
      <c r="H119" s="139" t="s">
        <v>31</v>
      </c>
      <c r="I119" s="25"/>
      <c r="J119" s="25">
        <v>1.2600000000000001E-3</v>
      </c>
      <c r="K119" s="39">
        <v>2.52E-2</v>
      </c>
      <c r="L119" s="25">
        <v>20</v>
      </c>
      <c r="M119" s="25" t="s">
        <v>33</v>
      </c>
      <c r="N119" s="39">
        <f t="shared" si="17"/>
        <v>0.65016000000000007</v>
      </c>
      <c r="O119" s="39">
        <f t="shared" si="18"/>
        <v>0.75852000000000008</v>
      </c>
      <c r="P119" s="39">
        <f t="shared" si="19"/>
        <v>0.43344000000000005</v>
      </c>
      <c r="Q119" s="39">
        <f t="shared" si="20"/>
        <v>0.32508000000000004</v>
      </c>
      <c r="R119" s="138">
        <v>2.1672000000000002</v>
      </c>
      <c r="S119" s="140">
        <v>105991.94</v>
      </c>
      <c r="T119" s="140">
        <v>2670.9968880000001</v>
      </c>
      <c r="U119" s="25"/>
      <c r="V119" s="25"/>
      <c r="W119" s="25" t="s">
        <v>393</v>
      </c>
      <c r="X119" s="25">
        <v>500221</v>
      </c>
      <c r="Y119" s="19" t="s">
        <v>264</v>
      </c>
      <c r="Z119" s="9" t="s">
        <v>392</v>
      </c>
      <c r="AA119" s="70">
        <v>36</v>
      </c>
      <c r="AB119" s="71">
        <v>2813</v>
      </c>
      <c r="AD119" s="165"/>
      <c r="AE119" s="163"/>
      <c r="AF119" s="163"/>
      <c r="AG119" s="164"/>
      <c r="AH119" s="141"/>
      <c r="AI119" s="163"/>
      <c r="AJ119" s="163"/>
      <c r="AK119" s="164"/>
      <c r="AL119" s="141"/>
      <c r="AM119" s="163"/>
      <c r="AN119" s="163"/>
      <c r="AO119" s="164"/>
      <c r="AP119" s="141"/>
      <c r="AQ119" s="163"/>
      <c r="AR119" s="163"/>
      <c r="AS119" s="164"/>
      <c r="AT119" s="126"/>
      <c r="AU119" s="72"/>
      <c r="AV119" s="72"/>
      <c r="AW119" s="127"/>
    </row>
    <row r="120" spans="1:49" x14ac:dyDescent="0.25">
      <c r="A120" s="25">
        <v>462</v>
      </c>
      <c r="B120" s="25" t="s">
        <v>28</v>
      </c>
      <c r="C120" s="25" t="s">
        <v>260</v>
      </c>
      <c r="D120" s="25" t="s">
        <v>261</v>
      </c>
      <c r="E120" s="24"/>
      <c r="F120" s="25" t="s">
        <v>394</v>
      </c>
      <c r="G120" s="25"/>
      <c r="H120" s="139" t="s">
        <v>31</v>
      </c>
      <c r="I120" s="25"/>
      <c r="J120" s="25">
        <v>3.8000000000000002E-4</v>
      </c>
      <c r="K120" s="39">
        <v>7.6000000000000009E-3</v>
      </c>
      <c r="L120" s="25">
        <v>20</v>
      </c>
      <c r="M120" s="25" t="s">
        <v>33</v>
      </c>
      <c r="N120" s="39">
        <f t="shared" si="17"/>
        <v>0.19608</v>
      </c>
      <c r="O120" s="39">
        <f t="shared" si="18"/>
        <v>0.22876000000000002</v>
      </c>
      <c r="P120" s="39">
        <f t="shared" si="19"/>
        <v>0.13072000000000003</v>
      </c>
      <c r="Q120" s="39">
        <f t="shared" si="20"/>
        <v>9.8040000000000002E-2</v>
      </c>
      <c r="R120" s="138">
        <v>0.65360000000000007</v>
      </c>
      <c r="S120" s="140">
        <v>105991.94</v>
      </c>
      <c r="T120" s="140">
        <v>805.53874400000007</v>
      </c>
      <c r="U120" s="25"/>
      <c r="V120" s="25"/>
      <c r="W120" s="25" t="s">
        <v>395</v>
      </c>
      <c r="X120" s="25">
        <v>500221</v>
      </c>
      <c r="Y120" s="19" t="s">
        <v>264</v>
      </c>
      <c r="Z120" s="9" t="s">
        <v>394</v>
      </c>
      <c r="AA120" s="70">
        <v>37</v>
      </c>
      <c r="AB120" s="71">
        <v>2813</v>
      </c>
      <c r="AD120" s="165"/>
      <c r="AE120" s="163"/>
      <c r="AF120" s="163"/>
      <c r="AG120" s="164"/>
      <c r="AH120" s="141"/>
      <c r="AI120" s="163"/>
      <c r="AJ120" s="163"/>
      <c r="AK120" s="164"/>
      <c r="AL120" s="141"/>
      <c r="AM120" s="163"/>
      <c r="AN120" s="163"/>
      <c r="AO120" s="164"/>
      <c r="AP120" s="141"/>
      <c r="AQ120" s="163"/>
      <c r="AR120" s="163"/>
      <c r="AS120" s="164"/>
      <c r="AT120" s="126"/>
      <c r="AU120" s="72"/>
      <c r="AV120" s="72"/>
      <c r="AW120" s="127"/>
    </row>
    <row r="121" spans="1:49" x14ac:dyDescent="0.25">
      <c r="A121" s="25">
        <v>463</v>
      </c>
      <c r="B121" s="25" t="s">
        <v>28</v>
      </c>
      <c r="C121" s="25" t="s">
        <v>260</v>
      </c>
      <c r="D121" s="25" t="s">
        <v>261</v>
      </c>
      <c r="E121" s="24"/>
      <c r="F121" s="25" t="s">
        <v>396</v>
      </c>
      <c r="G121" s="25"/>
      <c r="H121" s="139" t="s">
        <v>31</v>
      </c>
      <c r="I121" s="25"/>
      <c r="J121" s="25">
        <v>2.9999999999999997E-4</v>
      </c>
      <c r="K121" s="39">
        <v>3.5999999999999999E-3</v>
      </c>
      <c r="L121" s="25">
        <v>12</v>
      </c>
      <c r="M121" s="25" t="s">
        <v>33</v>
      </c>
      <c r="N121" s="39">
        <f t="shared" si="17"/>
        <v>9.287999999999999E-2</v>
      </c>
      <c r="O121" s="39">
        <f t="shared" si="18"/>
        <v>0.10835999999999998</v>
      </c>
      <c r="P121" s="39">
        <f t="shared" si="19"/>
        <v>6.1920000000000003E-2</v>
      </c>
      <c r="Q121" s="39">
        <f t="shared" si="20"/>
        <v>4.6439999999999995E-2</v>
      </c>
      <c r="R121" s="138">
        <v>0.30959999999999999</v>
      </c>
      <c r="S121" s="140">
        <v>105991.94</v>
      </c>
      <c r="T121" s="140">
        <v>381.57098400000001</v>
      </c>
      <c r="U121" s="25"/>
      <c r="V121" s="25"/>
      <c r="W121" s="25" t="s">
        <v>397</v>
      </c>
      <c r="X121" s="25">
        <v>500221</v>
      </c>
      <c r="Y121" s="19" t="s">
        <v>264</v>
      </c>
      <c r="Z121" s="9" t="s">
        <v>396</v>
      </c>
      <c r="AA121" s="70">
        <v>38</v>
      </c>
      <c r="AB121" s="71">
        <v>2813</v>
      </c>
      <c r="AD121" s="165"/>
      <c r="AE121" s="163"/>
      <c r="AF121" s="163"/>
      <c r="AG121" s="164"/>
      <c r="AH121" s="141"/>
      <c r="AI121" s="163"/>
      <c r="AJ121" s="163"/>
      <c r="AK121" s="164"/>
      <c r="AL121" s="141"/>
      <c r="AM121" s="163"/>
      <c r="AN121" s="163"/>
      <c r="AO121" s="164"/>
      <c r="AP121" s="141"/>
      <c r="AQ121" s="163"/>
      <c r="AR121" s="163"/>
      <c r="AS121" s="164"/>
      <c r="AT121" s="126"/>
      <c r="AU121" s="72"/>
      <c r="AV121" s="72"/>
      <c r="AW121" s="127"/>
    </row>
    <row r="122" spans="1:49" x14ac:dyDescent="0.25">
      <c r="A122" s="25">
        <v>464</v>
      </c>
      <c r="B122" s="25" t="s">
        <v>28</v>
      </c>
      <c r="C122" s="25" t="s">
        <v>260</v>
      </c>
      <c r="D122" s="25" t="s">
        <v>261</v>
      </c>
      <c r="E122" s="24"/>
      <c r="F122" s="25" t="s">
        <v>398</v>
      </c>
      <c r="G122" s="25"/>
      <c r="H122" s="139" t="s">
        <v>31</v>
      </c>
      <c r="I122" s="25"/>
      <c r="J122" s="25">
        <v>8.9999999999999992E-5</v>
      </c>
      <c r="K122" s="39">
        <v>1.4399999999999999E-3</v>
      </c>
      <c r="L122" s="25">
        <v>16</v>
      </c>
      <c r="M122" s="25" t="s">
        <v>33</v>
      </c>
      <c r="N122" s="39">
        <f t="shared" si="17"/>
        <v>3.7151999999999998E-2</v>
      </c>
      <c r="O122" s="39">
        <f t="shared" si="18"/>
        <v>4.3343999999999994E-2</v>
      </c>
      <c r="P122" s="39">
        <f t="shared" si="19"/>
        <v>2.4767999999999998E-2</v>
      </c>
      <c r="Q122" s="39">
        <f t="shared" si="20"/>
        <v>1.8575999999999999E-2</v>
      </c>
      <c r="R122" s="138">
        <v>0.12383999999999999</v>
      </c>
      <c r="S122" s="140">
        <v>105991.94</v>
      </c>
      <c r="T122" s="140">
        <v>152.62839359999998</v>
      </c>
      <c r="U122" s="25"/>
      <c r="V122" s="25"/>
      <c r="W122" s="25" t="s">
        <v>399</v>
      </c>
      <c r="X122" s="25">
        <v>500221</v>
      </c>
      <c r="Y122" s="19" t="s">
        <v>264</v>
      </c>
      <c r="Z122" s="9" t="s">
        <v>398</v>
      </c>
      <c r="AA122" s="70">
        <v>39</v>
      </c>
      <c r="AB122" s="71">
        <v>2813</v>
      </c>
      <c r="AD122" s="165"/>
      <c r="AE122" s="163"/>
      <c r="AF122" s="163"/>
      <c r="AG122" s="164"/>
      <c r="AH122" s="141"/>
      <c r="AI122" s="163"/>
      <c r="AJ122" s="163"/>
      <c r="AK122" s="164"/>
      <c r="AL122" s="141"/>
      <c r="AM122" s="163"/>
      <c r="AN122" s="163"/>
      <c r="AO122" s="164"/>
      <c r="AP122" s="141"/>
      <c r="AQ122" s="163"/>
      <c r="AR122" s="163"/>
      <c r="AS122" s="164"/>
      <c r="AT122" s="126"/>
      <c r="AU122" s="72"/>
      <c r="AV122" s="72"/>
      <c r="AW122" s="127"/>
    </row>
    <row r="123" spans="1:49" x14ac:dyDescent="0.25">
      <c r="A123" s="25">
        <v>465</v>
      </c>
      <c r="B123" s="25" t="s">
        <v>28</v>
      </c>
      <c r="C123" s="25" t="s">
        <v>260</v>
      </c>
      <c r="D123" s="25" t="s">
        <v>261</v>
      </c>
      <c r="E123" s="24"/>
      <c r="F123" s="25" t="s">
        <v>400</v>
      </c>
      <c r="G123" s="25"/>
      <c r="H123" s="139" t="s">
        <v>31</v>
      </c>
      <c r="I123" s="25"/>
      <c r="J123" s="25">
        <v>8.0000000000000007E-5</v>
      </c>
      <c r="K123" s="39">
        <v>1.6000000000000001E-4</v>
      </c>
      <c r="L123" s="25">
        <v>2</v>
      </c>
      <c r="M123" s="25" t="s">
        <v>33</v>
      </c>
      <c r="N123" s="39">
        <f t="shared" si="17"/>
        <v>4.1280000000000006E-3</v>
      </c>
      <c r="O123" s="39">
        <f t="shared" si="18"/>
        <v>4.816E-3</v>
      </c>
      <c r="P123" s="39">
        <f t="shared" si="19"/>
        <v>2.7520000000000005E-3</v>
      </c>
      <c r="Q123" s="39">
        <f t="shared" si="20"/>
        <v>2.0640000000000003E-3</v>
      </c>
      <c r="R123" s="138">
        <v>1.3760000000000001E-2</v>
      </c>
      <c r="S123" s="140">
        <v>105991.94</v>
      </c>
      <c r="T123" s="140">
        <v>16.958710400000001</v>
      </c>
      <c r="U123" s="25"/>
      <c r="V123" s="25"/>
      <c r="W123" s="25" t="s">
        <v>401</v>
      </c>
      <c r="X123" s="25">
        <v>500221</v>
      </c>
      <c r="Y123" s="19" t="s">
        <v>264</v>
      </c>
      <c r="Z123" s="9" t="s">
        <v>400</v>
      </c>
      <c r="AA123" s="70">
        <v>40</v>
      </c>
      <c r="AB123" s="71">
        <v>2813</v>
      </c>
      <c r="AD123" s="165"/>
      <c r="AE123" s="163"/>
      <c r="AF123" s="163"/>
      <c r="AG123" s="164"/>
      <c r="AH123" s="141"/>
      <c r="AI123" s="163"/>
      <c r="AJ123" s="163"/>
      <c r="AK123" s="164"/>
      <c r="AL123" s="141"/>
      <c r="AM123" s="163"/>
      <c r="AN123" s="163"/>
      <c r="AO123" s="164"/>
      <c r="AP123" s="141"/>
      <c r="AQ123" s="163"/>
      <c r="AR123" s="163"/>
      <c r="AS123" s="164"/>
      <c r="AT123" s="126"/>
      <c r="AU123" s="72"/>
      <c r="AV123" s="72"/>
      <c r="AW123" s="127"/>
    </row>
    <row r="124" spans="1:49" x14ac:dyDescent="0.25">
      <c r="A124" s="25">
        <v>466</v>
      </c>
      <c r="B124" s="25" t="s">
        <v>28</v>
      </c>
      <c r="C124" s="25" t="s">
        <v>260</v>
      </c>
      <c r="D124" s="25" t="s">
        <v>261</v>
      </c>
      <c r="E124" s="24"/>
      <c r="F124" s="25" t="s">
        <v>402</v>
      </c>
      <c r="G124" s="25"/>
      <c r="H124" s="139" t="s">
        <v>31</v>
      </c>
      <c r="I124" s="25"/>
      <c r="J124" s="25">
        <v>1.3000000000000002E-4</v>
      </c>
      <c r="K124" s="39">
        <v>7.8000000000000009E-4</v>
      </c>
      <c r="L124" s="25">
        <v>6</v>
      </c>
      <c r="M124" s="25" t="s">
        <v>33</v>
      </c>
      <c r="N124" s="39">
        <f t="shared" si="17"/>
        <v>2.0124000000000003E-2</v>
      </c>
      <c r="O124" s="39">
        <f t="shared" si="18"/>
        <v>2.3478000000000002E-2</v>
      </c>
      <c r="P124" s="39">
        <f t="shared" si="19"/>
        <v>1.3416000000000004E-2</v>
      </c>
      <c r="Q124" s="39">
        <f t="shared" si="20"/>
        <v>1.0062000000000001E-2</v>
      </c>
      <c r="R124" s="138">
        <v>6.7080000000000015E-2</v>
      </c>
      <c r="S124" s="140">
        <v>105991.94</v>
      </c>
      <c r="T124" s="140">
        <v>82.673713200000009</v>
      </c>
      <c r="U124" s="25"/>
      <c r="V124" s="25"/>
      <c r="W124" s="25" t="s">
        <v>403</v>
      </c>
      <c r="X124" s="25">
        <v>500221</v>
      </c>
      <c r="Y124" s="19" t="s">
        <v>264</v>
      </c>
      <c r="Z124" s="9" t="s">
        <v>402</v>
      </c>
      <c r="AA124" s="70">
        <v>41</v>
      </c>
      <c r="AB124" s="71">
        <v>2813</v>
      </c>
      <c r="AD124" s="165"/>
      <c r="AE124" s="163"/>
      <c r="AF124" s="163"/>
      <c r="AG124" s="164"/>
      <c r="AH124" s="141"/>
      <c r="AI124" s="163"/>
      <c r="AJ124" s="163"/>
      <c r="AK124" s="164"/>
      <c r="AL124" s="141"/>
      <c r="AM124" s="163"/>
      <c r="AN124" s="163"/>
      <c r="AO124" s="164"/>
      <c r="AP124" s="141"/>
      <c r="AQ124" s="163"/>
      <c r="AR124" s="163"/>
      <c r="AS124" s="164"/>
      <c r="AT124" s="126"/>
      <c r="AU124" s="72"/>
      <c r="AV124" s="72"/>
      <c r="AW124" s="127"/>
    </row>
    <row r="125" spans="1:49" x14ac:dyDescent="0.25">
      <c r="A125" s="25">
        <v>467</v>
      </c>
      <c r="B125" s="25" t="s">
        <v>28</v>
      </c>
      <c r="C125" s="25" t="s">
        <v>260</v>
      </c>
      <c r="D125" s="25" t="s">
        <v>261</v>
      </c>
      <c r="E125" s="24"/>
      <c r="F125" s="25" t="s">
        <v>404</v>
      </c>
      <c r="G125" s="25"/>
      <c r="H125" s="139" t="s">
        <v>31</v>
      </c>
      <c r="I125" s="25"/>
      <c r="J125" s="25">
        <v>1.1200000000000001E-3</v>
      </c>
      <c r="K125" s="39">
        <v>1.1200000000000001E-3</v>
      </c>
      <c r="L125" s="25">
        <v>1</v>
      </c>
      <c r="M125" s="25" t="s">
        <v>33</v>
      </c>
      <c r="N125" s="39">
        <f t="shared" si="17"/>
        <v>2.8896000000000005E-2</v>
      </c>
      <c r="O125" s="39">
        <f t="shared" si="18"/>
        <v>3.3712000000000006E-2</v>
      </c>
      <c r="P125" s="39">
        <f t="shared" si="19"/>
        <v>1.9264000000000003E-2</v>
      </c>
      <c r="Q125" s="39">
        <f t="shared" si="20"/>
        <v>1.4448000000000003E-2</v>
      </c>
      <c r="R125" s="138">
        <v>9.6320000000000017E-2</v>
      </c>
      <c r="S125" s="140">
        <v>105991.94</v>
      </c>
      <c r="T125" s="140">
        <v>118.71097280000002</v>
      </c>
      <c r="U125" s="25"/>
      <c r="V125" s="25"/>
      <c r="W125" s="25" t="s">
        <v>405</v>
      </c>
      <c r="X125" s="25">
        <v>500221</v>
      </c>
      <c r="Y125" s="19" t="s">
        <v>264</v>
      </c>
      <c r="Z125" s="9" t="s">
        <v>404</v>
      </c>
      <c r="AA125" s="70">
        <v>42</v>
      </c>
      <c r="AB125" s="71">
        <v>2813</v>
      </c>
      <c r="AD125" s="165"/>
      <c r="AE125" s="163"/>
      <c r="AF125" s="163"/>
      <c r="AG125" s="164"/>
      <c r="AH125" s="141"/>
      <c r="AI125" s="163"/>
      <c r="AJ125" s="163"/>
      <c r="AK125" s="164"/>
      <c r="AL125" s="141"/>
      <c r="AM125" s="163"/>
      <c r="AN125" s="163"/>
      <c r="AO125" s="164"/>
      <c r="AP125" s="141"/>
      <c r="AQ125" s="163"/>
      <c r="AR125" s="163"/>
      <c r="AS125" s="164"/>
      <c r="AT125" s="126"/>
      <c r="AU125" s="72"/>
      <c r="AV125" s="72"/>
      <c r="AW125" s="127"/>
    </row>
    <row r="126" spans="1:49" x14ac:dyDescent="0.25">
      <c r="A126" s="25">
        <v>468</v>
      </c>
      <c r="B126" s="25" t="s">
        <v>28</v>
      </c>
      <c r="C126" s="25" t="s">
        <v>260</v>
      </c>
      <c r="D126" s="25" t="s">
        <v>261</v>
      </c>
      <c r="E126" s="24"/>
      <c r="F126" s="25" t="s">
        <v>406</v>
      </c>
      <c r="G126" s="25"/>
      <c r="H126" s="139" t="s">
        <v>31</v>
      </c>
      <c r="I126" s="25"/>
      <c r="J126" s="25">
        <v>1.5200000000000001E-3</v>
      </c>
      <c r="K126" s="39">
        <v>3.0400000000000002E-3</v>
      </c>
      <c r="L126" s="25">
        <v>2</v>
      </c>
      <c r="M126" s="25" t="s">
        <v>33</v>
      </c>
      <c r="N126" s="39">
        <f t="shared" si="17"/>
        <v>7.8432000000000002E-2</v>
      </c>
      <c r="O126" s="39">
        <f t="shared" si="18"/>
        <v>9.1504000000000002E-2</v>
      </c>
      <c r="P126" s="39">
        <f t="shared" si="19"/>
        <v>5.2288000000000001E-2</v>
      </c>
      <c r="Q126" s="39">
        <f t="shared" si="20"/>
        <v>3.9216000000000001E-2</v>
      </c>
      <c r="R126" s="138">
        <v>0.26144000000000001</v>
      </c>
      <c r="S126" s="140">
        <v>105991.94</v>
      </c>
      <c r="T126" s="140">
        <v>322.21549760000005</v>
      </c>
      <c r="U126" s="25"/>
      <c r="V126" s="25"/>
      <c r="W126" s="25" t="s">
        <v>407</v>
      </c>
      <c r="X126" s="25">
        <v>500221</v>
      </c>
      <c r="Y126" s="19" t="s">
        <v>264</v>
      </c>
      <c r="Z126" s="9" t="s">
        <v>406</v>
      </c>
      <c r="AA126" s="70">
        <v>43</v>
      </c>
      <c r="AB126" s="71">
        <v>2813</v>
      </c>
      <c r="AD126" s="165"/>
      <c r="AE126" s="163"/>
      <c r="AF126" s="163"/>
      <c r="AG126" s="164"/>
      <c r="AH126" s="141"/>
      <c r="AI126" s="163"/>
      <c r="AJ126" s="163"/>
      <c r="AK126" s="164"/>
      <c r="AL126" s="141"/>
      <c r="AM126" s="163"/>
      <c r="AN126" s="163"/>
      <c r="AO126" s="164"/>
      <c r="AP126" s="141"/>
      <c r="AQ126" s="163"/>
      <c r="AR126" s="163"/>
      <c r="AS126" s="164"/>
      <c r="AT126" s="126"/>
      <c r="AU126" s="72"/>
      <c r="AV126" s="72"/>
      <c r="AW126" s="127"/>
    </row>
    <row r="127" spans="1:49" x14ac:dyDescent="0.25">
      <c r="A127" s="25">
        <v>469</v>
      </c>
      <c r="B127" s="25" t="s">
        <v>28</v>
      </c>
      <c r="C127" s="25" t="s">
        <v>260</v>
      </c>
      <c r="D127" s="25" t="s">
        <v>261</v>
      </c>
      <c r="E127" s="24"/>
      <c r="F127" s="25" t="s">
        <v>408</v>
      </c>
      <c r="G127" s="25"/>
      <c r="H127" s="139" t="s">
        <v>31</v>
      </c>
      <c r="I127" s="25"/>
      <c r="J127" s="25">
        <v>0</v>
      </c>
      <c r="K127" s="39">
        <v>0</v>
      </c>
      <c r="L127" s="25">
        <v>2</v>
      </c>
      <c r="M127" s="25" t="s">
        <v>33</v>
      </c>
      <c r="N127" s="39">
        <f t="shared" si="17"/>
        <v>0</v>
      </c>
      <c r="O127" s="39">
        <f t="shared" si="18"/>
        <v>0</v>
      </c>
      <c r="P127" s="39">
        <f t="shared" si="19"/>
        <v>0</v>
      </c>
      <c r="Q127" s="39">
        <f t="shared" si="20"/>
        <v>0</v>
      </c>
      <c r="R127" s="138">
        <v>0</v>
      </c>
      <c r="S127" s="140">
        <v>105991.94</v>
      </c>
      <c r="T127" s="140">
        <v>0</v>
      </c>
      <c r="U127" s="25"/>
      <c r="V127" s="25"/>
      <c r="W127" s="25" t="s">
        <v>409</v>
      </c>
      <c r="X127" s="25">
        <v>500221</v>
      </c>
      <c r="Y127" s="19" t="s">
        <v>264</v>
      </c>
      <c r="Z127" s="9" t="s">
        <v>408</v>
      </c>
      <c r="AA127" s="70">
        <v>44</v>
      </c>
      <c r="AB127" s="71">
        <v>2813</v>
      </c>
      <c r="AD127" s="165"/>
      <c r="AE127" s="163"/>
      <c r="AF127" s="163"/>
      <c r="AG127" s="164"/>
      <c r="AH127" s="141"/>
      <c r="AI127" s="163"/>
      <c r="AJ127" s="163"/>
      <c r="AK127" s="164"/>
      <c r="AL127" s="141"/>
      <c r="AM127" s="163"/>
      <c r="AN127" s="163"/>
      <c r="AO127" s="164"/>
      <c r="AP127" s="141"/>
      <c r="AQ127" s="163"/>
      <c r="AR127" s="163"/>
      <c r="AS127" s="164"/>
      <c r="AT127" s="126"/>
      <c r="AU127" s="72"/>
      <c r="AV127" s="72"/>
      <c r="AW127" s="127"/>
    </row>
    <row r="128" spans="1:49" x14ac:dyDescent="0.25">
      <c r="A128" s="25">
        <v>470</v>
      </c>
      <c r="B128" s="25" t="s">
        <v>28</v>
      </c>
      <c r="C128" s="25" t="s">
        <v>260</v>
      </c>
      <c r="D128" s="25" t="s">
        <v>261</v>
      </c>
      <c r="E128" s="24"/>
      <c r="F128" s="25" t="s">
        <v>408</v>
      </c>
      <c r="G128" s="25"/>
      <c r="H128" s="139" t="s">
        <v>31</v>
      </c>
      <c r="I128" s="25"/>
      <c r="J128" s="25">
        <v>0</v>
      </c>
      <c r="K128" s="39">
        <v>0</v>
      </c>
      <c r="L128" s="25">
        <v>2</v>
      </c>
      <c r="M128" s="25" t="s">
        <v>33</v>
      </c>
      <c r="N128" s="39">
        <f t="shared" si="17"/>
        <v>0</v>
      </c>
      <c r="O128" s="39">
        <f t="shared" si="18"/>
        <v>0</v>
      </c>
      <c r="P128" s="39">
        <f t="shared" si="19"/>
        <v>0</v>
      </c>
      <c r="Q128" s="39">
        <f t="shared" si="20"/>
        <v>0</v>
      </c>
      <c r="R128" s="138">
        <v>0</v>
      </c>
      <c r="S128" s="140">
        <v>105991.94</v>
      </c>
      <c r="T128" s="140">
        <v>0</v>
      </c>
      <c r="U128" s="25"/>
      <c r="V128" s="25"/>
      <c r="W128" s="25" t="s">
        <v>410</v>
      </c>
      <c r="X128" s="25">
        <v>500221</v>
      </c>
      <c r="Y128" s="19" t="s">
        <v>264</v>
      </c>
      <c r="Z128" s="9" t="s">
        <v>408</v>
      </c>
      <c r="AA128" s="70">
        <v>45</v>
      </c>
      <c r="AB128" s="71">
        <v>2813</v>
      </c>
      <c r="AD128" s="165"/>
      <c r="AE128" s="163"/>
      <c r="AF128" s="163"/>
      <c r="AG128" s="164"/>
      <c r="AH128" s="141"/>
      <c r="AI128" s="163"/>
      <c r="AJ128" s="163"/>
      <c r="AK128" s="164"/>
      <c r="AL128" s="141"/>
      <c r="AM128" s="163"/>
      <c r="AN128" s="163"/>
      <c r="AO128" s="164"/>
      <c r="AP128" s="141"/>
      <c r="AQ128" s="163"/>
      <c r="AR128" s="163"/>
      <c r="AS128" s="164"/>
      <c r="AT128" s="126"/>
      <c r="AU128" s="72"/>
      <c r="AV128" s="72"/>
      <c r="AW128" s="127"/>
    </row>
    <row r="129" spans="1:49" x14ac:dyDescent="0.25">
      <c r="A129" s="25">
        <v>471</v>
      </c>
      <c r="B129" s="25" t="s">
        <v>28</v>
      </c>
      <c r="C129" s="25" t="s">
        <v>260</v>
      </c>
      <c r="D129" s="25" t="s">
        <v>261</v>
      </c>
      <c r="E129" s="24"/>
      <c r="F129" s="25" t="s">
        <v>411</v>
      </c>
      <c r="G129" s="25"/>
      <c r="H129" s="139" t="s">
        <v>31</v>
      </c>
      <c r="I129" s="25"/>
      <c r="J129" s="25">
        <v>0</v>
      </c>
      <c r="K129" s="39">
        <v>0</v>
      </c>
      <c r="L129" s="25">
        <v>32</v>
      </c>
      <c r="M129" s="25" t="s">
        <v>33</v>
      </c>
      <c r="N129" s="39">
        <f t="shared" si="17"/>
        <v>0</v>
      </c>
      <c r="O129" s="39">
        <f t="shared" si="18"/>
        <v>0</v>
      </c>
      <c r="P129" s="39">
        <f t="shared" si="19"/>
        <v>0</v>
      </c>
      <c r="Q129" s="39">
        <f t="shared" si="20"/>
        <v>0</v>
      </c>
      <c r="R129" s="138">
        <v>0</v>
      </c>
      <c r="S129" s="140">
        <v>105991.94</v>
      </c>
      <c r="T129" s="140">
        <v>0</v>
      </c>
      <c r="U129" s="25"/>
      <c r="V129" s="25"/>
      <c r="W129" s="25" t="s">
        <v>412</v>
      </c>
      <c r="X129" s="25">
        <v>500221</v>
      </c>
      <c r="Y129" s="19" t="s">
        <v>264</v>
      </c>
      <c r="Z129" s="9" t="s">
        <v>411</v>
      </c>
      <c r="AA129" s="70">
        <v>46</v>
      </c>
      <c r="AB129" s="71">
        <v>2813</v>
      </c>
      <c r="AD129" s="165"/>
      <c r="AE129" s="163"/>
      <c r="AF129" s="163"/>
      <c r="AG129" s="164"/>
      <c r="AH129" s="141"/>
      <c r="AI129" s="163"/>
      <c r="AJ129" s="163"/>
      <c r="AK129" s="164"/>
      <c r="AL129" s="141"/>
      <c r="AM129" s="163"/>
      <c r="AN129" s="163"/>
      <c r="AO129" s="164"/>
      <c r="AP129" s="141"/>
      <c r="AQ129" s="163"/>
      <c r="AR129" s="163"/>
      <c r="AS129" s="164"/>
      <c r="AT129" s="126"/>
      <c r="AU129" s="72"/>
      <c r="AV129" s="72"/>
      <c r="AW129" s="127"/>
    </row>
    <row r="130" spans="1:49" x14ac:dyDescent="0.25">
      <c r="A130" s="25">
        <v>472</v>
      </c>
      <c r="B130" s="25" t="s">
        <v>28</v>
      </c>
      <c r="C130" s="25" t="s">
        <v>260</v>
      </c>
      <c r="D130" s="25" t="s">
        <v>261</v>
      </c>
      <c r="E130" s="24"/>
      <c r="F130" s="25" t="s">
        <v>413</v>
      </c>
      <c r="G130" s="25"/>
      <c r="H130" s="139" t="s">
        <v>31</v>
      </c>
      <c r="I130" s="25"/>
      <c r="J130" s="25">
        <v>0</v>
      </c>
      <c r="K130" s="39">
        <v>0</v>
      </c>
      <c r="L130" s="25">
        <v>6</v>
      </c>
      <c r="M130" s="25" t="s">
        <v>33</v>
      </c>
      <c r="N130" s="39">
        <f t="shared" si="17"/>
        <v>0</v>
      </c>
      <c r="O130" s="39">
        <f t="shared" si="18"/>
        <v>0</v>
      </c>
      <c r="P130" s="39">
        <f t="shared" si="19"/>
        <v>0</v>
      </c>
      <c r="Q130" s="39">
        <f t="shared" si="20"/>
        <v>0</v>
      </c>
      <c r="R130" s="138">
        <v>0</v>
      </c>
      <c r="S130" s="140">
        <v>105991.94</v>
      </c>
      <c r="T130" s="140">
        <v>0</v>
      </c>
      <c r="U130" s="25"/>
      <c r="V130" s="25"/>
      <c r="W130" s="25" t="s">
        <v>414</v>
      </c>
      <c r="X130" s="25">
        <v>500221</v>
      </c>
      <c r="Y130" s="19" t="s">
        <v>264</v>
      </c>
      <c r="Z130" s="9" t="s">
        <v>413</v>
      </c>
      <c r="AA130" s="70">
        <v>47</v>
      </c>
      <c r="AB130" s="71">
        <v>2813</v>
      </c>
      <c r="AD130" s="165"/>
      <c r="AE130" s="163"/>
      <c r="AF130" s="163"/>
      <c r="AG130" s="164"/>
      <c r="AH130" s="141"/>
      <c r="AI130" s="163"/>
      <c r="AJ130" s="163"/>
      <c r="AK130" s="164"/>
      <c r="AL130" s="141"/>
      <c r="AM130" s="163"/>
      <c r="AN130" s="163"/>
      <c r="AO130" s="164"/>
      <c r="AP130" s="141"/>
      <c r="AQ130" s="163"/>
      <c r="AR130" s="163"/>
      <c r="AS130" s="164"/>
      <c r="AT130" s="126"/>
      <c r="AU130" s="72"/>
      <c r="AV130" s="72"/>
      <c r="AW130" s="127"/>
    </row>
    <row r="131" spans="1:49" x14ac:dyDescent="0.25">
      <c r="A131" s="25">
        <v>473</v>
      </c>
      <c r="B131" s="25" t="s">
        <v>28</v>
      </c>
      <c r="C131" s="25" t="s">
        <v>260</v>
      </c>
      <c r="D131" s="25" t="s">
        <v>261</v>
      </c>
      <c r="E131" s="24"/>
      <c r="F131" s="25" t="s">
        <v>415</v>
      </c>
      <c r="G131" s="25"/>
      <c r="H131" s="139" t="s">
        <v>31</v>
      </c>
      <c r="I131" s="25"/>
      <c r="J131" s="25">
        <v>8.6400000000000001E-3</v>
      </c>
      <c r="K131" s="39">
        <v>8.6400000000000001E-3</v>
      </c>
      <c r="L131" s="25">
        <v>1</v>
      </c>
      <c r="M131" s="25" t="s">
        <v>33</v>
      </c>
      <c r="N131" s="39">
        <f t="shared" si="17"/>
        <v>0.222912</v>
      </c>
      <c r="O131" s="39">
        <f t="shared" si="18"/>
        <v>0.26006400000000002</v>
      </c>
      <c r="P131" s="39">
        <f t="shared" si="19"/>
        <v>0.14860800000000002</v>
      </c>
      <c r="Q131" s="39">
        <f t="shared" si="20"/>
        <v>0.111456</v>
      </c>
      <c r="R131" s="138">
        <v>0.74304000000000003</v>
      </c>
      <c r="S131" s="140">
        <v>105991.94</v>
      </c>
      <c r="T131" s="140">
        <v>915.7703616</v>
      </c>
      <c r="U131" s="25"/>
      <c r="V131" s="25"/>
      <c r="W131" s="25" t="s">
        <v>416</v>
      </c>
      <c r="X131" s="25">
        <v>500221</v>
      </c>
      <c r="Y131" s="19" t="s">
        <v>264</v>
      </c>
      <c r="Z131" s="9" t="s">
        <v>415</v>
      </c>
      <c r="AA131" s="70">
        <v>48</v>
      </c>
      <c r="AB131" s="71">
        <v>2813</v>
      </c>
      <c r="AD131" s="165"/>
      <c r="AE131" s="163"/>
      <c r="AF131" s="163"/>
      <c r="AG131" s="164"/>
      <c r="AH131" s="141"/>
      <c r="AI131" s="163"/>
      <c r="AJ131" s="163"/>
      <c r="AK131" s="164"/>
      <c r="AL131" s="141"/>
      <c r="AM131" s="163"/>
      <c r="AN131" s="163"/>
      <c r="AO131" s="164"/>
      <c r="AP131" s="141"/>
      <c r="AQ131" s="163"/>
      <c r="AR131" s="163"/>
      <c r="AS131" s="164"/>
      <c r="AT131" s="126"/>
      <c r="AU131" s="72"/>
      <c r="AV131" s="72"/>
      <c r="AW131" s="127"/>
    </row>
    <row r="132" spans="1:49" x14ac:dyDescent="0.25">
      <c r="A132" s="25">
        <v>474</v>
      </c>
      <c r="B132" s="25" t="s">
        <v>28</v>
      </c>
      <c r="C132" s="25" t="s">
        <v>260</v>
      </c>
      <c r="D132" s="25" t="s">
        <v>261</v>
      </c>
      <c r="E132" s="24"/>
      <c r="F132" s="25" t="s">
        <v>417</v>
      </c>
      <c r="G132" s="25"/>
      <c r="H132" s="139" t="s">
        <v>31</v>
      </c>
      <c r="I132" s="25"/>
      <c r="J132" s="25">
        <v>1.4E-3</v>
      </c>
      <c r="K132" s="39">
        <v>2.8E-3</v>
      </c>
      <c r="L132" s="25">
        <v>2</v>
      </c>
      <c r="M132" s="25" t="s">
        <v>33</v>
      </c>
      <c r="N132" s="39">
        <f t="shared" si="17"/>
        <v>7.2239999999999999E-2</v>
      </c>
      <c r="O132" s="39">
        <f t="shared" si="18"/>
        <v>8.4279999999999994E-2</v>
      </c>
      <c r="P132" s="39">
        <f t="shared" si="19"/>
        <v>4.8160000000000001E-2</v>
      </c>
      <c r="Q132" s="39">
        <f t="shared" si="20"/>
        <v>3.6119999999999999E-2</v>
      </c>
      <c r="R132" s="138">
        <v>0.24079999999999999</v>
      </c>
      <c r="S132" s="140">
        <v>105991.94</v>
      </c>
      <c r="T132" s="140">
        <v>296.77743199999998</v>
      </c>
      <c r="U132" s="25"/>
      <c r="V132" s="25"/>
      <c r="W132" s="25" t="s">
        <v>418</v>
      </c>
      <c r="X132" s="25">
        <v>500221</v>
      </c>
      <c r="Y132" s="19" t="s">
        <v>264</v>
      </c>
      <c r="Z132" s="9" t="s">
        <v>417</v>
      </c>
      <c r="AA132" s="70">
        <v>49</v>
      </c>
      <c r="AB132" s="71">
        <v>2813</v>
      </c>
      <c r="AD132" s="165"/>
      <c r="AE132" s="163"/>
      <c r="AF132" s="163"/>
      <c r="AG132" s="164"/>
      <c r="AH132" s="141"/>
      <c r="AI132" s="163"/>
      <c r="AJ132" s="163"/>
      <c r="AK132" s="164"/>
      <c r="AL132" s="141"/>
      <c r="AM132" s="163"/>
      <c r="AN132" s="163"/>
      <c r="AO132" s="164"/>
      <c r="AP132" s="141"/>
      <c r="AQ132" s="163"/>
      <c r="AR132" s="163"/>
      <c r="AS132" s="164"/>
      <c r="AT132" s="126"/>
      <c r="AU132" s="72"/>
      <c r="AV132" s="72"/>
      <c r="AW132" s="127"/>
    </row>
    <row r="133" spans="1:49" x14ac:dyDescent="0.25">
      <c r="A133" s="25">
        <v>475</v>
      </c>
      <c r="B133" s="25" t="s">
        <v>28</v>
      </c>
      <c r="C133" s="25" t="s">
        <v>260</v>
      </c>
      <c r="D133" s="25" t="s">
        <v>261</v>
      </c>
      <c r="E133" s="24"/>
      <c r="F133" s="25" t="s">
        <v>419</v>
      </c>
      <c r="G133" s="25"/>
      <c r="H133" s="139" t="s">
        <v>31</v>
      </c>
      <c r="I133" s="25"/>
      <c r="J133" s="25">
        <v>2E-3</v>
      </c>
      <c r="K133" s="39">
        <v>4.0000000000000001E-3</v>
      </c>
      <c r="L133" s="25">
        <v>2</v>
      </c>
      <c r="M133" s="25" t="s">
        <v>33</v>
      </c>
      <c r="N133" s="39">
        <f t="shared" ref="N133:N183" si="23">R133*0.3</f>
        <v>0.1032</v>
      </c>
      <c r="O133" s="39">
        <f t="shared" ref="O133:O183" si="24">R133*0.35</f>
        <v>0.12040000000000001</v>
      </c>
      <c r="P133" s="39">
        <f t="shared" ref="P133:P183" si="25">R133*0.2</f>
        <v>6.8800000000000014E-2</v>
      </c>
      <c r="Q133" s="39">
        <f t="shared" ref="Q133:Q183" si="26">R133*0.15</f>
        <v>5.16E-2</v>
      </c>
      <c r="R133" s="138">
        <v>0.34400000000000003</v>
      </c>
      <c r="S133" s="140">
        <v>105991.94</v>
      </c>
      <c r="T133" s="140">
        <v>423.96776</v>
      </c>
      <c r="U133" s="25"/>
      <c r="V133" s="25"/>
      <c r="W133" s="25" t="s">
        <v>420</v>
      </c>
      <c r="X133" s="25">
        <v>500221</v>
      </c>
      <c r="Y133" s="19" t="s">
        <v>264</v>
      </c>
      <c r="Z133" s="9" t="s">
        <v>419</v>
      </c>
      <c r="AA133" s="70">
        <v>50</v>
      </c>
      <c r="AB133" s="71">
        <v>2813</v>
      </c>
      <c r="AD133" s="165"/>
      <c r="AE133" s="163"/>
      <c r="AF133" s="163"/>
      <c r="AG133" s="164"/>
      <c r="AH133" s="141"/>
      <c r="AI133" s="163"/>
      <c r="AJ133" s="163"/>
      <c r="AK133" s="164"/>
      <c r="AL133" s="141"/>
      <c r="AM133" s="163"/>
      <c r="AN133" s="163"/>
      <c r="AO133" s="164"/>
      <c r="AP133" s="141"/>
      <c r="AQ133" s="163"/>
      <c r="AR133" s="163"/>
      <c r="AS133" s="164"/>
      <c r="AT133" s="126"/>
      <c r="AU133" s="72"/>
      <c r="AV133" s="72"/>
      <c r="AW133" s="127"/>
    </row>
    <row r="134" spans="1:49" x14ac:dyDescent="0.25">
      <c r="A134" s="25">
        <v>476</v>
      </c>
      <c r="B134" s="25" t="s">
        <v>28</v>
      </c>
      <c r="C134" s="25" t="s">
        <v>260</v>
      </c>
      <c r="D134" s="25" t="s">
        <v>261</v>
      </c>
      <c r="E134" s="24"/>
      <c r="F134" s="25" t="s">
        <v>338</v>
      </c>
      <c r="G134" s="25"/>
      <c r="H134" s="139" t="s">
        <v>31</v>
      </c>
      <c r="I134" s="25"/>
      <c r="J134" s="25">
        <v>1.1000000000000001E-3</v>
      </c>
      <c r="K134" s="39">
        <v>2.2000000000000001E-3</v>
      </c>
      <c r="L134" s="25">
        <v>2</v>
      </c>
      <c r="M134" s="25" t="s">
        <v>33</v>
      </c>
      <c r="N134" s="39">
        <f t="shared" si="23"/>
        <v>5.6759999999999998E-2</v>
      </c>
      <c r="O134" s="39">
        <f t="shared" si="24"/>
        <v>6.6220000000000001E-2</v>
      </c>
      <c r="P134" s="39">
        <f t="shared" si="25"/>
        <v>3.7840000000000006E-2</v>
      </c>
      <c r="Q134" s="39">
        <f t="shared" si="26"/>
        <v>2.8379999999999999E-2</v>
      </c>
      <c r="R134" s="138">
        <v>0.18920000000000001</v>
      </c>
      <c r="S134" s="140">
        <v>105991.94</v>
      </c>
      <c r="T134" s="140">
        <v>233.18226800000002</v>
      </c>
      <c r="U134" s="25"/>
      <c r="V134" s="25"/>
      <c r="W134" s="25" t="s">
        <v>421</v>
      </c>
      <c r="X134" s="25">
        <v>500221</v>
      </c>
      <c r="Y134" s="19" t="s">
        <v>264</v>
      </c>
      <c r="Z134" s="9" t="s">
        <v>338</v>
      </c>
      <c r="AA134" s="70">
        <v>51</v>
      </c>
      <c r="AB134" s="71">
        <v>2813</v>
      </c>
      <c r="AD134" s="165"/>
      <c r="AE134" s="163"/>
      <c r="AF134" s="163"/>
      <c r="AG134" s="164"/>
      <c r="AH134" s="141"/>
      <c r="AI134" s="163"/>
      <c r="AJ134" s="163"/>
      <c r="AK134" s="164"/>
      <c r="AL134" s="141"/>
      <c r="AM134" s="163"/>
      <c r="AN134" s="163"/>
      <c r="AO134" s="164"/>
      <c r="AP134" s="141"/>
      <c r="AQ134" s="163"/>
      <c r="AR134" s="163"/>
      <c r="AS134" s="164"/>
      <c r="AT134" s="126"/>
      <c r="AU134" s="72"/>
      <c r="AV134" s="72"/>
      <c r="AW134" s="127"/>
    </row>
    <row r="135" spans="1:49" x14ac:dyDescent="0.25">
      <c r="A135" s="25">
        <v>477</v>
      </c>
      <c r="B135" s="25" t="s">
        <v>28</v>
      </c>
      <c r="C135" s="25" t="s">
        <v>260</v>
      </c>
      <c r="D135" s="25" t="s">
        <v>261</v>
      </c>
      <c r="E135" s="24"/>
      <c r="F135" s="25" t="s">
        <v>422</v>
      </c>
      <c r="G135" s="25"/>
      <c r="H135" s="139" t="s">
        <v>31</v>
      </c>
      <c r="I135" s="25"/>
      <c r="J135" s="25">
        <v>6.9999999999999999E-4</v>
      </c>
      <c r="K135" s="39">
        <v>1.4E-3</v>
      </c>
      <c r="L135" s="25">
        <v>2</v>
      </c>
      <c r="M135" s="25" t="s">
        <v>33</v>
      </c>
      <c r="N135" s="39">
        <f t="shared" si="23"/>
        <v>3.6119999999999999E-2</v>
      </c>
      <c r="O135" s="39">
        <f t="shared" si="24"/>
        <v>4.2139999999999997E-2</v>
      </c>
      <c r="P135" s="39">
        <f t="shared" si="25"/>
        <v>2.4080000000000001E-2</v>
      </c>
      <c r="Q135" s="39">
        <f t="shared" si="26"/>
        <v>1.806E-2</v>
      </c>
      <c r="R135" s="138">
        <v>0.12039999999999999</v>
      </c>
      <c r="S135" s="140">
        <v>105991.94</v>
      </c>
      <c r="T135" s="140">
        <v>148.38871599999999</v>
      </c>
      <c r="U135" s="25"/>
      <c r="V135" s="25"/>
      <c r="W135" s="25" t="s">
        <v>423</v>
      </c>
      <c r="X135" s="25">
        <v>500221</v>
      </c>
      <c r="Y135" s="19" t="s">
        <v>264</v>
      </c>
      <c r="Z135" s="9" t="s">
        <v>422</v>
      </c>
      <c r="AA135" s="70">
        <v>52</v>
      </c>
      <c r="AB135" s="71">
        <v>2813</v>
      </c>
      <c r="AD135" s="165"/>
      <c r="AE135" s="163"/>
      <c r="AF135" s="163"/>
      <c r="AG135" s="164"/>
      <c r="AH135" s="141"/>
      <c r="AI135" s="163"/>
      <c r="AJ135" s="163"/>
      <c r="AK135" s="164"/>
      <c r="AL135" s="141"/>
      <c r="AM135" s="163"/>
      <c r="AN135" s="163"/>
      <c r="AO135" s="164"/>
      <c r="AP135" s="141"/>
      <c r="AQ135" s="163"/>
      <c r="AR135" s="163"/>
      <c r="AS135" s="164"/>
      <c r="AT135" s="126"/>
      <c r="AU135" s="72"/>
      <c r="AV135" s="72"/>
      <c r="AW135" s="127"/>
    </row>
    <row r="136" spans="1:49" x14ac:dyDescent="0.25">
      <c r="A136" s="25">
        <v>478</v>
      </c>
      <c r="B136" s="25" t="s">
        <v>28</v>
      </c>
      <c r="C136" s="25" t="s">
        <v>260</v>
      </c>
      <c r="D136" s="25" t="s">
        <v>261</v>
      </c>
      <c r="E136" s="24"/>
      <c r="F136" s="25" t="s">
        <v>424</v>
      </c>
      <c r="G136" s="25"/>
      <c r="H136" s="139" t="s">
        <v>31</v>
      </c>
      <c r="I136" s="25"/>
      <c r="J136" s="25">
        <v>1.0000000000000001E-5</v>
      </c>
      <c r="K136" s="39">
        <v>3.0000000000000004E-5</v>
      </c>
      <c r="L136" s="25">
        <v>3</v>
      </c>
      <c r="M136" s="25" t="s">
        <v>33</v>
      </c>
      <c r="N136" s="39">
        <f t="shared" si="23"/>
        <v>7.7400000000000006E-4</v>
      </c>
      <c r="O136" s="39">
        <f t="shared" si="24"/>
        <v>9.0300000000000005E-4</v>
      </c>
      <c r="P136" s="39">
        <f t="shared" si="25"/>
        <v>5.1600000000000007E-4</v>
      </c>
      <c r="Q136" s="39">
        <f t="shared" si="26"/>
        <v>3.8700000000000003E-4</v>
      </c>
      <c r="R136" s="138">
        <v>2.5800000000000003E-3</v>
      </c>
      <c r="S136" s="140">
        <v>105991.94</v>
      </c>
      <c r="T136" s="140">
        <v>3.1797582000000006</v>
      </c>
      <c r="U136" s="25"/>
      <c r="V136" s="25"/>
      <c r="W136" s="25" t="s">
        <v>425</v>
      </c>
      <c r="X136" s="25">
        <v>500221</v>
      </c>
      <c r="Y136" s="19" t="s">
        <v>264</v>
      </c>
      <c r="Z136" s="9" t="s">
        <v>424</v>
      </c>
      <c r="AA136" s="70">
        <v>53</v>
      </c>
      <c r="AB136" s="71">
        <v>2813</v>
      </c>
      <c r="AD136" s="165"/>
      <c r="AE136" s="163"/>
      <c r="AF136" s="163"/>
      <c r="AG136" s="164"/>
      <c r="AH136" s="141"/>
      <c r="AI136" s="163"/>
      <c r="AJ136" s="163"/>
      <c r="AK136" s="164"/>
      <c r="AL136" s="141"/>
      <c r="AM136" s="163"/>
      <c r="AN136" s="163"/>
      <c r="AO136" s="164"/>
      <c r="AP136" s="141"/>
      <c r="AQ136" s="163"/>
      <c r="AR136" s="163"/>
      <c r="AS136" s="164"/>
      <c r="AT136" s="126"/>
      <c r="AU136" s="72"/>
      <c r="AV136" s="72"/>
      <c r="AW136" s="127"/>
    </row>
    <row r="137" spans="1:49" x14ac:dyDescent="0.25">
      <c r="A137" s="25">
        <v>479</v>
      </c>
      <c r="B137" s="25" t="s">
        <v>28</v>
      </c>
      <c r="C137" s="25" t="s">
        <v>260</v>
      </c>
      <c r="D137" s="25" t="s">
        <v>261</v>
      </c>
      <c r="E137" s="24"/>
      <c r="F137" s="25" t="s">
        <v>426</v>
      </c>
      <c r="G137" s="25"/>
      <c r="H137" s="139" t="s">
        <v>31</v>
      </c>
      <c r="I137" s="25"/>
      <c r="J137" s="25">
        <v>1.0000000000000001E-5</v>
      </c>
      <c r="K137" s="39">
        <v>3.0000000000000004E-5</v>
      </c>
      <c r="L137" s="25">
        <v>3</v>
      </c>
      <c r="M137" s="25" t="s">
        <v>33</v>
      </c>
      <c r="N137" s="39">
        <f t="shared" si="23"/>
        <v>7.7400000000000006E-4</v>
      </c>
      <c r="O137" s="39">
        <f t="shared" si="24"/>
        <v>9.0300000000000005E-4</v>
      </c>
      <c r="P137" s="39">
        <f t="shared" si="25"/>
        <v>5.1600000000000007E-4</v>
      </c>
      <c r="Q137" s="39">
        <f t="shared" si="26"/>
        <v>3.8700000000000003E-4</v>
      </c>
      <c r="R137" s="138">
        <v>2.5800000000000003E-3</v>
      </c>
      <c r="S137" s="140">
        <v>105991.94</v>
      </c>
      <c r="T137" s="140">
        <v>3.1797582000000006</v>
      </c>
      <c r="U137" s="25"/>
      <c r="V137" s="25"/>
      <c r="W137" s="25" t="s">
        <v>427</v>
      </c>
      <c r="X137" s="25">
        <v>500221</v>
      </c>
      <c r="Y137" s="19" t="s">
        <v>264</v>
      </c>
      <c r="Z137" s="9" t="s">
        <v>426</v>
      </c>
      <c r="AA137" s="70">
        <v>54</v>
      </c>
      <c r="AB137" s="71">
        <v>2813</v>
      </c>
      <c r="AD137" s="165"/>
      <c r="AE137" s="163"/>
      <c r="AF137" s="163"/>
      <c r="AG137" s="164"/>
      <c r="AH137" s="141"/>
      <c r="AI137" s="163"/>
      <c r="AJ137" s="163"/>
      <c r="AK137" s="164"/>
      <c r="AL137" s="141"/>
      <c r="AM137" s="163"/>
      <c r="AN137" s="163"/>
      <c r="AO137" s="164"/>
      <c r="AP137" s="141"/>
      <c r="AQ137" s="163"/>
      <c r="AR137" s="163"/>
      <c r="AS137" s="164"/>
      <c r="AT137" s="126"/>
      <c r="AU137" s="72"/>
      <c r="AV137" s="72"/>
      <c r="AW137" s="127"/>
    </row>
    <row r="138" spans="1:49" x14ac:dyDescent="0.25">
      <c r="A138" s="25">
        <v>480</v>
      </c>
      <c r="B138" s="25" t="s">
        <v>28</v>
      </c>
      <c r="C138" s="25" t="s">
        <v>260</v>
      </c>
      <c r="D138" s="25" t="s">
        <v>261</v>
      </c>
      <c r="E138" s="24"/>
      <c r="F138" s="25" t="s">
        <v>428</v>
      </c>
      <c r="G138" s="25"/>
      <c r="H138" s="139" t="s">
        <v>31</v>
      </c>
      <c r="I138" s="25"/>
      <c r="J138" s="25">
        <v>1.0000000000000001E-5</v>
      </c>
      <c r="K138" s="39">
        <v>3.0000000000000004E-5</v>
      </c>
      <c r="L138" s="25">
        <v>3</v>
      </c>
      <c r="M138" s="25" t="s">
        <v>33</v>
      </c>
      <c r="N138" s="39">
        <f t="shared" si="23"/>
        <v>7.7400000000000006E-4</v>
      </c>
      <c r="O138" s="39">
        <f t="shared" si="24"/>
        <v>9.0300000000000005E-4</v>
      </c>
      <c r="P138" s="39">
        <f t="shared" si="25"/>
        <v>5.1600000000000007E-4</v>
      </c>
      <c r="Q138" s="39">
        <f t="shared" si="26"/>
        <v>3.8700000000000003E-4</v>
      </c>
      <c r="R138" s="138">
        <v>2.5800000000000003E-3</v>
      </c>
      <c r="S138" s="140">
        <v>105991.94</v>
      </c>
      <c r="T138" s="140">
        <v>3.1797582000000006</v>
      </c>
      <c r="U138" s="25"/>
      <c r="V138" s="25"/>
      <c r="W138" s="25" t="s">
        <v>429</v>
      </c>
      <c r="X138" s="25">
        <v>500221</v>
      </c>
      <c r="Y138" s="19" t="s">
        <v>264</v>
      </c>
      <c r="Z138" s="9" t="s">
        <v>428</v>
      </c>
      <c r="AA138" s="70">
        <v>55</v>
      </c>
      <c r="AB138" s="71">
        <v>2813</v>
      </c>
      <c r="AD138" s="165"/>
      <c r="AE138" s="163"/>
      <c r="AF138" s="163"/>
      <c r="AG138" s="164"/>
      <c r="AH138" s="141"/>
      <c r="AI138" s="163"/>
      <c r="AJ138" s="163"/>
      <c r="AK138" s="164"/>
      <c r="AL138" s="141"/>
      <c r="AM138" s="163"/>
      <c r="AN138" s="163"/>
      <c r="AO138" s="164"/>
      <c r="AP138" s="141"/>
      <c r="AQ138" s="163"/>
      <c r="AR138" s="163"/>
      <c r="AS138" s="164"/>
      <c r="AT138" s="126"/>
      <c r="AU138" s="72"/>
      <c r="AV138" s="72"/>
      <c r="AW138" s="127"/>
    </row>
    <row r="139" spans="1:49" x14ac:dyDescent="0.25">
      <c r="A139" s="25">
        <v>481</v>
      </c>
      <c r="B139" s="25" t="s">
        <v>28</v>
      </c>
      <c r="C139" s="25" t="s">
        <v>260</v>
      </c>
      <c r="D139" s="25" t="s">
        <v>261</v>
      </c>
      <c r="E139" s="24"/>
      <c r="F139" s="25" t="s">
        <v>40</v>
      </c>
      <c r="G139" s="25"/>
      <c r="H139" s="139" t="s">
        <v>31</v>
      </c>
      <c r="I139" s="25"/>
      <c r="J139" s="25">
        <v>1.0000000000000001E-5</v>
      </c>
      <c r="K139" s="39">
        <v>4.0000000000000003E-5</v>
      </c>
      <c r="L139" s="25">
        <v>4</v>
      </c>
      <c r="M139" s="25" t="s">
        <v>33</v>
      </c>
      <c r="N139" s="39">
        <f t="shared" si="23"/>
        <v>1.0320000000000001E-3</v>
      </c>
      <c r="O139" s="39">
        <f t="shared" si="24"/>
        <v>1.204E-3</v>
      </c>
      <c r="P139" s="39">
        <f t="shared" si="25"/>
        <v>6.8800000000000013E-4</v>
      </c>
      <c r="Q139" s="39">
        <f t="shared" si="26"/>
        <v>5.1600000000000007E-4</v>
      </c>
      <c r="R139" s="138">
        <v>3.4400000000000003E-3</v>
      </c>
      <c r="S139" s="140">
        <v>105991.94</v>
      </c>
      <c r="T139" s="140">
        <v>4.2396776000000003</v>
      </c>
      <c r="U139" s="25"/>
      <c r="V139" s="25"/>
      <c r="W139" s="25" t="s">
        <v>430</v>
      </c>
      <c r="X139" s="25">
        <v>500221</v>
      </c>
      <c r="Y139" s="19" t="s">
        <v>264</v>
      </c>
      <c r="Z139" s="9" t="s">
        <v>40</v>
      </c>
      <c r="AA139" s="70">
        <v>56</v>
      </c>
      <c r="AB139" s="71">
        <v>2813</v>
      </c>
      <c r="AD139" s="165"/>
      <c r="AE139" s="163"/>
      <c r="AF139" s="163"/>
      <c r="AG139" s="164"/>
      <c r="AH139" s="141"/>
      <c r="AI139" s="163"/>
      <c r="AJ139" s="163"/>
      <c r="AK139" s="164"/>
      <c r="AL139" s="141"/>
      <c r="AM139" s="163"/>
      <c r="AN139" s="163"/>
      <c r="AO139" s="164"/>
      <c r="AP139" s="141"/>
      <c r="AQ139" s="163"/>
      <c r="AR139" s="163"/>
      <c r="AS139" s="164"/>
      <c r="AT139" s="126"/>
      <c r="AU139" s="72"/>
      <c r="AV139" s="72"/>
      <c r="AW139" s="127"/>
    </row>
    <row r="140" spans="1:49" x14ac:dyDescent="0.25">
      <c r="A140" s="25">
        <v>482</v>
      </c>
      <c r="B140" s="25" t="s">
        <v>28</v>
      </c>
      <c r="C140" s="25" t="s">
        <v>260</v>
      </c>
      <c r="D140" s="25" t="s">
        <v>261</v>
      </c>
      <c r="E140" s="24"/>
      <c r="F140" s="25" t="s">
        <v>431</v>
      </c>
      <c r="G140" s="25"/>
      <c r="H140" s="139" t="s">
        <v>31</v>
      </c>
      <c r="I140" s="25"/>
      <c r="J140" s="25">
        <v>2E-3</v>
      </c>
      <c r="K140" s="39">
        <v>4.0000000000000001E-3</v>
      </c>
      <c r="L140" s="25">
        <v>2</v>
      </c>
      <c r="M140" s="25" t="s">
        <v>33</v>
      </c>
      <c r="N140" s="39">
        <f t="shared" si="23"/>
        <v>0.1032</v>
      </c>
      <c r="O140" s="39">
        <f t="shared" si="24"/>
        <v>0.12040000000000001</v>
      </c>
      <c r="P140" s="39">
        <f t="shared" si="25"/>
        <v>6.8800000000000014E-2</v>
      </c>
      <c r="Q140" s="39">
        <f t="shared" si="26"/>
        <v>5.16E-2</v>
      </c>
      <c r="R140" s="138">
        <v>0.34400000000000003</v>
      </c>
      <c r="S140" s="140">
        <v>105991.94</v>
      </c>
      <c r="T140" s="140">
        <v>423.96776</v>
      </c>
      <c r="U140" s="25"/>
      <c r="V140" s="25"/>
      <c r="W140" s="25" t="s">
        <v>432</v>
      </c>
      <c r="X140" s="25">
        <v>500221</v>
      </c>
      <c r="Y140" s="19" t="s">
        <v>264</v>
      </c>
      <c r="Z140" s="9" t="s">
        <v>431</v>
      </c>
      <c r="AA140" s="70">
        <v>57</v>
      </c>
      <c r="AB140" s="71">
        <v>2813</v>
      </c>
      <c r="AD140" s="165"/>
      <c r="AE140" s="163"/>
      <c r="AF140" s="163"/>
      <c r="AG140" s="164"/>
      <c r="AH140" s="141"/>
      <c r="AI140" s="163"/>
      <c r="AJ140" s="163"/>
      <c r="AK140" s="164"/>
      <c r="AL140" s="141"/>
      <c r="AM140" s="163"/>
      <c r="AN140" s="163"/>
      <c r="AO140" s="164"/>
      <c r="AP140" s="141"/>
      <c r="AQ140" s="163"/>
      <c r="AR140" s="163"/>
      <c r="AS140" s="164"/>
      <c r="AT140" s="126"/>
      <c r="AU140" s="72"/>
      <c r="AV140" s="72"/>
      <c r="AW140" s="127"/>
    </row>
    <row r="141" spans="1:49" x14ac:dyDescent="0.25">
      <c r="A141" s="25">
        <v>483</v>
      </c>
      <c r="B141" s="25" t="s">
        <v>28</v>
      </c>
      <c r="C141" s="25" t="s">
        <v>260</v>
      </c>
      <c r="D141" s="25" t="s">
        <v>261</v>
      </c>
      <c r="E141" s="24"/>
      <c r="F141" s="25" t="s">
        <v>433</v>
      </c>
      <c r="G141" s="25"/>
      <c r="H141" s="139" t="s">
        <v>31</v>
      </c>
      <c r="I141" s="25"/>
      <c r="J141" s="25">
        <v>0</v>
      </c>
      <c r="K141" s="39">
        <v>0</v>
      </c>
      <c r="L141" s="25">
        <v>2</v>
      </c>
      <c r="M141" s="25" t="s">
        <v>33</v>
      </c>
      <c r="N141" s="39">
        <f t="shared" si="23"/>
        <v>0</v>
      </c>
      <c r="O141" s="39">
        <f t="shared" si="24"/>
        <v>0</v>
      </c>
      <c r="P141" s="39">
        <f t="shared" si="25"/>
        <v>0</v>
      </c>
      <c r="Q141" s="39">
        <f t="shared" si="26"/>
        <v>0</v>
      </c>
      <c r="R141" s="138">
        <v>0</v>
      </c>
      <c r="S141" s="140">
        <v>105991.94</v>
      </c>
      <c r="T141" s="140">
        <v>0</v>
      </c>
      <c r="U141" s="25"/>
      <c r="V141" s="25"/>
      <c r="W141" s="25" t="s">
        <v>434</v>
      </c>
      <c r="X141" s="25">
        <v>500221</v>
      </c>
      <c r="Y141" s="19" t="s">
        <v>264</v>
      </c>
      <c r="Z141" s="9" t="s">
        <v>433</v>
      </c>
      <c r="AA141" s="70">
        <v>58</v>
      </c>
      <c r="AB141" s="71">
        <v>2813</v>
      </c>
      <c r="AD141" s="165"/>
      <c r="AE141" s="163"/>
      <c r="AF141" s="163"/>
      <c r="AG141" s="164"/>
      <c r="AH141" s="141"/>
      <c r="AI141" s="163"/>
      <c r="AJ141" s="163"/>
      <c r="AK141" s="164"/>
      <c r="AL141" s="141"/>
      <c r="AM141" s="163"/>
      <c r="AN141" s="163"/>
      <c r="AO141" s="164"/>
      <c r="AP141" s="141"/>
      <c r="AQ141" s="163"/>
      <c r="AR141" s="163"/>
      <c r="AS141" s="164"/>
      <c r="AT141" s="126"/>
      <c r="AU141" s="72"/>
      <c r="AV141" s="72"/>
      <c r="AW141" s="127"/>
    </row>
    <row r="142" spans="1:49" x14ac:dyDescent="0.25">
      <c r="A142" s="25">
        <v>484</v>
      </c>
      <c r="B142" s="25" t="s">
        <v>28</v>
      </c>
      <c r="C142" s="25" t="s">
        <v>260</v>
      </c>
      <c r="D142" s="25" t="s">
        <v>261</v>
      </c>
      <c r="E142" s="24"/>
      <c r="F142" s="25" t="s">
        <v>40</v>
      </c>
      <c r="G142" s="25"/>
      <c r="H142" s="139" t="s">
        <v>31</v>
      </c>
      <c r="I142" s="25"/>
      <c r="J142" s="25">
        <v>1E-3</v>
      </c>
      <c r="K142" s="39">
        <v>2E-3</v>
      </c>
      <c r="L142" s="25">
        <v>2</v>
      </c>
      <c r="M142" s="25" t="s">
        <v>33</v>
      </c>
      <c r="N142" s="39">
        <f t="shared" si="23"/>
        <v>5.16E-2</v>
      </c>
      <c r="O142" s="39">
        <f t="shared" si="24"/>
        <v>6.0200000000000004E-2</v>
      </c>
      <c r="P142" s="39">
        <f t="shared" si="25"/>
        <v>3.4400000000000007E-2</v>
      </c>
      <c r="Q142" s="39">
        <f t="shared" si="26"/>
        <v>2.58E-2</v>
      </c>
      <c r="R142" s="138">
        <v>0.17200000000000001</v>
      </c>
      <c r="S142" s="140">
        <v>105991.94</v>
      </c>
      <c r="T142" s="140">
        <v>211.98388</v>
      </c>
      <c r="U142" s="25"/>
      <c r="V142" s="25"/>
      <c r="W142" s="25" t="s">
        <v>435</v>
      </c>
      <c r="X142" s="25">
        <v>500221</v>
      </c>
      <c r="Y142" s="19" t="s">
        <v>264</v>
      </c>
      <c r="Z142" s="9" t="s">
        <v>40</v>
      </c>
      <c r="AA142" s="70">
        <v>59</v>
      </c>
      <c r="AB142" s="71">
        <v>2813</v>
      </c>
      <c r="AD142" s="165"/>
      <c r="AE142" s="163"/>
      <c r="AF142" s="163"/>
      <c r="AG142" s="164"/>
      <c r="AH142" s="141"/>
      <c r="AI142" s="163"/>
      <c r="AJ142" s="163"/>
      <c r="AK142" s="164"/>
      <c r="AL142" s="141"/>
      <c r="AM142" s="163"/>
      <c r="AN142" s="163"/>
      <c r="AO142" s="164"/>
      <c r="AP142" s="141"/>
      <c r="AQ142" s="163"/>
      <c r="AR142" s="163"/>
      <c r="AS142" s="164"/>
      <c r="AT142" s="126"/>
      <c r="AU142" s="72"/>
      <c r="AV142" s="72"/>
      <c r="AW142" s="127"/>
    </row>
    <row r="143" spans="1:49" x14ac:dyDescent="0.25">
      <c r="A143" s="25">
        <v>485</v>
      </c>
      <c r="B143" s="25" t="s">
        <v>28</v>
      </c>
      <c r="C143" s="25" t="s">
        <v>260</v>
      </c>
      <c r="D143" s="25" t="s">
        <v>261</v>
      </c>
      <c r="E143" s="24"/>
      <c r="F143" s="25" t="s">
        <v>40</v>
      </c>
      <c r="G143" s="25"/>
      <c r="H143" s="139" t="s">
        <v>31</v>
      </c>
      <c r="I143" s="25"/>
      <c r="J143" s="25">
        <v>7.4999999999999997E-3</v>
      </c>
      <c r="K143" s="39">
        <v>1.4999999999999999E-2</v>
      </c>
      <c r="L143" s="25">
        <v>2</v>
      </c>
      <c r="M143" s="25" t="s">
        <v>33</v>
      </c>
      <c r="N143" s="39">
        <f t="shared" si="23"/>
        <v>0.38700000000000001</v>
      </c>
      <c r="O143" s="39">
        <f t="shared" si="24"/>
        <v>0.45149999999999996</v>
      </c>
      <c r="P143" s="39">
        <f t="shared" si="25"/>
        <v>0.25800000000000001</v>
      </c>
      <c r="Q143" s="39">
        <f t="shared" si="26"/>
        <v>0.19350000000000001</v>
      </c>
      <c r="R143" s="138">
        <v>1.29</v>
      </c>
      <c r="S143" s="140">
        <v>105991.94</v>
      </c>
      <c r="T143" s="140">
        <v>1589.8790999999999</v>
      </c>
      <c r="U143" s="25"/>
      <c r="V143" s="25"/>
      <c r="W143" s="25" t="s">
        <v>436</v>
      </c>
      <c r="X143" s="25">
        <v>500221</v>
      </c>
      <c r="Y143" s="19" t="s">
        <v>264</v>
      </c>
      <c r="Z143" s="9" t="s">
        <v>40</v>
      </c>
      <c r="AA143" s="70">
        <v>60</v>
      </c>
      <c r="AB143" s="71">
        <v>2813</v>
      </c>
      <c r="AD143" s="165"/>
      <c r="AE143" s="163"/>
      <c r="AF143" s="163"/>
      <c r="AG143" s="164"/>
      <c r="AH143" s="141"/>
      <c r="AI143" s="163"/>
      <c r="AJ143" s="163"/>
      <c r="AK143" s="164"/>
      <c r="AL143" s="141"/>
      <c r="AM143" s="163"/>
      <c r="AN143" s="163"/>
      <c r="AO143" s="164"/>
      <c r="AP143" s="141"/>
      <c r="AQ143" s="163"/>
      <c r="AR143" s="163"/>
      <c r="AS143" s="164"/>
      <c r="AT143" s="126"/>
      <c r="AU143" s="72"/>
      <c r="AV143" s="72"/>
      <c r="AW143" s="127"/>
    </row>
    <row r="144" spans="1:49" x14ac:dyDescent="0.25">
      <c r="A144" s="25">
        <v>486</v>
      </c>
      <c r="B144" s="25" t="s">
        <v>28</v>
      </c>
      <c r="C144" s="25" t="s">
        <v>260</v>
      </c>
      <c r="D144" s="25" t="s">
        <v>261</v>
      </c>
      <c r="E144" s="24"/>
      <c r="F144" s="25" t="s">
        <v>40</v>
      </c>
      <c r="G144" s="25"/>
      <c r="H144" s="139" t="s">
        <v>31</v>
      </c>
      <c r="I144" s="25"/>
      <c r="J144" s="25">
        <v>3.2000000000000002E-3</v>
      </c>
      <c r="K144" s="39">
        <v>6.4000000000000003E-3</v>
      </c>
      <c r="L144" s="25">
        <v>2</v>
      </c>
      <c r="M144" s="25" t="s">
        <v>33</v>
      </c>
      <c r="N144" s="39">
        <f t="shared" si="23"/>
        <v>0.16511999999999999</v>
      </c>
      <c r="O144" s="39">
        <f t="shared" si="24"/>
        <v>0.19263999999999998</v>
      </c>
      <c r="P144" s="39">
        <f t="shared" si="25"/>
        <v>0.11008000000000001</v>
      </c>
      <c r="Q144" s="39">
        <f t="shared" si="26"/>
        <v>8.2559999999999995E-2</v>
      </c>
      <c r="R144" s="138">
        <v>0.5504</v>
      </c>
      <c r="S144" s="140">
        <v>105991.94</v>
      </c>
      <c r="T144" s="140">
        <v>678.34841600000004</v>
      </c>
      <c r="U144" s="25"/>
      <c r="V144" s="25"/>
      <c r="W144" s="25" t="s">
        <v>437</v>
      </c>
      <c r="X144" s="25">
        <v>500221</v>
      </c>
      <c r="Y144" s="19" t="s">
        <v>264</v>
      </c>
      <c r="Z144" s="9" t="s">
        <v>40</v>
      </c>
      <c r="AA144" s="70">
        <v>61</v>
      </c>
      <c r="AB144" s="71">
        <v>2813</v>
      </c>
      <c r="AD144" s="165"/>
      <c r="AE144" s="163"/>
      <c r="AF144" s="163"/>
      <c r="AG144" s="164"/>
      <c r="AH144" s="141"/>
      <c r="AI144" s="163"/>
      <c r="AJ144" s="163"/>
      <c r="AK144" s="164"/>
      <c r="AL144" s="141"/>
      <c r="AM144" s="163"/>
      <c r="AN144" s="163"/>
      <c r="AO144" s="164"/>
      <c r="AP144" s="141"/>
      <c r="AQ144" s="163"/>
      <c r="AR144" s="163"/>
      <c r="AS144" s="164"/>
      <c r="AT144" s="126"/>
      <c r="AU144" s="72"/>
      <c r="AV144" s="72"/>
      <c r="AW144" s="127"/>
    </row>
    <row r="145" spans="1:49" x14ac:dyDescent="0.25">
      <c r="A145" s="25">
        <v>487</v>
      </c>
      <c r="B145" s="25" t="s">
        <v>28</v>
      </c>
      <c r="C145" s="25" t="s">
        <v>260</v>
      </c>
      <c r="D145" s="25" t="s">
        <v>261</v>
      </c>
      <c r="E145" s="24"/>
      <c r="F145" s="25" t="s">
        <v>438</v>
      </c>
      <c r="G145" s="25"/>
      <c r="H145" s="139" t="s">
        <v>31</v>
      </c>
      <c r="I145" s="25"/>
      <c r="J145" s="25">
        <v>2.8500000000000001E-3</v>
      </c>
      <c r="K145" s="39">
        <v>5.7000000000000002E-3</v>
      </c>
      <c r="L145" s="25">
        <v>2</v>
      </c>
      <c r="M145" s="25" t="s">
        <v>33</v>
      </c>
      <c r="N145" s="39">
        <f t="shared" si="23"/>
        <v>0.14706</v>
      </c>
      <c r="O145" s="39">
        <f t="shared" si="24"/>
        <v>0.17157</v>
      </c>
      <c r="P145" s="39">
        <f t="shared" si="25"/>
        <v>9.8040000000000016E-2</v>
      </c>
      <c r="Q145" s="39">
        <f t="shared" si="26"/>
        <v>7.3529999999999998E-2</v>
      </c>
      <c r="R145" s="138">
        <v>0.49020000000000002</v>
      </c>
      <c r="S145" s="140">
        <v>105991.94</v>
      </c>
      <c r="T145" s="140">
        <v>604.15405800000008</v>
      </c>
      <c r="U145" s="25"/>
      <c r="V145" s="25"/>
      <c r="W145" s="25" t="s">
        <v>439</v>
      </c>
      <c r="X145" s="25">
        <v>500221</v>
      </c>
      <c r="Y145" s="19" t="s">
        <v>264</v>
      </c>
      <c r="Z145" s="9" t="s">
        <v>438</v>
      </c>
      <c r="AA145" s="70">
        <v>62</v>
      </c>
      <c r="AB145" s="71">
        <v>2813</v>
      </c>
      <c r="AD145" s="165"/>
      <c r="AE145" s="163"/>
      <c r="AF145" s="163"/>
      <c r="AG145" s="164"/>
      <c r="AH145" s="141"/>
      <c r="AI145" s="163"/>
      <c r="AJ145" s="163"/>
      <c r="AK145" s="164"/>
      <c r="AL145" s="141"/>
      <c r="AM145" s="163"/>
      <c r="AN145" s="163"/>
      <c r="AO145" s="164"/>
      <c r="AP145" s="141"/>
      <c r="AQ145" s="163"/>
      <c r="AR145" s="163"/>
      <c r="AS145" s="164"/>
      <c r="AT145" s="126"/>
      <c r="AU145" s="72"/>
      <c r="AV145" s="72"/>
      <c r="AW145" s="127"/>
    </row>
    <row r="146" spans="1:49" x14ac:dyDescent="0.25">
      <c r="A146" s="25">
        <v>488</v>
      </c>
      <c r="B146" s="25" t="s">
        <v>28</v>
      </c>
      <c r="C146" s="25" t="s">
        <v>260</v>
      </c>
      <c r="D146" s="25" t="s">
        <v>261</v>
      </c>
      <c r="E146" s="24"/>
      <c r="F146" s="25" t="s">
        <v>40</v>
      </c>
      <c r="G146" s="25"/>
      <c r="H146" s="139" t="s">
        <v>31</v>
      </c>
      <c r="I146" s="25"/>
      <c r="J146" s="25">
        <v>3.0000000000000001E-3</v>
      </c>
      <c r="K146" s="39">
        <v>6.0000000000000001E-3</v>
      </c>
      <c r="L146" s="25">
        <v>2</v>
      </c>
      <c r="M146" s="25" t="s">
        <v>33</v>
      </c>
      <c r="N146" s="39">
        <f t="shared" si="23"/>
        <v>0.15479999999999999</v>
      </c>
      <c r="O146" s="39">
        <f t="shared" si="24"/>
        <v>0.18059999999999998</v>
      </c>
      <c r="P146" s="39">
        <f t="shared" si="25"/>
        <v>0.10320000000000001</v>
      </c>
      <c r="Q146" s="39">
        <f t="shared" si="26"/>
        <v>7.7399999999999997E-2</v>
      </c>
      <c r="R146" s="138">
        <v>0.51600000000000001</v>
      </c>
      <c r="S146" s="140">
        <v>105991.94</v>
      </c>
      <c r="T146" s="140">
        <v>635.95164</v>
      </c>
      <c r="U146" s="25"/>
      <c r="V146" s="25"/>
      <c r="W146" s="25" t="s">
        <v>440</v>
      </c>
      <c r="X146" s="25">
        <v>500221</v>
      </c>
      <c r="Y146" s="19" t="s">
        <v>264</v>
      </c>
      <c r="Z146" s="9" t="s">
        <v>40</v>
      </c>
      <c r="AA146" s="70">
        <v>63</v>
      </c>
      <c r="AB146" s="71">
        <v>2813</v>
      </c>
      <c r="AD146" s="165"/>
      <c r="AE146" s="163"/>
      <c r="AF146" s="163"/>
      <c r="AG146" s="164"/>
      <c r="AH146" s="141"/>
      <c r="AI146" s="163"/>
      <c r="AJ146" s="163"/>
      <c r="AK146" s="164"/>
      <c r="AL146" s="141"/>
      <c r="AM146" s="163"/>
      <c r="AN146" s="163"/>
      <c r="AO146" s="164"/>
      <c r="AP146" s="141"/>
      <c r="AQ146" s="163"/>
      <c r="AR146" s="163"/>
      <c r="AS146" s="164"/>
      <c r="AT146" s="126"/>
      <c r="AU146" s="72"/>
      <c r="AV146" s="72"/>
      <c r="AW146" s="127"/>
    </row>
    <row r="147" spans="1:49" x14ac:dyDescent="0.25">
      <c r="A147" s="25">
        <v>489</v>
      </c>
      <c r="B147" s="25" t="s">
        <v>28</v>
      </c>
      <c r="C147" s="25" t="s">
        <v>260</v>
      </c>
      <c r="D147" s="25" t="s">
        <v>261</v>
      </c>
      <c r="E147" s="24"/>
      <c r="F147" s="25" t="s">
        <v>441</v>
      </c>
      <c r="G147" s="25"/>
      <c r="H147" s="139" t="s">
        <v>31</v>
      </c>
      <c r="I147" s="25"/>
      <c r="J147" s="25">
        <v>0.01</v>
      </c>
      <c r="K147" s="39">
        <v>0.02</v>
      </c>
      <c r="L147" s="25">
        <v>2</v>
      </c>
      <c r="M147" s="25" t="s">
        <v>33</v>
      </c>
      <c r="N147" s="39">
        <f t="shared" si="23"/>
        <v>0.51600000000000001</v>
      </c>
      <c r="O147" s="39">
        <f t="shared" si="24"/>
        <v>0.60199999999999998</v>
      </c>
      <c r="P147" s="39">
        <f t="shared" si="25"/>
        <v>0.34400000000000003</v>
      </c>
      <c r="Q147" s="39">
        <f t="shared" si="26"/>
        <v>0.25800000000000001</v>
      </c>
      <c r="R147" s="138">
        <v>1.72</v>
      </c>
      <c r="S147" s="140">
        <v>105991.94</v>
      </c>
      <c r="T147" s="140">
        <v>2119.8388</v>
      </c>
      <c r="U147" s="25"/>
      <c r="V147" s="25"/>
      <c r="W147" s="25" t="s">
        <v>442</v>
      </c>
      <c r="X147" s="25">
        <v>500221</v>
      </c>
      <c r="Y147" s="19" t="s">
        <v>264</v>
      </c>
      <c r="Z147" s="9" t="s">
        <v>441</v>
      </c>
      <c r="AA147" s="70">
        <v>64</v>
      </c>
      <c r="AB147" s="71">
        <v>2813</v>
      </c>
      <c r="AD147" s="165"/>
      <c r="AE147" s="163"/>
      <c r="AF147" s="163"/>
      <c r="AG147" s="164"/>
      <c r="AH147" s="141"/>
      <c r="AI147" s="163"/>
      <c r="AJ147" s="163"/>
      <c r="AK147" s="164"/>
      <c r="AL147" s="141"/>
      <c r="AM147" s="163"/>
      <c r="AN147" s="163"/>
      <c r="AO147" s="164"/>
      <c r="AP147" s="141"/>
      <c r="AQ147" s="163"/>
      <c r="AR147" s="163"/>
      <c r="AS147" s="164"/>
      <c r="AT147" s="126"/>
      <c r="AU147" s="72"/>
      <c r="AV147" s="72"/>
      <c r="AW147" s="127"/>
    </row>
    <row r="148" spans="1:49" x14ac:dyDescent="0.25">
      <c r="A148" s="25">
        <v>490</v>
      </c>
      <c r="B148" s="25" t="s">
        <v>28</v>
      </c>
      <c r="C148" s="25" t="s">
        <v>260</v>
      </c>
      <c r="D148" s="25" t="s">
        <v>261</v>
      </c>
      <c r="E148" s="24"/>
      <c r="F148" s="25" t="s">
        <v>443</v>
      </c>
      <c r="G148" s="25"/>
      <c r="H148" s="139" t="s">
        <v>31</v>
      </c>
      <c r="I148" s="25"/>
      <c r="J148" s="25">
        <v>6.2E-4</v>
      </c>
      <c r="K148" s="39">
        <v>6.2E-4</v>
      </c>
      <c r="L148" s="25">
        <v>1</v>
      </c>
      <c r="M148" s="25" t="s">
        <v>33</v>
      </c>
      <c r="N148" s="39">
        <f t="shared" si="23"/>
        <v>1.5996E-2</v>
      </c>
      <c r="O148" s="39">
        <f t="shared" si="24"/>
        <v>1.8661999999999998E-2</v>
      </c>
      <c r="P148" s="39">
        <f t="shared" si="25"/>
        <v>1.0664E-2</v>
      </c>
      <c r="Q148" s="39">
        <f t="shared" si="26"/>
        <v>7.9979999999999999E-3</v>
      </c>
      <c r="R148" s="138">
        <v>5.3319999999999999E-2</v>
      </c>
      <c r="S148" s="140">
        <v>105991.94</v>
      </c>
      <c r="T148" s="140">
        <v>65.715002800000008</v>
      </c>
      <c r="U148" s="25"/>
      <c r="V148" s="25"/>
      <c r="W148" s="25" t="s">
        <v>444</v>
      </c>
      <c r="X148" s="25">
        <v>500221</v>
      </c>
      <c r="Y148" s="19" t="s">
        <v>264</v>
      </c>
      <c r="Z148" s="9" t="s">
        <v>443</v>
      </c>
      <c r="AA148" s="70">
        <v>65</v>
      </c>
      <c r="AB148" s="71">
        <v>2813</v>
      </c>
      <c r="AD148" s="165"/>
      <c r="AE148" s="163"/>
      <c r="AF148" s="163"/>
      <c r="AG148" s="164"/>
      <c r="AH148" s="141"/>
      <c r="AI148" s="163"/>
      <c r="AJ148" s="163"/>
      <c r="AK148" s="164"/>
      <c r="AL148" s="141"/>
      <c r="AM148" s="163"/>
      <c r="AN148" s="163"/>
      <c r="AO148" s="164"/>
      <c r="AP148" s="141"/>
      <c r="AQ148" s="163"/>
      <c r="AR148" s="163"/>
      <c r="AS148" s="164"/>
      <c r="AT148" s="126"/>
      <c r="AU148" s="72"/>
      <c r="AV148" s="72"/>
      <c r="AW148" s="127"/>
    </row>
    <row r="149" spans="1:49" x14ac:dyDescent="0.25">
      <c r="A149" s="25">
        <v>491</v>
      </c>
      <c r="B149" s="25" t="s">
        <v>28</v>
      </c>
      <c r="C149" s="25" t="s">
        <v>260</v>
      </c>
      <c r="D149" s="25" t="s">
        <v>261</v>
      </c>
      <c r="E149" s="24"/>
      <c r="F149" s="25" t="s">
        <v>445</v>
      </c>
      <c r="G149" s="25"/>
      <c r="H149" s="139" t="s">
        <v>31</v>
      </c>
      <c r="I149" s="25"/>
      <c r="J149" s="25">
        <v>0</v>
      </c>
      <c r="K149" s="39">
        <v>0</v>
      </c>
      <c r="L149" s="25">
        <v>2</v>
      </c>
      <c r="M149" s="25" t="s">
        <v>33</v>
      </c>
      <c r="N149" s="39">
        <f t="shared" si="23"/>
        <v>0</v>
      </c>
      <c r="O149" s="39">
        <f t="shared" si="24"/>
        <v>0</v>
      </c>
      <c r="P149" s="39">
        <f t="shared" si="25"/>
        <v>0</v>
      </c>
      <c r="Q149" s="39">
        <f t="shared" si="26"/>
        <v>0</v>
      </c>
      <c r="R149" s="138">
        <v>0</v>
      </c>
      <c r="S149" s="140">
        <v>105991.94</v>
      </c>
      <c r="T149" s="140">
        <v>0</v>
      </c>
      <c r="U149" s="25"/>
      <c r="V149" s="25"/>
      <c r="W149" s="25" t="s">
        <v>446</v>
      </c>
      <c r="X149" s="25">
        <v>500221</v>
      </c>
      <c r="Y149" s="19" t="s">
        <v>264</v>
      </c>
      <c r="Z149" s="9" t="s">
        <v>445</v>
      </c>
      <c r="AA149" s="70">
        <v>66</v>
      </c>
      <c r="AB149" s="71">
        <v>2813</v>
      </c>
      <c r="AD149" s="165"/>
      <c r="AE149" s="163"/>
      <c r="AF149" s="163"/>
      <c r="AG149" s="164"/>
      <c r="AH149" s="141"/>
      <c r="AI149" s="163"/>
      <c r="AJ149" s="163"/>
      <c r="AK149" s="164"/>
      <c r="AL149" s="141"/>
      <c r="AM149" s="163"/>
      <c r="AN149" s="163"/>
      <c r="AO149" s="164"/>
      <c r="AP149" s="141"/>
      <c r="AQ149" s="163"/>
      <c r="AR149" s="163"/>
      <c r="AS149" s="164"/>
      <c r="AT149" s="126"/>
      <c r="AU149" s="72"/>
      <c r="AV149" s="72"/>
      <c r="AW149" s="127"/>
    </row>
    <row r="150" spans="1:49" x14ac:dyDescent="0.25">
      <c r="A150" s="25">
        <v>492</v>
      </c>
      <c r="B150" s="25" t="s">
        <v>28</v>
      </c>
      <c r="C150" s="25" t="s">
        <v>260</v>
      </c>
      <c r="D150" s="25" t="s">
        <v>261</v>
      </c>
      <c r="E150" s="24"/>
      <c r="F150" s="25" t="s">
        <v>447</v>
      </c>
      <c r="G150" s="25"/>
      <c r="H150" s="139" t="s">
        <v>31</v>
      </c>
      <c r="I150" s="25"/>
      <c r="J150" s="25">
        <v>6.0000000000000002E-5</v>
      </c>
      <c r="K150" s="39">
        <v>1.2E-4</v>
      </c>
      <c r="L150" s="25">
        <v>2</v>
      </c>
      <c r="M150" s="25" t="s">
        <v>33</v>
      </c>
      <c r="N150" s="39">
        <f t="shared" si="23"/>
        <v>3.0960000000000002E-3</v>
      </c>
      <c r="O150" s="39">
        <f t="shared" si="24"/>
        <v>3.6120000000000002E-3</v>
      </c>
      <c r="P150" s="39">
        <f t="shared" si="25"/>
        <v>2.0640000000000003E-3</v>
      </c>
      <c r="Q150" s="39">
        <f t="shared" si="26"/>
        <v>1.5480000000000001E-3</v>
      </c>
      <c r="R150" s="138">
        <v>1.0320000000000001E-2</v>
      </c>
      <c r="S150" s="140">
        <v>105991.94</v>
      </c>
      <c r="T150" s="140">
        <v>12.719032800000001</v>
      </c>
      <c r="U150" s="25"/>
      <c r="V150" s="25"/>
      <c r="W150" s="25" t="s">
        <v>448</v>
      </c>
      <c r="X150" s="25">
        <v>500221</v>
      </c>
      <c r="Y150" s="19" t="s">
        <v>264</v>
      </c>
      <c r="Z150" s="9" t="s">
        <v>447</v>
      </c>
      <c r="AA150" s="70">
        <v>67</v>
      </c>
      <c r="AB150" s="71">
        <v>2813</v>
      </c>
      <c r="AD150" s="165"/>
      <c r="AE150" s="163"/>
      <c r="AF150" s="163"/>
      <c r="AG150" s="164"/>
      <c r="AH150" s="141"/>
      <c r="AI150" s="163"/>
      <c r="AJ150" s="163"/>
      <c r="AK150" s="164"/>
      <c r="AL150" s="141"/>
      <c r="AM150" s="163"/>
      <c r="AN150" s="163"/>
      <c r="AO150" s="164"/>
      <c r="AP150" s="141"/>
      <c r="AQ150" s="163"/>
      <c r="AR150" s="163"/>
      <c r="AS150" s="164"/>
      <c r="AT150" s="126"/>
      <c r="AU150" s="72"/>
      <c r="AV150" s="72"/>
      <c r="AW150" s="127"/>
    </row>
    <row r="151" spans="1:49" x14ac:dyDescent="0.25">
      <c r="A151" s="25">
        <v>493</v>
      </c>
      <c r="B151" s="25" t="s">
        <v>28</v>
      </c>
      <c r="C151" s="25" t="s">
        <v>260</v>
      </c>
      <c r="D151" s="25" t="s">
        <v>261</v>
      </c>
      <c r="E151" s="24"/>
      <c r="F151" s="25" t="s">
        <v>449</v>
      </c>
      <c r="G151" s="25"/>
      <c r="H151" s="139" t="s">
        <v>31</v>
      </c>
      <c r="I151" s="25"/>
      <c r="J151" s="25">
        <v>0</v>
      </c>
      <c r="K151" s="39">
        <v>0</v>
      </c>
      <c r="L151" s="25">
        <v>3</v>
      </c>
      <c r="M151" s="25" t="s">
        <v>33</v>
      </c>
      <c r="N151" s="39">
        <f t="shared" si="23"/>
        <v>0</v>
      </c>
      <c r="O151" s="39">
        <f t="shared" si="24"/>
        <v>0</v>
      </c>
      <c r="P151" s="39">
        <f t="shared" si="25"/>
        <v>0</v>
      </c>
      <c r="Q151" s="39">
        <f t="shared" si="26"/>
        <v>0</v>
      </c>
      <c r="R151" s="138">
        <v>0</v>
      </c>
      <c r="S151" s="140">
        <v>105991.94</v>
      </c>
      <c r="T151" s="140">
        <v>0</v>
      </c>
      <c r="U151" s="25"/>
      <c r="V151" s="25"/>
      <c r="W151" s="25" t="s">
        <v>450</v>
      </c>
      <c r="X151" s="25">
        <v>500221</v>
      </c>
      <c r="Y151" s="19" t="s">
        <v>264</v>
      </c>
      <c r="Z151" s="9" t="s">
        <v>449</v>
      </c>
      <c r="AA151" s="70">
        <v>68</v>
      </c>
      <c r="AB151" s="71">
        <v>2813</v>
      </c>
      <c r="AD151" s="165"/>
      <c r="AE151" s="163"/>
      <c r="AF151" s="163"/>
      <c r="AG151" s="164"/>
      <c r="AH151" s="141"/>
      <c r="AI151" s="163"/>
      <c r="AJ151" s="163"/>
      <c r="AK151" s="164"/>
      <c r="AL151" s="141"/>
      <c r="AM151" s="163"/>
      <c r="AN151" s="163"/>
      <c r="AO151" s="164"/>
      <c r="AP151" s="141"/>
      <c r="AQ151" s="163"/>
      <c r="AR151" s="163"/>
      <c r="AS151" s="164"/>
      <c r="AT151" s="126"/>
      <c r="AU151" s="72"/>
      <c r="AV151" s="72"/>
      <c r="AW151" s="127"/>
    </row>
    <row r="152" spans="1:49" x14ac:dyDescent="0.25">
      <c r="A152" s="25">
        <v>494</v>
      </c>
      <c r="B152" s="25" t="s">
        <v>28</v>
      </c>
      <c r="C152" s="25" t="s">
        <v>260</v>
      </c>
      <c r="D152" s="25" t="s">
        <v>261</v>
      </c>
      <c r="E152" s="24"/>
      <c r="F152" s="25" t="s">
        <v>451</v>
      </c>
      <c r="G152" s="25"/>
      <c r="H152" s="139" t="s">
        <v>31</v>
      </c>
      <c r="I152" s="25"/>
      <c r="J152" s="25">
        <v>0</v>
      </c>
      <c r="K152" s="39">
        <v>0</v>
      </c>
      <c r="L152" s="25">
        <v>2</v>
      </c>
      <c r="M152" s="25" t="s">
        <v>33</v>
      </c>
      <c r="N152" s="39">
        <f t="shared" si="23"/>
        <v>0</v>
      </c>
      <c r="O152" s="39">
        <f t="shared" si="24"/>
        <v>0</v>
      </c>
      <c r="P152" s="39">
        <f t="shared" si="25"/>
        <v>0</v>
      </c>
      <c r="Q152" s="39">
        <f t="shared" si="26"/>
        <v>0</v>
      </c>
      <c r="R152" s="138">
        <v>0</v>
      </c>
      <c r="S152" s="140">
        <v>105991.94</v>
      </c>
      <c r="T152" s="140">
        <v>0</v>
      </c>
      <c r="U152" s="25"/>
      <c r="V152" s="25"/>
      <c r="W152" s="25" t="s">
        <v>452</v>
      </c>
      <c r="X152" s="25">
        <v>500221</v>
      </c>
      <c r="Y152" s="19" t="s">
        <v>264</v>
      </c>
      <c r="Z152" s="9" t="s">
        <v>451</v>
      </c>
      <c r="AA152" s="70">
        <v>69</v>
      </c>
      <c r="AB152" s="71">
        <v>2813</v>
      </c>
      <c r="AD152" s="165"/>
      <c r="AE152" s="163"/>
      <c r="AF152" s="163"/>
      <c r="AG152" s="164"/>
      <c r="AH152" s="141"/>
      <c r="AI152" s="163"/>
      <c r="AJ152" s="163"/>
      <c r="AK152" s="164"/>
      <c r="AL152" s="141"/>
      <c r="AM152" s="163"/>
      <c r="AN152" s="163"/>
      <c r="AO152" s="164"/>
      <c r="AP152" s="141"/>
      <c r="AQ152" s="163"/>
      <c r="AR152" s="163"/>
      <c r="AS152" s="164"/>
      <c r="AT152" s="126"/>
      <c r="AU152" s="72"/>
      <c r="AV152" s="72"/>
      <c r="AW152" s="127"/>
    </row>
    <row r="153" spans="1:49" ht="15.75" thickBot="1" x14ac:dyDescent="0.3">
      <c r="A153" s="25">
        <v>495</v>
      </c>
      <c r="B153" s="25" t="s">
        <v>28</v>
      </c>
      <c r="C153" s="25" t="s">
        <v>260</v>
      </c>
      <c r="D153" s="25" t="s">
        <v>261</v>
      </c>
      <c r="E153" s="24"/>
      <c r="F153" s="25" t="s">
        <v>453</v>
      </c>
      <c r="G153" s="25"/>
      <c r="H153" s="139" t="s">
        <v>31</v>
      </c>
      <c r="I153" s="25"/>
      <c r="J153" s="25">
        <v>34.4</v>
      </c>
      <c r="K153" s="39">
        <v>34.4</v>
      </c>
      <c r="L153" s="25">
        <v>1</v>
      </c>
      <c r="M153" s="25" t="s">
        <v>33</v>
      </c>
      <c r="N153" s="39">
        <f t="shared" si="23"/>
        <v>299.27999999999997</v>
      </c>
      <c r="O153" s="39">
        <f t="shared" si="24"/>
        <v>349.15999999999997</v>
      </c>
      <c r="P153" s="39">
        <f t="shared" si="25"/>
        <v>199.51999999999998</v>
      </c>
      <c r="Q153" s="39">
        <f t="shared" si="26"/>
        <v>149.63999999999999</v>
      </c>
      <c r="R153" s="138">
        <v>997.59999999999991</v>
      </c>
      <c r="S153" s="106">
        <v>105991.94</v>
      </c>
      <c r="T153" s="106">
        <v>3646122.736</v>
      </c>
      <c r="U153" s="9"/>
      <c r="V153" s="9"/>
      <c r="W153" s="25" t="s">
        <v>454</v>
      </c>
      <c r="X153" s="25">
        <v>500222</v>
      </c>
      <c r="Y153" s="19" t="s">
        <v>264</v>
      </c>
      <c r="Z153" s="9" t="s">
        <v>453</v>
      </c>
      <c r="AA153" s="70">
        <v>1</v>
      </c>
      <c r="AB153" s="71">
        <v>2813</v>
      </c>
      <c r="AD153" s="165"/>
      <c r="AE153" s="163"/>
      <c r="AF153" s="163"/>
      <c r="AG153" s="164"/>
      <c r="AH153" s="141"/>
      <c r="AI153" s="163"/>
      <c r="AJ153" s="163"/>
      <c r="AK153" s="164"/>
      <c r="AL153" s="169">
        <f t="shared" ref="AL153:AL163" si="27">K153*0.3</f>
        <v>10.319999999999999</v>
      </c>
      <c r="AM153" s="196">
        <f>K153*0.35</f>
        <v>12.04</v>
      </c>
      <c r="AN153" s="196">
        <f t="shared" ref="AN153:AN154" si="28">K153*0.2</f>
        <v>6.88</v>
      </c>
      <c r="AO153" s="164"/>
      <c r="AP153" s="141"/>
      <c r="AQ153" s="167"/>
      <c r="AR153" s="167"/>
      <c r="AS153" s="264">
        <f>K153*0.15</f>
        <v>5.1599999999999993</v>
      </c>
      <c r="AT153" s="385"/>
      <c r="AU153" s="163"/>
      <c r="AV153" s="163"/>
      <c r="AW153" s="164"/>
    </row>
    <row r="154" spans="1:49" ht="15.75" thickBot="1" x14ac:dyDescent="0.3">
      <c r="A154" s="25">
        <v>496</v>
      </c>
      <c r="B154" s="25" t="s">
        <v>28</v>
      </c>
      <c r="C154" s="25" t="s">
        <v>260</v>
      </c>
      <c r="D154" s="25" t="s">
        <v>261</v>
      </c>
      <c r="E154" s="24"/>
      <c r="F154" s="25" t="s">
        <v>453</v>
      </c>
      <c r="G154" s="25"/>
      <c r="H154" s="139" t="s">
        <v>31</v>
      </c>
      <c r="I154" s="25"/>
      <c r="J154" s="25">
        <v>34.4</v>
      </c>
      <c r="K154" s="39">
        <v>34.4</v>
      </c>
      <c r="L154" s="25">
        <v>1</v>
      </c>
      <c r="M154" s="25" t="s">
        <v>33</v>
      </c>
      <c r="N154" s="39">
        <f t="shared" si="23"/>
        <v>299.27999999999997</v>
      </c>
      <c r="O154" s="39">
        <f t="shared" si="24"/>
        <v>349.15999999999997</v>
      </c>
      <c r="P154" s="39">
        <f t="shared" si="25"/>
        <v>199.51999999999998</v>
      </c>
      <c r="Q154" s="39">
        <f t="shared" si="26"/>
        <v>149.63999999999999</v>
      </c>
      <c r="R154" s="138">
        <v>997.59999999999991</v>
      </c>
      <c r="S154" s="106">
        <v>105991.94</v>
      </c>
      <c r="T154" s="106">
        <v>3646122.736</v>
      </c>
      <c r="U154" s="9"/>
      <c r="V154" s="9"/>
      <c r="W154" s="25" t="s">
        <v>454</v>
      </c>
      <c r="X154" s="25">
        <v>500223</v>
      </c>
      <c r="Y154" s="19" t="s">
        <v>264</v>
      </c>
      <c r="Z154" s="9" t="s">
        <v>453</v>
      </c>
      <c r="AA154" s="70">
        <v>1</v>
      </c>
      <c r="AB154" s="71">
        <v>2813</v>
      </c>
      <c r="AD154" s="165"/>
      <c r="AE154" s="163"/>
      <c r="AF154" s="163"/>
      <c r="AG154" s="164"/>
      <c r="AH154" s="141"/>
      <c r="AI154" s="163"/>
      <c r="AJ154" s="163"/>
      <c r="AK154" s="164"/>
      <c r="AL154" s="169">
        <f>K154*0.3</f>
        <v>10.319999999999999</v>
      </c>
      <c r="AM154" s="196">
        <f>K154*0.35</f>
        <v>12.04</v>
      </c>
      <c r="AN154" s="196">
        <f t="shared" si="28"/>
        <v>6.88</v>
      </c>
      <c r="AO154" s="164"/>
      <c r="AP154" s="141"/>
      <c r="AQ154" s="167"/>
      <c r="AR154" s="167"/>
      <c r="AS154" s="264">
        <f>K154*0.15</f>
        <v>5.1599999999999993</v>
      </c>
      <c r="AT154" s="385"/>
      <c r="AU154" s="163"/>
      <c r="AV154" s="163"/>
      <c r="AW154" s="164"/>
    </row>
    <row r="155" spans="1:49" x14ac:dyDescent="0.25">
      <c r="A155" s="25">
        <v>497</v>
      </c>
      <c r="B155" s="25" t="s">
        <v>28</v>
      </c>
      <c r="C155" s="25" t="s">
        <v>260</v>
      </c>
      <c r="D155" s="25" t="s">
        <v>261</v>
      </c>
      <c r="E155" s="24"/>
      <c r="F155" s="25" t="s">
        <v>455</v>
      </c>
      <c r="G155" s="25"/>
      <c r="H155" s="139" t="s">
        <v>31</v>
      </c>
      <c r="I155" s="25"/>
      <c r="J155" s="25">
        <v>0.65</v>
      </c>
      <c r="K155" s="39">
        <v>0.65</v>
      </c>
      <c r="L155" s="25">
        <v>1</v>
      </c>
      <c r="M155" s="25" t="s">
        <v>33</v>
      </c>
      <c r="N155" s="39">
        <f t="shared" si="23"/>
        <v>12.090000000000002</v>
      </c>
      <c r="O155" s="39">
        <f t="shared" si="24"/>
        <v>14.105</v>
      </c>
      <c r="P155" s="39">
        <f t="shared" si="25"/>
        <v>8.06</v>
      </c>
      <c r="Q155" s="39">
        <f t="shared" si="26"/>
        <v>6.0450000000000008</v>
      </c>
      <c r="R155" s="138">
        <v>40.300000000000004</v>
      </c>
      <c r="S155" s="106">
        <v>105991.94</v>
      </c>
      <c r="T155" s="106">
        <v>68894.760999999999</v>
      </c>
      <c r="U155" s="9"/>
      <c r="V155" s="9"/>
      <c r="W155" s="25" t="s">
        <v>456</v>
      </c>
      <c r="X155" s="25">
        <v>500224</v>
      </c>
      <c r="Y155" s="19" t="s">
        <v>264</v>
      </c>
      <c r="Z155" s="9" t="s">
        <v>455</v>
      </c>
      <c r="AA155" s="70">
        <v>1</v>
      </c>
      <c r="AB155" s="71">
        <v>2813</v>
      </c>
      <c r="AD155" s="165"/>
      <c r="AE155" s="163"/>
      <c r="AF155" s="163"/>
      <c r="AG155" s="164"/>
      <c r="AH155" s="141"/>
      <c r="AI155" s="163"/>
      <c r="AJ155" s="163"/>
      <c r="AK155" s="164"/>
      <c r="AL155" s="169">
        <f t="shared" si="27"/>
        <v>0.19500000000000001</v>
      </c>
      <c r="AM155" s="163"/>
      <c r="AN155" s="163"/>
      <c r="AO155" s="164"/>
      <c r="AP155" s="141"/>
      <c r="AQ155" s="163"/>
      <c r="AR155" s="163"/>
      <c r="AS155" s="164"/>
      <c r="AT155" s="385"/>
      <c r="AU155" s="72"/>
      <c r="AV155" s="72"/>
      <c r="AW155" s="127"/>
    </row>
    <row r="156" spans="1:49" ht="15.75" thickBot="1" x14ac:dyDescent="0.3">
      <c r="A156" s="25">
        <v>498</v>
      </c>
      <c r="B156" s="25" t="s">
        <v>28</v>
      </c>
      <c r="C156" s="25" t="s">
        <v>260</v>
      </c>
      <c r="D156" s="25" t="s">
        <v>261</v>
      </c>
      <c r="E156" s="24"/>
      <c r="F156" s="25" t="s">
        <v>457</v>
      </c>
      <c r="G156" s="25"/>
      <c r="H156" s="139" t="s">
        <v>31</v>
      </c>
      <c r="I156" s="25"/>
      <c r="J156" s="25">
        <v>6.1000000000000005</v>
      </c>
      <c r="K156" s="39">
        <v>6.1000000000000005</v>
      </c>
      <c r="L156" s="25">
        <v>1</v>
      </c>
      <c r="M156" s="25" t="s">
        <v>33</v>
      </c>
      <c r="N156" s="39">
        <f t="shared" si="23"/>
        <v>78.69</v>
      </c>
      <c r="O156" s="39">
        <f t="shared" si="24"/>
        <v>91.804999999999993</v>
      </c>
      <c r="P156" s="39">
        <f t="shared" si="25"/>
        <v>52.460000000000008</v>
      </c>
      <c r="Q156" s="39">
        <f t="shared" si="26"/>
        <v>39.344999999999999</v>
      </c>
      <c r="R156" s="138">
        <v>262.3</v>
      </c>
      <c r="S156" s="106">
        <v>105991.94</v>
      </c>
      <c r="T156" s="106">
        <v>646550.83400000003</v>
      </c>
      <c r="U156" s="9"/>
      <c r="V156" s="9"/>
      <c r="W156" s="25" t="s">
        <v>458</v>
      </c>
      <c r="X156" s="25">
        <v>500224</v>
      </c>
      <c r="Y156" s="19" t="s">
        <v>264</v>
      </c>
      <c r="Z156" s="9" t="s">
        <v>457</v>
      </c>
      <c r="AA156" s="70">
        <v>2</v>
      </c>
      <c r="AB156" s="71">
        <v>2813</v>
      </c>
      <c r="AD156" s="165"/>
      <c r="AE156" s="163"/>
      <c r="AF156" s="163"/>
      <c r="AG156" s="164"/>
      <c r="AH156" s="141"/>
      <c r="AI156" s="163"/>
      <c r="AJ156" s="163"/>
      <c r="AK156" s="164"/>
      <c r="AL156" s="169">
        <f t="shared" si="27"/>
        <v>1.83</v>
      </c>
      <c r="AM156" s="196">
        <f t="shared" ref="AM156:AM158" si="29">K156*0.35</f>
        <v>2.1350000000000002</v>
      </c>
      <c r="AN156" s="196">
        <f t="shared" ref="AN156" si="30">K156*0.2</f>
        <v>1.2200000000000002</v>
      </c>
      <c r="AO156" s="164"/>
      <c r="AP156" s="141"/>
      <c r="AQ156" s="167"/>
      <c r="AR156" s="167"/>
      <c r="AS156" s="264">
        <f>K156*0.15</f>
        <v>0.91500000000000004</v>
      </c>
      <c r="AT156" s="385"/>
      <c r="AU156" s="163"/>
      <c r="AV156" s="163"/>
      <c r="AW156" s="164"/>
    </row>
    <row r="157" spans="1:49" ht="15.75" thickBot="1" x14ac:dyDescent="0.3">
      <c r="A157" s="25">
        <v>499</v>
      </c>
      <c r="B157" s="25" t="s">
        <v>28</v>
      </c>
      <c r="C157" s="25" t="s">
        <v>260</v>
      </c>
      <c r="D157" s="25" t="s">
        <v>261</v>
      </c>
      <c r="E157" s="24"/>
      <c r="F157" s="25" t="s">
        <v>457</v>
      </c>
      <c r="G157" s="25"/>
      <c r="H157" s="139" t="s">
        <v>31</v>
      </c>
      <c r="I157" s="25"/>
      <c r="J157" s="25">
        <v>6.75</v>
      </c>
      <c r="K157" s="39">
        <v>6.75</v>
      </c>
      <c r="L157" s="25">
        <v>1</v>
      </c>
      <c r="M157" s="25" t="s">
        <v>33</v>
      </c>
      <c r="N157" s="39">
        <f t="shared" si="23"/>
        <v>87.075000000000003</v>
      </c>
      <c r="O157" s="39">
        <f t="shared" si="24"/>
        <v>101.58749999999999</v>
      </c>
      <c r="P157" s="39">
        <f t="shared" si="25"/>
        <v>58.050000000000004</v>
      </c>
      <c r="Q157" s="39">
        <f t="shared" si="26"/>
        <v>43.537500000000001</v>
      </c>
      <c r="R157" s="138">
        <v>290.25</v>
      </c>
      <c r="S157" s="106">
        <v>105991.94</v>
      </c>
      <c r="T157" s="106">
        <v>715445.59499999997</v>
      </c>
      <c r="U157" s="9"/>
      <c r="V157" s="9"/>
      <c r="W157" s="25" t="s">
        <v>459</v>
      </c>
      <c r="X157" s="25">
        <v>500225</v>
      </c>
      <c r="Y157" s="19" t="s">
        <v>264</v>
      </c>
      <c r="Z157" s="9" t="s">
        <v>457</v>
      </c>
      <c r="AA157" s="70">
        <v>1</v>
      </c>
      <c r="AB157" s="71">
        <v>2813</v>
      </c>
      <c r="AD157" s="165"/>
      <c r="AE157" s="163"/>
      <c r="AF157" s="163"/>
      <c r="AG157" s="164"/>
      <c r="AH157" s="141"/>
      <c r="AI157" s="163"/>
      <c r="AJ157" s="163"/>
      <c r="AK157" s="164"/>
      <c r="AL157" s="169">
        <f t="shared" si="27"/>
        <v>2.0249999999999999</v>
      </c>
      <c r="AM157" s="196">
        <f t="shared" si="29"/>
        <v>2.3624999999999998</v>
      </c>
      <c r="AN157" s="196">
        <f t="shared" ref="AN157" si="31">K157*0.2</f>
        <v>1.35</v>
      </c>
      <c r="AO157" s="164"/>
      <c r="AP157" s="141"/>
      <c r="AQ157" s="167"/>
      <c r="AR157" s="167"/>
      <c r="AS157" s="264">
        <f t="shared" ref="AS157:AS158" si="32">K157*0.15</f>
        <v>1.0125</v>
      </c>
      <c r="AT157" s="385"/>
      <c r="AU157" s="163"/>
      <c r="AV157" s="163"/>
      <c r="AW157" s="164"/>
    </row>
    <row r="158" spans="1:49" ht="15.75" thickBot="1" x14ac:dyDescent="0.3">
      <c r="A158" s="25">
        <v>500</v>
      </c>
      <c r="B158" s="25" t="s">
        <v>28</v>
      </c>
      <c r="C158" s="25" t="s">
        <v>260</v>
      </c>
      <c r="D158" s="25" t="s">
        <v>261</v>
      </c>
      <c r="E158" s="24"/>
      <c r="F158" s="25" t="s">
        <v>457</v>
      </c>
      <c r="G158" s="25"/>
      <c r="H158" s="139" t="s">
        <v>31</v>
      </c>
      <c r="I158" s="25"/>
      <c r="J158" s="25">
        <v>6.75</v>
      </c>
      <c r="K158" s="39">
        <v>6.75</v>
      </c>
      <c r="L158" s="25">
        <v>1</v>
      </c>
      <c r="M158" s="25" t="s">
        <v>33</v>
      </c>
      <c r="N158" s="39">
        <f t="shared" si="23"/>
        <v>87.075000000000003</v>
      </c>
      <c r="O158" s="39">
        <f t="shared" si="24"/>
        <v>101.58749999999999</v>
      </c>
      <c r="P158" s="39">
        <f t="shared" si="25"/>
        <v>58.050000000000004</v>
      </c>
      <c r="Q158" s="39">
        <f t="shared" si="26"/>
        <v>43.537500000000001</v>
      </c>
      <c r="R158" s="138">
        <v>290.25</v>
      </c>
      <c r="S158" s="106">
        <v>105991.94</v>
      </c>
      <c r="T158" s="106">
        <v>715445.59499999997</v>
      </c>
      <c r="U158" s="9"/>
      <c r="V158" s="9"/>
      <c r="W158" s="25" t="s">
        <v>458</v>
      </c>
      <c r="X158" s="25">
        <v>500245</v>
      </c>
      <c r="Y158" s="19" t="s">
        <v>264</v>
      </c>
      <c r="Z158" s="9" t="s">
        <v>457</v>
      </c>
      <c r="AA158" s="70">
        <v>1</v>
      </c>
      <c r="AB158" s="71">
        <v>2813</v>
      </c>
      <c r="AD158" s="165"/>
      <c r="AE158" s="163"/>
      <c r="AF158" s="163"/>
      <c r="AG158" s="164"/>
      <c r="AH158" s="141"/>
      <c r="AI158" s="163"/>
      <c r="AJ158" s="163"/>
      <c r="AK158" s="164"/>
      <c r="AL158" s="169">
        <f t="shared" si="27"/>
        <v>2.0249999999999999</v>
      </c>
      <c r="AM158" s="196">
        <f t="shared" si="29"/>
        <v>2.3624999999999998</v>
      </c>
      <c r="AN158" s="196">
        <f t="shared" ref="AN158" si="33">K158*0.2</f>
        <v>1.35</v>
      </c>
      <c r="AO158" s="164"/>
      <c r="AP158" s="141"/>
      <c r="AQ158" s="167"/>
      <c r="AR158" s="167"/>
      <c r="AS158" s="264">
        <f t="shared" si="32"/>
        <v>1.0125</v>
      </c>
      <c r="AT158" s="385"/>
      <c r="AU158" s="163"/>
      <c r="AV158" s="163"/>
      <c r="AW158" s="164"/>
    </row>
    <row r="159" spans="1:49" x14ac:dyDescent="0.25">
      <c r="A159" s="25">
        <v>501</v>
      </c>
      <c r="B159" s="25" t="s">
        <v>28</v>
      </c>
      <c r="C159" s="25" t="s">
        <v>260</v>
      </c>
      <c r="D159" s="25" t="s">
        <v>261</v>
      </c>
      <c r="E159" s="24"/>
      <c r="F159" s="25" t="s">
        <v>460</v>
      </c>
      <c r="G159" s="25"/>
      <c r="H159" s="139" t="s">
        <v>31</v>
      </c>
      <c r="I159" s="25"/>
      <c r="J159" s="25">
        <v>0.15</v>
      </c>
      <c r="K159" s="39">
        <v>0.3</v>
      </c>
      <c r="L159" s="25">
        <v>2</v>
      </c>
      <c r="M159" s="25" t="s">
        <v>33</v>
      </c>
      <c r="N159" s="39">
        <f t="shared" si="23"/>
        <v>6.21</v>
      </c>
      <c r="O159" s="39">
        <f t="shared" si="24"/>
        <v>7.2449999999999992</v>
      </c>
      <c r="P159" s="39">
        <f t="shared" si="25"/>
        <v>4.1399999999999997</v>
      </c>
      <c r="Q159" s="39">
        <f t="shared" si="26"/>
        <v>3.105</v>
      </c>
      <c r="R159" s="138">
        <v>20.7</v>
      </c>
      <c r="S159" s="106">
        <v>105991.94</v>
      </c>
      <c r="T159" s="106">
        <v>31797.581999999999</v>
      </c>
      <c r="U159" s="9"/>
      <c r="V159" s="9"/>
      <c r="W159" s="25" t="s">
        <v>461</v>
      </c>
      <c r="X159" s="25">
        <v>500246</v>
      </c>
      <c r="Y159" s="19" t="s">
        <v>264</v>
      </c>
      <c r="Z159" s="9" t="s">
        <v>460</v>
      </c>
      <c r="AA159" s="70">
        <v>1</v>
      </c>
      <c r="AB159" s="71">
        <v>2813</v>
      </c>
      <c r="AD159" s="165"/>
      <c r="AE159" s="163"/>
      <c r="AF159" s="163"/>
      <c r="AG159" s="164"/>
      <c r="AH159" s="141"/>
      <c r="AI159" s="163"/>
      <c r="AJ159" s="163"/>
      <c r="AK159" s="164"/>
      <c r="AL159" s="169">
        <f t="shared" si="27"/>
        <v>0.09</v>
      </c>
      <c r="AM159" s="163"/>
      <c r="AN159" s="163"/>
      <c r="AO159" s="164"/>
      <c r="AP159" s="141"/>
      <c r="AQ159" s="184">
        <f>K159*0.35</f>
        <v>0.105</v>
      </c>
      <c r="AR159" s="184">
        <f>K159*0.2</f>
        <v>0.06</v>
      </c>
      <c r="AS159" s="264">
        <f>K159*0.15</f>
        <v>4.4999999999999998E-2</v>
      </c>
      <c r="AT159" s="385"/>
      <c r="AU159" s="163"/>
      <c r="AV159" s="163"/>
      <c r="AW159" s="164"/>
    </row>
    <row r="160" spans="1:49" x14ac:dyDescent="0.25">
      <c r="A160" s="25">
        <v>502</v>
      </c>
      <c r="B160" s="25" t="s">
        <v>28</v>
      </c>
      <c r="C160" s="25" t="s">
        <v>260</v>
      </c>
      <c r="D160" s="25" t="s">
        <v>261</v>
      </c>
      <c r="E160" s="24"/>
      <c r="F160" s="25" t="s">
        <v>460</v>
      </c>
      <c r="G160" s="25"/>
      <c r="H160" s="139" t="s">
        <v>31</v>
      </c>
      <c r="I160" s="25"/>
      <c r="J160" s="25">
        <v>0.15</v>
      </c>
      <c r="K160" s="39">
        <v>0.3</v>
      </c>
      <c r="L160" s="25">
        <v>2</v>
      </c>
      <c r="M160" s="25" t="s">
        <v>33</v>
      </c>
      <c r="N160" s="39">
        <f t="shared" si="23"/>
        <v>6.21</v>
      </c>
      <c r="O160" s="39">
        <f t="shared" si="24"/>
        <v>7.2449999999999992</v>
      </c>
      <c r="P160" s="39">
        <f t="shared" si="25"/>
        <v>4.1399999999999997</v>
      </c>
      <c r="Q160" s="39">
        <f t="shared" si="26"/>
        <v>3.105</v>
      </c>
      <c r="R160" s="138">
        <v>20.7</v>
      </c>
      <c r="S160" s="106">
        <v>105991.94</v>
      </c>
      <c r="T160" s="106">
        <v>31797.581999999999</v>
      </c>
      <c r="U160" s="9"/>
      <c r="V160" s="9"/>
      <c r="W160" s="25" t="s">
        <v>462</v>
      </c>
      <c r="X160" s="25">
        <v>500246</v>
      </c>
      <c r="Y160" s="19" t="s">
        <v>264</v>
      </c>
      <c r="Z160" s="9" t="s">
        <v>460</v>
      </c>
      <c r="AA160" s="70">
        <v>2</v>
      </c>
      <c r="AB160" s="71">
        <v>2813</v>
      </c>
      <c r="AD160" s="165"/>
      <c r="AE160" s="163"/>
      <c r="AF160" s="163"/>
      <c r="AG160" s="164"/>
      <c r="AH160" s="141"/>
      <c r="AI160" s="163"/>
      <c r="AJ160" s="163"/>
      <c r="AK160" s="164"/>
      <c r="AL160" s="169">
        <f t="shared" si="27"/>
        <v>0.09</v>
      </c>
      <c r="AM160" s="163"/>
      <c r="AN160" s="163"/>
      <c r="AO160" s="164"/>
      <c r="AP160" s="141"/>
      <c r="AQ160" s="184">
        <f>K160*0.35</f>
        <v>0.105</v>
      </c>
      <c r="AR160" s="184">
        <f>K160*0.2</f>
        <v>0.06</v>
      </c>
      <c r="AS160" s="264">
        <f>K160*0.15</f>
        <v>4.4999999999999998E-2</v>
      </c>
      <c r="AT160" s="385"/>
      <c r="AU160" s="163"/>
      <c r="AV160" s="163"/>
      <c r="AW160" s="164"/>
    </row>
    <row r="161" spans="1:49" ht="15.75" thickBot="1" x14ac:dyDescent="0.3">
      <c r="A161" s="25">
        <v>503</v>
      </c>
      <c r="B161" s="25" t="s">
        <v>28</v>
      </c>
      <c r="C161" s="25" t="s">
        <v>260</v>
      </c>
      <c r="D161" s="25" t="s">
        <v>261</v>
      </c>
      <c r="E161" s="24"/>
      <c r="F161" s="25" t="s">
        <v>457</v>
      </c>
      <c r="G161" s="25"/>
      <c r="H161" s="139" t="s">
        <v>31</v>
      </c>
      <c r="I161" s="25"/>
      <c r="J161" s="25">
        <v>6.11</v>
      </c>
      <c r="K161" s="39">
        <v>6.11</v>
      </c>
      <c r="L161" s="25">
        <v>1</v>
      </c>
      <c r="M161" s="25" t="s">
        <v>33</v>
      </c>
      <c r="N161" s="39">
        <f t="shared" si="23"/>
        <v>78.819000000000003</v>
      </c>
      <c r="O161" s="39">
        <f t="shared" si="24"/>
        <v>91.955500000000001</v>
      </c>
      <c r="P161" s="39">
        <f t="shared" si="25"/>
        <v>52.546000000000006</v>
      </c>
      <c r="Q161" s="39">
        <f t="shared" si="26"/>
        <v>39.409500000000001</v>
      </c>
      <c r="R161" s="138">
        <v>262.73</v>
      </c>
      <c r="S161" s="106">
        <v>105991.94</v>
      </c>
      <c r="T161" s="106">
        <v>647610.75340000005</v>
      </c>
      <c r="U161" s="9"/>
      <c r="V161" s="9"/>
      <c r="W161" s="25" t="s">
        <v>459</v>
      </c>
      <c r="X161" s="25">
        <v>500246</v>
      </c>
      <c r="Y161" s="19" t="s">
        <v>264</v>
      </c>
      <c r="Z161" s="9" t="s">
        <v>457</v>
      </c>
      <c r="AA161" s="70">
        <v>3</v>
      </c>
      <c r="AB161" s="71">
        <v>2813</v>
      </c>
      <c r="AD161" s="165"/>
      <c r="AE161" s="163"/>
      <c r="AF161" s="163"/>
      <c r="AG161" s="164"/>
      <c r="AH161" s="141"/>
      <c r="AI161" s="163"/>
      <c r="AJ161" s="163"/>
      <c r="AK161" s="164"/>
      <c r="AL161" s="169">
        <f t="shared" si="27"/>
        <v>1.833</v>
      </c>
      <c r="AM161" s="196">
        <f>K161*0.35</f>
        <v>2.1385000000000001</v>
      </c>
      <c r="AN161" s="196">
        <f t="shared" ref="AN161" si="34">K161*0.2</f>
        <v>1.2220000000000002</v>
      </c>
      <c r="AO161" s="164"/>
      <c r="AP161" s="141"/>
      <c r="AQ161" s="167"/>
      <c r="AR161" s="167"/>
      <c r="AS161" s="264">
        <f>K161*0.15</f>
        <v>0.91649999999999998</v>
      </c>
      <c r="AT161" s="385"/>
      <c r="AU161" s="163"/>
      <c r="AV161" s="163"/>
      <c r="AW161" s="164"/>
    </row>
    <row r="162" spans="1:49" x14ac:dyDescent="0.25">
      <c r="A162" s="25">
        <v>504</v>
      </c>
      <c r="B162" s="25" t="s">
        <v>28</v>
      </c>
      <c r="C162" s="25" t="s">
        <v>260</v>
      </c>
      <c r="D162" s="25" t="s">
        <v>261</v>
      </c>
      <c r="E162" s="24"/>
      <c r="F162" s="25" t="s">
        <v>463</v>
      </c>
      <c r="G162" s="25"/>
      <c r="H162" s="139" t="s">
        <v>31</v>
      </c>
      <c r="I162" s="25"/>
      <c r="J162" s="25">
        <v>0.02</v>
      </c>
      <c r="K162" s="39">
        <v>0.04</v>
      </c>
      <c r="L162" s="25">
        <v>2</v>
      </c>
      <c r="M162" s="25" t="s">
        <v>33</v>
      </c>
      <c r="N162" s="39">
        <f t="shared" si="23"/>
        <v>1.032</v>
      </c>
      <c r="O162" s="39">
        <f t="shared" si="24"/>
        <v>1.204</v>
      </c>
      <c r="P162" s="39">
        <f t="shared" si="25"/>
        <v>0.68800000000000006</v>
      </c>
      <c r="Q162" s="39">
        <f t="shared" si="26"/>
        <v>0.51600000000000001</v>
      </c>
      <c r="R162" s="138">
        <v>3.44</v>
      </c>
      <c r="S162" s="106">
        <v>105991.94</v>
      </c>
      <c r="T162" s="106">
        <v>4239.6776</v>
      </c>
      <c r="U162" s="9"/>
      <c r="V162" s="9"/>
      <c r="W162" s="25" t="s">
        <v>464</v>
      </c>
      <c r="X162" s="25">
        <v>500246</v>
      </c>
      <c r="Y162" s="19" t="s">
        <v>264</v>
      </c>
      <c r="Z162" s="9" t="s">
        <v>463</v>
      </c>
      <c r="AA162" s="70">
        <v>4</v>
      </c>
      <c r="AB162" s="71">
        <v>2813</v>
      </c>
      <c r="AD162" s="165"/>
      <c r="AE162" s="163"/>
      <c r="AF162" s="163"/>
      <c r="AG162" s="164"/>
      <c r="AH162" s="141"/>
      <c r="AI162" s="163"/>
      <c r="AJ162" s="163"/>
      <c r="AK162" s="164"/>
      <c r="AL162" s="169">
        <f t="shared" si="27"/>
        <v>1.2E-2</v>
      </c>
      <c r="AM162" s="163"/>
      <c r="AN162" s="163"/>
      <c r="AO162" s="164"/>
      <c r="AP162" s="141"/>
      <c r="AQ162" s="163"/>
      <c r="AR162" s="163"/>
      <c r="AS162" s="164"/>
      <c r="AT162" s="385"/>
      <c r="AU162" s="72"/>
      <c r="AV162" s="72"/>
      <c r="AW162" s="127"/>
    </row>
    <row r="163" spans="1:49" x14ac:dyDescent="0.25">
      <c r="A163" s="25">
        <v>505</v>
      </c>
      <c r="B163" s="25" t="s">
        <v>28</v>
      </c>
      <c r="C163" s="25" t="s">
        <v>260</v>
      </c>
      <c r="D163" s="25" t="s">
        <v>261</v>
      </c>
      <c r="E163" s="24"/>
      <c r="F163" s="38" t="s">
        <v>465</v>
      </c>
      <c r="G163" s="25"/>
      <c r="H163" s="139" t="s">
        <v>31</v>
      </c>
      <c r="I163" s="25"/>
      <c r="J163" s="25">
        <v>0.4</v>
      </c>
      <c r="K163" s="39">
        <v>0.4</v>
      </c>
      <c r="L163" s="25">
        <v>1</v>
      </c>
      <c r="M163" s="25" t="s">
        <v>33</v>
      </c>
      <c r="N163" s="39">
        <f t="shared" si="23"/>
        <v>8.2799999999999994</v>
      </c>
      <c r="O163" s="39">
        <f t="shared" si="24"/>
        <v>9.66</v>
      </c>
      <c r="P163" s="39">
        <f t="shared" si="25"/>
        <v>5.5200000000000005</v>
      </c>
      <c r="Q163" s="39">
        <f t="shared" si="26"/>
        <v>4.1399999999999997</v>
      </c>
      <c r="R163" s="138">
        <v>27.6</v>
      </c>
      <c r="S163" s="140">
        <v>105991.94</v>
      </c>
      <c r="T163" s="140">
        <v>42396.776000000005</v>
      </c>
      <c r="U163" s="25"/>
      <c r="V163" s="25"/>
      <c r="W163" s="25" t="s">
        <v>466</v>
      </c>
      <c r="X163" s="25">
        <v>500247</v>
      </c>
      <c r="Y163" s="19" t="s">
        <v>264</v>
      </c>
      <c r="Z163" s="9" t="s">
        <v>465</v>
      </c>
      <c r="AA163" s="70">
        <v>1</v>
      </c>
      <c r="AB163" s="71">
        <v>2813</v>
      </c>
      <c r="AD163" s="165"/>
      <c r="AE163" s="163"/>
      <c r="AF163" s="163"/>
      <c r="AG163" s="164"/>
      <c r="AH163" s="141"/>
      <c r="AI163" s="163"/>
      <c r="AJ163" s="163"/>
      <c r="AK163" s="164"/>
      <c r="AL163" s="169">
        <f t="shared" si="27"/>
        <v>0.12</v>
      </c>
      <c r="AM163" s="169">
        <f t="shared" ref="AM163" si="35">L163*0.3</f>
        <v>0.3</v>
      </c>
      <c r="AN163" s="163"/>
      <c r="AO163" s="164"/>
      <c r="AP163" s="141"/>
      <c r="AQ163" s="141"/>
      <c r="AR163" s="184">
        <f>K163*0.2</f>
        <v>8.0000000000000016E-2</v>
      </c>
      <c r="AS163" s="264">
        <f>K163*0.15</f>
        <v>0.06</v>
      </c>
      <c r="AT163" s="385"/>
      <c r="AU163" s="163"/>
      <c r="AV163" s="163"/>
      <c r="AW163" s="164"/>
    </row>
    <row r="164" spans="1:49" ht="15.75" thickBot="1" x14ac:dyDescent="0.3">
      <c r="A164" s="25">
        <v>506</v>
      </c>
      <c r="B164" s="25" t="s">
        <v>28</v>
      </c>
      <c r="C164" s="25" t="s">
        <v>260</v>
      </c>
      <c r="D164" s="25" t="s">
        <v>261</v>
      </c>
      <c r="E164" s="24"/>
      <c r="F164" s="25" t="s">
        <v>467</v>
      </c>
      <c r="G164" s="25"/>
      <c r="H164" s="139" t="s">
        <v>31</v>
      </c>
      <c r="I164" s="25"/>
      <c r="J164" s="25">
        <v>42.2</v>
      </c>
      <c r="K164" s="39">
        <v>42.2</v>
      </c>
      <c r="L164" s="25">
        <v>1</v>
      </c>
      <c r="M164" s="25" t="s">
        <v>33</v>
      </c>
      <c r="N164" s="39">
        <f t="shared" si="23"/>
        <v>367.14000000000004</v>
      </c>
      <c r="O164" s="39">
        <f t="shared" si="24"/>
        <v>428.33000000000004</v>
      </c>
      <c r="P164" s="39">
        <f t="shared" si="25"/>
        <v>244.76000000000005</v>
      </c>
      <c r="Q164" s="39">
        <f t="shared" si="26"/>
        <v>183.57000000000002</v>
      </c>
      <c r="R164" s="138">
        <v>1223.8000000000002</v>
      </c>
      <c r="S164" s="106">
        <v>105991.94</v>
      </c>
      <c r="T164" s="106">
        <v>4472859.8680000007</v>
      </c>
      <c r="U164" s="9"/>
      <c r="V164" s="9"/>
      <c r="W164" s="25" t="s">
        <v>468</v>
      </c>
      <c r="X164" s="25">
        <v>500249</v>
      </c>
      <c r="Y164" s="19" t="s">
        <v>264</v>
      </c>
      <c r="Z164" s="9" t="s">
        <v>467</v>
      </c>
      <c r="AA164" s="70">
        <v>1</v>
      </c>
      <c r="AB164" s="71">
        <v>2813</v>
      </c>
      <c r="AD164" s="165"/>
      <c r="AE164" s="163"/>
      <c r="AF164" s="163"/>
      <c r="AG164" s="164"/>
      <c r="AH164" s="141"/>
      <c r="AI164" s="163"/>
      <c r="AJ164" s="163"/>
      <c r="AK164" s="164"/>
      <c r="AL164" s="169">
        <f t="shared" ref="AL164:AL166" si="36">K164*0.3</f>
        <v>12.66</v>
      </c>
      <c r="AM164" s="196">
        <f>K164*0.35</f>
        <v>14.77</v>
      </c>
      <c r="AN164" s="196">
        <f t="shared" ref="AN164:AN166" si="37">K164*0.2</f>
        <v>8.4400000000000013</v>
      </c>
      <c r="AO164" s="164"/>
      <c r="AP164" s="141"/>
      <c r="AQ164" s="167"/>
      <c r="AR164" s="167"/>
      <c r="AS164" s="264">
        <f>K164*0.15</f>
        <v>6.33</v>
      </c>
      <c r="AT164" s="385"/>
      <c r="AU164" s="163"/>
      <c r="AV164" s="163"/>
      <c r="AW164" s="164"/>
    </row>
    <row r="165" spans="1:49" ht="15.75" thickBot="1" x14ac:dyDescent="0.3">
      <c r="A165" s="25">
        <v>507</v>
      </c>
      <c r="B165" s="25" t="s">
        <v>28</v>
      </c>
      <c r="C165" s="25" t="s">
        <v>260</v>
      </c>
      <c r="D165" s="25" t="s">
        <v>261</v>
      </c>
      <c r="E165" s="24"/>
      <c r="F165" s="25" t="s">
        <v>38</v>
      </c>
      <c r="G165" s="25"/>
      <c r="H165" s="139" t="s">
        <v>31</v>
      </c>
      <c r="I165" s="25"/>
      <c r="J165" s="25">
        <v>4</v>
      </c>
      <c r="K165" s="39">
        <v>4</v>
      </c>
      <c r="L165" s="25">
        <v>1</v>
      </c>
      <c r="M165" s="25" t="s">
        <v>33</v>
      </c>
      <c r="N165" s="39">
        <f t="shared" si="23"/>
        <v>63.599999999999994</v>
      </c>
      <c r="O165" s="39">
        <f t="shared" si="24"/>
        <v>74.199999999999989</v>
      </c>
      <c r="P165" s="39">
        <f t="shared" si="25"/>
        <v>42.400000000000006</v>
      </c>
      <c r="Q165" s="39">
        <f t="shared" si="26"/>
        <v>31.799999999999997</v>
      </c>
      <c r="R165" s="138">
        <v>212</v>
      </c>
      <c r="S165" s="140">
        <v>105991.94</v>
      </c>
      <c r="T165" s="140">
        <v>423967.76</v>
      </c>
      <c r="U165" s="25"/>
      <c r="V165" s="25"/>
      <c r="W165" s="25" t="s">
        <v>469</v>
      </c>
      <c r="X165" s="25">
        <v>500250</v>
      </c>
      <c r="Y165" s="19" t="s">
        <v>264</v>
      </c>
      <c r="Z165" s="9" t="s">
        <v>38</v>
      </c>
      <c r="AA165" s="70">
        <v>1</v>
      </c>
      <c r="AB165" s="71">
        <v>2813</v>
      </c>
      <c r="AD165" s="165"/>
      <c r="AE165" s="163"/>
      <c r="AF165" s="163"/>
      <c r="AG165" s="164"/>
      <c r="AH165" s="141"/>
      <c r="AI165" s="163"/>
      <c r="AJ165" s="163"/>
      <c r="AK165" s="164"/>
      <c r="AL165" s="169">
        <f t="shared" si="36"/>
        <v>1.2</v>
      </c>
      <c r="AM165" s="196">
        <f>K165*0.35</f>
        <v>1.4</v>
      </c>
      <c r="AN165" s="196">
        <f t="shared" si="37"/>
        <v>0.8</v>
      </c>
      <c r="AO165" s="164"/>
      <c r="AP165" s="141"/>
      <c r="AQ165" s="167"/>
      <c r="AR165" s="167"/>
      <c r="AS165" s="264">
        <f t="shared" ref="AS165:AS167" si="38">K165*0.15</f>
        <v>0.6</v>
      </c>
      <c r="AT165" s="385"/>
      <c r="AU165" s="163"/>
      <c r="AV165" s="163"/>
      <c r="AW165" s="164"/>
    </row>
    <row r="166" spans="1:49" ht="15.75" thickBot="1" x14ac:dyDescent="0.3">
      <c r="A166" s="25">
        <v>508</v>
      </c>
      <c r="B166" s="25" t="s">
        <v>28</v>
      </c>
      <c r="C166" s="25" t="s">
        <v>260</v>
      </c>
      <c r="D166" s="25" t="s">
        <v>261</v>
      </c>
      <c r="E166" s="24"/>
      <c r="F166" s="25" t="s">
        <v>38</v>
      </c>
      <c r="G166" s="25"/>
      <c r="H166" s="139" t="s">
        <v>31</v>
      </c>
      <c r="I166" s="25"/>
      <c r="J166" s="25">
        <v>4</v>
      </c>
      <c r="K166" s="39">
        <v>4</v>
      </c>
      <c r="L166" s="25">
        <v>1</v>
      </c>
      <c r="M166" s="25" t="s">
        <v>33</v>
      </c>
      <c r="N166" s="39">
        <f t="shared" si="23"/>
        <v>63.599999999999994</v>
      </c>
      <c r="O166" s="39">
        <f t="shared" si="24"/>
        <v>74.199999999999989</v>
      </c>
      <c r="P166" s="39">
        <f t="shared" si="25"/>
        <v>42.400000000000006</v>
      </c>
      <c r="Q166" s="39">
        <f t="shared" si="26"/>
        <v>31.799999999999997</v>
      </c>
      <c r="R166" s="138">
        <v>212</v>
      </c>
      <c r="S166" s="106">
        <v>105991.94</v>
      </c>
      <c r="T166" s="106">
        <v>423967.76</v>
      </c>
      <c r="U166" s="9"/>
      <c r="V166" s="9"/>
      <c r="W166" s="25" t="s">
        <v>469</v>
      </c>
      <c r="X166" s="25">
        <v>500251</v>
      </c>
      <c r="Y166" s="19" t="s">
        <v>264</v>
      </c>
      <c r="Z166" s="9" t="s">
        <v>38</v>
      </c>
      <c r="AA166" s="70">
        <v>1</v>
      </c>
      <c r="AB166" s="71">
        <v>2813</v>
      </c>
      <c r="AD166" s="165"/>
      <c r="AE166" s="163"/>
      <c r="AF166" s="163"/>
      <c r="AG166" s="164"/>
      <c r="AH166" s="141"/>
      <c r="AI166" s="163"/>
      <c r="AJ166" s="163"/>
      <c r="AK166" s="164"/>
      <c r="AL166" s="169">
        <f t="shared" si="36"/>
        <v>1.2</v>
      </c>
      <c r="AM166" s="196">
        <f>K166*0.35</f>
        <v>1.4</v>
      </c>
      <c r="AN166" s="196">
        <f t="shared" si="37"/>
        <v>0.8</v>
      </c>
      <c r="AO166" s="164"/>
      <c r="AP166" s="141"/>
      <c r="AQ166" s="167"/>
      <c r="AR166" s="167"/>
      <c r="AS166" s="264">
        <f t="shared" si="38"/>
        <v>0.6</v>
      </c>
      <c r="AT166" s="385"/>
      <c r="AU166" s="163"/>
      <c r="AV166" s="163"/>
      <c r="AW166" s="164"/>
    </row>
    <row r="167" spans="1:49" ht="15.75" thickBot="1" x14ac:dyDescent="0.3">
      <c r="A167" s="25">
        <v>509</v>
      </c>
      <c r="B167" s="25" t="s">
        <v>28</v>
      </c>
      <c r="C167" s="25" t="s">
        <v>260</v>
      </c>
      <c r="D167" s="25" t="s">
        <v>261</v>
      </c>
      <c r="E167" s="24"/>
      <c r="F167" s="25" t="s">
        <v>502</v>
      </c>
      <c r="G167" s="25"/>
      <c r="H167" s="139" t="s">
        <v>31</v>
      </c>
      <c r="I167" s="25"/>
      <c r="J167" s="25">
        <v>44.9</v>
      </c>
      <c r="K167" s="39">
        <v>44.9</v>
      </c>
      <c r="L167" s="25">
        <v>1</v>
      </c>
      <c r="M167" s="25" t="s">
        <v>33</v>
      </c>
      <c r="N167" s="39">
        <f t="shared" si="23"/>
        <v>390.62999999999994</v>
      </c>
      <c r="O167" s="39">
        <f t="shared" si="24"/>
        <v>455.73499999999996</v>
      </c>
      <c r="P167" s="39">
        <f t="shared" si="25"/>
        <v>260.42</v>
      </c>
      <c r="Q167" s="39">
        <f t="shared" si="26"/>
        <v>195.31499999999997</v>
      </c>
      <c r="R167" s="138">
        <v>1302.0999999999999</v>
      </c>
      <c r="S167" s="106">
        <v>105991.94</v>
      </c>
      <c r="T167" s="106">
        <v>4759038.1059999997</v>
      </c>
      <c r="U167" s="9"/>
      <c r="V167" s="9"/>
      <c r="W167" s="25" t="s">
        <v>471</v>
      </c>
      <c r="X167" s="25">
        <v>500252</v>
      </c>
      <c r="Y167" s="19" t="s">
        <v>264</v>
      </c>
      <c r="Z167" s="9" t="s">
        <v>470</v>
      </c>
      <c r="AA167" s="70">
        <v>1</v>
      </c>
      <c r="AB167" s="71">
        <v>2813</v>
      </c>
      <c r="AD167" s="166"/>
      <c r="AE167" s="167"/>
      <c r="AF167" s="167"/>
      <c r="AG167" s="168"/>
      <c r="AH167" s="169">
        <f>K167*0.3</f>
        <v>13.469999999999999</v>
      </c>
      <c r="AI167" s="167"/>
      <c r="AJ167" s="167"/>
      <c r="AK167" s="168"/>
      <c r="AL167" s="158" t="s">
        <v>472</v>
      </c>
      <c r="AM167" s="196">
        <f>K167*0.35</f>
        <v>15.714999999999998</v>
      </c>
      <c r="AN167" s="196">
        <f>K167*0.2</f>
        <v>8.98</v>
      </c>
      <c r="AO167" s="168"/>
      <c r="AP167" s="158"/>
      <c r="AQ167" s="167"/>
      <c r="AR167" s="167"/>
      <c r="AS167" s="264">
        <f t="shared" si="38"/>
        <v>6.7349999999999994</v>
      </c>
      <c r="AT167" s="386"/>
      <c r="AU167" s="163"/>
      <c r="AV167" s="163"/>
      <c r="AW167" s="168"/>
    </row>
    <row r="168" spans="1:49" ht="15" customHeight="1" x14ac:dyDescent="0.25">
      <c r="A168" s="28">
        <v>427</v>
      </c>
      <c r="B168" s="28" t="s">
        <v>28</v>
      </c>
      <c r="C168" s="28" t="s">
        <v>473</v>
      </c>
      <c r="D168" s="147" t="s">
        <v>261</v>
      </c>
      <c r="E168" s="147"/>
      <c r="F168" s="28" t="s">
        <v>226</v>
      </c>
      <c r="G168" s="28"/>
      <c r="H168" s="148" t="s">
        <v>31</v>
      </c>
      <c r="I168" s="28"/>
      <c r="J168" s="149">
        <v>3.5000000000000001E-3</v>
      </c>
      <c r="K168" s="153">
        <f>J168*L168</f>
        <v>0.33600000000000002</v>
      </c>
      <c r="L168" s="28">
        <v>96</v>
      </c>
      <c r="M168" s="28" t="s">
        <v>33</v>
      </c>
      <c r="N168" s="39">
        <f t="shared" si="23"/>
        <v>3.5877744000000007</v>
      </c>
      <c r="O168" s="39">
        <f t="shared" si="24"/>
        <v>4.1857368000000008</v>
      </c>
      <c r="P168" s="39">
        <f t="shared" si="25"/>
        <v>2.3918496000000005</v>
      </c>
      <c r="Q168" s="39">
        <f t="shared" si="26"/>
        <v>1.7938872000000003</v>
      </c>
      <c r="R168" s="154">
        <v>11.959248000000002</v>
      </c>
      <c r="S168" s="150">
        <v>105991.94</v>
      </c>
      <c r="T168" s="151">
        <f t="shared" ref="T168:T183" si="39">S168*K168</f>
        <v>35613.291840000005</v>
      </c>
      <c r="U168" s="28"/>
      <c r="V168" s="28"/>
      <c r="W168" s="28" t="s">
        <v>474</v>
      </c>
      <c r="X168" s="28">
        <v>5067</v>
      </c>
      <c r="Y168" s="15" t="s">
        <v>264</v>
      </c>
      <c r="Z168" s="15" t="s">
        <v>226</v>
      </c>
      <c r="AA168" s="142">
        <v>1</v>
      </c>
      <c r="AB168" s="143">
        <v>2813</v>
      </c>
      <c r="AC168" s="37"/>
      <c r="AD168" s="165"/>
      <c r="AE168" s="163"/>
      <c r="AF168" s="163"/>
      <c r="AG168" s="164"/>
      <c r="AH168" s="169">
        <f>K168*0.3</f>
        <v>0.1008</v>
      </c>
      <c r="AI168" s="184">
        <f t="shared" ref="AI168:AI171" si="40">K168*0.35</f>
        <v>0.1176</v>
      </c>
      <c r="AJ168" s="184">
        <f t="shared" ref="AJ168:AJ173" si="41">K168*0.2</f>
        <v>6.720000000000001E-2</v>
      </c>
      <c r="AK168" s="164"/>
      <c r="AL168" s="141"/>
      <c r="AM168" s="163"/>
      <c r="AN168" s="163"/>
      <c r="AO168" s="264">
        <f>K168*0.15</f>
        <v>5.04E-2</v>
      </c>
      <c r="AP168" s="141"/>
      <c r="AQ168" s="163"/>
      <c r="AR168" s="163"/>
      <c r="AS168" s="164"/>
      <c r="AT168" s="385"/>
      <c r="AU168" s="163"/>
      <c r="AV168" s="163"/>
      <c r="AW168" s="164"/>
    </row>
    <row r="169" spans="1:49" ht="15" customHeight="1" x14ac:dyDescent="0.25">
      <c r="A169" s="28">
        <v>428</v>
      </c>
      <c r="B169" s="28" t="s">
        <v>28</v>
      </c>
      <c r="C169" s="28" t="s">
        <v>473</v>
      </c>
      <c r="D169" s="147" t="s">
        <v>261</v>
      </c>
      <c r="E169" s="147"/>
      <c r="F169" s="28" t="s">
        <v>475</v>
      </c>
      <c r="G169" s="28"/>
      <c r="H169" s="148" t="s">
        <v>31</v>
      </c>
      <c r="I169" s="28"/>
      <c r="J169" s="149">
        <v>4.4999999999999997E-3</v>
      </c>
      <c r="K169" s="153">
        <f t="shared" ref="K169:K183" si="42">J169*L169</f>
        <v>0.43199999999999994</v>
      </c>
      <c r="L169" s="28">
        <v>96</v>
      </c>
      <c r="M169" s="28" t="s">
        <v>33</v>
      </c>
      <c r="N169" s="39">
        <f t="shared" si="23"/>
        <v>4.6128527999999998</v>
      </c>
      <c r="O169" s="39">
        <f t="shared" si="24"/>
        <v>5.3816615999999993</v>
      </c>
      <c r="P169" s="39">
        <f t="shared" si="25"/>
        <v>3.0752351999999998</v>
      </c>
      <c r="Q169" s="39">
        <f t="shared" si="26"/>
        <v>2.3064263999999999</v>
      </c>
      <c r="R169" s="154">
        <v>15.376175999999999</v>
      </c>
      <c r="S169" s="150">
        <v>105991.94</v>
      </c>
      <c r="T169" s="151">
        <f t="shared" si="39"/>
        <v>45788.518079999994</v>
      </c>
      <c r="U169" s="28"/>
      <c r="V169" s="28"/>
      <c r="W169" s="28" t="s">
        <v>476</v>
      </c>
      <c r="X169" s="28">
        <v>5067</v>
      </c>
      <c r="Y169" s="15" t="s">
        <v>264</v>
      </c>
      <c r="Z169" s="15" t="s">
        <v>475</v>
      </c>
      <c r="AA169" s="142">
        <v>2</v>
      </c>
      <c r="AB169" s="143">
        <v>2813</v>
      </c>
      <c r="AC169" s="37"/>
      <c r="AD169" s="165"/>
      <c r="AE169" s="163"/>
      <c r="AF169" s="163"/>
      <c r="AG169" s="164"/>
      <c r="AH169" s="169">
        <f t="shared" ref="AH169:AH183" si="43">K169*0.3</f>
        <v>0.12959999999999997</v>
      </c>
      <c r="AI169" s="184">
        <f t="shared" si="40"/>
        <v>0.15119999999999997</v>
      </c>
      <c r="AJ169" s="184">
        <f t="shared" si="41"/>
        <v>8.6399999999999991E-2</v>
      </c>
      <c r="AK169" s="164"/>
      <c r="AL169" s="141"/>
      <c r="AM169" s="163"/>
      <c r="AN169" s="163"/>
      <c r="AO169" s="264">
        <f t="shared" ref="AO169:AO176" si="44">K169*0.15</f>
        <v>6.4799999999999983E-2</v>
      </c>
      <c r="AP169" s="141"/>
      <c r="AQ169" s="163"/>
      <c r="AR169" s="163"/>
      <c r="AS169" s="164"/>
      <c r="AT169" s="141"/>
      <c r="AU169" s="163"/>
      <c r="AV169" s="163"/>
      <c r="AW169" s="164"/>
    </row>
    <row r="170" spans="1:49" ht="15" customHeight="1" x14ac:dyDescent="0.25">
      <c r="A170" s="28">
        <v>429</v>
      </c>
      <c r="B170" s="28" t="s">
        <v>28</v>
      </c>
      <c r="C170" s="28" t="s">
        <v>473</v>
      </c>
      <c r="D170" s="147" t="s">
        <v>261</v>
      </c>
      <c r="E170" s="147"/>
      <c r="F170" s="28" t="s">
        <v>477</v>
      </c>
      <c r="G170" s="28"/>
      <c r="H170" s="148" t="s">
        <v>31</v>
      </c>
      <c r="I170" s="28"/>
      <c r="J170" s="149">
        <v>4.4999999999999997E-3</v>
      </c>
      <c r="K170" s="153">
        <f t="shared" si="42"/>
        <v>0.43199999999999994</v>
      </c>
      <c r="L170" s="28">
        <v>96</v>
      </c>
      <c r="M170" s="28" t="s">
        <v>33</v>
      </c>
      <c r="N170" s="39">
        <f t="shared" si="23"/>
        <v>4.6128527999999998</v>
      </c>
      <c r="O170" s="39">
        <f t="shared" si="24"/>
        <v>5.3816615999999993</v>
      </c>
      <c r="P170" s="39">
        <f t="shared" si="25"/>
        <v>3.0752351999999998</v>
      </c>
      <c r="Q170" s="39">
        <f t="shared" si="26"/>
        <v>2.3064263999999999</v>
      </c>
      <c r="R170" s="154">
        <v>15.376175999999999</v>
      </c>
      <c r="S170" s="150">
        <v>105991.94</v>
      </c>
      <c r="T170" s="151">
        <f t="shared" si="39"/>
        <v>45788.518079999994</v>
      </c>
      <c r="U170" s="28"/>
      <c r="V170" s="28"/>
      <c r="W170" s="28" t="s">
        <v>478</v>
      </c>
      <c r="X170" s="28">
        <v>5067</v>
      </c>
      <c r="Y170" s="15" t="s">
        <v>264</v>
      </c>
      <c r="Z170" s="15" t="s">
        <v>477</v>
      </c>
      <c r="AA170" s="142">
        <v>3</v>
      </c>
      <c r="AB170" s="143">
        <v>2813</v>
      </c>
      <c r="AC170" s="37"/>
      <c r="AD170" s="165"/>
      <c r="AE170" s="163"/>
      <c r="AF170" s="163"/>
      <c r="AG170" s="164"/>
      <c r="AH170" s="169">
        <f t="shared" si="43"/>
        <v>0.12959999999999997</v>
      </c>
      <c r="AI170" s="184">
        <f t="shared" si="40"/>
        <v>0.15119999999999997</v>
      </c>
      <c r="AJ170" s="184">
        <f t="shared" si="41"/>
        <v>8.6399999999999991E-2</v>
      </c>
      <c r="AK170" s="164"/>
      <c r="AL170" s="141"/>
      <c r="AM170" s="163"/>
      <c r="AN170" s="163"/>
      <c r="AO170" s="264">
        <f t="shared" si="44"/>
        <v>6.4799999999999983E-2</v>
      </c>
      <c r="AP170" s="141"/>
      <c r="AQ170" s="163"/>
      <c r="AR170" s="163"/>
      <c r="AS170" s="164"/>
      <c r="AT170" s="141"/>
      <c r="AU170" s="163"/>
      <c r="AV170" s="163"/>
      <c r="AW170" s="164"/>
    </row>
    <row r="171" spans="1:49" ht="15" customHeight="1" x14ac:dyDescent="0.25">
      <c r="A171" s="28">
        <v>430</v>
      </c>
      <c r="B171" s="28" t="s">
        <v>28</v>
      </c>
      <c r="C171" s="28" t="s">
        <v>473</v>
      </c>
      <c r="D171" s="147" t="s">
        <v>261</v>
      </c>
      <c r="E171" s="147"/>
      <c r="F171" s="28" t="s">
        <v>479</v>
      </c>
      <c r="G171" s="28"/>
      <c r="H171" s="148" t="s">
        <v>31</v>
      </c>
      <c r="I171" s="28"/>
      <c r="J171" s="149">
        <v>1.5299999999999999E-3</v>
      </c>
      <c r="K171" s="153">
        <f t="shared" si="42"/>
        <v>7.3439999999999991E-2</v>
      </c>
      <c r="L171" s="28">
        <v>48</v>
      </c>
      <c r="M171" s="28" t="s">
        <v>33</v>
      </c>
      <c r="N171" s="39">
        <f t="shared" si="23"/>
        <v>0.78418497600000003</v>
      </c>
      <c r="O171" s="39">
        <f t="shared" si="24"/>
        <v>0.91488247199999995</v>
      </c>
      <c r="P171" s="39">
        <f t="shared" si="25"/>
        <v>0.52278998399999999</v>
      </c>
      <c r="Q171" s="39">
        <f t="shared" si="26"/>
        <v>0.39209248800000002</v>
      </c>
      <c r="R171" s="154">
        <v>2.61394992</v>
      </c>
      <c r="S171" s="150">
        <v>105991.94</v>
      </c>
      <c r="T171" s="151">
        <f t="shared" si="39"/>
        <v>7784.048073599999</v>
      </c>
      <c r="U171" s="28"/>
      <c r="V171" s="28"/>
      <c r="W171" s="28" t="s">
        <v>480</v>
      </c>
      <c r="X171" s="28">
        <v>5067</v>
      </c>
      <c r="Y171" s="15" t="s">
        <v>264</v>
      </c>
      <c r="Z171" s="15" t="s">
        <v>479</v>
      </c>
      <c r="AA171" s="142">
        <v>4</v>
      </c>
      <c r="AB171" s="143">
        <v>2813</v>
      </c>
      <c r="AC171" s="37"/>
      <c r="AD171" s="165"/>
      <c r="AE171" s="163"/>
      <c r="AF171" s="163"/>
      <c r="AG171" s="164"/>
      <c r="AH171" s="169">
        <f t="shared" si="43"/>
        <v>2.2031999999999996E-2</v>
      </c>
      <c r="AI171" s="184">
        <f t="shared" si="40"/>
        <v>2.5703999999999994E-2</v>
      </c>
      <c r="AJ171" s="184">
        <f t="shared" si="41"/>
        <v>1.4688E-2</v>
      </c>
      <c r="AK171" s="164"/>
      <c r="AL171" s="141"/>
      <c r="AM171" s="163"/>
      <c r="AN171" s="163"/>
      <c r="AO171" s="264">
        <f t="shared" si="44"/>
        <v>1.1015999999999998E-2</v>
      </c>
      <c r="AP171" s="141"/>
      <c r="AQ171" s="163"/>
      <c r="AR171" s="163"/>
      <c r="AS171" s="164"/>
      <c r="AT171" s="141"/>
      <c r="AU171" s="163"/>
      <c r="AV171" s="163"/>
      <c r="AW171" s="164"/>
    </row>
    <row r="172" spans="1:49" ht="15" customHeight="1" x14ac:dyDescent="0.25">
      <c r="A172" s="28">
        <v>431</v>
      </c>
      <c r="B172" s="28" t="s">
        <v>28</v>
      </c>
      <c r="C172" s="28" t="s">
        <v>473</v>
      </c>
      <c r="D172" s="147" t="s">
        <v>261</v>
      </c>
      <c r="E172" s="147"/>
      <c r="F172" s="28" t="s">
        <v>481</v>
      </c>
      <c r="G172" s="28"/>
      <c r="H172" s="148" t="s">
        <v>31</v>
      </c>
      <c r="I172" s="28"/>
      <c r="J172" s="149">
        <v>4.4499999999999998E-2</v>
      </c>
      <c r="K172" s="153">
        <f t="shared" si="42"/>
        <v>1.335</v>
      </c>
      <c r="L172" s="28">
        <v>30</v>
      </c>
      <c r="M172" s="28" t="s">
        <v>33</v>
      </c>
      <c r="N172" s="39">
        <f t="shared" si="23"/>
        <v>14.254996499999999</v>
      </c>
      <c r="O172" s="39">
        <f t="shared" si="24"/>
        <v>16.630829249999998</v>
      </c>
      <c r="P172" s="39">
        <f t="shared" si="25"/>
        <v>9.5033310000000011</v>
      </c>
      <c r="Q172" s="39">
        <f t="shared" si="26"/>
        <v>7.1274982499999995</v>
      </c>
      <c r="R172" s="154">
        <v>47.516655</v>
      </c>
      <c r="S172" s="150">
        <v>105991.94</v>
      </c>
      <c r="T172" s="151">
        <f t="shared" si="39"/>
        <v>141499.23989999999</v>
      </c>
      <c r="U172" s="28"/>
      <c r="V172" s="28"/>
      <c r="W172" s="28" t="s">
        <v>482</v>
      </c>
      <c r="X172" s="28">
        <v>5067</v>
      </c>
      <c r="Y172" s="15" t="s">
        <v>264</v>
      </c>
      <c r="Z172" s="15" t="s">
        <v>481</v>
      </c>
      <c r="AA172" s="142">
        <v>5</v>
      </c>
      <c r="AB172" s="143">
        <v>2813</v>
      </c>
      <c r="AC172" s="37"/>
      <c r="AD172" s="165"/>
      <c r="AE172" s="163"/>
      <c r="AF172" s="163"/>
      <c r="AG172" s="164"/>
      <c r="AH172" s="169">
        <f t="shared" si="43"/>
        <v>0.40049999999999997</v>
      </c>
      <c r="AI172" s="184">
        <f>K172*0.35</f>
        <v>0.46724999999999994</v>
      </c>
      <c r="AJ172" s="184">
        <f t="shared" si="41"/>
        <v>0.26700000000000002</v>
      </c>
      <c r="AK172" s="164"/>
      <c r="AL172" s="141"/>
      <c r="AM172" s="163"/>
      <c r="AN172" s="163"/>
      <c r="AO172" s="264">
        <f t="shared" si="44"/>
        <v>0.20024999999999998</v>
      </c>
      <c r="AP172" s="141"/>
      <c r="AQ172" s="163"/>
      <c r="AR172" s="163"/>
      <c r="AS172" s="164"/>
      <c r="AT172" s="141"/>
      <c r="AU172" s="163"/>
      <c r="AV172" s="163"/>
      <c r="AW172" s="164"/>
    </row>
    <row r="173" spans="1:49" ht="15" customHeight="1" x14ac:dyDescent="0.25">
      <c r="A173" s="28">
        <v>432</v>
      </c>
      <c r="B173" s="28" t="s">
        <v>28</v>
      </c>
      <c r="C173" s="28" t="s">
        <v>473</v>
      </c>
      <c r="D173" s="147" t="s">
        <v>261</v>
      </c>
      <c r="E173" s="147"/>
      <c r="F173" s="28" t="s">
        <v>481</v>
      </c>
      <c r="G173" s="28"/>
      <c r="H173" s="148" t="s">
        <v>31</v>
      </c>
      <c r="I173" s="28"/>
      <c r="J173" s="149">
        <v>2.7900000000000001E-2</v>
      </c>
      <c r="K173" s="153">
        <f t="shared" si="42"/>
        <v>0.83700000000000008</v>
      </c>
      <c r="L173" s="28">
        <v>30</v>
      </c>
      <c r="M173" s="28" t="s">
        <v>33</v>
      </c>
      <c r="N173" s="39">
        <f t="shared" si="23"/>
        <v>8.9374023000000022</v>
      </c>
      <c r="O173" s="39">
        <f t="shared" si="24"/>
        <v>10.426969350000002</v>
      </c>
      <c r="P173" s="39">
        <f t="shared" si="25"/>
        <v>5.9582682000000018</v>
      </c>
      <c r="Q173" s="39">
        <f t="shared" si="26"/>
        <v>4.4687011500000011</v>
      </c>
      <c r="R173" s="154">
        <v>29.791341000000006</v>
      </c>
      <c r="S173" s="150">
        <v>105991.94</v>
      </c>
      <c r="T173" s="151">
        <f t="shared" si="39"/>
        <v>88715.253780000014</v>
      </c>
      <c r="U173" s="28"/>
      <c r="V173" s="28"/>
      <c r="W173" s="28" t="s">
        <v>483</v>
      </c>
      <c r="X173" s="28">
        <v>5067</v>
      </c>
      <c r="Y173" s="15" t="s">
        <v>264</v>
      </c>
      <c r="Z173" s="15" t="s">
        <v>481</v>
      </c>
      <c r="AA173" s="142">
        <v>6</v>
      </c>
      <c r="AB173" s="143">
        <v>2813</v>
      </c>
      <c r="AC173" s="37"/>
      <c r="AD173" s="165"/>
      <c r="AE173" s="163"/>
      <c r="AF173" s="163"/>
      <c r="AG173" s="164"/>
      <c r="AH173" s="169">
        <f t="shared" si="43"/>
        <v>0.25109999999999999</v>
      </c>
      <c r="AI173" s="184">
        <f>K173*0.35</f>
        <v>0.29294999999999999</v>
      </c>
      <c r="AJ173" s="184">
        <f t="shared" si="41"/>
        <v>0.16740000000000002</v>
      </c>
      <c r="AK173" s="164"/>
      <c r="AL173" s="141"/>
      <c r="AM173" s="163"/>
      <c r="AN173" s="163"/>
      <c r="AO173" s="264">
        <f t="shared" si="44"/>
        <v>0.12554999999999999</v>
      </c>
      <c r="AP173" s="141"/>
      <c r="AQ173" s="163"/>
      <c r="AR173" s="163"/>
      <c r="AS173" s="164"/>
      <c r="AT173" s="141"/>
      <c r="AU173" s="163"/>
      <c r="AV173" s="163"/>
      <c r="AW173" s="164"/>
    </row>
    <row r="174" spans="1:49" ht="15" customHeight="1" x14ac:dyDescent="0.25">
      <c r="A174" s="28">
        <v>433</v>
      </c>
      <c r="B174" s="28" t="s">
        <v>28</v>
      </c>
      <c r="C174" s="28" t="s">
        <v>473</v>
      </c>
      <c r="D174" s="147" t="s">
        <v>261</v>
      </c>
      <c r="E174" s="147"/>
      <c r="F174" s="28" t="s">
        <v>484</v>
      </c>
      <c r="G174" s="28"/>
      <c r="H174" s="148" t="s">
        <v>31</v>
      </c>
      <c r="I174" s="28"/>
      <c r="J174" s="149">
        <v>9.6799999999999997E-2</v>
      </c>
      <c r="K174" s="153">
        <f t="shared" si="42"/>
        <v>4.6463999999999999</v>
      </c>
      <c r="L174" s="28">
        <v>48</v>
      </c>
      <c r="M174" s="28" t="s">
        <v>33</v>
      </c>
      <c r="N174" s="39">
        <f t="shared" si="23"/>
        <v>49.613794560000002</v>
      </c>
      <c r="O174" s="39">
        <f t="shared" si="24"/>
        <v>57.882760319999996</v>
      </c>
      <c r="P174" s="39">
        <f t="shared" si="25"/>
        <v>33.075863040000002</v>
      </c>
      <c r="Q174" s="39">
        <f t="shared" si="26"/>
        <v>24.806897280000001</v>
      </c>
      <c r="R174" s="154">
        <v>165.37931520000001</v>
      </c>
      <c r="S174" s="150">
        <v>105991.94</v>
      </c>
      <c r="T174" s="151">
        <f t="shared" si="39"/>
        <v>492480.95001600002</v>
      </c>
      <c r="U174" s="28"/>
      <c r="V174" s="28"/>
      <c r="W174" s="28" t="s">
        <v>485</v>
      </c>
      <c r="X174" s="28">
        <v>5065</v>
      </c>
      <c r="Y174" s="15" t="s">
        <v>264</v>
      </c>
      <c r="Z174" s="15" t="s">
        <v>484</v>
      </c>
      <c r="AA174" s="142">
        <v>1</v>
      </c>
      <c r="AB174" s="143">
        <v>2813</v>
      </c>
      <c r="AC174" s="37"/>
      <c r="AD174" s="152">
        <f>K174*0.3</f>
        <v>1.3939199999999998</v>
      </c>
      <c r="AE174" s="163"/>
      <c r="AF174" s="163"/>
      <c r="AG174" s="164"/>
      <c r="AH174" s="141"/>
      <c r="AI174" s="184">
        <f>K174*0.35</f>
        <v>1.6262399999999999</v>
      </c>
      <c r="AJ174" s="184">
        <f>K174*0.2</f>
        <v>0.92927999999999999</v>
      </c>
      <c r="AK174" s="164"/>
      <c r="AL174" s="141"/>
      <c r="AM174" s="163"/>
      <c r="AN174" s="163"/>
      <c r="AO174" s="264">
        <f t="shared" si="44"/>
        <v>0.69695999999999991</v>
      </c>
      <c r="AP174" s="141"/>
      <c r="AQ174" s="163"/>
      <c r="AR174" s="163"/>
      <c r="AS174" s="164"/>
      <c r="AT174" s="141"/>
      <c r="AU174" s="163"/>
      <c r="AV174" s="163"/>
      <c r="AW174" s="164"/>
    </row>
    <row r="175" spans="1:49" ht="15" customHeight="1" x14ac:dyDescent="0.25">
      <c r="A175" s="28">
        <v>434</v>
      </c>
      <c r="B175" s="28" t="s">
        <v>28</v>
      </c>
      <c r="C175" s="28" t="s">
        <v>473</v>
      </c>
      <c r="D175" s="147" t="s">
        <v>261</v>
      </c>
      <c r="E175" s="147"/>
      <c r="F175" s="28" t="s">
        <v>481</v>
      </c>
      <c r="G175" s="28"/>
      <c r="H175" s="148" t="s">
        <v>31</v>
      </c>
      <c r="I175" s="28"/>
      <c r="J175" s="149">
        <v>2.3335000000000002E-2</v>
      </c>
      <c r="K175" s="153">
        <f t="shared" si="42"/>
        <v>0.70005000000000006</v>
      </c>
      <c r="L175" s="28">
        <v>30</v>
      </c>
      <c r="M175" s="28" t="s">
        <v>33</v>
      </c>
      <c r="N175" s="39">
        <f t="shared" si="23"/>
        <v>7.4750638950000017</v>
      </c>
      <c r="O175" s="39">
        <f t="shared" si="24"/>
        <v>8.720907877500002</v>
      </c>
      <c r="P175" s="39">
        <f t="shared" si="25"/>
        <v>4.9833759300000011</v>
      </c>
      <c r="Q175" s="39">
        <f t="shared" si="26"/>
        <v>3.7375319475000008</v>
      </c>
      <c r="R175" s="154">
        <v>24.916879650000006</v>
      </c>
      <c r="S175" s="150">
        <v>105991.94</v>
      </c>
      <c r="T175" s="151">
        <f t="shared" si="39"/>
        <v>74199.657597000012</v>
      </c>
      <c r="U175" s="28"/>
      <c r="V175" s="28"/>
      <c r="W175" s="28" t="s">
        <v>486</v>
      </c>
      <c r="X175" s="28">
        <v>5051</v>
      </c>
      <c r="Y175" s="15" t="s">
        <v>264</v>
      </c>
      <c r="Z175" s="15" t="s">
        <v>481</v>
      </c>
      <c r="AA175" s="142">
        <v>1</v>
      </c>
      <c r="AB175" s="143">
        <v>2813</v>
      </c>
      <c r="AC175" s="37"/>
      <c r="AD175" s="165"/>
      <c r="AE175" s="163"/>
      <c r="AF175" s="163"/>
      <c r="AG175" s="164"/>
      <c r="AH175" s="169">
        <f t="shared" si="43"/>
        <v>0.21001500000000001</v>
      </c>
      <c r="AI175" s="184">
        <f t="shared" ref="AI175:AI176" si="45">K175*0.35</f>
        <v>0.2450175</v>
      </c>
      <c r="AJ175" s="184">
        <f t="shared" ref="AJ175:AJ176" si="46">K175*0.2</f>
        <v>0.14001000000000002</v>
      </c>
      <c r="AK175" s="164"/>
      <c r="AL175" s="141"/>
      <c r="AM175" s="163"/>
      <c r="AN175" s="163"/>
      <c r="AO175" s="264">
        <f t="shared" si="44"/>
        <v>0.1050075</v>
      </c>
      <c r="AP175" s="141"/>
      <c r="AQ175" s="163"/>
      <c r="AR175" s="163"/>
      <c r="AS175" s="164"/>
      <c r="AT175" s="141"/>
      <c r="AU175" s="163"/>
      <c r="AV175" s="163"/>
      <c r="AW175" s="164"/>
    </row>
    <row r="176" spans="1:49" ht="15" customHeight="1" x14ac:dyDescent="0.25">
      <c r="A176" s="28">
        <v>435</v>
      </c>
      <c r="B176" s="28" t="s">
        <v>28</v>
      </c>
      <c r="C176" s="28" t="s">
        <v>473</v>
      </c>
      <c r="D176" s="147" t="s">
        <v>261</v>
      </c>
      <c r="E176" s="147"/>
      <c r="F176" s="28" t="s">
        <v>481</v>
      </c>
      <c r="G176" s="28"/>
      <c r="H176" s="148" t="s">
        <v>31</v>
      </c>
      <c r="I176" s="28"/>
      <c r="J176" s="149">
        <v>2.3335000000000002E-2</v>
      </c>
      <c r="K176" s="153">
        <f t="shared" si="42"/>
        <v>0.70005000000000006</v>
      </c>
      <c r="L176" s="28">
        <v>30</v>
      </c>
      <c r="M176" s="28" t="s">
        <v>33</v>
      </c>
      <c r="N176" s="39">
        <f t="shared" si="23"/>
        <v>7.4750638950000017</v>
      </c>
      <c r="O176" s="39">
        <f t="shared" si="24"/>
        <v>8.720907877500002</v>
      </c>
      <c r="P176" s="39">
        <f t="shared" si="25"/>
        <v>4.9833759300000011</v>
      </c>
      <c r="Q176" s="39">
        <f t="shared" si="26"/>
        <v>3.7375319475000008</v>
      </c>
      <c r="R176" s="154">
        <v>24.916879650000006</v>
      </c>
      <c r="S176" s="150">
        <v>105991.94</v>
      </c>
      <c r="T176" s="151">
        <f t="shared" si="39"/>
        <v>74199.657597000012</v>
      </c>
      <c r="U176" s="28"/>
      <c r="V176" s="28"/>
      <c r="W176" s="28" t="s">
        <v>487</v>
      </c>
      <c r="X176" s="28">
        <v>5051</v>
      </c>
      <c r="Y176" s="15" t="s">
        <v>264</v>
      </c>
      <c r="Z176" s="15" t="s">
        <v>481</v>
      </c>
      <c r="AA176" s="142">
        <v>2</v>
      </c>
      <c r="AB176" s="143">
        <v>2813</v>
      </c>
      <c r="AC176" s="37"/>
      <c r="AD176" s="165"/>
      <c r="AE176" s="163"/>
      <c r="AF176" s="163"/>
      <c r="AG176" s="164"/>
      <c r="AH176" s="169">
        <f t="shared" si="43"/>
        <v>0.21001500000000001</v>
      </c>
      <c r="AI176" s="184">
        <f t="shared" si="45"/>
        <v>0.2450175</v>
      </c>
      <c r="AJ176" s="184">
        <f t="shared" si="46"/>
        <v>0.14001000000000002</v>
      </c>
      <c r="AK176" s="164"/>
      <c r="AL176" s="141"/>
      <c r="AM176" s="163"/>
      <c r="AN176" s="163"/>
      <c r="AO176" s="264">
        <f t="shared" si="44"/>
        <v>0.1050075</v>
      </c>
      <c r="AP176" s="141"/>
      <c r="AQ176" s="163"/>
      <c r="AR176" s="163"/>
      <c r="AS176" s="164"/>
      <c r="AT176" s="141"/>
      <c r="AU176" s="163"/>
      <c r="AV176" s="163"/>
      <c r="AW176" s="164"/>
    </row>
    <row r="177" spans="1:49" ht="29.45" customHeight="1" x14ac:dyDescent="0.25">
      <c r="A177" s="28">
        <v>436</v>
      </c>
      <c r="B177" s="28" t="s">
        <v>28</v>
      </c>
      <c r="C177" s="28" t="s">
        <v>473</v>
      </c>
      <c r="D177" s="147" t="s">
        <v>261</v>
      </c>
      <c r="E177" s="147"/>
      <c r="F177" s="28" t="s">
        <v>488</v>
      </c>
      <c r="G177" s="28"/>
      <c r="H177" s="148" t="s">
        <v>31</v>
      </c>
      <c r="I177" s="28"/>
      <c r="J177" s="149">
        <v>5.9999999999999995E-4</v>
      </c>
      <c r="K177" s="153">
        <f t="shared" si="42"/>
        <v>3.5999999999999999E-3</v>
      </c>
      <c r="L177" s="28">
        <v>6</v>
      </c>
      <c r="M177" s="28" t="s">
        <v>33</v>
      </c>
      <c r="N177" s="39">
        <f t="shared" si="23"/>
        <v>3.8440440000000006E-2</v>
      </c>
      <c r="O177" s="39">
        <f t="shared" si="24"/>
        <v>4.4847180000000007E-2</v>
      </c>
      <c r="P177" s="39">
        <f t="shared" si="25"/>
        <v>2.5626960000000004E-2</v>
      </c>
      <c r="Q177" s="39">
        <f t="shared" si="26"/>
        <v>1.9220220000000003E-2</v>
      </c>
      <c r="R177" s="154">
        <v>0.12813480000000002</v>
      </c>
      <c r="S177" s="150">
        <v>105991.94</v>
      </c>
      <c r="T177" s="151">
        <f t="shared" si="39"/>
        <v>381.57098400000001</v>
      </c>
      <c r="U177" s="28"/>
      <c r="V177" s="28"/>
      <c r="W177" s="28" t="s">
        <v>489</v>
      </c>
      <c r="X177" s="28">
        <v>5050</v>
      </c>
      <c r="Y177" s="15" t="s">
        <v>264</v>
      </c>
      <c r="Z177" s="15" t="s">
        <v>488</v>
      </c>
      <c r="AA177" s="142">
        <v>1</v>
      </c>
      <c r="AB177" s="143">
        <v>2813</v>
      </c>
      <c r="AC177" s="37"/>
      <c r="AD177" s="165"/>
      <c r="AE177" s="163"/>
      <c r="AF177" s="163"/>
      <c r="AG177" s="164"/>
      <c r="AH177" s="169">
        <f t="shared" si="43"/>
        <v>1.08E-3</v>
      </c>
      <c r="AI177" s="163"/>
      <c r="AJ177" s="163"/>
      <c r="AK177" s="164"/>
      <c r="AL177" s="141"/>
      <c r="AM177" s="163"/>
      <c r="AN177" s="163"/>
      <c r="AO177" s="164"/>
      <c r="AP177" s="141"/>
      <c r="AQ177" s="163"/>
      <c r="AR177" s="163"/>
      <c r="AS177" s="164"/>
      <c r="AT177" s="141"/>
      <c r="AU177" s="72"/>
      <c r="AV177" s="72"/>
      <c r="AW177" s="127"/>
    </row>
    <row r="178" spans="1:49" ht="15" customHeight="1" x14ac:dyDescent="0.25">
      <c r="A178" s="28">
        <v>437</v>
      </c>
      <c r="B178" s="28" t="s">
        <v>28</v>
      </c>
      <c r="C178" s="28" t="s">
        <v>473</v>
      </c>
      <c r="D178" s="147" t="s">
        <v>261</v>
      </c>
      <c r="E178" s="147"/>
      <c r="F178" s="28" t="s">
        <v>490</v>
      </c>
      <c r="G178" s="28"/>
      <c r="H178" s="148" t="s">
        <v>31</v>
      </c>
      <c r="I178" s="28"/>
      <c r="J178" s="149">
        <v>8.9999999999999998E-4</v>
      </c>
      <c r="K178" s="153">
        <f t="shared" si="42"/>
        <v>8.6400000000000005E-2</v>
      </c>
      <c r="L178" s="28">
        <v>96</v>
      </c>
      <c r="M178" s="28" t="s">
        <v>33</v>
      </c>
      <c r="N178" s="39">
        <f t="shared" si="23"/>
        <v>0.92257056000000004</v>
      </c>
      <c r="O178" s="39">
        <f t="shared" si="24"/>
        <v>1.0763323200000001</v>
      </c>
      <c r="P178" s="39">
        <f t="shared" si="25"/>
        <v>0.6150470400000001</v>
      </c>
      <c r="Q178" s="39">
        <f t="shared" si="26"/>
        <v>0.46128528000000002</v>
      </c>
      <c r="R178" s="154">
        <v>3.0752352000000003</v>
      </c>
      <c r="S178" s="150">
        <v>105991.94</v>
      </c>
      <c r="T178" s="151">
        <f t="shared" si="39"/>
        <v>9157.7036160000007</v>
      </c>
      <c r="U178" s="28"/>
      <c r="V178" s="28"/>
      <c r="W178" s="28" t="s">
        <v>491</v>
      </c>
      <c r="X178" s="28">
        <v>5050</v>
      </c>
      <c r="Y178" s="15" t="s">
        <v>264</v>
      </c>
      <c r="Z178" s="15" t="s">
        <v>490</v>
      </c>
      <c r="AA178" s="142">
        <v>2</v>
      </c>
      <c r="AB178" s="143">
        <v>2813</v>
      </c>
      <c r="AC178" s="37"/>
      <c r="AD178" s="165"/>
      <c r="AE178" s="163"/>
      <c r="AF178" s="163"/>
      <c r="AG178" s="164"/>
      <c r="AH178" s="169">
        <f t="shared" si="43"/>
        <v>2.5920000000000002E-2</v>
      </c>
      <c r="AI178" s="163"/>
      <c r="AJ178" s="163"/>
      <c r="AK178" s="164"/>
      <c r="AL178" s="141"/>
      <c r="AM178" s="163"/>
      <c r="AN178" s="163"/>
      <c r="AO178" s="164"/>
      <c r="AP178" s="141"/>
      <c r="AQ178" s="163"/>
      <c r="AR178" s="163"/>
      <c r="AS178" s="164"/>
      <c r="AT178" s="141"/>
      <c r="AU178" s="72"/>
      <c r="AV178" s="72"/>
      <c r="AW178" s="127"/>
    </row>
    <row r="179" spans="1:49" ht="15" customHeight="1" x14ac:dyDescent="0.25">
      <c r="A179" s="28">
        <v>438</v>
      </c>
      <c r="B179" s="28" t="s">
        <v>28</v>
      </c>
      <c r="C179" s="28" t="s">
        <v>473</v>
      </c>
      <c r="D179" s="147" t="s">
        <v>261</v>
      </c>
      <c r="E179" s="147"/>
      <c r="F179" s="28" t="s">
        <v>145</v>
      </c>
      <c r="G179" s="28"/>
      <c r="H179" s="148" t="s">
        <v>31</v>
      </c>
      <c r="I179" s="28"/>
      <c r="J179" s="149">
        <v>2.7E-2</v>
      </c>
      <c r="K179" s="153">
        <f t="shared" si="42"/>
        <v>0.80999999999999994</v>
      </c>
      <c r="L179" s="28">
        <v>30</v>
      </c>
      <c r="M179" s="28" t="s">
        <v>33</v>
      </c>
      <c r="N179" s="39">
        <f t="shared" si="23"/>
        <v>8.6490989999999996</v>
      </c>
      <c r="O179" s="39">
        <f t="shared" si="24"/>
        <v>10.0906155</v>
      </c>
      <c r="P179" s="39">
        <f t="shared" si="25"/>
        <v>5.7660660000000004</v>
      </c>
      <c r="Q179" s="39">
        <f t="shared" si="26"/>
        <v>4.3245494999999998</v>
      </c>
      <c r="R179" s="154">
        <v>28.83033</v>
      </c>
      <c r="S179" s="150">
        <v>105991.94</v>
      </c>
      <c r="T179" s="151">
        <f t="shared" si="39"/>
        <v>85853.471399999995</v>
      </c>
      <c r="U179" s="28"/>
      <c r="V179" s="28"/>
      <c r="W179" s="28" t="s">
        <v>492</v>
      </c>
      <c r="X179" s="28">
        <v>5050</v>
      </c>
      <c r="Y179" s="15" t="s">
        <v>264</v>
      </c>
      <c r="Z179" s="15" t="s">
        <v>145</v>
      </c>
      <c r="AA179" s="142">
        <v>3</v>
      </c>
      <c r="AB179" s="143">
        <v>2813</v>
      </c>
      <c r="AC179" s="37"/>
      <c r="AD179" s="165"/>
      <c r="AE179" s="163"/>
      <c r="AF179" s="163"/>
      <c r="AG179" s="164"/>
      <c r="AH179" s="169">
        <f t="shared" si="43"/>
        <v>0.24299999999999997</v>
      </c>
      <c r="AI179" s="163"/>
      <c r="AJ179" s="163"/>
      <c r="AK179" s="164"/>
      <c r="AL179" s="141"/>
      <c r="AM179" s="163"/>
      <c r="AN179" s="163"/>
      <c r="AO179" s="164"/>
      <c r="AP179" s="141"/>
      <c r="AQ179" s="163"/>
      <c r="AR179" s="163"/>
      <c r="AS179" s="164"/>
      <c r="AT179" s="141"/>
      <c r="AU179" s="72"/>
      <c r="AV179" s="72"/>
      <c r="AW179" s="127"/>
    </row>
    <row r="180" spans="1:49" ht="15" customHeight="1" x14ac:dyDescent="0.25">
      <c r="A180" s="28">
        <v>439</v>
      </c>
      <c r="B180" s="28" t="s">
        <v>28</v>
      </c>
      <c r="C180" s="28" t="s">
        <v>473</v>
      </c>
      <c r="D180" s="147" t="s">
        <v>261</v>
      </c>
      <c r="E180" s="147"/>
      <c r="F180" s="28" t="s">
        <v>493</v>
      </c>
      <c r="G180" s="28"/>
      <c r="H180" s="148" t="s">
        <v>31</v>
      </c>
      <c r="I180" s="28"/>
      <c r="J180" s="149">
        <v>4.0999999999999999E-4</v>
      </c>
      <c r="K180" s="153">
        <f t="shared" si="42"/>
        <v>3.2799999999999996E-2</v>
      </c>
      <c r="L180" s="28">
        <v>80</v>
      </c>
      <c r="M180" s="28" t="s">
        <v>33</v>
      </c>
      <c r="N180" s="39">
        <f t="shared" si="23"/>
        <v>0.35023511999999996</v>
      </c>
      <c r="O180" s="39">
        <f t="shared" si="24"/>
        <v>0.40860763999999994</v>
      </c>
      <c r="P180" s="39">
        <f t="shared" si="25"/>
        <v>0.23349007999999999</v>
      </c>
      <c r="Q180" s="39">
        <f t="shared" si="26"/>
        <v>0.17511755999999998</v>
      </c>
      <c r="R180" s="154">
        <v>1.1674503999999999</v>
      </c>
      <c r="S180" s="150">
        <v>105991.94</v>
      </c>
      <c r="T180" s="151">
        <f t="shared" si="39"/>
        <v>3476.5356319999996</v>
      </c>
      <c r="U180" s="28"/>
      <c r="V180" s="28"/>
      <c r="W180" s="28" t="s">
        <v>494</v>
      </c>
      <c r="X180" s="28">
        <v>5066</v>
      </c>
      <c r="Y180" s="15" t="s">
        <v>264</v>
      </c>
      <c r="Z180" s="15" t="s">
        <v>493</v>
      </c>
      <c r="AA180" s="142">
        <v>1</v>
      </c>
      <c r="AB180" s="143">
        <v>2813</v>
      </c>
      <c r="AC180" s="37"/>
      <c r="AD180" s="165"/>
      <c r="AE180" s="163"/>
      <c r="AF180" s="163"/>
      <c r="AG180" s="164"/>
      <c r="AH180" s="169">
        <f t="shared" si="43"/>
        <v>9.8399999999999981E-3</v>
      </c>
      <c r="AI180" s="163"/>
      <c r="AJ180" s="163"/>
      <c r="AK180" s="164"/>
      <c r="AL180" s="141"/>
      <c r="AM180" s="163"/>
      <c r="AN180" s="163"/>
      <c r="AO180" s="164"/>
      <c r="AP180" s="141"/>
      <c r="AQ180" s="163"/>
      <c r="AR180" s="163"/>
      <c r="AS180" s="164"/>
      <c r="AT180" s="141"/>
      <c r="AU180" s="72"/>
      <c r="AV180" s="72"/>
      <c r="AW180" s="127"/>
    </row>
    <row r="181" spans="1:49" ht="15" customHeight="1" x14ac:dyDescent="0.25">
      <c r="A181" s="28">
        <v>440</v>
      </c>
      <c r="B181" s="28" t="s">
        <v>28</v>
      </c>
      <c r="C181" s="28" t="s">
        <v>473</v>
      </c>
      <c r="D181" s="147" t="s">
        <v>261</v>
      </c>
      <c r="E181" s="147"/>
      <c r="F181" s="28" t="s">
        <v>495</v>
      </c>
      <c r="G181" s="28"/>
      <c r="H181" s="148" t="s">
        <v>31</v>
      </c>
      <c r="I181" s="28"/>
      <c r="J181" s="149">
        <v>4.0999999999999999E-4</v>
      </c>
      <c r="K181" s="153">
        <f t="shared" si="42"/>
        <v>6.191E-2</v>
      </c>
      <c r="L181" s="28">
        <v>151</v>
      </c>
      <c r="M181" s="28" t="s">
        <v>33</v>
      </c>
      <c r="N181" s="39">
        <f t="shared" si="23"/>
        <v>0.6610687890000001</v>
      </c>
      <c r="O181" s="39">
        <f t="shared" si="24"/>
        <v>0.7712469205000001</v>
      </c>
      <c r="P181" s="39">
        <f t="shared" si="25"/>
        <v>0.4407125260000001</v>
      </c>
      <c r="Q181" s="39">
        <f t="shared" si="26"/>
        <v>0.33053439450000005</v>
      </c>
      <c r="R181" s="154">
        <v>2.2035626300000004</v>
      </c>
      <c r="S181" s="150">
        <v>105991.94</v>
      </c>
      <c r="T181" s="151">
        <f t="shared" si="39"/>
        <v>6561.9610054000004</v>
      </c>
      <c r="U181" s="28"/>
      <c r="V181" s="28"/>
      <c r="W181" s="28" t="s">
        <v>496</v>
      </c>
      <c r="X181" s="28">
        <v>5066</v>
      </c>
      <c r="Y181" s="15" t="s">
        <v>264</v>
      </c>
      <c r="Z181" s="15" t="s">
        <v>495</v>
      </c>
      <c r="AA181" s="142">
        <v>2</v>
      </c>
      <c r="AB181" s="143">
        <v>2813</v>
      </c>
      <c r="AC181" s="37"/>
      <c r="AD181" s="165"/>
      <c r="AE181" s="163"/>
      <c r="AF181" s="163"/>
      <c r="AG181" s="164"/>
      <c r="AH181" s="169">
        <f t="shared" si="43"/>
        <v>1.8572999999999999E-2</v>
      </c>
      <c r="AI181" s="163"/>
      <c r="AJ181" s="163"/>
      <c r="AK181" s="164"/>
      <c r="AL181" s="141"/>
      <c r="AM181" s="163"/>
      <c r="AN181" s="163"/>
      <c r="AO181" s="164"/>
      <c r="AP181" s="141"/>
      <c r="AQ181" s="163"/>
      <c r="AR181" s="163"/>
      <c r="AS181" s="164"/>
      <c r="AT181" s="141"/>
      <c r="AU181" s="72"/>
      <c r="AV181" s="72"/>
      <c r="AW181" s="127"/>
    </row>
    <row r="182" spans="1:49" ht="15" customHeight="1" x14ac:dyDescent="0.25">
      <c r="A182" s="28">
        <v>441</v>
      </c>
      <c r="B182" s="28" t="s">
        <v>28</v>
      </c>
      <c r="C182" s="28" t="s">
        <v>473</v>
      </c>
      <c r="D182" s="147" t="s">
        <v>261</v>
      </c>
      <c r="E182" s="147"/>
      <c r="F182" s="28" t="s">
        <v>497</v>
      </c>
      <c r="G182" s="28"/>
      <c r="H182" s="148" t="s">
        <v>31</v>
      </c>
      <c r="I182" s="28"/>
      <c r="J182" s="149">
        <v>1E-4</v>
      </c>
      <c r="K182" s="153">
        <f t="shared" si="42"/>
        <v>1.5000000000000001E-2</v>
      </c>
      <c r="L182" s="28">
        <v>150</v>
      </c>
      <c r="M182" s="28" t="s">
        <v>33</v>
      </c>
      <c r="N182" s="39">
        <f t="shared" si="23"/>
        <v>0.16016850000000002</v>
      </c>
      <c r="O182" s="39">
        <f t="shared" si="24"/>
        <v>0.18686325000000004</v>
      </c>
      <c r="P182" s="39">
        <f t="shared" si="25"/>
        <v>0.10677900000000003</v>
      </c>
      <c r="Q182" s="39">
        <f t="shared" si="26"/>
        <v>8.008425000000001E-2</v>
      </c>
      <c r="R182" s="154">
        <v>0.53389500000000012</v>
      </c>
      <c r="S182" s="150">
        <v>105991.94</v>
      </c>
      <c r="T182" s="151">
        <f t="shared" si="39"/>
        <v>1589.8791000000001</v>
      </c>
      <c r="U182" s="28"/>
      <c r="V182" s="28"/>
      <c r="W182" s="28" t="s">
        <v>498</v>
      </c>
      <c r="X182" s="28">
        <v>5066</v>
      </c>
      <c r="Y182" s="15" t="s">
        <v>264</v>
      </c>
      <c r="Z182" s="15" t="s">
        <v>497</v>
      </c>
      <c r="AA182" s="142">
        <v>3</v>
      </c>
      <c r="AB182" s="143">
        <v>2813</v>
      </c>
      <c r="AC182" s="37"/>
      <c r="AD182" s="165"/>
      <c r="AE182" s="163"/>
      <c r="AF182" s="163"/>
      <c r="AG182" s="164"/>
      <c r="AH182" s="169">
        <f t="shared" si="43"/>
        <v>4.5000000000000005E-3</v>
      </c>
      <c r="AI182" s="163"/>
      <c r="AJ182" s="163"/>
      <c r="AK182" s="164"/>
      <c r="AL182" s="141"/>
      <c r="AM182" s="163"/>
      <c r="AN182" s="163"/>
      <c r="AO182" s="164"/>
      <c r="AP182" s="141"/>
      <c r="AQ182" s="163"/>
      <c r="AR182" s="163"/>
      <c r="AS182" s="164"/>
      <c r="AT182" s="141"/>
      <c r="AU182" s="72"/>
      <c r="AV182" s="72"/>
      <c r="AW182" s="127"/>
    </row>
    <row r="183" spans="1:49" ht="15" customHeight="1" thickBot="1" x14ac:dyDescent="0.3">
      <c r="A183" s="28">
        <v>442</v>
      </c>
      <c r="B183" s="28" t="s">
        <v>28</v>
      </c>
      <c r="C183" s="28" t="s">
        <v>473</v>
      </c>
      <c r="D183" s="147" t="s">
        <v>261</v>
      </c>
      <c r="E183" s="147"/>
      <c r="F183" s="28" t="s">
        <v>499</v>
      </c>
      <c r="G183" s="28"/>
      <c r="H183" s="148" t="s">
        <v>31</v>
      </c>
      <c r="I183" s="28"/>
      <c r="J183" s="149">
        <v>1E-4</v>
      </c>
      <c r="K183" s="153">
        <f t="shared" si="42"/>
        <v>1.5000000000000001E-2</v>
      </c>
      <c r="L183" s="28">
        <v>150</v>
      </c>
      <c r="M183" s="28" t="s">
        <v>33</v>
      </c>
      <c r="N183" s="39">
        <f t="shared" si="23"/>
        <v>0.16016850000000002</v>
      </c>
      <c r="O183" s="39">
        <f t="shared" si="24"/>
        <v>0.18686325000000004</v>
      </c>
      <c r="P183" s="39">
        <f t="shared" si="25"/>
        <v>0.10677900000000003</v>
      </c>
      <c r="Q183" s="39">
        <f t="shared" si="26"/>
        <v>8.008425000000001E-2</v>
      </c>
      <c r="R183" s="154">
        <v>0.53389500000000012</v>
      </c>
      <c r="S183" s="150">
        <v>105991.94</v>
      </c>
      <c r="T183" s="151">
        <f t="shared" si="39"/>
        <v>1589.8791000000001</v>
      </c>
      <c r="U183" s="28"/>
      <c r="V183" s="28"/>
      <c r="W183" s="28" t="s">
        <v>498</v>
      </c>
      <c r="X183" s="28">
        <v>5066</v>
      </c>
      <c r="Y183" s="15" t="s">
        <v>264</v>
      </c>
      <c r="Z183" s="15" t="s">
        <v>499</v>
      </c>
      <c r="AA183" s="142">
        <v>4</v>
      </c>
      <c r="AB183" s="143">
        <v>2813</v>
      </c>
      <c r="AC183" s="37"/>
      <c r="AD183" s="166"/>
      <c r="AE183" s="167"/>
      <c r="AF183" s="167"/>
      <c r="AG183" s="168"/>
      <c r="AH183" s="169">
        <f t="shared" si="43"/>
        <v>4.5000000000000005E-3</v>
      </c>
      <c r="AI183" s="167"/>
      <c r="AJ183" s="167"/>
      <c r="AK183" s="168"/>
      <c r="AL183" s="158"/>
      <c r="AM183" s="167"/>
      <c r="AN183" s="167"/>
      <c r="AO183" s="168"/>
      <c r="AP183" s="158"/>
      <c r="AQ183" s="167"/>
      <c r="AR183" s="167"/>
      <c r="AS183" s="168"/>
      <c r="AT183" s="158"/>
      <c r="AU183" s="128"/>
      <c r="AV183" s="128"/>
      <c r="AW183" s="129"/>
    </row>
    <row r="184" spans="1:49" x14ac:dyDescent="0.25">
      <c r="AD184"/>
      <c r="AE184"/>
      <c r="AF184"/>
      <c r="AG184"/>
      <c r="AH184"/>
      <c r="AI184"/>
      <c r="AJ184"/>
      <c r="AK184"/>
      <c r="AL184" s="32">
        <f>SUM(AL4:AL183)</f>
        <v>50.06730300000001</v>
      </c>
      <c r="AM184" s="32">
        <f t="shared" ref="AM184:AO184" si="47">SUM(AM4:AM183)</f>
        <v>71.700003499999994</v>
      </c>
      <c r="AN184" s="32">
        <f t="shared" si="47"/>
        <v>39.074000000000005</v>
      </c>
      <c r="AO184" s="32">
        <f t="shared" si="47"/>
        <v>1.4237909999999996</v>
      </c>
    </row>
    <row r="185" spans="1:49" x14ac:dyDescent="0.25"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T185"/>
      <c r="AU185"/>
      <c r="AV185"/>
      <c r="AW185"/>
    </row>
    <row r="186" spans="1:49" x14ac:dyDescent="0.25"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T186"/>
      <c r="AU186"/>
      <c r="AV186"/>
      <c r="AW186"/>
    </row>
    <row r="187" spans="1:49" x14ac:dyDescent="0.25"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T187"/>
      <c r="AU187"/>
      <c r="AV187"/>
      <c r="AW187"/>
    </row>
    <row r="188" spans="1:49" x14ac:dyDescent="0.25"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T188"/>
      <c r="AU188"/>
      <c r="AV188"/>
      <c r="AW188"/>
    </row>
    <row r="189" spans="1:49" x14ac:dyDescent="0.25"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T189"/>
      <c r="AU189"/>
      <c r="AV189"/>
      <c r="AW189"/>
    </row>
    <row r="190" spans="1:49" x14ac:dyDescent="0.25"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T190"/>
      <c r="AU190"/>
      <c r="AV190"/>
      <c r="AW190"/>
    </row>
    <row r="191" spans="1:49" x14ac:dyDescent="0.25"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T191"/>
      <c r="AU191"/>
      <c r="AV191"/>
      <c r="AW191"/>
    </row>
    <row r="192" spans="1:49" x14ac:dyDescent="0.25"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T192"/>
      <c r="AU192"/>
      <c r="AV192"/>
      <c r="AW192"/>
    </row>
    <row r="193" spans="30:49" x14ac:dyDescent="0.25"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T193"/>
      <c r="AU193"/>
      <c r="AV193"/>
      <c r="AW193"/>
    </row>
    <row r="194" spans="30:49" x14ac:dyDescent="0.25"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T194"/>
      <c r="AU194"/>
      <c r="AV194"/>
      <c r="AW194"/>
    </row>
    <row r="195" spans="30:49" x14ac:dyDescent="0.25"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T195"/>
      <c r="AU195"/>
      <c r="AV195"/>
      <c r="AW195"/>
    </row>
  </sheetData>
  <autoFilter ref="A3:X183" xr:uid="{00000000-0009-0000-0000-00000D000000}"/>
  <mergeCells count="5">
    <mergeCell ref="AD1:AG1"/>
    <mergeCell ref="AH1:AK1"/>
    <mergeCell ref="AL1:AO1"/>
    <mergeCell ref="AP1:AS1"/>
    <mergeCell ref="AT1:AW1"/>
  </mergeCells>
  <conditionalFormatting sqref="E1:E3">
    <cfRule type="duplicateValues" dxfId="23" priority="2"/>
  </conditionalFormatting>
  <conditionalFormatting sqref="F1:F3">
    <cfRule type="duplicateValues" dxfId="22" priority="1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filterMode="1"/>
  <dimension ref="A1:AT195"/>
  <sheetViews>
    <sheetView zoomScale="70" zoomScaleNormal="70" workbookViewId="0">
      <pane ySplit="3" topLeftCell="A4" activePane="bottomLeft" state="frozen"/>
      <selection pane="bottomLeft" activeCell="Y34" sqref="Y34"/>
    </sheetView>
  </sheetViews>
  <sheetFormatPr defaultRowHeight="15" x14ac:dyDescent="0.25"/>
  <cols>
    <col min="1" max="1" width="5" style="334" customWidth="1"/>
    <col min="2" max="2" width="12.5703125" style="334" customWidth="1"/>
    <col min="3" max="3" width="23.140625" style="346" hidden="1" customWidth="1"/>
    <col min="4" max="4" width="38.28515625" style="23" hidden="1" customWidth="1"/>
    <col min="5" max="5" width="32.28515625" style="334" hidden="1" customWidth="1"/>
    <col min="6" max="6" width="0" style="334" hidden="1" customWidth="1"/>
    <col min="7" max="7" width="33" style="334" hidden="1" customWidth="1"/>
    <col min="8" max="8" width="47.28515625" style="23" customWidth="1"/>
    <col min="9" max="9" width="25.5703125" style="334" hidden="1" customWidth="1"/>
    <col min="10" max="10" width="15.5703125" style="17" hidden="1" customWidth="1"/>
    <col min="11" max="11" width="7.7109375" style="349" customWidth="1"/>
    <col min="12" max="12" width="8.7109375" style="349" customWidth="1"/>
    <col min="13" max="13" width="7.140625" style="334" bestFit="1" customWidth="1"/>
    <col min="14" max="14" width="7.28515625" style="334" hidden="1" customWidth="1"/>
    <col min="15" max="18" width="7.28515625" style="334" customWidth="1"/>
    <col min="19" max="19" width="16.7109375" style="334" bestFit="1" customWidth="1"/>
    <col min="20" max="21" width="36.28515625" style="334" hidden="1" customWidth="1"/>
    <col min="22" max="22" width="12.85546875" style="334" hidden="1" customWidth="1"/>
    <col min="23" max="23" width="27.28515625" style="334" hidden="1" customWidth="1"/>
    <col min="24" max="24" width="14.140625" style="334" bestFit="1" customWidth="1"/>
    <col min="25" max="25" width="16.28515625" style="334" customWidth="1"/>
    <col min="26" max="26" width="13.7109375" style="334" hidden="1" customWidth="1"/>
    <col min="27" max="27" width="0" style="334" hidden="1" customWidth="1"/>
    <col min="28" max="28" width="15.140625" style="334" hidden="1" customWidth="1"/>
    <col min="29" max="29" width="6.42578125" style="32" customWidth="1"/>
    <col min="30" max="30" width="6.7109375" style="32" customWidth="1"/>
    <col min="31" max="31" width="6.42578125" style="32" customWidth="1"/>
    <col min="32" max="32" width="7.42578125" style="32" customWidth="1"/>
    <col min="33" max="33" width="6.42578125" style="32" customWidth="1"/>
    <col min="34" max="34" width="6.7109375" style="32" customWidth="1"/>
    <col min="35" max="35" width="6.42578125" style="32" customWidth="1"/>
    <col min="36" max="36" width="7.42578125" style="32" customWidth="1"/>
    <col min="37" max="37" width="11.7109375" style="334" bestFit="1" customWidth="1"/>
    <col min="38" max="38" width="7.28515625" style="334" bestFit="1" customWidth="1"/>
    <col min="39" max="39" width="12" style="334" bestFit="1" customWidth="1"/>
    <col min="40" max="40" width="11.7109375" style="334" bestFit="1" customWidth="1"/>
    <col min="41" max="41" width="17.85546875" style="334" customWidth="1"/>
    <col min="42" max="42" width="12" style="334" customWidth="1"/>
    <col min="43" max="43" width="10.42578125" style="334" customWidth="1"/>
    <col min="44" max="44" width="11.5703125" style="334" customWidth="1"/>
    <col min="45" max="45" width="7.140625" style="334" bestFit="1" customWidth="1"/>
    <col min="46" max="46" width="16.5703125" style="334" customWidth="1"/>
  </cols>
  <sheetData>
    <row r="1" spans="1:46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18</v>
      </c>
      <c r="K1" s="33" t="s">
        <v>9</v>
      </c>
      <c r="L1" s="33" t="s">
        <v>10</v>
      </c>
      <c r="M1" s="331" t="s">
        <v>11</v>
      </c>
      <c r="N1" s="1" t="s">
        <v>12</v>
      </c>
      <c r="O1" s="1" t="s">
        <v>259</v>
      </c>
      <c r="P1" s="1" t="s">
        <v>259</v>
      </c>
      <c r="Q1" s="1" t="s">
        <v>259</v>
      </c>
      <c r="R1" s="1" t="s">
        <v>259</v>
      </c>
      <c r="S1" s="1" t="s">
        <v>13</v>
      </c>
      <c r="T1" s="1" t="s">
        <v>14</v>
      </c>
      <c r="U1" s="1" t="s">
        <v>15</v>
      </c>
      <c r="V1" s="2" t="s">
        <v>16</v>
      </c>
      <c r="W1" s="2" t="s">
        <v>17</v>
      </c>
      <c r="X1" s="332" t="s">
        <v>18</v>
      </c>
      <c r="Y1" s="331" t="s">
        <v>19</v>
      </c>
      <c r="Z1" s="331" t="s">
        <v>20</v>
      </c>
      <c r="AA1" s="4" t="s">
        <v>21</v>
      </c>
      <c r="AB1" s="332" t="s">
        <v>22</v>
      </c>
      <c r="AC1" s="452" t="s">
        <v>979</v>
      </c>
      <c r="AD1" s="453"/>
      <c r="AE1" s="453"/>
      <c r="AF1" s="454"/>
      <c r="AG1" s="452" t="s">
        <v>1145</v>
      </c>
      <c r="AH1" s="453"/>
      <c r="AI1" s="453"/>
      <c r="AJ1" s="454"/>
      <c r="AK1" s="332" t="s">
        <v>913</v>
      </c>
      <c r="AL1" s="333" t="s">
        <v>23</v>
      </c>
      <c r="AM1" s="134" t="s">
        <v>24</v>
      </c>
      <c r="AO1" s="335"/>
      <c r="AP1" s="336"/>
      <c r="AQ1" s="336"/>
      <c r="AR1" s="9"/>
    </row>
    <row r="2" spans="1:46" ht="15.75" thickBot="1" x14ac:dyDescent="0.3">
      <c r="A2" s="1"/>
      <c r="B2" s="1"/>
      <c r="C2" s="1"/>
      <c r="D2" s="1"/>
      <c r="E2" s="2"/>
      <c r="F2" s="347"/>
      <c r="G2" s="1"/>
      <c r="H2" s="1"/>
      <c r="I2" s="1"/>
      <c r="J2" s="3"/>
      <c r="K2" s="33"/>
      <c r="L2" s="33"/>
      <c r="M2" s="331"/>
      <c r="N2" s="1"/>
      <c r="O2" s="133">
        <v>0.3</v>
      </c>
      <c r="P2" s="133">
        <v>0.35</v>
      </c>
      <c r="Q2" s="133">
        <v>0.2</v>
      </c>
      <c r="R2" s="133">
        <v>0.15</v>
      </c>
      <c r="S2" s="1"/>
      <c r="T2" s="1"/>
      <c r="U2" s="1"/>
      <c r="V2" s="2"/>
      <c r="W2" s="2"/>
      <c r="X2" s="332"/>
      <c r="Y2" s="331"/>
      <c r="Z2" s="331"/>
      <c r="AA2" s="4"/>
      <c r="AB2" s="332"/>
      <c r="AC2" s="82">
        <v>0.3</v>
      </c>
      <c r="AD2" s="82">
        <v>0.35</v>
      </c>
      <c r="AE2" s="82">
        <v>0.2</v>
      </c>
      <c r="AF2" s="82">
        <v>0.15</v>
      </c>
      <c r="AG2" s="82">
        <v>0.3</v>
      </c>
      <c r="AH2" s="82">
        <v>0.35</v>
      </c>
      <c r="AI2" s="82">
        <v>0.2</v>
      </c>
      <c r="AJ2" s="82">
        <v>0.15</v>
      </c>
      <c r="AK2" s="332"/>
      <c r="AL2" s="333"/>
      <c r="AM2" s="348"/>
      <c r="AR2" s="17"/>
    </row>
    <row r="3" spans="1:46" x14ac:dyDescent="0.25">
      <c r="A3" s="1"/>
      <c r="B3" s="1"/>
      <c r="C3" s="1"/>
      <c r="D3" s="1"/>
      <c r="E3" s="2"/>
      <c r="F3" s="347"/>
      <c r="G3" s="1"/>
      <c r="H3" s="1"/>
      <c r="I3" s="1"/>
      <c r="J3" s="3"/>
      <c r="K3" s="33"/>
      <c r="L3" s="33"/>
      <c r="M3" s="331"/>
      <c r="N3" s="1"/>
      <c r="O3" s="1"/>
      <c r="P3" s="1"/>
      <c r="Q3" s="1"/>
      <c r="R3" s="1"/>
      <c r="S3" s="1"/>
      <c r="T3" s="1"/>
      <c r="U3" s="1"/>
      <c r="V3" s="2"/>
      <c r="W3" s="2"/>
      <c r="X3" s="332"/>
      <c r="Y3" s="331"/>
      <c r="Z3" s="331"/>
      <c r="AA3" s="4"/>
      <c r="AB3" s="332"/>
      <c r="AC3" s="136">
        <f t="shared" ref="AC3:AJ3" si="0">SUM(AC4:AC67)</f>
        <v>0.68309999999999993</v>
      </c>
      <c r="AD3" s="136">
        <f t="shared" si="0"/>
        <v>0</v>
      </c>
      <c r="AE3" s="136">
        <f t="shared" si="0"/>
        <v>0</v>
      </c>
      <c r="AF3" s="136">
        <f t="shared" si="0"/>
        <v>0</v>
      </c>
      <c r="AG3" s="136">
        <f t="shared" si="0"/>
        <v>0</v>
      </c>
      <c r="AH3" s="136">
        <f t="shared" si="0"/>
        <v>0</v>
      </c>
      <c r="AI3" s="136">
        <f t="shared" si="0"/>
        <v>0</v>
      </c>
      <c r="AJ3" s="136">
        <f t="shared" si="0"/>
        <v>0</v>
      </c>
      <c r="AK3" s="332"/>
      <c r="AL3" s="333"/>
      <c r="AM3" s="348"/>
      <c r="AR3" s="17"/>
    </row>
    <row r="4" spans="1:46" ht="25.15" hidden="1" customHeight="1" x14ac:dyDescent="0.25">
      <c r="A4" s="38">
        <v>1</v>
      </c>
      <c r="B4" s="143" t="s">
        <v>28</v>
      </c>
      <c r="C4" s="143" t="s">
        <v>1009</v>
      </c>
      <c r="D4" s="298" t="s">
        <v>1010</v>
      </c>
      <c r="E4" s="38"/>
      <c r="F4" s="337"/>
      <c r="G4" s="38"/>
      <c r="H4" s="298" t="s">
        <v>1010</v>
      </c>
      <c r="I4" s="38"/>
      <c r="J4" s="38"/>
      <c r="K4" s="138"/>
      <c r="L4" s="138">
        <f>SUM(L5:L67)</f>
        <v>54.051000000000045</v>
      </c>
      <c r="M4" s="38"/>
      <c r="N4" s="38"/>
      <c r="O4" s="38"/>
      <c r="P4" s="38"/>
      <c r="Q4" s="38"/>
      <c r="R4" s="38"/>
      <c r="S4" s="38">
        <f>SUM(S5:S67)</f>
        <v>1806.5500000000006</v>
      </c>
      <c r="T4" s="280"/>
      <c r="U4" s="38">
        <f>SUM(U5:U67)</f>
        <v>5728970.3489399999</v>
      </c>
      <c r="V4" s="280"/>
      <c r="W4" s="38"/>
      <c r="X4" s="38"/>
      <c r="Y4" s="38"/>
      <c r="Z4" s="38"/>
      <c r="AA4" s="38"/>
      <c r="AB4" s="338"/>
      <c r="AC4" s="350"/>
      <c r="AD4" s="351"/>
      <c r="AE4" s="352"/>
      <c r="AF4" s="137"/>
      <c r="AG4" s="350"/>
      <c r="AH4" s="351"/>
      <c r="AI4" s="352"/>
      <c r="AJ4" s="137"/>
      <c r="AK4" s="38"/>
      <c r="AL4" s="257"/>
      <c r="AM4" s="257"/>
      <c r="AN4" s="38"/>
      <c r="AO4" s="281"/>
      <c r="AP4" s="87"/>
      <c r="AQ4" s="281">
        <f>L4</f>
        <v>54.051000000000045</v>
      </c>
      <c r="AR4" s="87"/>
      <c r="AS4" s="337"/>
      <c r="AT4" s="337"/>
    </row>
    <row r="5" spans="1:46" ht="30" hidden="1" customHeight="1" x14ac:dyDescent="0.25">
      <c r="A5" s="268">
        <v>2</v>
      </c>
      <c r="B5" s="15" t="s">
        <v>28</v>
      </c>
      <c r="C5" s="143" t="s">
        <v>1011</v>
      </c>
      <c r="D5" s="293" t="s">
        <v>1010</v>
      </c>
      <c r="E5" s="336"/>
      <c r="F5" s="15" t="s">
        <v>1012</v>
      </c>
      <c r="G5" s="15"/>
      <c r="H5" s="193" t="s">
        <v>1013</v>
      </c>
      <c r="I5" s="15"/>
      <c r="J5" s="15" t="s">
        <v>1014</v>
      </c>
      <c r="K5" s="183">
        <v>2.48</v>
      </c>
      <c r="L5" s="34">
        <v>2.48</v>
      </c>
      <c r="M5" s="9">
        <v>1</v>
      </c>
      <c r="N5" s="15" t="s">
        <v>33</v>
      </c>
      <c r="O5" s="15">
        <f>S5*0.3</f>
        <v>27.528000000000002</v>
      </c>
      <c r="P5" s="15">
        <f>S5*0.35</f>
        <v>32.116</v>
      </c>
      <c r="Q5" s="15">
        <f>S5*0.2</f>
        <v>18.352</v>
      </c>
      <c r="R5" s="15">
        <f>S5*0.15</f>
        <v>13.764000000000001</v>
      </c>
      <c r="S5" s="38">
        <v>91.76</v>
      </c>
      <c r="T5" s="170">
        <v>105991.94</v>
      </c>
      <c r="U5" s="9">
        <v>262860.01120000001</v>
      </c>
      <c r="V5" s="15"/>
      <c r="W5" s="15"/>
      <c r="X5" s="15" t="s">
        <v>1014</v>
      </c>
      <c r="Y5" s="9">
        <v>500100</v>
      </c>
      <c r="Z5" s="9">
        <v>1.1000000000000001</v>
      </c>
      <c r="AA5" s="15" t="s">
        <v>1012</v>
      </c>
      <c r="AB5" s="178">
        <v>1</v>
      </c>
      <c r="AC5" s="124"/>
      <c r="AD5" s="34"/>
      <c r="AE5" s="352"/>
      <c r="AF5" s="95"/>
      <c r="AG5" s="124"/>
      <c r="AH5" s="34"/>
      <c r="AI5" s="352"/>
      <c r="AJ5" s="95"/>
      <c r="AK5" s="38">
        <v>3051</v>
      </c>
      <c r="AL5" s="339"/>
      <c r="AM5" s="274"/>
      <c r="AN5" s="275"/>
      <c r="AO5" s="9"/>
      <c r="AP5" s="253">
        <f>SUM(S5:S119)</f>
        <v>1806.5500000000006</v>
      </c>
      <c r="AQ5" s="17">
        <f>AQ4*AT5</f>
        <v>2162.0400000000018</v>
      </c>
      <c r="AR5" s="253">
        <f>AQ5-AP5</f>
        <v>355.49000000000115</v>
      </c>
      <c r="AS5" s="17" t="s">
        <v>649</v>
      </c>
      <c r="AT5" s="17">
        <v>40</v>
      </c>
    </row>
    <row r="6" spans="1:46" ht="30" hidden="1" customHeight="1" x14ac:dyDescent="0.25">
      <c r="A6" s="268">
        <v>3</v>
      </c>
      <c r="B6" s="15" t="s">
        <v>28</v>
      </c>
      <c r="C6" s="143" t="s">
        <v>1011</v>
      </c>
      <c r="D6" s="293" t="s">
        <v>1010</v>
      </c>
      <c r="E6" s="336"/>
      <c r="F6" s="15" t="s">
        <v>1015</v>
      </c>
      <c r="G6" s="15"/>
      <c r="H6" s="193" t="s">
        <v>1013</v>
      </c>
      <c r="I6" s="15"/>
      <c r="J6" s="15" t="s">
        <v>1016</v>
      </c>
      <c r="K6" s="183">
        <v>1.2635000000000001</v>
      </c>
      <c r="L6" s="34">
        <v>1.2635000000000001</v>
      </c>
      <c r="M6" s="9">
        <v>1</v>
      </c>
      <c r="N6" s="15" t="s">
        <v>33</v>
      </c>
      <c r="O6" s="15">
        <f t="shared" ref="O6:O67" si="1">S6*0.3</f>
        <v>14.024850000000001</v>
      </c>
      <c r="P6" s="15">
        <f t="shared" ref="P6:P67" si="2">S6*0.35</f>
        <v>16.362325000000002</v>
      </c>
      <c r="Q6" s="15">
        <f t="shared" ref="Q6:Q67" si="3">S6*0.2</f>
        <v>9.3499000000000017</v>
      </c>
      <c r="R6" s="15">
        <f t="shared" ref="R6:R67" si="4">S6*0.15</f>
        <v>7.0124250000000004</v>
      </c>
      <c r="S6" s="38">
        <v>46.749500000000005</v>
      </c>
      <c r="T6" s="170">
        <v>105991.94</v>
      </c>
      <c r="U6" s="9">
        <v>133920.81619000001</v>
      </c>
      <c r="V6" s="15"/>
      <c r="W6" s="15"/>
      <c r="X6" s="15" t="s">
        <v>1016</v>
      </c>
      <c r="Y6" s="9">
        <v>500102</v>
      </c>
      <c r="Z6" s="9">
        <v>1.1000000000000001</v>
      </c>
      <c r="AA6" s="15" t="s">
        <v>1015</v>
      </c>
      <c r="AB6" s="178">
        <v>1</v>
      </c>
      <c r="AC6" s="58"/>
      <c r="AD6" s="42"/>
      <c r="AE6" s="352"/>
      <c r="AF6" s="59"/>
      <c r="AG6" s="58"/>
      <c r="AH6" s="42"/>
      <c r="AI6" s="352"/>
      <c r="AJ6" s="59"/>
      <c r="AK6" s="38">
        <v>3051</v>
      </c>
      <c r="AL6" s="339"/>
      <c r="AM6" s="9"/>
      <c r="AN6" s="9"/>
      <c r="AO6" s="9"/>
      <c r="AQ6" s="17">
        <f>AQ5*0.05</f>
        <v>108.10200000000009</v>
      </c>
    </row>
    <row r="7" spans="1:46" ht="30" hidden="1" customHeight="1" thickBot="1" x14ac:dyDescent="0.25">
      <c r="A7" s="268">
        <v>4</v>
      </c>
      <c r="B7" s="15" t="s">
        <v>28</v>
      </c>
      <c r="C7" s="143" t="s">
        <v>1011</v>
      </c>
      <c r="D7" s="293" t="s">
        <v>1010</v>
      </c>
      <c r="E7" s="336"/>
      <c r="F7" s="15" t="s">
        <v>1015</v>
      </c>
      <c r="G7" s="15"/>
      <c r="H7" s="193" t="s">
        <v>1013</v>
      </c>
      <c r="I7" s="15"/>
      <c r="J7" s="15" t="s">
        <v>1016</v>
      </c>
      <c r="K7" s="183">
        <v>1.2635000000000001</v>
      </c>
      <c r="L7" s="34">
        <v>1.2635000000000001</v>
      </c>
      <c r="M7" s="9">
        <v>1</v>
      </c>
      <c r="N7" s="15" t="s">
        <v>33</v>
      </c>
      <c r="O7" s="15">
        <f t="shared" si="1"/>
        <v>14.024850000000001</v>
      </c>
      <c r="P7" s="15">
        <f t="shared" si="2"/>
        <v>16.362325000000002</v>
      </c>
      <c r="Q7" s="15">
        <f t="shared" si="3"/>
        <v>9.3499000000000017</v>
      </c>
      <c r="R7" s="15">
        <f t="shared" si="4"/>
        <v>7.0124250000000004</v>
      </c>
      <c r="S7" s="38">
        <v>46.749500000000005</v>
      </c>
      <c r="T7" s="170">
        <v>105991.94</v>
      </c>
      <c r="U7" s="9">
        <v>133920.81619000001</v>
      </c>
      <c r="V7" s="15"/>
      <c r="W7" s="15"/>
      <c r="X7" s="15" t="s">
        <v>1016</v>
      </c>
      <c r="Y7" s="9">
        <v>500102</v>
      </c>
      <c r="Z7" s="9">
        <v>1.1000000000000001</v>
      </c>
      <c r="AA7" s="15" t="s">
        <v>1015</v>
      </c>
      <c r="AB7" s="178">
        <v>2</v>
      </c>
      <c r="AC7" s="58"/>
      <c r="AD7" s="42"/>
      <c r="AE7" s="352"/>
      <c r="AF7" s="59"/>
      <c r="AG7" s="58"/>
      <c r="AH7" s="42"/>
      <c r="AI7" s="352"/>
      <c r="AJ7" s="59"/>
      <c r="AK7" s="38">
        <v>3051</v>
      </c>
      <c r="AL7" s="339"/>
      <c r="AM7" s="9"/>
      <c r="AN7" s="9"/>
      <c r="AO7" s="9"/>
      <c r="AQ7" s="17"/>
    </row>
    <row r="8" spans="1:46" ht="30" hidden="1" customHeight="1" thickBot="1" x14ac:dyDescent="0.3">
      <c r="A8" s="268">
        <v>5</v>
      </c>
      <c r="B8" s="15" t="s">
        <v>28</v>
      </c>
      <c r="C8" s="143" t="s">
        <v>1011</v>
      </c>
      <c r="D8" s="293" t="s">
        <v>1010</v>
      </c>
      <c r="E8" s="336"/>
      <c r="F8" s="15" t="s">
        <v>1017</v>
      </c>
      <c r="G8" s="15"/>
      <c r="H8" s="193" t="s">
        <v>1013</v>
      </c>
      <c r="I8" s="15"/>
      <c r="J8" s="15" t="s">
        <v>1018</v>
      </c>
      <c r="K8" s="183">
        <v>1.1599999999999999</v>
      </c>
      <c r="L8" s="34">
        <v>1.1599999999999999</v>
      </c>
      <c r="M8" s="9">
        <v>1</v>
      </c>
      <c r="N8" s="15" t="s">
        <v>33</v>
      </c>
      <c r="O8" s="15">
        <f t="shared" si="1"/>
        <v>12.875999999999998</v>
      </c>
      <c r="P8" s="15">
        <f t="shared" si="2"/>
        <v>15.021999999999997</v>
      </c>
      <c r="Q8" s="15">
        <f t="shared" si="3"/>
        <v>8.5839999999999996</v>
      </c>
      <c r="R8" s="15">
        <f t="shared" si="4"/>
        <v>6.4379999999999988</v>
      </c>
      <c r="S8" s="38">
        <v>42.919999999999995</v>
      </c>
      <c r="T8" s="170">
        <v>105991.94</v>
      </c>
      <c r="U8" s="9">
        <v>122950.6504</v>
      </c>
      <c r="V8" s="15"/>
      <c r="W8" s="15"/>
      <c r="X8" s="15" t="s">
        <v>1018</v>
      </c>
      <c r="Y8" s="9">
        <v>500103</v>
      </c>
      <c r="Z8" s="9">
        <v>1.1000000000000001</v>
      </c>
      <c r="AA8" s="15" t="s">
        <v>1017</v>
      </c>
      <c r="AB8" s="178">
        <v>1</v>
      </c>
      <c r="AC8" s="58"/>
      <c r="AD8" s="42"/>
      <c r="AE8" s="352"/>
      <c r="AF8" s="59"/>
      <c r="AG8" s="58"/>
      <c r="AH8" s="42"/>
      <c r="AI8" s="352"/>
      <c r="AJ8" s="59"/>
      <c r="AK8" s="38">
        <v>3051</v>
      </c>
      <c r="AL8" s="339"/>
      <c r="AM8" s="9"/>
      <c r="AN8" s="9"/>
      <c r="AO8" s="9"/>
      <c r="AP8" s="459" t="s">
        <v>658</v>
      </c>
      <c r="AQ8" s="460"/>
      <c r="AR8" s="224" t="s">
        <v>659</v>
      </c>
      <c r="AS8" s="224"/>
      <c r="AT8" s="224"/>
    </row>
    <row r="9" spans="1:46" ht="30" hidden="1" customHeight="1" x14ac:dyDescent="0.25">
      <c r="A9" s="268">
        <v>6</v>
      </c>
      <c r="B9" s="15" t="s">
        <v>28</v>
      </c>
      <c r="C9" s="143" t="s">
        <v>1011</v>
      </c>
      <c r="D9" s="293" t="s">
        <v>1010</v>
      </c>
      <c r="E9" s="336"/>
      <c r="F9" s="15" t="s">
        <v>1019</v>
      </c>
      <c r="G9" s="15"/>
      <c r="H9" s="193" t="s">
        <v>1013</v>
      </c>
      <c r="I9" s="15"/>
      <c r="J9" s="15" t="s">
        <v>1020</v>
      </c>
      <c r="K9" s="183">
        <v>1.1599999999999999</v>
      </c>
      <c r="L9" s="34">
        <v>1.1599999999999999</v>
      </c>
      <c r="M9" s="9">
        <v>1</v>
      </c>
      <c r="N9" s="15" t="s">
        <v>33</v>
      </c>
      <c r="O9" s="15">
        <f t="shared" si="1"/>
        <v>12.875999999999998</v>
      </c>
      <c r="P9" s="15">
        <f t="shared" si="2"/>
        <v>15.021999999999997</v>
      </c>
      <c r="Q9" s="15">
        <f t="shared" si="3"/>
        <v>8.5839999999999996</v>
      </c>
      <c r="R9" s="15">
        <f t="shared" si="4"/>
        <v>6.4379999999999988</v>
      </c>
      <c r="S9" s="38">
        <v>42.919999999999995</v>
      </c>
      <c r="T9" s="170">
        <v>105991.94</v>
      </c>
      <c r="U9" s="9">
        <v>122950.6504</v>
      </c>
      <c r="V9" s="15"/>
      <c r="W9" s="15"/>
      <c r="X9" s="15" t="s">
        <v>1020</v>
      </c>
      <c r="Y9" s="9">
        <v>500104</v>
      </c>
      <c r="Z9" s="9">
        <v>1.1000000000000001</v>
      </c>
      <c r="AA9" s="15" t="s">
        <v>1019</v>
      </c>
      <c r="AB9" s="178">
        <v>1</v>
      </c>
      <c r="AC9" s="58"/>
      <c r="AD9" s="42"/>
      <c r="AE9" s="352"/>
      <c r="AF9" s="59"/>
      <c r="AG9" s="58"/>
      <c r="AH9" s="42"/>
      <c r="AI9" s="352"/>
      <c r="AJ9" s="59"/>
      <c r="AK9" s="38">
        <v>3051</v>
      </c>
      <c r="AL9" s="339"/>
      <c r="AM9" s="9"/>
      <c r="AN9" s="9"/>
      <c r="AO9" s="9"/>
      <c r="AP9" s="340" t="s">
        <v>660</v>
      </c>
      <c r="AQ9" s="341">
        <v>0.05</v>
      </c>
      <c r="AR9" s="228">
        <v>60</v>
      </c>
      <c r="AS9" s="228"/>
      <c r="AT9" s="228"/>
    </row>
    <row r="10" spans="1:46" ht="30" customHeight="1" x14ac:dyDescent="0.25">
      <c r="A10" s="301">
        <v>7</v>
      </c>
      <c r="B10" s="28" t="s">
        <v>28</v>
      </c>
      <c r="C10" s="28" t="s">
        <v>1021</v>
      </c>
      <c r="D10" s="293" t="s">
        <v>1010</v>
      </c>
      <c r="E10" s="367"/>
      <c r="F10" s="28" t="s">
        <v>1022</v>
      </c>
      <c r="G10" s="28"/>
      <c r="H10" s="293" t="s">
        <v>1023</v>
      </c>
      <c r="I10" s="28"/>
      <c r="J10" s="28" t="s">
        <v>1024</v>
      </c>
      <c r="K10" s="39">
        <v>1.62</v>
      </c>
      <c r="L10" s="39">
        <v>1.62</v>
      </c>
      <c r="M10" s="25">
        <v>1</v>
      </c>
      <c r="N10" s="28" t="s">
        <v>33</v>
      </c>
      <c r="O10" s="28">
        <f t="shared" si="1"/>
        <v>17.981999999999999</v>
      </c>
      <c r="P10" s="28">
        <f t="shared" si="2"/>
        <v>20.978999999999999</v>
      </c>
      <c r="Q10" s="28">
        <f t="shared" si="3"/>
        <v>11.988000000000001</v>
      </c>
      <c r="R10" s="28">
        <f t="shared" si="4"/>
        <v>8.9909999999999997</v>
      </c>
      <c r="S10" s="38">
        <v>59.940000000000005</v>
      </c>
      <c r="T10" s="170">
        <v>105991.94</v>
      </c>
      <c r="U10" s="9">
        <v>171706.94280000002</v>
      </c>
      <c r="V10" s="15"/>
      <c r="W10" s="15"/>
      <c r="X10" s="325" t="s">
        <v>1024</v>
      </c>
      <c r="Y10" s="25">
        <v>500108</v>
      </c>
      <c r="Z10" s="9">
        <v>1.1000000000000001</v>
      </c>
      <c r="AA10" s="15" t="s">
        <v>1022</v>
      </c>
      <c r="AB10" s="178">
        <v>1</v>
      </c>
      <c r="AC10" s="261"/>
      <c r="AD10" s="263"/>
      <c r="AE10" s="356"/>
      <c r="AF10" s="59"/>
      <c r="AG10" s="58"/>
      <c r="AH10" s="42"/>
      <c r="AI10" s="352"/>
      <c r="AJ10" s="59"/>
      <c r="AK10" s="38">
        <v>7266</v>
      </c>
      <c r="AL10" s="339"/>
      <c r="AM10" s="9"/>
      <c r="AN10" s="9"/>
      <c r="AO10" s="9"/>
      <c r="AP10" s="342">
        <v>0.05</v>
      </c>
      <c r="AQ10" s="343">
        <v>0.1</v>
      </c>
      <c r="AR10" s="231">
        <v>58</v>
      </c>
      <c r="AS10" s="231"/>
      <c r="AT10" s="231"/>
    </row>
    <row r="11" spans="1:46" ht="30" customHeight="1" x14ac:dyDescent="0.25">
      <c r="A11" s="301">
        <v>8</v>
      </c>
      <c r="B11" s="28" t="s">
        <v>28</v>
      </c>
      <c r="C11" s="28" t="s">
        <v>1021</v>
      </c>
      <c r="D11" s="293" t="s">
        <v>1010</v>
      </c>
      <c r="E11" s="367"/>
      <c r="F11" s="28" t="s">
        <v>1022</v>
      </c>
      <c r="G11" s="28"/>
      <c r="H11" s="293" t="s">
        <v>1023</v>
      </c>
      <c r="I11" s="28"/>
      <c r="J11" s="28" t="s">
        <v>1024</v>
      </c>
      <c r="K11" s="39">
        <v>1.62</v>
      </c>
      <c r="L11" s="39">
        <v>1.62</v>
      </c>
      <c r="M11" s="25">
        <v>1</v>
      </c>
      <c r="N11" s="28" t="s">
        <v>33</v>
      </c>
      <c r="O11" s="28">
        <f t="shared" si="1"/>
        <v>17.981999999999999</v>
      </c>
      <c r="P11" s="28">
        <f t="shared" si="2"/>
        <v>20.978999999999999</v>
      </c>
      <c r="Q11" s="28">
        <f t="shared" si="3"/>
        <v>11.988000000000001</v>
      </c>
      <c r="R11" s="28">
        <f t="shared" si="4"/>
        <v>8.9909999999999997</v>
      </c>
      <c r="S11" s="38">
        <v>59.940000000000005</v>
      </c>
      <c r="T11" s="170">
        <v>105991.94</v>
      </c>
      <c r="U11" s="9">
        <v>171706.94280000002</v>
      </c>
      <c r="V11" s="15"/>
      <c r="W11" s="15"/>
      <c r="X11" s="325" t="s">
        <v>1024</v>
      </c>
      <c r="Y11" s="25">
        <v>500108</v>
      </c>
      <c r="Z11" s="9">
        <v>1.1000000000000001</v>
      </c>
      <c r="AA11" s="15" t="s">
        <v>1022</v>
      </c>
      <c r="AB11" s="178">
        <v>2</v>
      </c>
      <c r="AC11" s="261"/>
      <c r="AD11" s="263"/>
      <c r="AE11" s="356"/>
      <c r="AF11" s="59"/>
      <c r="AG11" s="58"/>
      <c r="AH11" s="42"/>
      <c r="AI11" s="352"/>
      <c r="AJ11" s="59"/>
      <c r="AK11" s="38">
        <v>7266</v>
      </c>
      <c r="AL11" s="339"/>
      <c r="AM11" s="9"/>
      <c r="AN11" s="9"/>
      <c r="AO11" s="9"/>
      <c r="AP11" s="342">
        <v>0.1</v>
      </c>
      <c r="AQ11" s="343">
        <v>0.5</v>
      </c>
      <c r="AR11" s="231">
        <v>47</v>
      </c>
      <c r="AS11" s="231"/>
      <c r="AT11" s="231"/>
    </row>
    <row r="12" spans="1:46" ht="30" customHeight="1" x14ac:dyDescent="0.25">
      <c r="A12" s="301">
        <v>9</v>
      </c>
      <c r="B12" s="28" t="s">
        <v>28</v>
      </c>
      <c r="C12" s="28" t="s">
        <v>1021</v>
      </c>
      <c r="D12" s="293" t="s">
        <v>1010</v>
      </c>
      <c r="E12" s="367"/>
      <c r="F12" s="28" t="s">
        <v>1022</v>
      </c>
      <c r="G12" s="28"/>
      <c r="H12" s="293" t="s">
        <v>1023</v>
      </c>
      <c r="I12" s="28"/>
      <c r="J12" s="28" t="s">
        <v>1024</v>
      </c>
      <c r="K12" s="39">
        <v>1.62</v>
      </c>
      <c r="L12" s="39">
        <v>4.8600000000000003</v>
      </c>
      <c r="M12" s="25">
        <v>1</v>
      </c>
      <c r="N12" s="28" t="s">
        <v>33</v>
      </c>
      <c r="O12" s="28">
        <f t="shared" ref="O12" si="5">S12*0.3</f>
        <v>17.981999999999999</v>
      </c>
      <c r="P12" s="28">
        <f t="shared" ref="P12" si="6">S12*0.35</f>
        <v>20.978999999999999</v>
      </c>
      <c r="Q12" s="28">
        <f t="shared" ref="Q12" si="7">S12*0.2</f>
        <v>11.988000000000001</v>
      </c>
      <c r="R12" s="28">
        <f t="shared" ref="R12" si="8">S12*0.15</f>
        <v>8.9909999999999997</v>
      </c>
      <c r="S12" s="38">
        <v>59.940000000000005</v>
      </c>
      <c r="T12" s="170">
        <v>105991.94</v>
      </c>
      <c r="U12" s="9">
        <v>515120.82840000006</v>
      </c>
      <c r="V12" s="15"/>
      <c r="W12" s="15"/>
      <c r="X12" s="325" t="s">
        <v>1024</v>
      </c>
      <c r="Y12" s="25">
        <v>500109</v>
      </c>
      <c r="Z12" s="9">
        <v>1.1000000000000001</v>
      </c>
      <c r="AA12" s="15" t="s">
        <v>1022</v>
      </c>
      <c r="AB12" s="178">
        <v>1</v>
      </c>
      <c r="AC12" s="261"/>
      <c r="AD12" s="263"/>
      <c r="AE12" s="356"/>
      <c r="AF12" s="59"/>
      <c r="AG12" s="58"/>
      <c r="AH12" s="42"/>
      <c r="AI12" s="352"/>
      <c r="AJ12" s="59"/>
      <c r="AK12" s="38">
        <v>7266</v>
      </c>
      <c r="AL12" s="339"/>
      <c r="AM12" s="9"/>
      <c r="AN12" s="9"/>
      <c r="AO12" s="9"/>
      <c r="AP12" s="342">
        <v>0.5</v>
      </c>
      <c r="AQ12" s="343">
        <v>1</v>
      </c>
      <c r="AR12" s="231">
        <v>43</v>
      </c>
      <c r="AS12" s="231"/>
      <c r="AT12" s="231"/>
    </row>
    <row r="13" spans="1:46" ht="30" customHeight="1" x14ac:dyDescent="0.25">
      <c r="A13" s="301">
        <v>10</v>
      </c>
      <c r="B13" s="28" t="s">
        <v>28</v>
      </c>
      <c r="C13" s="28" t="s">
        <v>1021</v>
      </c>
      <c r="D13" s="293" t="s">
        <v>1010</v>
      </c>
      <c r="E13" s="367"/>
      <c r="F13" s="28" t="s">
        <v>1022</v>
      </c>
      <c r="G13" s="28"/>
      <c r="H13" s="293" t="s">
        <v>1023</v>
      </c>
      <c r="I13" s="28"/>
      <c r="J13" s="28" t="s">
        <v>1024</v>
      </c>
      <c r="K13" s="39">
        <v>1.62</v>
      </c>
      <c r="L13" s="39">
        <v>1.62</v>
      </c>
      <c r="M13" s="25">
        <v>1</v>
      </c>
      <c r="N13" s="28" t="s">
        <v>33</v>
      </c>
      <c r="O13" s="28">
        <f t="shared" si="1"/>
        <v>17.981999999999999</v>
      </c>
      <c r="P13" s="28">
        <f t="shared" si="2"/>
        <v>20.978999999999999</v>
      </c>
      <c r="Q13" s="28">
        <f t="shared" si="3"/>
        <v>11.988000000000001</v>
      </c>
      <c r="R13" s="28">
        <f t="shared" si="4"/>
        <v>8.9909999999999997</v>
      </c>
      <c r="S13" s="38">
        <v>59.940000000000005</v>
      </c>
      <c r="T13" s="170">
        <v>105991.94</v>
      </c>
      <c r="U13" s="9">
        <v>171706.94280000002</v>
      </c>
      <c r="V13" s="15"/>
      <c r="W13" s="15"/>
      <c r="X13" s="325" t="s">
        <v>1024</v>
      </c>
      <c r="Y13" s="25">
        <v>500109</v>
      </c>
      <c r="Z13" s="9">
        <v>1.1000000000000001</v>
      </c>
      <c r="AA13" s="15" t="s">
        <v>1022</v>
      </c>
      <c r="AB13" s="178">
        <v>2</v>
      </c>
      <c r="AC13" s="261"/>
      <c r="AD13" s="263"/>
      <c r="AE13" s="356"/>
      <c r="AF13" s="59"/>
      <c r="AG13" s="58"/>
      <c r="AH13" s="42"/>
      <c r="AI13" s="352"/>
      <c r="AJ13" s="59"/>
      <c r="AK13" s="38">
        <v>7266</v>
      </c>
      <c r="AL13" s="339"/>
      <c r="AM13" s="9"/>
      <c r="AN13" s="9"/>
      <c r="AO13" s="9"/>
      <c r="AP13" s="342">
        <v>1</v>
      </c>
      <c r="AQ13" s="343">
        <v>5</v>
      </c>
      <c r="AR13" s="231">
        <v>37</v>
      </c>
      <c r="AS13" s="231"/>
      <c r="AT13" s="231"/>
    </row>
    <row r="14" spans="1:46" ht="30" customHeight="1" x14ac:dyDescent="0.25">
      <c r="A14" s="301">
        <v>11</v>
      </c>
      <c r="B14" s="28" t="s">
        <v>28</v>
      </c>
      <c r="C14" s="28" t="s">
        <v>1021</v>
      </c>
      <c r="D14" s="293" t="s">
        <v>1010</v>
      </c>
      <c r="E14" s="367"/>
      <c r="F14" s="28" t="s">
        <v>1022</v>
      </c>
      <c r="G14" s="28"/>
      <c r="H14" s="293" t="s">
        <v>1023</v>
      </c>
      <c r="I14" s="28"/>
      <c r="J14" s="28" t="s">
        <v>1024</v>
      </c>
      <c r="K14" s="39">
        <v>1.62</v>
      </c>
      <c r="L14" s="39">
        <v>1.62</v>
      </c>
      <c r="M14" s="25">
        <v>1</v>
      </c>
      <c r="N14" s="28" t="s">
        <v>33</v>
      </c>
      <c r="O14" s="28">
        <f t="shared" si="1"/>
        <v>17.981999999999999</v>
      </c>
      <c r="P14" s="28">
        <f t="shared" si="2"/>
        <v>20.978999999999999</v>
      </c>
      <c r="Q14" s="28">
        <f t="shared" si="3"/>
        <v>11.988000000000001</v>
      </c>
      <c r="R14" s="28">
        <f t="shared" si="4"/>
        <v>8.9909999999999997</v>
      </c>
      <c r="S14" s="38">
        <v>59.940000000000005</v>
      </c>
      <c r="T14" s="170">
        <v>105991.94</v>
      </c>
      <c r="U14" s="9">
        <v>171706.94280000002</v>
      </c>
      <c r="V14" s="15"/>
      <c r="W14" s="15"/>
      <c r="X14" s="325" t="s">
        <v>1024</v>
      </c>
      <c r="Y14" s="25">
        <v>500110</v>
      </c>
      <c r="Z14" s="9">
        <v>1.1000000000000001</v>
      </c>
      <c r="AA14" s="15" t="s">
        <v>1022</v>
      </c>
      <c r="AB14" s="178">
        <v>1</v>
      </c>
      <c r="AC14" s="261"/>
      <c r="AD14" s="263"/>
      <c r="AE14" s="356"/>
      <c r="AF14" s="59"/>
      <c r="AG14" s="58"/>
      <c r="AH14" s="42"/>
      <c r="AI14" s="352"/>
      <c r="AJ14" s="59"/>
      <c r="AK14" s="38">
        <v>7266</v>
      </c>
      <c r="AL14" s="339"/>
      <c r="AM14" s="9"/>
      <c r="AN14" s="9"/>
      <c r="AO14" s="9"/>
      <c r="AP14" s="342">
        <v>5</v>
      </c>
      <c r="AQ14" s="343">
        <v>10</v>
      </c>
      <c r="AR14" s="231">
        <v>28</v>
      </c>
      <c r="AS14" s="231"/>
      <c r="AT14" s="231"/>
    </row>
    <row r="15" spans="1:46" ht="30" customHeight="1" thickBot="1" x14ac:dyDescent="0.3">
      <c r="A15" s="301">
        <v>12</v>
      </c>
      <c r="B15" s="28" t="s">
        <v>28</v>
      </c>
      <c r="C15" s="28" t="s">
        <v>1021</v>
      </c>
      <c r="D15" s="293" t="s">
        <v>1010</v>
      </c>
      <c r="E15" s="367"/>
      <c r="F15" s="28" t="s">
        <v>1022</v>
      </c>
      <c r="G15" s="28"/>
      <c r="H15" s="293" t="s">
        <v>1023</v>
      </c>
      <c r="I15" s="28"/>
      <c r="J15" s="28" t="s">
        <v>1024</v>
      </c>
      <c r="K15" s="39">
        <v>1.62</v>
      </c>
      <c r="L15" s="39">
        <v>4.8600000000000003</v>
      </c>
      <c r="M15" s="25">
        <v>1</v>
      </c>
      <c r="N15" s="28" t="s">
        <v>33</v>
      </c>
      <c r="O15" s="28">
        <f t="shared" ref="O15" si="9">S15*0.3</f>
        <v>17.981999999999999</v>
      </c>
      <c r="P15" s="28">
        <f t="shared" ref="P15" si="10">S15*0.35</f>
        <v>20.978999999999999</v>
      </c>
      <c r="Q15" s="28">
        <f t="shared" ref="Q15" si="11">S15*0.2</f>
        <v>11.988000000000001</v>
      </c>
      <c r="R15" s="28">
        <f t="shared" ref="R15" si="12">S15*0.15</f>
        <v>8.9909999999999997</v>
      </c>
      <c r="S15" s="38">
        <v>59.940000000000005</v>
      </c>
      <c r="T15" s="170">
        <v>105991.94</v>
      </c>
      <c r="U15" s="9">
        <v>515120.82840000006</v>
      </c>
      <c r="V15" s="15"/>
      <c r="W15" s="15"/>
      <c r="X15" s="325" t="s">
        <v>1024</v>
      </c>
      <c r="Y15" s="25">
        <v>500110</v>
      </c>
      <c r="Z15" s="9">
        <v>1.1000000000000001</v>
      </c>
      <c r="AA15" s="15" t="s">
        <v>1022</v>
      </c>
      <c r="AB15" s="178">
        <v>2</v>
      </c>
      <c r="AC15" s="261"/>
      <c r="AD15" s="263"/>
      <c r="AE15" s="356"/>
      <c r="AF15" s="59"/>
      <c r="AG15" s="58"/>
      <c r="AH15" s="42"/>
      <c r="AI15" s="352"/>
      <c r="AJ15" s="59"/>
      <c r="AK15" s="38">
        <v>7266</v>
      </c>
      <c r="AL15" s="339"/>
      <c r="AM15" s="9"/>
      <c r="AN15" s="9"/>
      <c r="AO15" s="9"/>
      <c r="AP15" s="344" t="s">
        <v>669</v>
      </c>
      <c r="AQ15" s="345">
        <v>10</v>
      </c>
      <c r="AR15" s="234">
        <v>0</v>
      </c>
      <c r="AS15" s="234"/>
      <c r="AT15" s="234"/>
    </row>
    <row r="16" spans="1:46" ht="30" customHeight="1" x14ac:dyDescent="0.25">
      <c r="A16" s="301">
        <v>13</v>
      </c>
      <c r="B16" s="28" t="s">
        <v>28</v>
      </c>
      <c r="C16" s="28" t="s">
        <v>1021</v>
      </c>
      <c r="D16" s="293" t="s">
        <v>1010</v>
      </c>
      <c r="E16" s="367"/>
      <c r="F16" s="28" t="s">
        <v>1022</v>
      </c>
      <c r="G16" s="28"/>
      <c r="H16" s="293" t="s">
        <v>1023</v>
      </c>
      <c r="I16" s="28"/>
      <c r="J16" s="28" t="s">
        <v>1024</v>
      </c>
      <c r="K16" s="153">
        <v>1.62</v>
      </c>
      <c r="L16" s="39">
        <v>1.62</v>
      </c>
      <c r="M16" s="25">
        <v>1</v>
      </c>
      <c r="N16" s="28" t="s">
        <v>33</v>
      </c>
      <c r="O16" s="28">
        <f t="shared" si="1"/>
        <v>17.981999999999999</v>
      </c>
      <c r="P16" s="28">
        <f t="shared" si="2"/>
        <v>20.978999999999999</v>
      </c>
      <c r="Q16" s="28">
        <f t="shared" si="3"/>
        <v>11.988000000000001</v>
      </c>
      <c r="R16" s="28">
        <f t="shared" si="4"/>
        <v>8.9909999999999997</v>
      </c>
      <c r="S16" s="38">
        <v>59.940000000000005</v>
      </c>
      <c r="T16" s="170">
        <v>105991.94</v>
      </c>
      <c r="U16" s="9">
        <v>171706.94280000002</v>
      </c>
      <c r="V16" s="15"/>
      <c r="W16" s="15"/>
      <c r="X16" s="325" t="s">
        <v>1024</v>
      </c>
      <c r="Y16" s="25">
        <v>500111</v>
      </c>
      <c r="Z16" s="9">
        <v>1.1000000000000001</v>
      </c>
      <c r="AA16" s="15" t="s">
        <v>1022</v>
      </c>
      <c r="AB16" s="178">
        <v>1</v>
      </c>
      <c r="AC16" s="261"/>
      <c r="AD16" s="263"/>
      <c r="AE16" s="356"/>
      <c r="AF16" s="59"/>
      <c r="AG16" s="58"/>
      <c r="AH16" s="42"/>
      <c r="AI16" s="352"/>
      <c r="AJ16" s="59"/>
      <c r="AK16" s="38">
        <v>7266</v>
      </c>
      <c r="AL16" s="339"/>
      <c r="AM16" s="9"/>
      <c r="AN16" s="9"/>
      <c r="AO16" s="9"/>
      <c r="AQ16" s="17"/>
    </row>
    <row r="17" spans="1:43" ht="30" hidden="1" customHeight="1" x14ac:dyDescent="0.25">
      <c r="A17" s="268">
        <v>14</v>
      </c>
      <c r="B17" s="15" t="s">
        <v>28</v>
      </c>
      <c r="C17" s="143" t="s">
        <v>1021</v>
      </c>
      <c r="D17" s="293" t="s">
        <v>1010</v>
      </c>
      <c r="E17" s="336"/>
      <c r="F17" s="15" t="s">
        <v>1025</v>
      </c>
      <c r="G17" s="15"/>
      <c r="H17" s="293" t="s">
        <v>1026</v>
      </c>
      <c r="I17" s="15"/>
      <c r="J17" s="15" t="s">
        <v>1027</v>
      </c>
      <c r="K17" s="153">
        <v>1.776</v>
      </c>
      <c r="L17" s="39">
        <v>1.776</v>
      </c>
      <c r="M17" s="25">
        <v>1</v>
      </c>
      <c r="N17" s="15" t="s">
        <v>33</v>
      </c>
      <c r="O17" s="28">
        <f t="shared" si="1"/>
        <v>19.7136</v>
      </c>
      <c r="P17" s="28">
        <f t="shared" si="2"/>
        <v>22.999199999999998</v>
      </c>
      <c r="Q17" s="28">
        <f t="shared" si="3"/>
        <v>13.142400000000002</v>
      </c>
      <c r="R17" s="28">
        <f t="shared" si="4"/>
        <v>9.8567999999999998</v>
      </c>
      <c r="S17" s="38">
        <v>65.712000000000003</v>
      </c>
      <c r="T17" s="170">
        <v>105991.94</v>
      </c>
      <c r="U17" s="9">
        <v>188241.68544</v>
      </c>
      <c r="V17" s="15"/>
      <c r="W17" s="15"/>
      <c r="X17" s="28" t="s">
        <v>1027</v>
      </c>
      <c r="Y17" s="38">
        <v>500066</v>
      </c>
      <c r="Z17" s="9">
        <v>1.1000000000000001</v>
      </c>
      <c r="AA17" s="15" t="s">
        <v>1025</v>
      </c>
      <c r="AB17" s="178">
        <v>1</v>
      </c>
      <c r="AC17" s="58"/>
      <c r="AD17" s="42"/>
      <c r="AE17" s="352"/>
      <c r="AF17" s="59"/>
      <c r="AG17" s="58"/>
      <c r="AH17" s="42"/>
      <c r="AI17" s="352"/>
      <c r="AJ17" s="59"/>
      <c r="AK17" s="38">
        <v>7275</v>
      </c>
      <c r="AL17" s="339"/>
      <c r="AM17" s="9"/>
      <c r="AN17" s="9"/>
      <c r="AO17" s="9"/>
      <c r="AQ17" s="17"/>
    </row>
    <row r="18" spans="1:43" ht="30" hidden="1" customHeight="1" x14ac:dyDescent="0.25">
      <c r="A18" s="268">
        <v>15</v>
      </c>
      <c r="B18" s="15" t="s">
        <v>28</v>
      </c>
      <c r="C18" s="143" t="s">
        <v>1021</v>
      </c>
      <c r="D18" s="293" t="s">
        <v>1010</v>
      </c>
      <c r="E18" s="336"/>
      <c r="F18" s="15" t="s">
        <v>1028</v>
      </c>
      <c r="G18" s="15"/>
      <c r="H18" s="193" t="s">
        <v>1029</v>
      </c>
      <c r="I18" s="15"/>
      <c r="J18" s="15" t="s">
        <v>1030</v>
      </c>
      <c r="K18" s="183">
        <v>2.5030000000000001</v>
      </c>
      <c r="L18" s="34">
        <v>2.5030000000000001</v>
      </c>
      <c r="M18" s="9">
        <v>1</v>
      </c>
      <c r="N18" s="15" t="s">
        <v>33</v>
      </c>
      <c r="O18" s="15">
        <f t="shared" si="1"/>
        <v>27.783300000000001</v>
      </c>
      <c r="P18" s="15">
        <f t="shared" si="2"/>
        <v>32.413849999999996</v>
      </c>
      <c r="Q18" s="15">
        <f t="shared" si="3"/>
        <v>18.522200000000002</v>
      </c>
      <c r="R18" s="15">
        <f t="shared" si="4"/>
        <v>13.89165</v>
      </c>
      <c r="S18" s="38">
        <v>92.611000000000004</v>
      </c>
      <c r="T18" s="170">
        <v>105991.94</v>
      </c>
      <c r="U18" s="9">
        <v>265297.82582000003</v>
      </c>
      <c r="V18" s="15"/>
      <c r="W18" s="15"/>
      <c r="X18" s="15" t="s">
        <v>1030</v>
      </c>
      <c r="Y18" s="9">
        <v>500073</v>
      </c>
      <c r="Z18" s="9">
        <v>1.1000000000000001</v>
      </c>
      <c r="AA18" s="15" t="s">
        <v>1028</v>
      </c>
      <c r="AB18" s="178">
        <v>1</v>
      </c>
      <c r="AC18" s="58"/>
      <c r="AD18" s="42"/>
      <c r="AE18" s="352"/>
      <c r="AF18" s="59"/>
      <c r="AG18" s="58"/>
      <c r="AH18" s="42"/>
      <c r="AI18" s="352"/>
      <c r="AJ18" s="59"/>
      <c r="AK18" s="38">
        <v>7264</v>
      </c>
      <c r="AL18" s="339"/>
      <c r="AM18" s="9"/>
      <c r="AN18" s="9"/>
      <c r="AO18" s="9"/>
      <c r="AQ18" s="17"/>
    </row>
    <row r="19" spans="1:43" ht="30" hidden="1" customHeight="1" x14ac:dyDescent="0.25">
      <c r="A19" s="268">
        <v>16</v>
      </c>
      <c r="B19" s="15" t="s">
        <v>28</v>
      </c>
      <c r="C19" s="143" t="s">
        <v>1021</v>
      </c>
      <c r="D19" s="293" t="s">
        <v>1010</v>
      </c>
      <c r="E19" s="336"/>
      <c r="F19" s="15" t="s">
        <v>1028</v>
      </c>
      <c r="G19" s="15"/>
      <c r="H19" s="193" t="s">
        <v>1029</v>
      </c>
      <c r="I19" s="15"/>
      <c r="J19" s="15" t="s">
        <v>1030</v>
      </c>
      <c r="K19" s="183">
        <v>2.5030000000000001</v>
      </c>
      <c r="L19" s="34">
        <v>2.5030000000000001</v>
      </c>
      <c r="M19" s="9">
        <v>1</v>
      </c>
      <c r="N19" s="15" t="s">
        <v>33</v>
      </c>
      <c r="O19" s="15">
        <f t="shared" si="1"/>
        <v>27.783300000000001</v>
      </c>
      <c r="P19" s="15">
        <f t="shared" si="2"/>
        <v>32.413849999999996</v>
      </c>
      <c r="Q19" s="15">
        <f t="shared" si="3"/>
        <v>18.522200000000002</v>
      </c>
      <c r="R19" s="15">
        <f t="shared" si="4"/>
        <v>13.89165</v>
      </c>
      <c r="S19" s="38">
        <v>92.611000000000004</v>
      </c>
      <c r="T19" s="170">
        <v>105991.94</v>
      </c>
      <c r="U19" s="9">
        <v>265297.82582000003</v>
      </c>
      <c r="V19" s="15"/>
      <c r="W19" s="15"/>
      <c r="X19" s="15" t="s">
        <v>1030</v>
      </c>
      <c r="Y19" s="9">
        <v>500075</v>
      </c>
      <c r="Z19" s="9">
        <v>1.1000000000000001</v>
      </c>
      <c r="AA19" s="15" t="s">
        <v>1028</v>
      </c>
      <c r="AB19" s="178">
        <v>1</v>
      </c>
      <c r="AC19" s="58"/>
      <c r="AD19" s="42"/>
      <c r="AE19" s="352"/>
      <c r="AF19" s="59"/>
      <c r="AG19" s="58"/>
      <c r="AH19" s="42"/>
      <c r="AI19" s="352"/>
      <c r="AJ19" s="59"/>
      <c r="AK19" s="38">
        <v>7264</v>
      </c>
      <c r="AL19" s="339"/>
      <c r="AM19" s="9"/>
      <c r="AN19" s="9"/>
      <c r="AO19" s="9"/>
      <c r="AQ19" s="17"/>
    </row>
    <row r="20" spans="1:43" ht="30" customHeight="1" x14ac:dyDescent="0.25">
      <c r="A20" s="301">
        <v>17</v>
      </c>
      <c r="B20" s="28" t="s">
        <v>28</v>
      </c>
      <c r="C20" s="28" t="s">
        <v>1021</v>
      </c>
      <c r="D20" s="293" t="s">
        <v>1010</v>
      </c>
      <c r="E20" s="367"/>
      <c r="F20" s="28" t="s">
        <v>1022</v>
      </c>
      <c r="G20" s="28"/>
      <c r="H20" s="293" t="s">
        <v>1023</v>
      </c>
      <c r="I20" s="28"/>
      <c r="J20" s="28" t="s">
        <v>1031</v>
      </c>
      <c r="K20" s="153">
        <v>0.22800000000000001</v>
      </c>
      <c r="L20" s="39">
        <v>0.22800000000000001</v>
      </c>
      <c r="M20" s="25">
        <v>1</v>
      </c>
      <c r="N20" s="28" t="s">
        <v>33</v>
      </c>
      <c r="O20" s="28">
        <f t="shared" si="1"/>
        <v>3.2148000000000003</v>
      </c>
      <c r="P20" s="28">
        <f t="shared" si="2"/>
        <v>3.7505999999999999</v>
      </c>
      <c r="Q20" s="28">
        <f t="shared" si="3"/>
        <v>2.1432000000000002</v>
      </c>
      <c r="R20" s="28">
        <f t="shared" si="4"/>
        <v>1.6074000000000002</v>
      </c>
      <c r="S20" s="25">
        <v>10.716000000000001</v>
      </c>
      <c r="T20" s="150">
        <v>105991.94</v>
      </c>
      <c r="U20" s="25">
        <v>24166.162320000003</v>
      </c>
      <c r="V20" s="28"/>
      <c r="W20" s="28"/>
      <c r="X20" s="28" t="s">
        <v>1031</v>
      </c>
      <c r="Y20" s="25">
        <v>500075</v>
      </c>
      <c r="Z20" s="9">
        <v>1.1000000000000001</v>
      </c>
      <c r="AA20" s="15" t="s">
        <v>1022</v>
      </c>
      <c r="AB20" s="178">
        <v>1</v>
      </c>
      <c r="AC20" s="261"/>
      <c r="AD20" s="263"/>
      <c r="AE20" s="356"/>
      <c r="AF20" s="59"/>
      <c r="AG20" s="58"/>
      <c r="AH20" s="42"/>
      <c r="AI20" s="352"/>
      <c r="AJ20" s="59"/>
      <c r="AK20" s="38">
        <v>7266</v>
      </c>
      <c r="AL20" s="339"/>
      <c r="AM20" s="9"/>
      <c r="AN20" s="9"/>
      <c r="AO20" s="9"/>
      <c r="AQ20" s="17"/>
    </row>
    <row r="21" spans="1:43" ht="30" hidden="1" customHeight="1" x14ac:dyDescent="0.25">
      <c r="A21" s="268">
        <v>18</v>
      </c>
      <c r="B21" s="15" t="s">
        <v>28</v>
      </c>
      <c r="C21" s="143" t="s">
        <v>1021</v>
      </c>
      <c r="D21" s="293" t="s">
        <v>1010</v>
      </c>
      <c r="E21" s="336"/>
      <c r="F21" s="15" t="s">
        <v>1032</v>
      </c>
      <c r="G21" s="15"/>
      <c r="H21" s="193" t="s">
        <v>1033</v>
      </c>
      <c r="I21" s="15"/>
      <c r="J21" s="15" t="s">
        <v>1034</v>
      </c>
      <c r="K21" s="183">
        <v>0.09</v>
      </c>
      <c r="L21" s="34">
        <v>0.09</v>
      </c>
      <c r="M21" s="9">
        <v>1</v>
      </c>
      <c r="N21" s="15" t="s">
        <v>33</v>
      </c>
      <c r="O21" s="15">
        <f t="shared" si="1"/>
        <v>1.5659999999999998</v>
      </c>
      <c r="P21" s="15">
        <f t="shared" si="2"/>
        <v>1.8269999999999997</v>
      </c>
      <c r="Q21" s="15">
        <f t="shared" si="3"/>
        <v>1.044</v>
      </c>
      <c r="R21" s="15">
        <f t="shared" si="4"/>
        <v>0.78299999999999992</v>
      </c>
      <c r="S21" s="38">
        <v>5.22</v>
      </c>
      <c r="T21" s="170">
        <v>105991.94</v>
      </c>
      <c r="U21" s="9">
        <v>9539.2746000000006</v>
      </c>
      <c r="V21" s="15"/>
      <c r="W21" s="15"/>
      <c r="X21" s="15" t="s">
        <v>1034</v>
      </c>
      <c r="Y21" s="9">
        <v>500076</v>
      </c>
      <c r="Z21" s="9">
        <v>1.1000000000000001</v>
      </c>
      <c r="AA21" s="15" t="s">
        <v>1032</v>
      </c>
      <c r="AB21" s="178">
        <v>1</v>
      </c>
      <c r="AC21" s="58"/>
      <c r="AD21" s="42"/>
      <c r="AE21" s="352"/>
      <c r="AF21" s="59"/>
      <c r="AG21" s="58"/>
      <c r="AH21" s="42"/>
      <c r="AI21" s="352"/>
      <c r="AJ21" s="59"/>
      <c r="AK21" s="38">
        <v>7285</v>
      </c>
      <c r="AL21" s="339"/>
      <c r="AM21" s="9"/>
      <c r="AN21" s="9"/>
      <c r="AO21" s="9"/>
      <c r="AQ21" s="17"/>
    </row>
    <row r="22" spans="1:43" ht="30" hidden="1" customHeight="1" x14ac:dyDescent="0.25">
      <c r="A22" s="268">
        <v>19</v>
      </c>
      <c r="B22" s="15" t="s">
        <v>28</v>
      </c>
      <c r="C22" s="143" t="s">
        <v>1021</v>
      </c>
      <c r="D22" s="293" t="s">
        <v>1010</v>
      </c>
      <c r="E22" s="336"/>
      <c r="F22" s="15" t="s">
        <v>1032</v>
      </c>
      <c r="G22" s="15"/>
      <c r="H22" s="193" t="s">
        <v>1033</v>
      </c>
      <c r="I22" s="15"/>
      <c r="J22" s="15" t="s">
        <v>1034</v>
      </c>
      <c r="K22" s="183">
        <v>0.09</v>
      </c>
      <c r="L22" s="34">
        <v>0.09</v>
      </c>
      <c r="M22" s="9">
        <v>1</v>
      </c>
      <c r="N22" s="15" t="s">
        <v>33</v>
      </c>
      <c r="O22" s="15">
        <f t="shared" si="1"/>
        <v>1.5659999999999998</v>
      </c>
      <c r="P22" s="15">
        <f t="shared" si="2"/>
        <v>1.8269999999999997</v>
      </c>
      <c r="Q22" s="15">
        <f t="shared" si="3"/>
        <v>1.044</v>
      </c>
      <c r="R22" s="15">
        <f t="shared" si="4"/>
        <v>0.78299999999999992</v>
      </c>
      <c r="S22" s="38">
        <v>5.22</v>
      </c>
      <c r="T22" s="170">
        <v>105991.94</v>
      </c>
      <c r="U22" s="9">
        <v>9539.2746000000006</v>
      </c>
      <c r="V22" s="15"/>
      <c r="W22" s="15"/>
      <c r="X22" s="15" t="s">
        <v>1034</v>
      </c>
      <c r="Y22" s="9">
        <v>500076</v>
      </c>
      <c r="Z22" s="9">
        <v>1.1000000000000001</v>
      </c>
      <c r="AA22" s="15" t="s">
        <v>1032</v>
      </c>
      <c r="AB22" s="178">
        <v>2</v>
      </c>
      <c r="AC22" s="58"/>
      <c r="AD22" s="42"/>
      <c r="AE22" s="352"/>
      <c r="AF22" s="59"/>
      <c r="AG22" s="58"/>
      <c r="AH22" s="42"/>
      <c r="AI22" s="352"/>
      <c r="AJ22" s="59"/>
      <c r="AK22" s="38">
        <v>7285</v>
      </c>
      <c r="AL22" s="339"/>
      <c r="AM22" s="9"/>
      <c r="AN22" s="9"/>
      <c r="AO22" s="9"/>
      <c r="AQ22" s="17"/>
    </row>
    <row r="23" spans="1:43" ht="30" hidden="1" customHeight="1" x14ac:dyDescent="0.25">
      <c r="A23" s="268">
        <v>20</v>
      </c>
      <c r="B23" s="15" t="s">
        <v>28</v>
      </c>
      <c r="C23" s="143" t="s">
        <v>1021</v>
      </c>
      <c r="D23" s="293" t="s">
        <v>1010</v>
      </c>
      <c r="E23" s="336"/>
      <c r="F23" s="15" t="s">
        <v>1035</v>
      </c>
      <c r="G23" s="15"/>
      <c r="H23" s="193" t="s">
        <v>1036</v>
      </c>
      <c r="I23" s="15"/>
      <c r="J23" s="15" t="s">
        <v>1037</v>
      </c>
      <c r="K23" s="183">
        <v>0.03</v>
      </c>
      <c r="L23" s="34">
        <v>0.03</v>
      </c>
      <c r="M23" s="9">
        <v>1</v>
      </c>
      <c r="N23" s="15" t="s">
        <v>33</v>
      </c>
      <c r="O23" s="15">
        <f t="shared" si="1"/>
        <v>0.53999999999999992</v>
      </c>
      <c r="P23" s="15">
        <f t="shared" si="2"/>
        <v>0.62999999999999989</v>
      </c>
      <c r="Q23" s="15">
        <f t="shared" si="3"/>
        <v>0.36</v>
      </c>
      <c r="R23" s="15">
        <f t="shared" si="4"/>
        <v>0.26999999999999996</v>
      </c>
      <c r="S23" s="38">
        <v>1.7999999999999998</v>
      </c>
      <c r="T23" s="170">
        <v>105991.94</v>
      </c>
      <c r="U23" s="9">
        <v>3179.7581999999998</v>
      </c>
      <c r="V23" s="15"/>
      <c r="W23" s="15"/>
      <c r="X23" s="15" t="s">
        <v>1037</v>
      </c>
      <c r="Y23" s="9">
        <v>500088</v>
      </c>
      <c r="Z23" s="9">
        <v>1.1000000000000001</v>
      </c>
      <c r="AA23" s="15" t="s">
        <v>1035</v>
      </c>
      <c r="AB23" s="178">
        <v>1</v>
      </c>
      <c r="AC23" s="58"/>
      <c r="AD23" s="42"/>
      <c r="AE23" s="352"/>
      <c r="AF23" s="59"/>
      <c r="AG23" s="58"/>
      <c r="AH23" s="42"/>
      <c r="AI23" s="352"/>
      <c r="AJ23" s="59"/>
      <c r="AK23" s="38">
        <v>7213</v>
      </c>
      <c r="AL23" s="339"/>
      <c r="AM23" s="9"/>
      <c r="AN23" s="9"/>
      <c r="AO23" s="9"/>
      <c r="AQ23" s="17"/>
    </row>
    <row r="24" spans="1:43" ht="30" hidden="1" customHeight="1" x14ac:dyDescent="0.25">
      <c r="A24" s="268">
        <v>21</v>
      </c>
      <c r="B24" s="15" t="s">
        <v>28</v>
      </c>
      <c r="C24" s="143" t="s">
        <v>1021</v>
      </c>
      <c r="D24" s="293" t="s">
        <v>1010</v>
      </c>
      <c r="E24" s="336"/>
      <c r="F24" s="15" t="s">
        <v>1038</v>
      </c>
      <c r="G24" s="15"/>
      <c r="H24" s="193" t="s">
        <v>1013</v>
      </c>
      <c r="I24" s="15"/>
      <c r="J24" s="15" t="s">
        <v>1014</v>
      </c>
      <c r="K24" s="183">
        <v>0.14349999999999999</v>
      </c>
      <c r="L24" s="34">
        <v>0.14349999999999999</v>
      </c>
      <c r="M24" s="9">
        <v>1</v>
      </c>
      <c r="N24" s="15" t="s">
        <v>33</v>
      </c>
      <c r="O24" s="15">
        <f t="shared" si="1"/>
        <v>2.0233499999999998</v>
      </c>
      <c r="P24" s="15">
        <f t="shared" si="2"/>
        <v>2.3605749999999999</v>
      </c>
      <c r="Q24" s="15">
        <f t="shared" si="3"/>
        <v>1.3489</v>
      </c>
      <c r="R24" s="15">
        <f t="shared" si="4"/>
        <v>1.0116749999999999</v>
      </c>
      <c r="S24" s="38">
        <v>6.7444999999999995</v>
      </c>
      <c r="T24" s="170">
        <v>105991.94</v>
      </c>
      <c r="U24" s="9">
        <v>15209.84339</v>
      </c>
      <c r="V24" s="15"/>
      <c r="W24" s="15"/>
      <c r="X24" s="15" t="s">
        <v>1014</v>
      </c>
      <c r="Y24" s="9">
        <v>500101</v>
      </c>
      <c r="Z24" s="9">
        <v>1.1000000000000001</v>
      </c>
      <c r="AA24" s="15" t="s">
        <v>1038</v>
      </c>
      <c r="AB24" s="178">
        <v>1</v>
      </c>
      <c r="AC24" s="58"/>
      <c r="AD24" s="42"/>
      <c r="AE24" s="352"/>
      <c r="AF24" s="59"/>
      <c r="AG24" s="58"/>
      <c r="AH24" s="42"/>
      <c r="AI24" s="352"/>
      <c r="AJ24" s="59"/>
      <c r="AK24" s="38">
        <v>3051</v>
      </c>
      <c r="AL24" s="339"/>
      <c r="AM24" s="9"/>
      <c r="AN24" s="9"/>
      <c r="AO24" s="9"/>
      <c r="AQ24" s="17"/>
    </row>
    <row r="25" spans="1:43" ht="30" hidden="1" customHeight="1" x14ac:dyDescent="0.25">
      <c r="A25" s="268">
        <v>22</v>
      </c>
      <c r="B25" s="15" t="s">
        <v>28</v>
      </c>
      <c r="C25" s="143" t="s">
        <v>1021</v>
      </c>
      <c r="D25" s="293" t="s">
        <v>1010</v>
      </c>
      <c r="E25" s="336"/>
      <c r="F25" s="15" t="s">
        <v>1038</v>
      </c>
      <c r="G25" s="15"/>
      <c r="H25" s="193" t="s">
        <v>1013</v>
      </c>
      <c r="I25" s="15"/>
      <c r="J25" s="15" t="s">
        <v>1014</v>
      </c>
      <c r="K25" s="183">
        <v>0.14349999999999999</v>
      </c>
      <c r="L25" s="34">
        <v>0.14349999999999999</v>
      </c>
      <c r="M25" s="9">
        <v>1</v>
      </c>
      <c r="N25" s="15" t="s">
        <v>33</v>
      </c>
      <c r="O25" s="15">
        <f t="shared" si="1"/>
        <v>2.0233499999999998</v>
      </c>
      <c r="P25" s="15">
        <f t="shared" si="2"/>
        <v>2.3605749999999999</v>
      </c>
      <c r="Q25" s="15">
        <f t="shared" si="3"/>
        <v>1.3489</v>
      </c>
      <c r="R25" s="15">
        <f t="shared" si="4"/>
        <v>1.0116749999999999</v>
      </c>
      <c r="S25" s="38">
        <v>6.7444999999999995</v>
      </c>
      <c r="T25" s="170">
        <v>105991.94</v>
      </c>
      <c r="U25" s="9">
        <v>15209.84339</v>
      </c>
      <c r="V25" s="15"/>
      <c r="W25" s="15"/>
      <c r="X25" s="15" t="s">
        <v>1014</v>
      </c>
      <c r="Y25" s="9">
        <v>500101</v>
      </c>
      <c r="Z25" s="9">
        <v>1.1000000000000001</v>
      </c>
      <c r="AA25" s="15" t="s">
        <v>1038</v>
      </c>
      <c r="AB25" s="178">
        <v>2</v>
      </c>
      <c r="AC25" s="58"/>
      <c r="AD25" s="42"/>
      <c r="AE25" s="352"/>
      <c r="AF25" s="59"/>
      <c r="AG25" s="58"/>
      <c r="AH25" s="42"/>
      <c r="AI25" s="352"/>
      <c r="AJ25" s="59"/>
      <c r="AK25" s="38">
        <v>3051</v>
      </c>
      <c r="AL25" s="339"/>
      <c r="AM25" s="9"/>
      <c r="AN25" s="9"/>
      <c r="AO25" s="9"/>
      <c r="AQ25" s="17"/>
    </row>
    <row r="26" spans="1:43" ht="30" hidden="1" customHeight="1" x14ac:dyDescent="0.25">
      <c r="A26" s="268">
        <v>23</v>
      </c>
      <c r="B26" s="15" t="s">
        <v>28</v>
      </c>
      <c r="C26" s="143" t="s">
        <v>1021</v>
      </c>
      <c r="D26" s="293" t="s">
        <v>1010</v>
      </c>
      <c r="E26" s="336"/>
      <c r="F26" s="15" t="s">
        <v>1039</v>
      </c>
      <c r="G26" s="15"/>
      <c r="H26" s="193" t="s">
        <v>1040</v>
      </c>
      <c r="I26" s="15"/>
      <c r="J26" s="15" t="s">
        <v>1041</v>
      </c>
      <c r="K26" s="183">
        <v>2.3239999999999998</v>
      </c>
      <c r="L26" s="34">
        <v>2.3239999999999998</v>
      </c>
      <c r="M26" s="9">
        <v>1</v>
      </c>
      <c r="N26" s="15" t="s">
        <v>33</v>
      </c>
      <c r="O26" s="15">
        <f t="shared" si="1"/>
        <v>25.796399999999998</v>
      </c>
      <c r="P26" s="15">
        <f t="shared" si="2"/>
        <v>30.095799999999997</v>
      </c>
      <c r="Q26" s="15">
        <f t="shared" si="3"/>
        <v>17.197600000000001</v>
      </c>
      <c r="R26" s="15">
        <f t="shared" si="4"/>
        <v>12.898199999999999</v>
      </c>
      <c r="S26" s="38">
        <v>85.988</v>
      </c>
      <c r="T26" s="170">
        <v>105991.94</v>
      </c>
      <c r="U26" s="9">
        <v>246325.26856</v>
      </c>
      <c r="V26" s="15"/>
      <c r="W26" s="15"/>
      <c r="X26" s="15" t="s">
        <v>1041</v>
      </c>
      <c r="Y26" s="9">
        <v>500105</v>
      </c>
      <c r="Z26" s="9">
        <v>1.1000000000000001</v>
      </c>
      <c r="AA26" s="15" t="s">
        <v>1039</v>
      </c>
      <c r="AB26" s="178">
        <v>1</v>
      </c>
      <c r="AC26" s="58"/>
      <c r="AD26" s="42"/>
      <c r="AE26" s="352"/>
      <c r="AF26" s="59"/>
      <c r="AG26" s="58"/>
      <c r="AH26" s="42"/>
      <c r="AI26" s="352"/>
      <c r="AJ26" s="59"/>
      <c r="AK26" s="38">
        <v>7241</v>
      </c>
      <c r="AL26" s="339"/>
      <c r="AM26" s="9"/>
      <c r="AN26" s="9"/>
      <c r="AO26" s="9"/>
      <c r="AQ26" s="17"/>
    </row>
    <row r="27" spans="1:43" ht="30" hidden="1" customHeight="1" x14ac:dyDescent="0.25">
      <c r="A27" s="268">
        <v>24</v>
      </c>
      <c r="B27" s="15" t="s">
        <v>28</v>
      </c>
      <c r="C27" s="143" t="s">
        <v>1021</v>
      </c>
      <c r="D27" s="293" t="s">
        <v>1010</v>
      </c>
      <c r="E27" s="336"/>
      <c r="F27" s="15" t="s">
        <v>1042</v>
      </c>
      <c r="G27" s="15"/>
      <c r="H27" s="193" t="s">
        <v>1043</v>
      </c>
      <c r="I27" s="15"/>
      <c r="J27" s="15" t="s">
        <v>1044</v>
      </c>
      <c r="K27" s="183">
        <v>5.75</v>
      </c>
      <c r="L27" s="34">
        <v>5.75</v>
      </c>
      <c r="M27" s="9">
        <v>1</v>
      </c>
      <c r="N27" s="15" t="s">
        <v>33</v>
      </c>
      <c r="O27" s="15">
        <f t="shared" si="1"/>
        <v>48.3</v>
      </c>
      <c r="P27" s="15">
        <f t="shared" si="2"/>
        <v>56.349999999999994</v>
      </c>
      <c r="Q27" s="15">
        <f t="shared" si="3"/>
        <v>32.200000000000003</v>
      </c>
      <c r="R27" s="15">
        <f t="shared" si="4"/>
        <v>24.15</v>
      </c>
      <c r="S27" s="38">
        <v>161</v>
      </c>
      <c r="T27" s="170">
        <v>105991.94</v>
      </c>
      <c r="U27" s="9">
        <v>609453.65500000003</v>
      </c>
      <c r="V27" s="15"/>
      <c r="W27" s="15"/>
      <c r="X27" s="15" t="s">
        <v>1044</v>
      </c>
      <c r="Y27" s="9">
        <v>500112</v>
      </c>
      <c r="Z27" s="9">
        <v>1.1000000000000001</v>
      </c>
      <c r="AA27" s="15" t="s">
        <v>1042</v>
      </c>
      <c r="AB27" s="178">
        <v>1</v>
      </c>
      <c r="AC27" s="58"/>
      <c r="AD27" s="42"/>
      <c r="AE27" s="352"/>
      <c r="AF27" s="59"/>
      <c r="AG27" s="58"/>
      <c r="AH27" s="42"/>
      <c r="AI27" s="352"/>
      <c r="AJ27" s="59"/>
      <c r="AK27" s="38">
        <v>7273</v>
      </c>
      <c r="AL27" s="339"/>
      <c r="AM27" s="9"/>
      <c r="AN27" s="9"/>
      <c r="AO27" s="9"/>
      <c r="AQ27" s="17"/>
    </row>
    <row r="28" spans="1:43" ht="30" hidden="1" customHeight="1" x14ac:dyDescent="0.25">
      <c r="A28" s="268">
        <v>25</v>
      </c>
      <c r="B28" s="15" t="s">
        <v>28</v>
      </c>
      <c r="C28" s="143" t="s">
        <v>1021</v>
      </c>
      <c r="D28" s="293" t="s">
        <v>1010</v>
      </c>
      <c r="E28" s="336"/>
      <c r="F28" s="15" t="s">
        <v>1025</v>
      </c>
      <c r="G28" s="15"/>
      <c r="H28" s="293" t="s">
        <v>1026</v>
      </c>
      <c r="I28" s="15"/>
      <c r="J28" s="15" t="s">
        <v>1045</v>
      </c>
      <c r="K28" s="153">
        <v>1.5680000000000001</v>
      </c>
      <c r="L28" s="39">
        <v>1.5680000000000001</v>
      </c>
      <c r="M28" s="25">
        <v>1</v>
      </c>
      <c r="N28" s="15" t="s">
        <v>33</v>
      </c>
      <c r="O28" s="28">
        <f t="shared" si="1"/>
        <v>17.404800000000002</v>
      </c>
      <c r="P28" s="28">
        <f t="shared" si="2"/>
        <v>20.305600000000002</v>
      </c>
      <c r="Q28" s="28">
        <f t="shared" si="3"/>
        <v>11.603200000000001</v>
      </c>
      <c r="R28" s="28">
        <f t="shared" si="4"/>
        <v>8.7024000000000008</v>
      </c>
      <c r="S28" s="38">
        <v>58.016000000000005</v>
      </c>
      <c r="T28" s="170">
        <v>105991.94</v>
      </c>
      <c r="U28" s="9">
        <v>166195.36192</v>
      </c>
      <c r="V28" s="15"/>
      <c r="W28" s="15"/>
      <c r="X28" s="28" t="s">
        <v>1045</v>
      </c>
      <c r="Y28" s="38">
        <v>500118</v>
      </c>
      <c r="Z28" s="9">
        <v>1.1000000000000001</v>
      </c>
      <c r="AA28" s="15" t="s">
        <v>1025</v>
      </c>
      <c r="AB28" s="178">
        <v>1</v>
      </c>
      <c r="AC28" s="58"/>
      <c r="AD28" s="42"/>
      <c r="AE28" s="352"/>
      <c r="AF28" s="59"/>
      <c r="AG28" s="58"/>
      <c r="AH28" s="42"/>
      <c r="AI28" s="352"/>
      <c r="AJ28" s="59"/>
      <c r="AK28" s="38">
        <v>7275</v>
      </c>
      <c r="AL28" s="339"/>
      <c r="AM28" s="9"/>
      <c r="AN28" s="9"/>
      <c r="AO28" s="9"/>
      <c r="AQ28" s="17"/>
    </row>
    <row r="29" spans="1:43" ht="30" hidden="1" customHeight="1" x14ac:dyDescent="0.25">
      <c r="A29" s="268">
        <v>26</v>
      </c>
      <c r="B29" s="15" t="s">
        <v>28</v>
      </c>
      <c r="C29" s="143" t="s">
        <v>1021</v>
      </c>
      <c r="D29" s="293" t="s">
        <v>1010</v>
      </c>
      <c r="E29" s="336"/>
      <c r="F29" s="15" t="s">
        <v>1046</v>
      </c>
      <c r="G29" s="15"/>
      <c r="H29" s="193" t="s">
        <v>1026</v>
      </c>
      <c r="I29" s="15"/>
      <c r="J29" s="15" t="s">
        <v>1047</v>
      </c>
      <c r="K29" s="183">
        <v>0.52</v>
      </c>
      <c r="L29" s="34">
        <v>0.52</v>
      </c>
      <c r="M29" s="9">
        <v>1</v>
      </c>
      <c r="N29" s="15" t="s">
        <v>33</v>
      </c>
      <c r="O29" s="15">
        <f t="shared" si="1"/>
        <v>6.7079999999999993</v>
      </c>
      <c r="P29" s="15">
        <f t="shared" si="2"/>
        <v>7.8259999999999996</v>
      </c>
      <c r="Q29" s="15">
        <f t="shared" si="3"/>
        <v>4.4720000000000004</v>
      </c>
      <c r="R29" s="15">
        <f t="shared" si="4"/>
        <v>3.3539999999999996</v>
      </c>
      <c r="S29" s="38">
        <v>22.36</v>
      </c>
      <c r="T29" s="170">
        <v>105991.94</v>
      </c>
      <c r="U29" s="9">
        <v>55115.808800000006</v>
      </c>
      <c r="V29" s="15"/>
      <c r="W29" s="15"/>
      <c r="X29" s="15" t="s">
        <v>1047</v>
      </c>
      <c r="Y29" s="9">
        <v>500119</v>
      </c>
      <c r="Z29" s="9">
        <v>1.1000000000000001</v>
      </c>
      <c r="AA29" s="15" t="s">
        <v>1046</v>
      </c>
      <c r="AB29" s="178">
        <v>1</v>
      </c>
      <c r="AC29" s="58"/>
      <c r="AD29" s="42"/>
      <c r="AE29" s="352"/>
      <c r="AF29" s="59"/>
      <c r="AG29" s="58"/>
      <c r="AH29" s="42"/>
      <c r="AI29" s="352"/>
      <c r="AJ29" s="59"/>
      <c r="AK29" s="38">
        <v>7275</v>
      </c>
      <c r="AL29" s="339"/>
      <c r="AM29" s="9"/>
      <c r="AN29" s="9"/>
      <c r="AO29" s="9"/>
      <c r="AQ29" s="17"/>
    </row>
    <row r="30" spans="1:43" ht="30" hidden="1" customHeight="1" x14ac:dyDescent="0.25">
      <c r="A30" s="268">
        <v>27</v>
      </c>
      <c r="B30" s="15" t="s">
        <v>28</v>
      </c>
      <c r="C30" s="143" t="s">
        <v>1021</v>
      </c>
      <c r="D30" s="293" t="s">
        <v>1010</v>
      </c>
      <c r="E30" s="336"/>
      <c r="F30" s="15" t="s">
        <v>1048</v>
      </c>
      <c r="G30" s="15"/>
      <c r="H30" s="193" t="s">
        <v>1026</v>
      </c>
      <c r="I30" s="15" t="s">
        <v>973</v>
      </c>
      <c r="J30" s="15" t="s">
        <v>1047</v>
      </c>
      <c r="K30" s="183">
        <v>0.52</v>
      </c>
      <c r="L30" s="34">
        <v>0.52</v>
      </c>
      <c r="M30" s="9">
        <v>1</v>
      </c>
      <c r="N30" s="15" t="s">
        <v>33</v>
      </c>
      <c r="O30" s="15">
        <f t="shared" si="1"/>
        <v>6.7079999999999993</v>
      </c>
      <c r="P30" s="15">
        <f t="shared" si="2"/>
        <v>7.8259999999999996</v>
      </c>
      <c r="Q30" s="15">
        <f t="shared" si="3"/>
        <v>4.4720000000000004</v>
      </c>
      <c r="R30" s="15">
        <f t="shared" si="4"/>
        <v>3.3539999999999996</v>
      </c>
      <c r="S30" s="38">
        <v>22.36</v>
      </c>
      <c r="T30" s="170">
        <v>105991.94</v>
      </c>
      <c r="U30" s="9">
        <v>55115.808800000006</v>
      </c>
      <c r="V30" s="15"/>
      <c r="W30" s="15"/>
      <c r="X30" s="15" t="s">
        <v>1047</v>
      </c>
      <c r="Y30" s="9">
        <v>500119</v>
      </c>
      <c r="Z30" s="9">
        <v>1.1000000000000001</v>
      </c>
      <c r="AA30" s="15" t="s">
        <v>1048</v>
      </c>
      <c r="AB30" s="178">
        <v>2</v>
      </c>
      <c r="AC30" s="58"/>
      <c r="AD30" s="42"/>
      <c r="AE30" s="352"/>
      <c r="AF30" s="59"/>
      <c r="AG30" s="58"/>
      <c r="AH30" s="42"/>
      <c r="AI30" s="352"/>
      <c r="AJ30" s="59"/>
      <c r="AK30" s="38">
        <v>7275</v>
      </c>
      <c r="AL30" s="339"/>
      <c r="AM30" s="9"/>
      <c r="AN30" s="9"/>
      <c r="AO30" s="9"/>
      <c r="AQ30" s="17"/>
    </row>
    <row r="31" spans="1:43" ht="30" hidden="1" customHeight="1" x14ac:dyDescent="0.25">
      <c r="A31" s="268">
        <v>28</v>
      </c>
      <c r="B31" s="15" t="s">
        <v>28</v>
      </c>
      <c r="C31" s="143" t="s">
        <v>1021</v>
      </c>
      <c r="D31" s="293" t="s">
        <v>1010</v>
      </c>
      <c r="E31" s="336"/>
      <c r="F31" s="15" t="s">
        <v>1049</v>
      </c>
      <c r="G31" s="15"/>
      <c r="H31" s="193" t="s">
        <v>1033</v>
      </c>
      <c r="I31" s="15"/>
      <c r="J31" s="15" t="s">
        <v>1037</v>
      </c>
      <c r="K31" s="183">
        <v>0.03</v>
      </c>
      <c r="L31" s="34">
        <v>0.03</v>
      </c>
      <c r="M31" s="9">
        <v>1</v>
      </c>
      <c r="N31" s="15" t="s">
        <v>33</v>
      </c>
      <c r="O31" s="15">
        <f t="shared" si="1"/>
        <v>0.53999999999999992</v>
      </c>
      <c r="P31" s="15">
        <f t="shared" si="2"/>
        <v>0.62999999999999989</v>
      </c>
      <c r="Q31" s="15">
        <f t="shared" si="3"/>
        <v>0.36</v>
      </c>
      <c r="R31" s="15">
        <f t="shared" si="4"/>
        <v>0.26999999999999996</v>
      </c>
      <c r="S31" s="38">
        <v>1.7999999999999998</v>
      </c>
      <c r="T31" s="170">
        <v>105991.94</v>
      </c>
      <c r="U31" s="9">
        <v>3179.7581999999998</v>
      </c>
      <c r="V31" s="15"/>
      <c r="W31" s="15"/>
      <c r="X31" s="15" t="s">
        <v>1037</v>
      </c>
      <c r="Y31" s="9">
        <v>500121</v>
      </c>
      <c r="Z31" s="9">
        <v>1.1000000000000001</v>
      </c>
      <c r="AA31" s="15" t="s">
        <v>1049</v>
      </c>
      <c r="AB31" s="178">
        <v>1</v>
      </c>
      <c r="AC31" s="58"/>
      <c r="AD31" s="42"/>
      <c r="AE31" s="352"/>
      <c r="AF31" s="59"/>
      <c r="AG31" s="58"/>
      <c r="AH31" s="42"/>
      <c r="AI31" s="352"/>
      <c r="AJ31" s="59"/>
      <c r="AK31" s="38">
        <v>7285</v>
      </c>
      <c r="AL31" s="339"/>
      <c r="AM31" s="9"/>
      <c r="AN31" s="9"/>
      <c r="AO31" s="9"/>
      <c r="AQ31" s="17"/>
    </row>
    <row r="32" spans="1:43" ht="30" hidden="1" customHeight="1" x14ac:dyDescent="0.25">
      <c r="A32" s="268">
        <v>29</v>
      </c>
      <c r="B32" s="15" t="s">
        <v>28</v>
      </c>
      <c r="C32" s="143" t="s">
        <v>1021</v>
      </c>
      <c r="D32" s="293" t="s">
        <v>1010</v>
      </c>
      <c r="E32" s="336"/>
      <c r="F32" s="15" t="s">
        <v>1049</v>
      </c>
      <c r="G32" s="15"/>
      <c r="H32" s="193" t="s">
        <v>1033</v>
      </c>
      <c r="I32" s="15"/>
      <c r="J32" s="15" t="s">
        <v>1037</v>
      </c>
      <c r="K32" s="183">
        <v>0.03</v>
      </c>
      <c r="L32" s="34">
        <v>0.03</v>
      </c>
      <c r="M32" s="9">
        <v>1</v>
      </c>
      <c r="N32" s="15" t="s">
        <v>33</v>
      </c>
      <c r="O32" s="15">
        <f t="shared" si="1"/>
        <v>0.53999999999999992</v>
      </c>
      <c r="P32" s="15">
        <f t="shared" si="2"/>
        <v>0.62999999999999989</v>
      </c>
      <c r="Q32" s="15">
        <f t="shared" si="3"/>
        <v>0.36</v>
      </c>
      <c r="R32" s="15">
        <f t="shared" si="4"/>
        <v>0.26999999999999996</v>
      </c>
      <c r="S32" s="38">
        <v>1.7999999999999998</v>
      </c>
      <c r="T32" s="170">
        <v>105991.94</v>
      </c>
      <c r="U32" s="9">
        <v>3179.7581999999998</v>
      </c>
      <c r="V32" s="15"/>
      <c r="W32" s="15"/>
      <c r="X32" s="15" t="s">
        <v>1037</v>
      </c>
      <c r="Y32" s="9">
        <v>500121</v>
      </c>
      <c r="Z32" s="9">
        <v>1.1000000000000001</v>
      </c>
      <c r="AA32" s="15" t="s">
        <v>1049</v>
      </c>
      <c r="AB32" s="178">
        <v>2</v>
      </c>
      <c r="AC32" s="58"/>
      <c r="AD32" s="42"/>
      <c r="AE32" s="352"/>
      <c r="AF32" s="59"/>
      <c r="AG32" s="58"/>
      <c r="AH32" s="42"/>
      <c r="AI32" s="352"/>
      <c r="AJ32" s="59"/>
      <c r="AK32" s="38">
        <v>7285</v>
      </c>
      <c r="AL32" s="339"/>
      <c r="AM32" s="9"/>
      <c r="AN32" s="9"/>
      <c r="AO32" s="9"/>
      <c r="AQ32" s="17"/>
    </row>
    <row r="33" spans="1:43" ht="30" hidden="1" customHeight="1" x14ac:dyDescent="0.25">
      <c r="A33" s="268">
        <v>30</v>
      </c>
      <c r="B33" s="15" t="s">
        <v>28</v>
      </c>
      <c r="C33" s="143" t="s">
        <v>1021</v>
      </c>
      <c r="D33" s="293" t="s">
        <v>1010</v>
      </c>
      <c r="E33" s="336"/>
      <c r="F33" s="15" t="s">
        <v>1050</v>
      </c>
      <c r="G33" s="15"/>
      <c r="H33" s="193" t="s">
        <v>1033</v>
      </c>
      <c r="I33" s="15"/>
      <c r="J33" s="15" t="s">
        <v>1051</v>
      </c>
      <c r="K33" s="183">
        <v>0.253</v>
      </c>
      <c r="L33" s="34">
        <v>0.253</v>
      </c>
      <c r="M33" s="9">
        <v>1</v>
      </c>
      <c r="N33" s="15" t="s">
        <v>33</v>
      </c>
      <c r="O33" s="15">
        <f t="shared" si="1"/>
        <v>3.5672999999999999</v>
      </c>
      <c r="P33" s="15">
        <f t="shared" si="2"/>
        <v>4.1618499999999994</v>
      </c>
      <c r="Q33" s="15">
        <f t="shared" si="3"/>
        <v>2.3782000000000001</v>
      </c>
      <c r="R33" s="15">
        <f t="shared" si="4"/>
        <v>1.78365</v>
      </c>
      <c r="S33" s="38">
        <v>11.891</v>
      </c>
      <c r="T33" s="170">
        <v>105991.94</v>
      </c>
      <c r="U33" s="9">
        <v>26815.96082</v>
      </c>
      <c r="V33" s="15"/>
      <c r="W33" s="15"/>
      <c r="X33" s="15" t="s">
        <v>1051</v>
      </c>
      <c r="Y33" s="9">
        <v>500122</v>
      </c>
      <c r="Z33" s="9">
        <v>1.1000000000000001</v>
      </c>
      <c r="AA33" s="15" t="s">
        <v>1050</v>
      </c>
      <c r="AB33" s="178">
        <v>1</v>
      </c>
      <c r="AC33" s="58"/>
      <c r="AD33" s="42"/>
      <c r="AE33" s="352"/>
      <c r="AF33" s="59"/>
      <c r="AG33" s="58"/>
      <c r="AH33" s="42"/>
      <c r="AI33" s="352"/>
      <c r="AJ33" s="59"/>
      <c r="AK33" s="38">
        <v>7285</v>
      </c>
      <c r="AL33" s="339"/>
      <c r="AM33" s="9"/>
      <c r="AN33" s="9"/>
      <c r="AO33" s="9"/>
      <c r="AQ33" s="17"/>
    </row>
    <row r="34" spans="1:43" ht="30" customHeight="1" x14ac:dyDescent="0.25">
      <c r="A34" s="268">
        <v>31</v>
      </c>
      <c r="B34" s="15" t="s">
        <v>28</v>
      </c>
      <c r="C34" s="143" t="s">
        <v>1021</v>
      </c>
      <c r="D34" s="293" t="s">
        <v>1010</v>
      </c>
      <c r="E34" s="336"/>
      <c r="F34" s="15" t="s">
        <v>1052</v>
      </c>
      <c r="G34" s="15"/>
      <c r="H34" s="193" t="s">
        <v>1053</v>
      </c>
      <c r="I34" s="15"/>
      <c r="J34" s="15" t="s">
        <v>1054</v>
      </c>
      <c r="K34" s="183">
        <v>0.06</v>
      </c>
      <c r="L34" s="34">
        <v>0.06</v>
      </c>
      <c r="M34" s="9">
        <v>1</v>
      </c>
      <c r="N34" s="15" t="s">
        <v>33</v>
      </c>
      <c r="O34" s="15">
        <f t="shared" si="1"/>
        <v>1.044</v>
      </c>
      <c r="P34" s="15">
        <f t="shared" si="2"/>
        <v>1.218</v>
      </c>
      <c r="Q34" s="15">
        <f t="shared" si="3"/>
        <v>0.69600000000000006</v>
      </c>
      <c r="R34" s="15">
        <f t="shared" si="4"/>
        <v>0.52200000000000002</v>
      </c>
      <c r="S34" s="38">
        <v>3.48</v>
      </c>
      <c r="T34" s="170">
        <v>105991.94</v>
      </c>
      <c r="U34" s="9">
        <v>6359.5163999999995</v>
      </c>
      <c r="V34" s="15"/>
      <c r="W34" s="15"/>
      <c r="X34" s="28" t="s">
        <v>1054</v>
      </c>
      <c r="Y34" s="25">
        <v>500013</v>
      </c>
      <c r="Z34" s="9">
        <v>1.1000000000000001</v>
      </c>
      <c r="AA34" s="15" t="s">
        <v>1052</v>
      </c>
      <c r="AB34" s="178">
        <v>1</v>
      </c>
      <c r="AC34" s="261"/>
      <c r="AD34" s="263"/>
      <c r="AE34" s="356"/>
      <c r="AF34" s="59"/>
      <c r="AG34" s="58"/>
      <c r="AH34" s="42"/>
      <c r="AI34" s="352"/>
      <c r="AJ34" s="59"/>
      <c r="AK34" s="38">
        <v>7252</v>
      </c>
      <c r="AL34" s="339"/>
      <c r="AM34" s="9"/>
      <c r="AN34" s="9"/>
      <c r="AO34" s="9"/>
      <c r="AQ34" s="17"/>
    </row>
    <row r="35" spans="1:43" ht="30" hidden="1" customHeight="1" x14ac:dyDescent="0.25">
      <c r="A35" s="268">
        <v>32</v>
      </c>
      <c r="B35" s="15" t="s">
        <v>28</v>
      </c>
      <c r="C35" s="143" t="s">
        <v>1021</v>
      </c>
      <c r="D35" s="293" t="s">
        <v>1010</v>
      </c>
      <c r="E35" s="336"/>
      <c r="F35" s="15" t="s">
        <v>1055</v>
      </c>
      <c r="G35" s="15"/>
      <c r="H35" s="193" t="s">
        <v>1033</v>
      </c>
      <c r="I35" s="15"/>
      <c r="J35" s="15" t="s">
        <v>1056</v>
      </c>
      <c r="K35" s="183">
        <v>6.8000000000000005E-2</v>
      </c>
      <c r="L35" s="34">
        <v>6.8000000000000005E-2</v>
      </c>
      <c r="M35" s="9">
        <v>1</v>
      </c>
      <c r="N35" s="15" t="s">
        <v>33</v>
      </c>
      <c r="O35" s="15">
        <f t="shared" si="1"/>
        <v>1.1832</v>
      </c>
      <c r="P35" s="15">
        <f t="shared" si="2"/>
        <v>1.3804000000000001</v>
      </c>
      <c r="Q35" s="15">
        <f t="shared" si="3"/>
        <v>0.78880000000000017</v>
      </c>
      <c r="R35" s="15">
        <f t="shared" si="4"/>
        <v>0.59160000000000001</v>
      </c>
      <c r="S35" s="38">
        <v>3.9440000000000004</v>
      </c>
      <c r="T35" s="170">
        <v>105991.94</v>
      </c>
      <c r="U35" s="9">
        <v>7207.4519200000004</v>
      </c>
      <c r="V35" s="15"/>
      <c r="W35" s="15"/>
      <c r="X35" s="15" t="s">
        <v>1056</v>
      </c>
      <c r="Y35" s="9">
        <v>500028</v>
      </c>
      <c r="Z35" s="9">
        <v>1.1000000000000001</v>
      </c>
      <c r="AA35" s="15" t="s">
        <v>1055</v>
      </c>
      <c r="AB35" s="178">
        <v>1</v>
      </c>
      <c r="AC35" s="58"/>
      <c r="AD35" s="42"/>
      <c r="AE35" s="352"/>
      <c r="AF35" s="59"/>
      <c r="AG35" s="58"/>
      <c r="AH35" s="42"/>
      <c r="AI35" s="352"/>
      <c r="AJ35" s="59"/>
      <c r="AK35" s="38">
        <v>7285</v>
      </c>
      <c r="AL35" s="339"/>
      <c r="AM35" s="9"/>
      <c r="AN35" s="9"/>
      <c r="AO35" s="9"/>
      <c r="AQ35" s="17"/>
    </row>
    <row r="36" spans="1:43" ht="30" hidden="1" customHeight="1" x14ac:dyDescent="0.25">
      <c r="A36" s="268">
        <v>33</v>
      </c>
      <c r="B36" s="15" t="s">
        <v>28</v>
      </c>
      <c r="C36" s="143" t="s">
        <v>1021</v>
      </c>
      <c r="D36" s="293" t="s">
        <v>1010</v>
      </c>
      <c r="E36" s="336"/>
      <c r="F36" s="15" t="s">
        <v>1055</v>
      </c>
      <c r="G36" s="15"/>
      <c r="H36" s="193" t="s">
        <v>1033</v>
      </c>
      <c r="I36" s="15"/>
      <c r="J36" s="15" t="s">
        <v>1056</v>
      </c>
      <c r="K36" s="183">
        <v>6.8000000000000005E-2</v>
      </c>
      <c r="L36" s="34">
        <v>6.8000000000000005E-2</v>
      </c>
      <c r="M36" s="9">
        <v>1</v>
      </c>
      <c r="N36" s="15" t="s">
        <v>33</v>
      </c>
      <c r="O36" s="15">
        <f t="shared" si="1"/>
        <v>1.1832</v>
      </c>
      <c r="P36" s="15">
        <f t="shared" si="2"/>
        <v>1.3804000000000001</v>
      </c>
      <c r="Q36" s="15">
        <f t="shared" si="3"/>
        <v>0.78880000000000017</v>
      </c>
      <c r="R36" s="15">
        <f t="shared" si="4"/>
        <v>0.59160000000000001</v>
      </c>
      <c r="S36" s="38">
        <v>3.9440000000000004</v>
      </c>
      <c r="T36" s="170">
        <v>105991.94</v>
      </c>
      <c r="U36" s="9">
        <v>7207.4519200000004</v>
      </c>
      <c r="V36" s="15"/>
      <c r="W36" s="15"/>
      <c r="X36" s="15" t="s">
        <v>1056</v>
      </c>
      <c r="Y36" s="9">
        <v>500028</v>
      </c>
      <c r="Z36" s="9">
        <v>1.1000000000000001</v>
      </c>
      <c r="AA36" s="15" t="s">
        <v>1055</v>
      </c>
      <c r="AB36" s="178">
        <v>2</v>
      </c>
      <c r="AC36" s="58"/>
      <c r="AD36" s="42"/>
      <c r="AE36" s="352"/>
      <c r="AF36" s="59"/>
      <c r="AG36" s="58"/>
      <c r="AH36" s="42"/>
      <c r="AI36" s="352"/>
      <c r="AJ36" s="59"/>
      <c r="AK36" s="38">
        <v>7285</v>
      </c>
      <c r="AL36" s="339"/>
      <c r="AM36" s="9"/>
      <c r="AN36" s="9"/>
      <c r="AO36" s="9"/>
      <c r="AQ36" s="17"/>
    </row>
    <row r="37" spans="1:43" ht="30" hidden="1" customHeight="1" x14ac:dyDescent="0.25">
      <c r="A37" s="268">
        <v>34</v>
      </c>
      <c r="B37" s="15" t="s">
        <v>28</v>
      </c>
      <c r="C37" s="143" t="s">
        <v>1021</v>
      </c>
      <c r="D37" s="293" t="s">
        <v>1010</v>
      </c>
      <c r="E37" s="336"/>
      <c r="F37" s="15" t="s">
        <v>1055</v>
      </c>
      <c r="G37" s="15"/>
      <c r="H37" s="193" t="s">
        <v>1033</v>
      </c>
      <c r="I37" s="15"/>
      <c r="J37" s="15" t="s">
        <v>1056</v>
      </c>
      <c r="K37" s="183">
        <v>6.8000000000000005E-2</v>
      </c>
      <c r="L37" s="34">
        <v>6.8000000000000005E-2</v>
      </c>
      <c r="M37" s="9">
        <v>1</v>
      </c>
      <c r="N37" s="15" t="s">
        <v>33</v>
      </c>
      <c r="O37" s="15">
        <f t="shared" si="1"/>
        <v>1.1832</v>
      </c>
      <c r="P37" s="15">
        <f t="shared" si="2"/>
        <v>1.3804000000000001</v>
      </c>
      <c r="Q37" s="15">
        <f t="shared" si="3"/>
        <v>0.78880000000000017</v>
      </c>
      <c r="R37" s="15">
        <f t="shared" si="4"/>
        <v>0.59160000000000001</v>
      </c>
      <c r="S37" s="38">
        <v>3.9440000000000004</v>
      </c>
      <c r="T37" s="170">
        <v>105991.94</v>
      </c>
      <c r="U37" s="9">
        <v>7207.4519200000004</v>
      </c>
      <c r="V37" s="15"/>
      <c r="W37" s="15"/>
      <c r="X37" s="15" t="s">
        <v>1056</v>
      </c>
      <c r="Y37" s="9">
        <v>500028</v>
      </c>
      <c r="Z37" s="9">
        <v>1.1000000000000001</v>
      </c>
      <c r="AA37" s="15" t="s">
        <v>1055</v>
      </c>
      <c r="AB37" s="178">
        <v>3</v>
      </c>
      <c r="AC37" s="58"/>
      <c r="AD37" s="42"/>
      <c r="AE37" s="352"/>
      <c r="AF37" s="59"/>
      <c r="AG37" s="58"/>
      <c r="AH37" s="42"/>
      <c r="AI37" s="352"/>
      <c r="AJ37" s="59"/>
      <c r="AK37" s="38">
        <v>7285</v>
      </c>
      <c r="AL37" s="339"/>
      <c r="AM37" s="9"/>
      <c r="AN37" s="9"/>
      <c r="AO37" s="9"/>
      <c r="AQ37" s="17"/>
    </row>
    <row r="38" spans="1:43" ht="30" hidden="1" customHeight="1" x14ac:dyDescent="0.25">
      <c r="A38" s="268">
        <v>35</v>
      </c>
      <c r="B38" s="15" t="s">
        <v>28</v>
      </c>
      <c r="C38" s="143" t="s">
        <v>1021</v>
      </c>
      <c r="D38" s="293" t="s">
        <v>1010</v>
      </c>
      <c r="E38" s="336"/>
      <c r="F38" s="15" t="s">
        <v>1055</v>
      </c>
      <c r="G38" s="15"/>
      <c r="H38" s="193" t="s">
        <v>1033</v>
      </c>
      <c r="I38" s="15"/>
      <c r="J38" s="15" t="s">
        <v>1056</v>
      </c>
      <c r="K38" s="183">
        <v>6.8000000000000005E-2</v>
      </c>
      <c r="L38" s="34">
        <v>6.8000000000000005E-2</v>
      </c>
      <c r="M38" s="9">
        <v>1</v>
      </c>
      <c r="N38" s="15" t="s">
        <v>33</v>
      </c>
      <c r="O38" s="15">
        <f t="shared" si="1"/>
        <v>1.1832</v>
      </c>
      <c r="P38" s="15">
        <f t="shared" si="2"/>
        <v>1.3804000000000001</v>
      </c>
      <c r="Q38" s="15">
        <f t="shared" si="3"/>
        <v>0.78880000000000017</v>
      </c>
      <c r="R38" s="15">
        <f t="shared" si="4"/>
        <v>0.59160000000000001</v>
      </c>
      <c r="S38" s="38">
        <v>3.9440000000000004</v>
      </c>
      <c r="T38" s="170">
        <v>105991.94</v>
      </c>
      <c r="U38" s="9">
        <v>7207.4519200000004</v>
      </c>
      <c r="V38" s="15"/>
      <c r="W38" s="15"/>
      <c r="X38" s="15" t="s">
        <v>1056</v>
      </c>
      <c r="Y38" s="9">
        <v>500028</v>
      </c>
      <c r="Z38" s="9">
        <v>1.1000000000000001</v>
      </c>
      <c r="AA38" s="15" t="s">
        <v>1055</v>
      </c>
      <c r="AB38" s="178">
        <v>4</v>
      </c>
      <c r="AC38" s="126"/>
      <c r="AD38" s="72"/>
      <c r="AE38" s="352"/>
      <c r="AF38" s="127"/>
      <c r="AG38" s="126"/>
      <c r="AH38" s="72"/>
      <c r="AI38" s="352"/>
      <c r="AJ38" s="127"/>
      <c r="AK38" s="38">
        <v>7285</v>
      </c>
      <c r="AL38" s="339"/>
      <c r="AM38" s="9"/>
      <c r="AN38" s="9"/>
      <c r="AO38" s="9"/>
      <c r="AQ38" s="17"/>
    </row>
    <row r="39" spans="1:43" ht="30" customHeight="1" x14ac:dyDescent="0.25">
      <c r="A39" s="301">
        <v>36</v>
      </c>
      <c r="B39" s="28" t="s">
        <v>28</v>
      </c>
      <c r="C39" s="28" t="s">
        <v>1021</v>
      </c>
      <c r="D39" s="293" t="s">
        <v>1010</v>
      </c>
      <c r="E39" s="367"/>
      <c r="F39" s="28" t="s">
        <v>1057</v>
      </c>
      <c r="G39" s="28"/>
      <c r="H39" s="293" t="s">
        <v>1026</v>
      </c>
      <c r="I39" s="28"/>
      <c r="J39" s="28" t="s">
        <v>1058</v>
      </c>
      <c r="K39" s="153">
        <v>0.183</v>
      </c>
      <c r="L39" s="39">
        <v>0.183</v>
      </c>
      <c r="M39" s="25">
        <v>1</v>
      </c>
      <c r="N39" s="28" t="s">
        <v>33</v>
      </c>
      <c r="O39" s="28">
        <f t="shared" si="1"/>
        <v>2.5802999999999998</v>
      </c>
      <c r="P39" s="28">
        <f t="shared" si="2"/>
        <v>3.0103499999999994</v>
      </c>
      <c r="Q39" s="28">
        <f t="shared" si="3"/>
        <v>1.7202</v>
      </c>
      <c r="R39" s="28">
        <f t="shared" si="4"/>
        <v>1.2901499999999999</v>
      </c>
      <c r="S39" s="25">
        <v>8.6009999999999991</v>
      </c>
      <c r="T39" s="150">
        <v>105991.94</v>
      </c>
      <c r="U39" s="25">
        <v>19396.525020000001</v>
      </c>
      <c r="V39" s="28"/>
      <c r="W39" s="28"/>
      <c r="X39" s="28" t="s">
        <v>1058</v>
      </c>
      <c r="Y39" s="25">
        <v>500030</v>
      </c>
      <c r="Z39" s="9">
        <v>1.1000000000000001</v>
      </c>
      <c r="AA39" s="15" t="s">
        <v>1057</v>
      </c>
      <c r="AB39" s="178">
        <v>1</v>
      </c>
      <c r="AC39" s="169">
        <f>L39*0.3</f>
        <v>5.4899999999999997E-2</v>
      </c>
      <c r="AD39" s="265"/>
      <c r="AE39" s="356"/>
      <c r="AF39" s="127"/>
      <c r="AG39" s="126"/>
      <c r="AH39" s="72"/>
      <c r="AI39" s="352"/>
      <c r="AJ39" s="127"/>
      <c r="AK39" s="38">
        <v>7275</v>
      </c>
      <c r="AL39" s="339"/>
      <c r="AM39" s="9"/>
      <c r="AN39" s="9"/>
      <c r="AO39" s="9"/>
      <c r="AQ39" s="17"/>
    </row>
    <row r="40" spans="1:43" ht="30" hidden="1" customHeight="1" x14ac:dyDescent="0.25">
      <c r="A40" s="268">
        <v>37</v>
      </c>
      <c r="B40" s="15" t="s">
        <v>28</v>
      </c>
      <c r="C40" s="143" t="s">
        <v>1021</v>
      </c>
      <c r="D40" s="293" t="s">
        <v>1010</v>
      </c>
      <c r="E40" s="336"/>
      <c r="F40" s="15" t="s">
        <v>1059</v>
      </c>
      <c r="G40" s="15"/>
      <c r="H40" s="193" t="s">
        <v>1060</v>
      </c>
      <c r="I40" s="15"/>
      <c r="J40" s="15" t="s">
        <v>1061</v>
      </c>
      <c r="K40" s="183">
        <v>0.56000000000000005</v>
      </c>
      <c r="L40" s="34">
        <v>0.56000000000000005</v>
      </c>
      <c r="M40" s="9">
        <v>1</v>
      </c>
      <c r="N40" s="15" t="s">
        <v>33</v>
      </c>
      <c r="O40" s="15">
        <f t="shared" si="1"/>
        <v>7.2240000000000002</v>
      </c>
      <c r="P40" s="15">
        <f t="shared" si="2"/>
        <v>8.4280000000000008</v>
      </c>
      <c r="Q40" s="15">
        <f t="shared" si="3"/>
        <v>4.8160000000000007</v>
      </c>
      <c r="R40" s="15">
        <f t="shared" si="4"/>
        <v>3.6120000000000001</v>
      </c>
      <c r="S40" s="38">
        <v>24.080000000000002</v>
      </c>
      <c r="T40" s="170">
        <v>105991.94</v>
      </c>
      <c r="U40" s="9">
        <v>59355.486400000009</v>
      </c>
      <c r="V40" s="15"/>
      <c r="W40" s="15"/>
      <c r="X40" s="15" t="s">
        <v>1061</v>
      </c>
      <c r="Y40" s="9">
        <v>500031</v>
      </c>
      <c r="Z40" s="9">
        <v>1.1000000000000001</v>
      </c>
      <c r="AA40" s="15" t="s">
        <v>1059</v>
      </c>
      <c r="AB40" s="178">
        <v>1</v>
      </c>
      <c r="AC40" s="126"/>
      <c r="AD40" s="72"/>
      <c r="AE40" s="352"/>
      <c r="AF40" s="127"/>
      <c r="AG40" s="126"/>
      <c r="AH40" s="72"/>
      <c r="AI40" s="352"/>
      <c r="AJ40" s="127"/>
      <c r="AK40" s="38">
        <v>7251</v>
      </c>
      <c r="AL40" s="339"/>
      <c r="AM40" s="9"/>
      <c r="AN40" s="9"/>
      <c r="AO40" s="9"/>
      <c r="AQ40" s="17"/>
    </row>
    <row r="41" spans="1:43" ht="30" customHeight="1" x14ac:dyDescent="0.25">
      <c r="A41" s="301">
        <v>38</v>
      </c>
      <c r="B41" s="28" t="s">
        <v>28</v>
      </c>
      <c r="C41" s="28" t="s">
        <v>1021</v>
      </c>
      <c r="D41" s="293" t="s">
        <v>1010</v>
      </c>
      <c r="E41" s="367"/>
      <c r="F41" s="28" t="s">
        <v>1062</v>
      </c>
      <c r="G41" s="28"/>
      <c r="H41" s="293" t="s">
        <v>1026</v>
      </c>
      <c r="I41" s="28"/>
      <c r="J41" s="28" t="s">
        <v>1063</v>
      </c>
      <c r="K41" s="153">
        <v>0.65800000000000003</v>
      </c>
      <c r="L41" s="39">
        <v>0.65800000000000003</v>
      </c>
      <c r="M41" s="25">
        <v>1</v>
      </c>
      <c r="N41" s="28" t="s">
        <v>33</v>
      </c>
      <c r="O41" s="28">
        <f t="shared" si="1"/>
        <v>8.4881999999999991</v>
      </c>
      <c r="P41" s="28">
        <f t="shared" si="2"/>
        <v>9.9028999999999989</v>
      </c>
      <c r="Q41" s="28">
        <f t="shared" si="3"/>
        <v>5.6588000000000003</v>
      </c>
      <c r="R41" s="28">
        <f t="shared" si="4"/>
        <v>4.2440999999999995</v>
      </c>
      <c r="S41" s="38">
        <v>28.294</v>
      </c>
      <c r="T41" s="170">
        <v>105991.94</v>
      </c>
      <c r="U41" s="9">
        <v>69742.696519999998</v>
      </c>
      <c r="V41" s="15"/>
      <c r="W41" s="15"/>
      <c r="X41" s="28" t="s">
        <v>1063</v>
      </c>
      <c r="Y41" s="25">
        <v>500032</v>
      </c>
      <c r="Z41" s="9">
        <v>1.1000000000000001</v>
      </c>
      <c r="AA41" s="15" t="s">
        <v>1062</v>
      </c>
      <c r="AB41" s="178">
        <v>1</v>
      </c>
      <c r="AC41" s="169">
        <f>L41*0.3</f>
        <v>0.19739999999999999</v>
      </c>
      <c r="AD41" s="265"/>
      <c r="AE41" s="356"/>
      <c r="AF41" s="127"/>
      <c r="AG41" s="126"/>
      <c r="AH41" s="72"/>
      <c r="AI41" s="352"/>
      <c r="AJ41" s="127"/>
      <c r="AK41" s="38">
        <v>7275</v>
      </c>
      <c r="AL41" s="339"/>
      <c r="AM41" s="9"/>
      <c r="AN41" s="9"/>
      <c r="AO41" s="9"/>
      <c r="AQ41" s="17"/>
    </row>
    <row r="42" spans="1:43" ht="30" customHeight="1" x14ac:dyDescent="0.25">
      <c r="A42" s="301">
        <v>39</v>
      </c>
      <c r="B42" s="28" t="s">
        <v>28</v>
      </c>
      <c r="C42" s="28" t="s">
        <v>1021</v>
      </c>
      <c r="D42" s="293" t="s">
        <v>1010</v>
      </c>
      <c r="E42" s="367"/>
      <c r="F42" s="28" t="s">
        <v>1064</v>
      </c>
      <c r="G42" s="28"/>
      <c r="H42" s="293" t="s">
        <v>1026</v>
      </c>
      <c r="I42" s="28"/>
      <c r="J42" s="28" t="s">
        <v>1065</v>
      </c>
      <c r="K42" s="153">
        <v>1.7999999999999999E-2</v>
      </c>
      <c r="L42" s="39">
        <v>1.7999999999999999E-2</v>
      </c>
      <c r="M42" s="25">
        <v>1</v>
      </c>
      <c r="N42" s="28" t="s">
        <v>33</v>
      </c>
      <c r="O42" s="28">
        <f t="shared" si="1"/>
        <v>0.32399999999999995</v>
      </c>
      <c r="P42" s="28">
        <f t="shared" si="2"/>
        <v>0.37799999999999995</v>
      </c>
      <c r="Q42" s="28">
        <f t="shared" si="3"/>
        <v>0.21599999999999997</v>
      </c>
      <c r="R42" s="28">
        <f t="shared" si="4"/>
        <v>0.16199999999999998</v>
      </c>
      <c r="S42" s="38">
        <v>1.0799999999999998</v>
      </c>
      <c r="T42" s="170">
        <v>105991.94</v>
      </c>
      <c r="U42" s="9">
        <v>1907.85492</v>
      </c>
      <c r="V42" s="15"/>
      <c r="W42" s="15"/>
      <c r="X42" s="28" t="s">
        <v>1065</v>
      </c>
      <c r="Y42" s="25">
        <v>500035</v>
      </c>
      <c r="Z42" s="9">
        <v>1.1000000000000001</v>
      </c>
      <c r="AA42" s="15" t="s">
        <v>1064</v>
      </c>
      <c r="AB42" s="178">
        <v>1</v>
      </c>
      <c r="AC42" s="260"/>
      <c r="AD42" s="265"/>
      <c r="AE42" s="356"/>
      <c r="AF42" s="127"/>
      <c r="AG42" s="126"/>
      <c r="AH42" s="72"/>
      <c r="AI42" s="352"/>
      <c r="AJ42" s="127"/>
      <c r="AK42" s="38">
        <v>7275</v>
      </c>
      <c r="AL42" s="339"/>
      <c r="AM42" s="9"/>
      <c r="AN42" s="9"/>
      <c r="AO42" s="9"/>
      <c r="AQ42" s="17"/>
    </row>
    <row r="43" spans="1:43" ht="30" hidden="1" customHeight="1" x14ac:dyDescent="0.25">
      <c r="A43" s="268">
        <v>40</v>
      </c>
      <c r="B43" s="15" t="s">
        <v>28</v>
      </c>
      <c r="C43" s="143" t="s">
        <v>1021</v>
      </c>
      <c r="D43" s="293" t="s">
        <v>1010</v>
      </c>
      <c r="E43" s="336"/>
      <c r="F43" s="15" t="s">
        <v>1066</v>
      </c>
      <c r="G43" s="15"/>
      <c r="H43" s="193" t="s">
        <v>1067</v>
      </c>
      <c r="I43" s="15"/>
      <c r="J43" s="15" t="s">
        <v>1037</v>
      </c>
      <c r="K43" s="183">
        <v>0.03</v>
      </c>
      <c r="L43" s="34">
        <v>0.03</v>
      </c>
      <c r="M43" s="9">
        <v>1</v>
      </c>
      <c r="N43" s="15" t="s">
        <v>33</v>
      </c>
      <c r="O43" s="15">
        <f t="shared" si="1"/>
        <v>0.53999999999999992</v>
      </c>
      <c r="P43" s="15">
        <f t="shared" si="2"/>
        <v>0.62999999999999989</v>
      </c>
      <c r="Q43" s="15">
        <f t="shared" si="3"/>
        <v>0.36</v>
      </c>
      <c r="R43" s="15">
        <f t="shared" si="4"/>
        <v>0.26999999999999996</v>
      </c>
      <c r="S43" s="38">
        <v>1.7999999999999998</v>
      </c>
      <c r="T43" s="170">
        <v>105991.94</v>
      </c>
      <c r="U43" s="9">
        <v>3179.7581999999998</v>
      </c>
      <c r="V43" s="15"/>
      <c r="W43" s="15"/>
      <c r="X43" s="15" t="s">
        <v>1037</v>
      </c>
      <c r="Y43" s="9">
        <v>500036</v>
      </c>
      <c r="Z43" s="9">
        <v>1.1000000000000001</v>
      </c>
      <c r="AA43" s="15" t="s">
        <v>1066</v>
      </c>
      <c r="AB43" s="178">
        <v>1</v>
      </c>
      <c r="AC43" s="126"/>
      <c r="AD43" s="72"/>
      <c r="AE43" s="352"/>
      <c r="AF43" s="127"/>
      <c r="AG43" s="126"/>
      <c r="AH43" s="72"/>
      <c r="AI43" s="352"/>
      <c r="AJ43" s="127"/>
      <c r="AK43" s="38">
        <v>7233</v>
      </c>
      <c r="AL43" s="339"/>
      <c r="AM43" s="9"/>
      <c r="AN43" s="9"/>
      <c r="AO43" s="9"/>
      <c r="AQ43" s="17"/>
    </row>
    <row r="44" spans="1:43" ht="30" hidden="1" customHeight="1" x14ac:dyDescent="0.25">
      <c r="A44" s="268">
        <v>41</v>
      </c>
      <c r="B44" s="15" t="s">
        <v>28</v>
      </c>
      <c r="C44" s="143" t="s">
        <v>1021</v>
      </c>
      <c r="D44" s="293" t="s">
        <v>1010</v>
      </c>
      <c r="E44" s="336"/>
      <c r="F44" s="15" t="s">
        <v>1068</v>
      </c>
      <c r="G44" s="15"/>
      <c r="H44" s="193" t="s">
        <v>1067</v>
      </c>
      <c r="I44" s="15"/>
      <c r="J44" s="15" t="s">
        <v>1069</v>
      </c>
      <c r="K44" s="183">
        <v>0.06</v>
      </c>
      <c r="L44" s="34">
        <v>0.18</v>
      </c>
      <c r="M44" s="9">
        <v>3</v>
      </c>
      <c r="N44" s="15" t="s">
        <v>33</v>
      </c>
      <c r="O44" s="15">
        <f t="shared" si="1"/>
        <v>3.1319999999999997</v>
      </c>
      <c r="P44" s="15">
        <f t="shared" si="2"/>
        <v>3.6539999999999995</v>
      </c>
      <c r="Q44" s="15">
        <f t="shared" si="3"/>
        <v>2.0880000000000001</v>
      </c>
      <c r="R44" s="15">
        <f t="shared" si="4"/>
        <v>1.5659999999999998</v>
      </c>
      <c r="S44" s="38">
        <v>10.44</v>
      </c>
      <c r="T44" s="170">
        <v>105991.94</v>
      </c>
      <c r="U44" s="9">
        <v>19078.549200000001</v>
      </c>
      <c r="V44" s="15"/>
      <c r="W44" s="15"/>
      <c r="X44" s="15" t="s">
        <v>1069</v>
      </c>
      <c r="Y44" s="9">
        <v>500037</v>
      </c>
      <c r="Z44" s="9">
        <v>1.1000000000000001</v>
      </c>
      <c r="AA44" s="15" t="s">
        <v>1068</v>
      </c>
      <c r="AB44" s="178">
        <v>1</v>
      </c>
      <c r="AC44" s="126"/>
      <c r="AD44" s="72"/>
      <c r="AE44" s="72"/>
      <c r="AF44" s="127"/>
      <c r="AG44" s="126"/>
      <c r="AH44" s="72"/>
      <c r="AI44" s="72"/>
      <c r="AJ44" s="127"/>
      <c r="AK44" s="38">
        <v>7233</v>
      </c>
      <c r="AL44" s="339"/>
      <c r="AM44" s="9"/>
      <c r="AN44" s="9"/>
      <c r="AO44" s="9"/>
      <c r="AQ44" s="17"/>
    </row>
    <row r="45" spans="1:43" ht="30" hidden="1" customHeight="1" x14ac:dyDescent="0.25">
      <c r="A45" s="268">
        <v>42</v>
      </c>
      <c r="B45" s="15" t="s">
        <v>28</v>
      </c>
      <c r="C45" s="143" t="s">
        <v>1021</v>
      </c>
      <c r="D45" s="293" t="s">
        <v>1010</v>
      </c>
      <c r="E45" s="336"/>
      <c r="F45" s="15" t="s">
        <v>1070</v>
      </c>
      <c r="G45" s="15"/>
      <c r="H45" s="193" t="s">
        <v>1071</v>
      </c>
      <c r="I45" s="15"/>
      <c r="J45" s="15" t="s">
        <v>1072</v>
      </c>
      <c r="K45" s="183">
        <v>1.4430000000000001</v>
      </c>
      <c r="L45" s="34">
        <v>1.4430000000000001</v>
      </c>
      <c r="M45" s="9">
        <v>1</v>
      </c>
      <c r="N45" s="15" t="s">
        <v>33</v>
      </c>
      <c r="O45" s="15">
        <f t="shared" si="1"/>
        <v>16.017300000000002</v>
      </c>
      <c r="P45" s="15">
        <f t="shared" si="2"/>
        <v>18.68685</v>
      </c>
      <c r="Q45" s="15">
        <f t="shared" si="3"/>
        <v>10.678200000000002</v>
      </c>
      <c r="R45" s="15">
        <f t="shared" si="4"/>
        <v>8.0086500000000012</v>
      </c>
      <c r="S45" s="38">
        <v>53.391000000000005</v>
      </c>
      <c r="T45" s="170">
        <v>105991.94</v>
      </c>
      <c r="U45" s="9">
        <v>152946.36942</v>
      </c>
      <c r="V45" s="15"/>
      <c r="W45" s="15"/>
      <c r="X45" s="15" t="s">
        <v>1072</v>
      </c>
      <c r="Y45" s="9">
        <v>500039</v>
      </c>
      <c r="Z45" s="9">
        <v>1.1000000000000001</v>
      </c>
      <c r="AA45" s="15" t="s">
        <v>1070</v>
      </c>
      <c r="AB45" s="178">
        <v>1</v>
      </c>
      <c r="AC45" s="126"/>
      <c r="AD45" s="72"/>
      <c r="AE45" s="352"/>
      <c r="AF45" s="127"/>
      <c r="AG45" s="126"/>
      <c r="AH45" s="72"/>
      <c r="AI45" s="352"/>
      <c r="AJ45" s="127"/>
      <c r="AK45" s="38">
        <v>7274</v>
      </c>
      <c r="AL45" s="339"/>
      <c r="AM45" s="9"/>
      <c r="AN45" s="9"/>
      <c r="AO45" s="9"/>
      <c r="AQ45" s="17"/>
    </row>
    <row r="46" spans="1:43" ht="30" customHeight="1" x14ac:dyDescent="0.25">
      <c r="A46" s="301">
        <v>43</v>
      </c>
      <c r="B46" s="28" t="s">
        <v>28</v>
      </c>
      <c r="C46" s="28" t="s">
        <v>1021</v>
      </c>
      <c r="D46" s="293" t="s">
        <v>1010</v>
      </c>
      <c r="E46" s="367"/>
      <c r="F46" s="28" t="s">
        <v>1073</v>
      </c>
      <c r="G46" s="28"/>
      <c r="H46" s="293" t="s">
        <v>1033</v>
      </c>
      <c r="I46" s="28"/>
      <c r="J46" s="28" t="s">
        <v>1054</v>
      </c>
      <c r="K46" s="153">
        <v>0.06</v>
      </c>
      <c r="L46" s="39">
        <v>0.06</v>
      </c>
      <c r="M46" s="25">
        <v>1</v>
      </c>
      <c r="N46" s="28" t="s">
        <v>33</v>
      </c>
      <c r="O46" s="28">
        <f t="shared" si="1"/>
        <v>1.044</v>
      </c>
      <c r="P46" s="28">
        <f t="shared" si="2"/>
        <v>1.218</v>
      </c>
      <c r="Q46" s="28">
        <f t="shared" si="3"/>
        <v>0.69600000000000006</v>
      </c>
      <c r="R46" s="28">
        <f t="shared" si="4"/>
        <v>0.52200000000000002</v>
      </c>
      <c r="S46" s="38">
        <v>3.48</v>
      </c>
      <c r="T46" s="170">
        <v>105991.94</v>
      </c>
      <c r="U46" s="9">
        <v>6359.5163999999995</v>
      </c>
      <c r="V46" s="15"/>
      <c r="W46" s="15"/>
      <c r="X46" s="28" t="s">
        <v>1054</v>
      </c>
      <c r="Y46" s="25">
        <v>500041</v>
      </c>
      <c r="Z46" s="9">
        <v>1.1000000000000001</v>
      </c>
      <c r="AA46" s="15" t="s">
        <v>1073</v>
      </c>
      <c r="AB46" s="178">
        <v>1</v>
      </c>
      <c r="AC46" s="260"/>
      <c r="AD46" s="265"/>
      <c r="AE46" s="352"/>
      <c r="AF46" s="127"/>
      <c r="AG46" s="126"/>
      <c r="AH46" s="72"/>
      <c r="AI46" s="352"/>
      <c r="AJ46" s="127"/>
      <c r="AK46" s="38">
        <v>7285</v>
      </c>
      <c r="AL46" s="339"/>
      <c r="AM46" s="9"/>
      <c r="AN46" s="9"/>
      <c r="AO46" s="9"/>
      <c r="AQ46" s="17"/>
    </row>
    <row r="47" spans="1:43" ht="30" customHeight="1" x14ac:dyDescent="0.25">
      <c r="A47" s="301">
        <v>44</v>
      </c>
      <c r="B47" s="28" t="s">
        <v>28</v>
      </c>
      <c r="C47" s="28" t="s">
        <v>1021</v>
      </c>
      <c r="D47" s="293" t="s">
        <v>1010</v>
      </c>
      <c r="E47" s="367"/>
      <c r="F47" s="28" t="s">
        <v>1073</v>
      </c>
      <c r="G47" s="28"/>
      <c r="H47" s="293" t="s">
        <v>1033</v>
      </c>
      <c r="I47" s="28"/>
      <c r="J47" s="28" t="s">
        <v>1054</v>
      </c>
      <c r="K47" s="153">
        <v>0.06</v>
      </c>
      <c r="L47" s="39">
        <v>0.06</v>
      </c>
      <c r="M47" s="25">
        <v>1</v>
      </c>
      <c r="N47" s="28" t="s">
        <v>33</v>
      </c>
      <c r="O47" s="28">
        <f t="shared" si="1"/>
        <v>1.044</v>
      </c>
      <c r="P47" s="28">
        <f t="shared" si="2"/>
        <v>1.218</v>
      </c>
      <c r="Q47" s="28">
        <f t="shared" si="3"/>
        <v>0.69600000000000006</v>
      </c>
      <c r="R47" s="28">
        <f t="shared" si="4"/>
        <v>0.52200000000000002</v>
      </c>
      <c r="S47" s="38">
        <v>3.48</v>
      </c>
      <c r="T47" s="170">
        <v>105991.94</v>
      </c>
      <c r="U47" s="9">
        <v>6359.5163999999995</v>
      </c>
      <c r="V47" s="15"/>
      <c r="W47" s="15"/>
      <c r="X47" s="28" t="s">
        <v>1054</v>
      </c>
      <c r="Y47" s="25">
        <v>500041</v>
      </c>
      <c r="Z47" s="9">
        <v>1.1000000000000001</v>
      </c>
      <c r="AA47" s="15" t="s">
        <v>1073</v>
      </c>
      <c r="AB47" s="178">
        <v>2</v>
      </c>
      <c r="AC47" s="260"/>
      <c r="AD47" s="265"/>
      <c r="AE47" s="352"/>
      <c r="AF47" s="127"/>
      <c r="AG47" s="126"/>
      <c r="AH47" s="72"/>
      <c r="AI47" s="352"/>
      <c r="AJ47" s="127"/>
      <c r="AK47" s="38">
        <v>7285</v>
      </c>
      <c r="AL47" s="339"/>
      <c r="AM47" s="9"/>
      <c r="AN47" s="9"/>
      <c r="AO47" s="9"/>
      <c r="AQ47" s="17"/>
    </row>
    <row r="48" spans="1:43" ht="30" customHeight="1" x14ac:dyDescent="0.25">
      <c r="A48" s="301">
        <v>45</v>
      </c>
      <c r="B48" s="28" t="s">
        <v>28</v>
      </c>
      <c r="C48" s="28" t="s">
        <v>1021</v>
      </c>
      <c r="D48" s="293" t="s">
        <v>1010</v>
      </c>
      <c r="E48" s="367"/>
      <c r="F48" s="28" t="s">
        <v>1073</v>
      </c>
      <c r="G48" s="28"/>
      <c r="H48" s="293" t="s">
        <v>1033</v>
      </c>
      <c r="I48" s="28"/>
      <c r="J48" s="28" t="s">
        <v>1054</v>
      </c>
      <c r="K48" s="153">
        <v>0.06</v>
      </c>
      <c r="L48" s="39">
        <v>0.06</v>
      </c>
      <c r="M48" s="25">
        <v>1</v>
      </c>
      <c r="N48" s="28" t="s">
        <v>33</v>
      </c>
      <c r="O48" s="28">
        <f t="shared" si="1"/>
        <v>1.044</v>
      </c>
      <c r="P48" s="28">
        <f t="shared" si="2"/>
        <v>1.218</v>
      </c>
      <c r="Q48" s="28">
        <f t="shared" si="3"/>
        <v>0.69600000000000006</v>
      </c>
      <c r="R48" s="28">
        <f t="shared" si="4"/>
        <v>0.52200000000000002</v>
      </c>
      <c r="S48" s="38">
        <v>3.48</v>
      </c>
      <c r="T48" s="170">
        <v>105991.94</v>
      </c>
      <c r="U48" s="9">
        <v>6359.5163999999995</v>
      </c>
      <c r="V48" s="15"/>
      <c r="W48" s="15"/>
      <c r="X48" s="28" t="s">
        <v>1054</v>
      </c>
      <c r="Y48" s="25">
        <v>500041</v>
      </c>
      <c r="Z48" s="9">
        <v>1.1000000000000001</v>
      </c>
      <c r="AA48" s="15" t="s">
        <v>1073</v>
      </c>
      <c r="AB48" s="178">
        <v>3</v>
      </c>
      <c r="AC48" s="260"/>
      <c r="AD48" s="265"/>
      <c r="AE48" s="352"/>
      <c r="AF48" s="127"/>
      <c r="AG48" s="126"/>
      <c r="AH48" s="72"/>
      <c r="AI48" s="352"/>
      <c r="AJ48" s="127"/>
      <c r="AK48" s="38">
        <v>7285</v>
      </c>
      <c r="AL48" s="339"/>
      <c r="AM48" s="9"/>
      <c r="AN48" s="9"/>
      <c r="AO48" s="9"/>
      <c r="AQ48" s="17"/>
    </row>
    <row r="49" spans="1:43" ht="30" customHeight="1" x14ac:dyDescent="0.25">
      <c r="A49" s="301">
        <v>46</v>
      </c>
      <c r="B49" s="28" t="s">
        <v>28</v>
      </c>
      <c r="C49" s="28" t="s">
        <v>1021</v>
      </c>
      <c r="D49" s="293" t="s">
        <v>1010</v>
      </c>
      <c r="E49" s="367"/>
      <c r="F49" s="28" t="s">
        <v>1073</v>
      </c>
      <c r="G49" s="28"/>
      <c r="H49" s="293" t="s">
        <v>1033</v>
      </c>
      <c r="I49" s="28"/>
      <c r="J49" s="28" t="s">
        <v>1054</v>
      </c>
      <c r="K49" s="153">
        <v>0.06</v>
      </c>
      <c r="L49" s="39">
        <v>0.06</v>
      </c>
      <c r="M49" s="25">
        <v>1</v>
      </c>
      <c r="N49" s="28" t="s">
        <v>33</v>
      </c>
      <c r="O49" s="28">
        <f t="shared" si="1"/>
        <v>1.044</v>
      </c>
      <c r="P49" s="28">
        <f t="shared" si="2"/>
        <v>1.218</v>
      </c>
      <c r="Q49" s="28">
        <f t="shared" si="3"/>
        <v>0.69600000000000006</v>
      </c>
      <c r="R49" s="28">
        <f t="shared" si="4"/>
        <v>0.52200000000000002</v>
      </c>
      <c r="S49" s="38">
        <v>3.48</v>
      </c>
      <c r="T49" s="170">
        <v>105991.94</v>
      </c>
      <c r="U49" s="9">
        <v>6359.5163999999995</v>
      </c>
      <c r="V49" s="15"/>
      <c r="W49" s="15"/>
      <c r="X49" s="28" t="s">
        <v>1054</v>
      </c>
      <c r="Y49" s="25">
        <v>500041</v>
      </c>
      <c r="Z49" s="9">
        <v>1.1000000000000001</v>
      </c>
      <c r="AA49" s="15" t="s">
        <v>1073</v>
      </c>
      <c r="AB49" s="178">
        <v>4</v>
      </c>
      <c r="AC49" s="260"/>
      <c r="AD49" s="265"/>
      <c r="AE49" s="352"/>
      <c r="AF49" s="127"/>
      <c r="AG49" s="126"/>
      <c r="AH49" s="72"/>
      <c r="AI49" s="352"/>
      <c r="AJ49" s="127"/>
      <c r="AK49" s="38">
        <v>7285</v>
      </c>
      <c r="AL49" s="339"/>
      <c r="AM49" s="9"/>
      <c r="AN49" s="9"/>
      <c r="AO49" s="9"/>
      <c r="AQ49" s="17"/>
    </row>
    <row r="50" spans="1:43" ht="30" customHeight="1" x14ac:dyDescent="0.25">
      <c r="A50" s="301">
        <v>47</v>
      </c>
      <c r="B50" s="28" t="s">
        <v>28</v>
      </c>
      <c r="C50" s="28" t="s">
        <v>1021</v>
      </c>
      <c r="D50" s="293" t="s">
        <v>1010</v>
      </c>
      <c r="E50" s="367"/>
      <c r="F50" s="28" t="s">
        <v>1073</v>
      </c>
      <c r="G50" s="28"/>
      <c r="H50" s="293" t="s">
        <v>1033</v>
      </c>
      <c r="I50" s="28"/>
      <c r="J50" s="28" t="s">
        <v>1054</v>
      </c>
      <c r="K50" s="153">
        <v>0.06</v>
      </c>
      <c r="L50" s="39">
        <v>0.06</v>
      </c>
      <c r="M50" s="25">
        <v>1</v>
      </c>
      <c r="N50" s="28" t="s">
        <v>33</v>
      </c>
      <c r="O50" s="28">
        <f t="shared" si="1"/>
        <v>1.044</v>
      </c>
      <c r="P50" s="28">
        <f t="shared" si="2"/>
        <v>1.218</v>
      </c>
      <c r="Q50" s="28">
        <f t="shared" si="3"/>
        <v>0.69600000000000006</v>
      </c>
      <c r="R50" s="28">
        <f t="shared" si="4"/>
        <v>0.52200000000000002</v>
      </c>
      <c r="S50" s="38">
        <v>3.48</v>
      </c>
      <c r="T50" s="170">
        <v>105991.94</v>
      </c>
      <c r="U50" s="9">
        <v>6359.5163999999995</v>
      </c>
      <c r="V50" s="15"/>
      <c r="W50" s="15"/>
      <c r="X50" s="28" t="s">
        <v>1054</v>
      </c>
      <c r="Y50" s="25">
        <v>500041</v>
      </c>
      <c r="Z50" s="9">
        <v>1.1000000000000001</v>
      </c>
      <c r="AA50" s="15" t="s">
        <v>1073</v>
      </c>
      <c r="AB50" s="178">
        <v>5</v>
      </c>
      <c r="AC50" s="260"/>
      <c r="AD50" s="265"/>
      <c r="AE50" s="352"/>
      <c r="AF50" s="127"/>
      <c r="AG50" s="126"/>
      <c r="AH50" s="72"/>
      <c r="AI50" s="352"/>
      <c r="AJ50" s="127"/>
      <c r="AK50" s="38">
        <v>7285</v>
      </c>
      <c r="AL50" s="339"/>
      <c r="AM50" s="9"/>
      <c r="AN50" s="9"/>
      <c r="AO50" s="9"/>
      <c r="AQ50" s="17"/>
    </row>
    <row r="51" spans="1:43" ht="30" customHeight="1" x14ac:dyDescent="0.25">
      <c r="A51" s="301">
        <v>48</v>
      </c>
      <c r="B51" s="28" t="s">
        <v>28</v>
      </c>
      <c r="C51" s="28" t="s">
        <v>1021</v>
      </c>
      <c r="D51" s="293" t="s">
        <v>1010</v>
      </c>
      <c r="E51" s="367"/>
      <c r="F51" s="28" t="s">
        <v>1073</v>
      </c>
      <c r="G51" s="28"/>
      <c r="H51" s="293" t="s">
        <v>1033</v>
      </c>
      <c r="I51" s="28"/>
      <c r="J51" s="28" t="s">
        <v>1054</v>
      </c>
      <c r="K51" s="153">
        <v>0.06</v>
      </c>
      <c r="L51" s="39">
        <v>0.06</v>
      </c>
      <c r="M51" s="25">
        <v>1</v>
      </c>
      <c r="N51" s="28" t="s">
        <v>33</v>
      </c>
      <c r="O51" s="28">
        <f t="shared" si="1"/>
        <v>1.044</v>
      </c>
      <c r="P51" s="28">
        <f t="shared" si="2"/>
        <v>1.218</v>
      </c>
      <c r="Q51" s="28">
        <f t="shared" si="3"/>
        <v>0.69600000000000006</v>
      </c>
      <c r="R51" s="28">
        <f t="shared" si="4"/>
        <v>0.52200000000000002</v>
      </c>
      <c r="S51" s="38">
        <v>3.48</v>
      </c>
      <c r="T51" s="170">
        <v>105991.94</v>
      </c>
      <c r="U51" s="9">
        <v>6359.5163999999995</v>
      </c>
      <c r="V51" s="15"/>
      <c r="W51" s="15"/>
      <c r="X51" s="28" t="s">
        <v>1054</v>
      </c>
      <c r="Y51" s="25">
        <v>500041</v>
      </c>
      <c r="Z51" s="9">
        <v>1.1000000000000001</v>
      </c>
      <c r="AA51" s="15" t="s">
        <v>1073</v>
      </c>
      <c r="AB51" s="178">
        <v>6</v>
      </c>
      <c r="AC51" s="260"/>
      <c r="AD51" s="265"/>
      <c r="AE51" s="352"/>
      <c r="AF51" s="127"/>
      <c r="AG51" s="126"/>
      <c r="AH51" s="72"/>
      <c r="AI51" s="352"/>
      <c r="AJ51" s="127"/>
      <c r="AK51" s="38">
        <v>7285</v>
      </c>
      <c r="AL51" s="339"/>
      <c r="AM51" s="9"/>
      <c r="AN51" s="9"/>
      <c r="AO51" s="9"/>
      <c r="AQ51" s="17"/>
    </row>
    <row r="52" spans="1:43" ht="30" customHeight="1" x14ac:dyDescent="0.25">
      <c r="A52" s="301">
        <v>49</v>
      </c>
      <c r="B52" s="28" t="s">
        <v>28</v>
      </c>
      <c r="C52" s="28" t="s">
        <v>1021</v>
      </c>
      <c r="D52" s="293" t="s">
        <v>1010</v>
      </c>
      <c r="E52" s="367"/>
      <c r="F52" s="28" t="s">
        <v>1073</v>
      </c>
      <c r="G52" s="28"/>
      <c r="H52" s="293" t="s">
        <v>1033</v>
      </c>
      <c r="I52" s="28"/>
      <c r="J52" s="28" t="s">
        <v>1054</v>
      </c>
      <c r="K52" s="153">
        <v>0.06</v>
      </c>
      <c r="L52" s="39">
        <v>0.06</v>
      </c>
      <c r="M52" s="25">
        <v>1</v>
      </c>
      <c r="N52" s="28" t="s">
        <v>33</v>
      </c>
      <c r="O52" s="28">
        <f t="shared" si="1"/>
        <v>1.044</v>
      </c>
      <c r="P52" s="28">
        <f t="shared" si="2"/>
        <v>1.218</v>
      </c>
      <c r="Q52" s="28">
        <f t="shared" si="3"/>
        <v>0.69600000000000006</v>
      </c>
      <c r="R52" s="28">
        <f t="shared" si="4"/>
        <v>0.52200000000000002</v>
      </c>
      <c r="S52" s="38">
        <v>3.48</v>
      </c>
      <c r="T52" s="170">
        <v>105991.94</v>
      </c>
      <c r="U52" s="9">
        <v>6359.5163999999995</v>
      </c>
      <c r="V52" s="15"/>
      <c r="W52" s="15"/>
      <c r="X52" s="28" t="s">
        <v>1054</v>
      </c>
      <c r="Y52" s="25">
        <v>500041</v>
      </c>
      <c r="Z52" s="9">
        <v>1.1000000000000001</v>
      </c>
      <c r="AA52" s="15" t="s">
        <v>1073</v>
      </c>
      <c r="AB52" s="178">
        <v>7</v>
      </c>
      <c r="AC52" s="260"/>
      <c r="AD52" s="265"/>
      <c r="AE52" s="352"/>
      <c r="AF52" s="127"/>
      <c r="AG52" s="126"/>
      <c r="AH52" s="72"/>
      <c r="AI52" s="352"/>
      <c r="AJ52" s="127"/>
      <c r="AK52" s="38">
        <v>7285</v>
      </c>
      <c r="AL52" s="339"/>
      <c r="AM52" s="9"/>
      <c r="AN52" s="9"/>
      <c r="AO52" s="9"/>
      <c r="AQ52" s="17"/>
    </row>
    <row r="53" spans="1:43" ht="30" customHeight="1" x14ac:dyDescent="0.25">
      <c r="A53" s="301">
        <v>50</v>
      </c>
      <c r="B53" s="28" t="s">
        <v>28</v>
      </c>
      <c r="C53" s="28" t="s">
        <v>1021</v>
      </c>
      <c r="D53" s="293" t="s">
        <v>1010</v>
      </c>
      <c r="E53" s="367"/>
      <c r="F53" s="28" t="s">
        <v>1074</v>
      </c>
      <c r="G53" s="28"/>
      <c r="H53" s="293" t="s">
        <v>1023</v>
      </c>
      <c r="I53" s="28"/>
      <c r="J53" s="28" t="s">
        <v>1075</v>
      </c>
      <c r="K53" s="153">
        <v>0.77700000000000002</v>
      </c>
      <c r="L53" s="39">
        <v>0.77700000000000002</v>
      </c>
      <c r="M53" s="25">
        <v>1</v>
      </c>
      <c r="N53" s="28" t="s">
        <v>33</v>
      </c>
      <c r="O53" s="28">
        <f t="shared" si="1"/>
        <v>10.023300000000001</v>
      </c>
      <c r="P53" s="28">
        <f t="shared" si="2"/>
        <v>11.693849999999999</v>
      </c>
      <c r="Q53" s="28">
        <f t="shared" si="3"/>
        <v>6.6822000000000008</v>
      </c>
      <c r="R53" s="28">
        <f t="shared" si="4"/>
        <v>5.0116500000000004</v>
      </c>
      <c r="S53" s="38">
        <v>33.411000000000001</v>
      </c>
      <c r="T53" s="170">
        <v>105991.94</v>
      </c>
      <c r="U53" s="9">
        <v>82355.737380000006</v>
      </c>
      <c r="V53" s="15"/>
      <c r="W53" s="15"/>
      <c r="X53" s="28" t="s">
        <v>1075</v>
      </c>
      <c r="Y53" s="25">
        <v>500042</v>
      </c>
      <c r="Z53" s="9">
        <v>1.1000000000000001</v>
      </c>
      <c r="AA53" s="15" t="s">
        <v>1074</v>
      </c>
      <c r="AB53" s="178">
        <v>1</v>
      </c>
      <c r="AC53" s="169">
        <f t="shared" ref="AC53:AC54" si="13">L53*0.3</f>
        <v>0.2331</v>
      </c>
      <c r="AD53" s="72"/>
      <c r="AE53" s="352"/>
      <c r="AF53" s="127"/>
      <c r="AG53" s="126"/>
      <c r="AH53" s="72"/>
      <c r="AI53" s="352"/>
      <c r="AJ53" s="127"/>
      <c r="AK53" s="38">
        <v>7266</v>
      </c>
      <c r="AL53" s="339"/>
      <c r="AM53" s="9"/>
      <c r="AN53" s="9"/>
      <c r="AO53" s="9"/>
      <c r="AQ53" s="17"/>
    </row>
    <row r="54" spans="1:43" ht="30" customHeight="1" x14ac:dyDescent="0.25">
      <c r="A54" s="301">
        <v>51</v>
      </c>
      <c r="B54" s="28" t="s">
        <v>28</v>
      </c>
      <c r="C54" s="28" t="s">
        <v>1021</v>
      </c>
      <c r="D54" s="293" t="s">
        <v>1010</v>
      </c>
      <c r="E54" s="367"/>
      <c r="F54" s="28" t="s">
        <v>1074</v>
      </c>
      <c r="G54" s="28"/>
      <c r="H54" s="293" t="s">
        <v>1023</v>
      </c>
      <c r="I54" s="28"/>
      <c r="J54" s="28" t="s">
        <v>1076</v>
      </c>
      <c r="K54" s="153">
        <v>0.65900000000000003</v>
      </c>
      <c r="L54" s="39">
        <v>0.65900000000000003</v>
      </c>
      <c r="M54" s="25">
        <v>1</v>
      </c>
      <c r="N54" s="28" t="s">
        <v>33</v>
      </c>
      <c r="O54" s="28">
        <f t="shared" si="1"/>
        <v>8.5010999999999992</v>
      </c>
      <c r="P54" s="28">
        <f t="shared" si="2"/>
        <v>9.9179499999999994</v>
      </c>
      <c r="Q54" s="28">
        <f t="shared" si="3"/>
        <v>5.6674000000000007</v>
      </c>
      <c r="R54" s="28">
        <f t="shared" si="4"/>
        <v>4.2505499999999996</v>
      </c>
      <c r="S54" s="38">
        <v>28.337</v>
      </c>
      <c r="T54" s="170">
        <v>105991.94</v>
      </c>
      <c r="U54" s="9">
        <v>69848.688460000005</v>
      </c>
      <c r="V54" s="15"/>
      <c r="W54" s="15"/>
      <c r="X54" s="28" t="s">
        <v>1076</v>
      </c>
      <c r="Y54" s="25">
        <v>500042</v>
      </c>
      <c r="Z54" s="9">
        <v>1.1000000000000001</v>
      </c>
      <c r="AA54" s="15" t="s">
        <v>1074</v>
      </c>
      <c r="AB54" s="178">
        <v>2</v>
      </c>
      <c r="AC54" s="169">
        <f t="shared" si="13"/>
        <v>0.19770000000000001</v>
      </c>
      <c r="AD54" s="265"/>
      <c r="AE54" s="356"/>
      <c r="AF54" s="127"/>
      <c r="AG54" s="126"/>
      <c r="AH54" s="72"/>
      <c r="AI54" s="352"/>
      <c r="AJ54" s="127"/>
      <c r="AK54" s="38">
        <v>7266</v>
      </c>
      <c r="AL54" s="339"/>
      <c r="AM54" s="9"/>
      <c r="AN54" s="9"/>
      <c r="AO54" s="9"/>
      <c r="AQ54" s="17"/>
    </row>
    <row r="55" spans="1:43" ht="30" hidden="1" customHeight="1" x14ac:dyDescent="0.25">
      <c r="A55" s="268">
        <v>52</v>
      </c>
      <c r="B55" s="15" t="s">
        <v>28</v>
      </c>
      <c r="C55" s="143" t="s">
        <v>1021</v>
      </c>
      <c r="D55" s="293" t="s">
        <v>1010</v>
      </c>
      <c r="E55" s="336"/>
      <c r="F55" s="15" t="s">
        <v>1077</v>
      </c>
      <c r="G55" s="15"/>
      <c r="H55" s="193" t="s">
        <v>1078</v>
      </c>
      <c r="I55" s="15"/>
      <c r="J55" s="15" t="s">
        <v>1079</v>
      </c>
      <c r="K55" s="183">
        <v>0.25</v>
      </c>
      <c r="L55" s="34">
        <v>0.25</v>
      </c>
      <c r="M55" s="9">
        <v>1</v>
      </c>
      <c r="N55" s="15" t="s">
        <v>33</v>
      </c>
      <c r="O55" s="15">
        <f t="shared" si="1"/>
        <v>3.5249999999999999</v>
      </c>
      <c r="P55" s="15">
        <f t="shared" si="2"/>
        <v>4.1124999999999998</v>
      </c>
      <c r="Q55" s="15">
        <f t="shared" si="3"/>
        <v>2.35</v>
      </c>
      <c r="R55" s="15">
        <f t="shared" si="4"/>
        <v>1.7625</v>
      </c>
      <c r="S55" s="38">
        <v>11.75</v>
      </c>
      <c r="T55" s="170">
        <v>105991.94</v>
      </c>
      <c r="U55" s="9">
        <v>26497.985000000001</v>
      </c>
      <c r="V55" s="15"/>
      <c r="W55" s="15"/>
      <c r="X55" s="15" t="s">
        <v>1079</v>
      </c>
      <c r="Y55" s="9">
        <v>500043</v>
      </c>
      <c r="Z55" s="9">
        <v>1.1000000000000001</v>
      </c>
      <c r="AA55" s="15" t="s">
        <v>1077</v>
      </c>
      <c r="AB55" s="178">
        <v>1</v>
      </c>
      <c r="AC55" s="126"/>
      <c r="AD55" s="72"/>
      <c r="AE55" s="352"/>
      <c r="AF55" s="127"/>
      <c r="AG55" s="126"/>
      <c r="AH55" s="72"/>
      <c r="AI55" s="352"/>
      <c r="AJ55" s="127"/>
      <c r="AK55" s="38">
        <v>7242</v>
      </c>
      <c r="AL55" s="339"/>
      <c r="AM55" s="9"/>
      <c r="AN55" s="9"/>
      <c r="AO55" s="9"/>
      <c r="AQ55" s="17"/>
    </row>
    <row r="56" spans="1:43" ht="46.15" hidden="1" customHeight="1" x14ac:dyDescent="0.25">
      <c r="A56" s="268">
        <v>53</v>
      </c>
      <c r="B56" s="15" t="s">
        <v>28</v>
      </c>
      <c r="C56" s="143" t="s">
        <v>1021</v>
      </c>
      <c r="D56" s="293" t="s">
        <v>1010</v>
      </c>
      <c r="E56" s="336"/>
      <c r="F56" s="15" t="s">
        <v>1077</v>
      </c>
      <c r="G56" s="15"/>
      <c r="H56" s="193" t="s">
        <v>1080</v>
      </c>
      <c r="I56" s="15"/>
      <c r="J56" s="15" t="s">
        <v>1081</v>
      </c>
      <c r="K56" s="183">
        <v>0.75600000000000001</v>
      </c>
      <c r="L56" s="34">
        <v>0.75600000000000001</v>
      </c>
      <c r="M56" s="9">
        <v>1</v>
      </c>
      <c r="N56" s="15" t="s">
        <v>33</v>
      </c>
      <c r="O56" s="15">
        <f t="shared" si="1"/>
        <v>9.7523999999999997</v>
      </c>
      <c r="P56" s="15">
        <f t="shared" si="2"/>
        <v>11.377800000000001</v>
      </c>
      <c r="Q56" s="15">
        <f t="shared" si="3"/>
        <v>6.5016000000000007</v>
      </c>
      <c r="R56" s="15">
        <f t="shared" si="4"/>
        <v>4.8761999999999999</v>
      </c>
      <c r="S56" s="38">
        <v>32.508000000000003</v>
      </c>
      <c r="T56" s="170">
        <v>105991.94</v>
      </c>
      <c r="U56" s="9">
        <v>80129.906640000001</v>
      </c>
      <c r="V56" s="15"/>
      <c r="W56" s="15"/>
      <c r="X56" s="15" t="s">
        <v>1081</v>
      </c>
      <c r="Y56" s="9">
        <v>500045</v>
      </c>
      <c r="Z56" s="9">
        <v>1.1000000000000001</v>
      </c>
      <c r="AA56" s="15" t="s">
        <v>1077</v>
      </c>
      <c r="AB56" s="178">
        <v>1</v>
      </c>
      <c r="AC56" s="126"/>
      <c r="AD56" s="72"/>
      <c r="AE56" s="352"/>
      <c r="AF56" s="127"/>
      <c r="AG56" s="126"/>
      <c r="AH56" s="72"/>
      <c r="AI56" s="352"/>
      <c r="AJ56" s="127"/>
      <c r="AK56" s="38">
        <v>7265</v>
      </c>
      <c r="AL56" s="339"/>
      <c r="AM56" s="9"/>
      <c r="AN56" s="9"/>
      <c r="AO56" s="9"/>
      <c r="AQ56" s="17"/>
    </row>
    <row r="57" spans="1:43" ht="43.9" hidden="1" customHeight="1" x14ac:dyDescent="0.25">
      <c r="A57" s="268">
        <v>54</v>
      </c>
      <c r="B57" s="15" t="s">
        <v>28</v>
      </c>
      <c r="C57" s="143" t="s">
        <v>1021</v>
      </c>
      <c r="D57" s="293" t="s">
        <v>1010</v>
      </c>
      <c r="E57" s="336"/>
      <c r="F57" s="15" t="s">
        <v>1077</v>
      </c>
      <c r="G57" s="15"/>
      <c r="H57" s="193" t="s">
        <v>1080</v>
      </c>
      <c r="I57" s="15"/>
      <c r="J57" s="15" t="s">
        <v>1081</v>
      </c>
      <c r="K57" s="183">
        <v>0.75600000000000001</v>
      </c>
      <c r="L57" s="34">
        <v>0.75600000000000001</v>
      </c>
      <c r="M57" s="9">
        <v>1</v>
      </c>
      <c r="N57" s="15" t="s">
        <v>33</v>
      </c>
      <c r="O57" s="15">
        <f t="shared" si="1"/>
        <v>9.7523999999999997</v>
      </c>
      <c r="P57" s="15">
        <f t="shared" si="2"/>
        <v>11.377800000000001</v>
      </c>
      <c r="Q57" s="15">
        <f t="shared" si="3"/>
        <v>6.5016000000000007</v>
      </c>
      <c r="R57" s="15">
        <f t="shared" si="4"/>
        <v>4.8761999999999999</v>
      </c>
      <c r="S57" s="38">
        <v>32.508000000000003</v>
      </c>
      <c r="T57" s="170">
        <v>105991.94</v>
      </c>
      <c r="U57" s="9">
        <v>80129.906640000001</v>
      </c>
      <c r="V57" s="15"/>
      <c r="W57" s="15"/>
      <c r="X57" s="15" t="s">
        <v>1081</v>
      </c>
      <c r="Y57" s="9">
        <v>500046</v>
      </c>
      <c r="Z57" s="9">
        <v>1.1000000000000001</v>
      </c>
      <c r="AA57" s="15" t="s">
        <v>1077</v>
      </c>
      <c r="AB57" s="178">
        <v>1</v>
      </c>
      <c r="AC57" s="126"/>
      <c r="AD57" s="72"/>
      <c r="AE57" s="352"/>
      <c r="AF57" s="127"/>
      <c r="AG57" s="126"/>
      <c r="AH57" s="72"/>
      <c r="AI57" s="352"/>
      <c r="AJ57" s="127"/>
      <c r="AK57" s="38">
        <v>7265</v>
      </c>
      <c r="AL57" s="339"/>
      <c r="AM57" s="9"/>
      <c r="AN57" s="9"/>
      <c r="AO57" s="9"/>
      <c r="AQ57" s="17"/>
    </row>
    <row r="58" spans="1:43" ht="47.45" hidden="1" customHeight="1" x14ac:dyDescent="0.25">
      <c r="A58" s="268">
        <v>55</v>
      </c>
      <c r="B58" s="15" t="s">
        <v>28</v>
      </c>
      <c r="C58" s="143" t="s">
        <v>1021</v>
      </c>
      <c r="D58" s="293" t="s">
        <v>1010</v>
      </c>
      <c r="E58" s="336"/>
      <c r="F58" s="15" t="s">
        <v>1077</v>
      </c>
      <c r="G58" s="15"/>
      <c r="H58" s="193" t="s">
        <v>1080</v>
      </c>
      <c r="I58" s="15"/>
      <c r="J58" s="15" t="s">
        <v>1081</v>
      </c>
      <c r="K58" s="183">
        <v>0.75600000000000001</v>
      </c>
      <c r="L58" s="34">
        <v>0.75600000000000001</v>
      </c>
      <c r="M58" s="9">
        <v>1</v>
      </c>
      <c r="N58" s="15" t="s">
        <v>33</v>
      </c>
      <c r="O58" s="15">
        <f t="shared" si="1"/>
        <v>9.7523999999999997</v>
      </c>
      <c r="P58" s="15">
        <f t="shared" si="2"/>
        <v>11.377800000000001</v>
      </c>
      <c r="Q58" s="15">
        <f t="shared" si="3"/>
        <v>6.5016000000000007</v>
      </c>
      <c r="R58" s="15">
        <f t="shared" si="4"/>
        <v>4.8761999999999999</v>
      </c>
      <c r="S58" s="38">
        <v>32.508000000000003</v>
      </c>
      <c r="T58" s="170">
        <v>105991.94</v>
      </c>
      <c r="U58" s="9">
        <v>80129.906640000001</v>
      </c>
      <c r="V58" s="15"/>
      <c r="W58" s="15"/>
      <c r="X58" s="15" t="s">
        <v>1081</v>
      </c>
      <c r="Y58" s="9">
        <v>500047</v>
      </c>
      <c r="Z58" s="9">
        <v>1.1000000000000001</v>
      </c>
      <c r="AA58" s="15" t="s">
        <v>1077</v>
      </c>
      <c r="AB58" s="178">
        <v>1</v>
      </c>
      <c r="AC58" s="126"/>
      <c r="AD58" s="72"/>
      <c r="AE58" s="352"/>
      <c r="AF58" s="127"/>
      <c r="AG58" s="126"/>
      <c r="AH58" s="72"/>
      <c r="AI58" s="352"/>
      <c r="AJ58" s="127"/>
      <c r="AK58" s="38">
        <v>7265</v>
      </c>
      <c r="AL58" s="339"/>
      <c r="AM58" s="9"/>
      <c r="AN58" s="9"/>
      <c r="AO58" s="9"/>
      <c r="AQ58" s="17"/>
    </row>
    <row r="59" spans="1:43" ht="42" hidden="1" customHeight="1" x14ac:dyDescent="0.25">
      <c r="A59" s="268">
        <v>56</v>
      </c>
      <c r="B59" s="15" t="s">
        <v>28</v>
      </c>
      <c r="C59" s="143" t="s">
        <v>1021</v>
      </c>
      <c r="D59" s="293" t="s">
        <v>1010</v>
      </c>
      <c r="E59" s="336"/>
      <c r="F59" s="15" t="s">
        <v>1077</v>
      </c>
      <c r="G59" s="15"/>
      <c r="H59" s="193" t="s">
        <v>1080</v>
      </c>
      <c r="I59" s="15"/>
      <c r="J59" s="15" t="s">
        <v>1081</v>
      </c>
      <c r="K59" s="183">
        <v>0.75600000000000001</v>
      </c>
      <c r="L59" s="34">
        <v>0.75600000000000001</v>
      </c>
      <c r="M59" s="9">
        <v>1</v>
      </c>
      <c r="N59" s="15" t="s">
        <v>33</v>
      </c>
      <c r="O59" s="15">
        <f t="shared" si="1"/>
        <v>9.7523999999999997</v>
      </c>
      <c r="P59" s="15">
        <f t="shared" si="2"/>
        <v>11.377800000000001</v>
      </c>
      <c r="Q59" s="15">
        <f t="shared" si="3"/>
        <v>6.5016000000000007</v>
      </c>
      <c r="R59" s="15">
        <f t="shared" si="4"/>
        <v>4.8761999999999999</v>
      </c>
      <c r="S59" s="38">
        <v>32.508000000000003</v>
      </c>
      <c r="T59" s="170">
        <v>105991.94</v>
      </c>
      <c r="U59" s="9">
        <v>80129.906640000001</v>
      </c>
      <c r="V59" s="15"/>
      <c r="W59" s="15"/>
      <c r="X59" s="15" t="s">
        <v>1081</v>
      </c>
      <c r="Y59" s="9">
        <v>500048</v>
      </c>
      <c r="Z59" s="9">
        <v>1.1000000000000001</v>
      </c>
      <c r="AA59" s="15" t="s">
        <v>1077</v>
      </c>
      <c r="AB59" s="178">
        <v>1</v>
      </c>
      <c r="AC59" s="126"/>
      <c r="AD59" s="72"/>
      <c r="AE59" s="352"/>
      <c r="AF59" s="127"/>
      <c r="AG59" s="126"/>
      <c r="AH59" s="72"/>
      <c r="AI59" s="352"/>
      <c r="AJ59" s="127"/>
      <c r="AK59" s="38">
        <v>7265</v>
      </c>
      <c r="AL59" s="339"/>
      <c r="AM59" s="9"/>
      <c r="AN59" s="9"/>
      <c r="AO59" s="9"/>
      <c r="AQ59" s="17"/>
    </row>
    <row r="60" spans="1:43" ht="30" hidden="1" customHeight="1" x14ac:dyDescent="0.25">
      <c r="A60" s="268">
        <v>57</v>
      </c>
      <c r="B60" s="15" t="s">
        <v>28</v>
      </c>
      <c r="C60" s="143" t="s">
        <v>1021</v>
      </c>
      <c r="D60" s="293" t="s">
        <v>1010</v>
      </c>
      <c r="E60" s="336"/>
      <c r="F60" s="15" t="s">
        <v>1082</v>
      </c>
      <c r="G60" s="15"/>
      <c r="H60" s="293" t="s">
        <v>1026</v>
      </c>
      <c r="I60" s="15"/>
      <c r="J60" s="15" t="s">
        <v>1083</v>
      </c>
      <c r="K60" s="153">
        <v>0.251</v>
      </c>
      <c r="L60" s="39">
        <v>0.251</v>
      </c>
      <c r="M60" s="25">
        <v>1</v>
      </c>
      <c r="N60" s="15" t="s">
        <v>33</v>
      </c>
      <c r="O60" s="28">
        <f t="shared" si="1"/>
        <v>3.5390999999999999</v>
      </c>
      <c r="P60" s="28">
        <f t="shared" si="2"/>
        <v>4.1289499999999997</v>
      </c>
      <c r="Q60" s="28">
        <f t="shared" si="3"/>
        <v>2.3594000000000004</v>
      </c>
      <c r="R60" s="28">
        <f t="shared" si="4"/>
        <v>1.76955</v>
      </c>
      <c r="S60" s="38">
        <v>11.797000000000001</v>
      </c>
      <c r="T60" s="170">
        <v>105991.94</v>
      </c>
      <c r="U60" s="9">
        <v>26603.97694</v>
      </c>
      <c r="V60" s="15"/>
      <c r="W60" s="15"/>
      <c r="X60" s="28" t="s">
        <v>1083</v>
      </c>
      <c r="Y60" s="38">
        <v>500049</v>
      </c>
      <c r="Z60" s="9">
        <v>1.1000000000000001</v>
      </c>
      <c r="AA60" s="15" t="s">
        <v>1082</v>
      </c>
      <c r="AB60" s="178">
        <v>1</v>
      </c>
      <c r="AC60" s="126"/>
      <c r="AD60" s="72"/>
      <c r="AE60" s="352"/>
      <c r="AF60" s="127"/>
      <c r="AG60" s="126"/>
      <c r="AH60" s="72"/>
      <c r="AI60" s="352"/>
      <c r="AJ60" s="127"/>
      <c r="AK60" s="38">
        <v>7275</v>
      </c>
      <c r="AL60" s="339"/>
      <c r="AM60" s="9"/>
      <c r="AN60" s="9"/>
      <c r="AO60" s="9"/>
      <c r="AQ60" s="17"/>
    </row>
    <row r="61" spans="1:43" ht="30" customHeight="1" x14ac:dyDescent="0.25">
      <c r="A61" s="301">
        <v>58</v>
      </c>
      <c r="B61" s="28" t="s">
        <v>28</v>
      </c>
      <c r="C61" s="28" t="s">
        <v>1021</v>
      </c>
      <c r="D61" s="293" t="s">
        <v>1010</v>
      </c>
      <c r="E61" s="367"/>
      <c r="F61" s="28" t="s">
        <v>1074</v>
      </c>
      <c r="G61" s="28"/>
      <c r="H61" s="293" t="s">
        <v>1023</v>
      </c>
      <c r="I61" s="28"/>
      <c r="J61" s="28" t="s">
        <v>1084</v>
      </c>
      <c r="K61" s="153">
        <v>0.218</v>
      </c>
      <c r="L61" s="39">
        <v>0.218</v>
      </c>
      <c r="M61" s="25">
        <v>1</v>
      </c>
      <c r="N61" s="28" t="s">
        <v>33</v>
      </c>
      <c r="O61" s="28">
        <f t="shared" si="1"/>
        <v>3.0737999999999999</v>
      </c>
      <c r="P61" s="28">
        <f t="shared" si="2"/>
        <v>3.5861000000000001</v>
      </c>
      <c r="Q61" s="28">
        <f t="shared" si="3"/>
        <v>2.0492000000000004</v>
      </c>
      <c r="R61" s="28">
        <f t="shared" si="4"/>
        <v>1.5368999999999999</v>
      </c>
      <c r="S61" s="38">
        <v>10.246</v>
      </c>
      <c r="T61" s="170">
        <v>105991.94</v>
      </c>
      <c r="U61" s="9">
        <v>23106.242920000001</v>
      </c>
      <c r="V61" s="15"/>
      <c r="W61" s="15"/>
      <c r="X61" s="28" t="s">
        <v>1084</v>
      </c>
      <c r="Y61" s="25">
        <v>500056</v>
      </c>
      <c r="Z61" s="9">
        <v>1.1000000000000001</v>
      </c>
      <c r="AA61" s="15" t="s">
        <v>1074</v>
      </c>
      <c r="AB61" s="178">
        <v>1</v>
      </c>
      <c r="AC61" s="260"/>
      <c r="AD61" s="265"/>
      <c r="AE61" s="356"/>
      <c r="AF61" s="127"/>
      <c r="AG61" s="126"/>
      <c r="AH61" s="72"/>
      <c r="AI61" s="352"/>
      <c r="AJ61" s="127"/>
      <c r="AK61" s="38">
        <v>7266</v>
      </c>
      <c r="AL61" s="339"/>
      <c r="AM61" s="9"/>
      <c r="AN61" s="9"/>
      <c r="AO61" s="9"/>
      <c r="AQ61" s="17"/>
    </row>
    <row r="62" spans="1:43" ht="30" customHeight="1" x14ac:dyDescent="0.25">
      <c r="A62" s="301">
        <v>59</v>
      </c>
      <c r="B62" s="28" t="s">
        <v>28</v>
      </c>
      <c r="C62" s="28" t="s">
        <v>1021</v>
      </c>
      <c r="D62" s="293" t="s">
        <v>1010</v>
      </c>
      <c r="E62" s="367"/>
      <c r="F62" s="28" t="s">
        <v>1074</v>
      </c>
      <c r="G62" s="28"/>
      <c r="H62" s="293" t="s">
        <v>1023</v>
      </c>
      <c r="I62" s="28"/>
      <c r="J62" s="28" t="s">
        <v>1084</v>
      </c>
      <c r="K62" s="153">
        <v>0.218</v>
      </c>
      <c r="L62" s="39">
        <v>0.218</v>
      </c>
      <c r="M62" s="25">
        <v>1</v>
      </c>
      <c r="N62" s="28" t="s">
        <v>33</v>
      </c>
      <c r="O62" s="28">
        <f t="shared" si="1"/>
        <v>3.0737999999999999</v>
      </c>
      <c r="P62" s="28">
        <f t="shared" si="2"/>
        <v>3.5861000000000001</v>
      </c>
      <c r="Q62" s="28">
        <f t="shared" si="3"/>
        <v>2.0492000000000004</v>
      </c>
      <c r="R62" s="28">
        <f t="shared" si="4"/>
        <v>1.5368999999999999</v>
      </c>
      <c r="S62" s="38">
        <v>10.246</v>
      </c>
      <c r="T62" s="170">
        <v>105991.94</v>
      </c>
      <c r="U62" s="9">
        <v>23106.242920000001</v>
      </c>
      <c r="V62" s="15"/>
      <c r="W62" s="15"/>
      <c r="X62" s="28" t="s">
        <v>1084</v>
      </c>
      <c r="Y62" s="25">
        <v>500056</v>
      </c>
      <c r="Z62" s="9">
        <v>1.1000000000000001</v>
      </c>
      <c r="AA62" s="15" t="s">
        <v>1074</v>
      </c>
      <c r="AB62" s="178">
        <v>2</v>
      </c>
      <c r="AC62" s="260"/>
      <c r="AD62" s="265"/>
      <c r="AE62" s="356"/>
      <c r="AF62" s="127"/>
      <c r="AG62" s="126"/>
      <c r="AH62" s="72"/>
      <c r="AI62" s="352"/>
      <c r="AJ62" s="127"/>
      <c r="AK62" s="38">
        <v>7266</v>
      </c>
      <c r="AL62" s="339"/>
      <c r="AM62" s="9"/>
      <c r="AN62" s="9"/>
      <c r="AO62" s="9"/>
      <c r="AQ62" s="17"/>
    </row>
    <row r="63" spans="1:43" ht="30" hidden="1" customHeight="1" x14ac:dyDescent="0.25">
      <c r="A63" s="268">
        <v>60</v>
      </c>
      <c r="B63" s="15" t="s">
        <v>28</v>
      </c>
      <c r="C63" s="143" t="s">
        <v>1021</v>
      </c>
      <c r="D63" s="293" t="s">
        <v>1010</v>
      </c>
      <c r="E63" s="336"/>
      <c r="F63" s="15" t="s">
        <v>1074</v>
      </c>
      <c r="G63" s="15"/>
      <c r="H63" s="193" t="s">
        <v>1023</v>
      </c>
      <c r="I63" s="15"/>
      <c r="J63" s="15" t="s">
        <v>1084</v>
      </c>
      <c r="K63" s="183">
        <v>0.218</v>
      </c>
      <c r="L63" s="34">
        <v>0.218</v>
      </c>
      <c r="M63" s="9">
        <v>1</v>
      </c>
      <c r="N63" s="15" t="s">
        <v>33</v>
      </c>
      <c r="O63" s="15">
        <f t="shared" si="1"/>
        <v>3.0737999999999999</v>
      </c>
      <c r="P63" s="15">
        <f t="shared" si="2"/>
        <v>3.5861000000000001</v>
      </c>
      <c r="Q63" s="15">
        <f t="shared" si="3"/>
        <v>2.0492000000000004</v>
      </c>
      <c r="R63" s="15">
        <f t="shared" si="4"/>
        <v>1.5368999999999999</v>
      </c>
      <c r="S63" s="38">
        <v>10.246</v>
      </c>
      <c r="T63" s="170">
        <v>105991.94</v>
      </c>
      <c r="U63" s="9">
        <v>23106.242920000001</v>
      </c>
      <c r="V63" s="15"/>
      <c r="W63" s="15"/>
      <c r="X63" s="15" t="s">
        <v>1084</v>
      </c>
      <c r="Y63" s="9">
        <v>500057</v>
      </c>
      <c r="Z63" s="9">
        <v>1.1000000000000001</v>
      </c>
      <c r="AA63" s="15" t="s">
        <v>1074</v>
      </c>
      <c r="AB63" s="178">
        <v>1</v>
      </c>
      <c r="AC63" s="126"/>
      <c r="AD63" s="72"/>
      <c r="AE63" s="352"/>
      <c r="AF63" s="127"/>
      <c r="AG63" s="126"/>
      <c r="AH63" s="72"/>
      <c r="AI63" s="352"/>
      <c r="AJ63" s="127"/>
      <c r="AK63" s="38">
        <v>7266</v>
      </c>
      <c r="AL63" s="339"/>
      <c r="AM63" s="9"/>
      <c r="AN63" s="9"/>
      <c r="AO63" s="9"/>
      <c r="AQ63" s="17"/>
    </row>
    <row r="64" spans="1:43" ht="30" hidden="1" customHeight="1" x14ac:dyDescent="0.25">
      <c r="A64" s="268">
        <v>61</v>
      </c>
      <c r="B64" s="15" t="s">
        <v>28</v>
      </c>
      <c r="C64" s="143" t="s">
        <v>1021</v>
      </c>
      <c r="D64" s="293" t="s">
        <v>1010</v>
      </c>
      <c r="E64" s="336"/>
      <c r="F64" s="15" t="s">
        <v>1074</v>
      </c>
      <c r="G64" s="15"/>
      <c r="H64" s="193" t="s">
        <v>1023</v>
      </c>
      <c r="I64" s="15"/>
      <c r="J64" s="15" t="s">
        <v>1084</v>
      </c>
      <c r="K64" s="183">
        <v>0.218</v>
      </c>
      <c r="L64" s="34">
        <v>0.218</v>
      </c>
      <c r="M64" s="9">
        <v>1</v>
      </c>
      <c r="N64" s="15" t="s">
        <v>33</v>
      </c>
      <c r="O64" s="15">
        <f t="shared" si="1"/>
        <v>3.0737999999999999</v>
      </c>
      <c r="P64" s="15">
        <f t="shared" si="2"/>
        <v>3.5861000000000001</v>
      </c>
      <c r="Q64" s="15">
        <f t="shared" si="3"/>
        <v>2.0492000000000004</v>
      </c>
      <c r="R64" s="15">
        <f t="shared" si="4"/>
        <v>1.5368999999999999</v>
      </c>
      <c r="S64" s="38">
        <v>10.246</v>
      </c>
      <c r="T64" s="170">
        <v>105991.94</v>
      </c>
      <c r="U64" s="9">
        <v>23106.242920000001</v>
      </c>
      <c r="V64" s="15"/>
      <c r="W64" s="15"/>
      <c r="X64" s="15" t="s">
        <v>1084</v>
      </c>
      <c r="Y64" s="9">
        <v>500057</v>
      </c>
      <c r="Z64" s="9">
        <v>1.1000000000000001</v>
      </c>
      <c r="AA64" s="15" t="s">
        <v>1074</v>
      </c>
      <c r="AB64" s="178">
        <v>2</v>
      </c>
      <c r="AC64" s="126"/>
      <c r="AD64" s="72"/>
      <c r="AE64" s="352"/>
      <c r="AF64" s="127"/>
      <c r="AG64" s="126"/>
      <c r="AH64" s="72"/>
      <c r="AI64" s="352"/>
      <c r="AJ64" s="127"/>
      <c r="AK64" s="38">
        <v>7266</v>
      </c>
      <c r="AL64" s="339"/>
      <c r="AM64" s="9"/>
      <c r="AN64" s="9"/>
      <c r="AO64" s="9"/>
      <c r="AQ64" s="17"/>
    </row>
    <row r="65" spans="1:46" ht="30" hidden="1" customHeight="1" x14ac:dyDescent="0.25">
      <c r="A65" s="268">
        <v>62</v>
      </c>
      <c r="B65" s="15" t="s">
        <v>28</v>
      </c>
      <c r="C65" s="143" t="s">
        <v>1021</v>
      </c>
      <c r="D65" s="293" t="s">
        <v>1010</v>
      </c>
      <c r="E65" s="336"/>
      <c r="F65" s="15" t="s">
        <v>1074</v>
      </c>
      <c r="G65" s="15"/>
      <c r="H65" s="193" t="s">
        <v>1023</v>
      </c>
      <c r="I65" s="15"/>
      <c r="J65" s="15" t="s">
        <v>1085</v>
      </c>
      <c r="K65" s="183">
        <v>0.33400000000000002</v>
      </c>
      <c r="L65" s="34">
        <v>0.33400000000000002</v>
      </c>
      <c r="M65" s="9">
        <v>1</v>
      </c>
      <c r="N65" s="15" t="s">
        <v>33</v>
      </c>
      <c r="O65" s="15">
        <f t="shared" si="1"/>
        <v>4.7093999999999996</v>
      </c>
      <c r="P65" s="15">
        <f t="shared" si="2"/>
        <v>5.4943</v>
      </c>
      <c r="Q65" s="15">
        <f t="shared" si="3"/>
        <v>3.1396000000000002</v>
      </c>
      <c r="R65" s="15">
        <f t="shared" si="4"/>
        <v>2.3546999999999998</v>
      </c>
      <c r="S65" s="38">
        <v>15.698</v>
      </c>
      <c r="T65" s="170">
        <v>105991.94</v>
      </c>
      <c r="U65" s="9">
        <v>35401.307960000006</v>
      </c>
      <c r="V65" s="15"/>
      <c r="W65" s="15"/>
      <c r="X65" s="15" t="s">
        <v>1085</v>
      </c>
      <c r="Y65" s="9">
        <v>500059</v>
      </c>
      <c r="Z65" s="9">
        <v>1.1000000000000001</v>
      </c>
      <c r="AA65" s="15" t="s">
        <v>1074</v>
      </c>
      <c r="AB65" s="178">
        <v>1</v>
      </c>
      <c r="AC65" s="126"/>
      <c r="AD65" s="72"/>
      <c r="AE65" s="352"/>
      <c r="AF65" s="127"/>
      <c r="AG65" s="126"/>
      <c r="AH65" s="72"/>
      <c r="AI65" s="352"/>
      <c r="AJ65" s="127"/>
      <c r="AK65" s="38">
        <v>7266</v>
      </c>
      <c r="AL65" s="339"/>
      <c r="AM65" s="9"/>
      <c r="AN65" s="9"/>
      <c r="AO65" s="9"/>
      <c r="AQ65" s="17"/>
    </row>
    <row r="66" spans="1:46" ht="30" customHeight="1" x14ac:dyDescent="0.25">
      <c r="A66" s="301">
        <v>63</v>
      </c>
      <c r="B66" s="28" t="s">
        <v>28</v>
      </c>
      <c r="C66" s="28" t="s">
        <v>1021</v>
      </c>
      <c r="D66" s="293" t="s">
        <v>1010</v>
      </c>
      <c r="E66" s="367"/>
      <c r="F66" s="28" t="s">
        <v>1074</v>
      </c>
      <c r="G66" s="28"/>
      <c r="H66" s="293" t="s">
        <v>1023</v>
      </c>
      <c r="I66" s="28"/>
      <c r="J66" s="28" t="s">
        <v>1086</v>
      </c>
      <c r="K66" s="153">
        <v>0.35199999999999998</v>
      </c>
      <c r="L66" s="39">
        <v>0.35199999999999998</v>
      </c>
      <c r="M66" s="25">
        <v>1</v>
      </c>
      <c r="N66" s="28" t="s">
        <v>33</v>
      </c>
      <c r="O66" s="28">
        <f t="shared" si="1"/>
        <v>4.9631999999999996</v>
      </c>
      <c r="P66" s="28">
        <f t="shared" si="2"/>
        <v>5.7904</v>
      </c>
      <c r="Q66" s="28">
        <f t="shared" si="3"/>
        <v>3.3088000000000002</v>
      </c>
      <c r="R66" s="28">
        <f t="shared" si="4"/>
        <v>2.4815999999999998</v>
      </c>
      <c r="S66" s="25">
        <v>16.544</v>
      </c>
      <c r="T66" s="150">
        <v>105991.94</v>
      </c>
      <c r="U66" s="25">
        <v>37309.162879999996</v>
      </c>
      <c r="V66" s="28"/>
      <c r="W66" s="28"/>
      <c r="X66" s="28" t="s">
        <v>1086</v>
      </c>
      <c r="Y66" s="25">
        <v>500059</v>
      </c>
      <c r="Z66" s="9">
        <v>1.1000000000000001</v>
      </c>
      <c r="AA66" s="15" t="s">
        <v>1074</v>
      </c>
      <c r="AB66" s="178">
        <v>2</v>
      </c>
      <c r="AC66" s="260"/>
      <c r="AD66" s="265"/>
      <c r="AE66" s="356"/>
      <c r="AF66" s="127"/>
      <c r="AG66" s="126"/>
      <c r="AH66" s="72"/>
      <c r="AI66" s="352"/>
      <c r="AJ66" s="127"/>
      <c r="AK66" s="38">
        <v>7266</v>
      </c>
      <c r="AL66" s="339"/>
      <c r="AM66" s="9"/>
      <c r="AN66" s="9"/>
      <c r="AO66" s="9"/>
      <c r="AQ66" s="17"/>
    </row>
    <row r="67" spans="1:46" ht="30" hidden="1" customHeight="1" x14ac:dyDescent="0.25">
      <c r="A67" s="268">
        <v>64</v>
      </c>
      <c r="B67" s="15" t="s">
        <v>28</v>
      </c>
      <c r="C67" s="143" t="s">
        <v>1021</v>
      </c>
      <c r="D67" s="293" t="s">
        <v>1010</v>
      </c>
      <c r="E67" s="336"/>
      <c r="F67" s="15" t="s">
        <v>1087</v>
      </c>
      <c r="G67" s="15"/>
      <c r="H67" s="193" t="s">
        <v>1071</v>
      </c>
      <c r="I67" s="15"/>
      <c r="J67" s="15" t="s">
        <v>1088</v>
      </c>
      <c r="K67" s="183">
        <v>5.8999999999999997E-2</v>
      </c>
      <c r="L67" s="34">
        <v>5.8999999999999997E-2</v>
      </c>
      <c r="M67" s="9">
        <v>1</v>
      </c>
      <c r="N67" s="15" t="s">
        <v>33</v>
      </c>
      <c r="O67" s="15">
        <f t="shared" si="1"/>
        <v>1.0266</v>
      </c>
      <c r="P67" s="15">
        <f t="shared" si="2"/>
        <v>1.1976999999999998</v>
      </c>
      <c r="Q67" s="15">
        <f t="shared" si="3"/>
        <v>0.68440000000000001</v>
      </c>
      <c r="R67" s="15">
        <f t="shared" si="4"/>
        <v>0.51329999999999998</v>
      </c>
      <c r="S67" s="38">
        <v>3.4219999999999997</v>
      </c>
      <c r="T67" s="170">
        <v>105991.94</v>
      </c>
      <c r="U67" s="9">
        <v>6253.5244599999996</v>
      </c>
      <c r="V67" s="15"/>
      <c r="W67" s="15"/>
      <c r="X67" s="15" t="s">
        <v>1088</v>
      </c>
      <c r="Y67" s="9">
        <v>500065</v>
      </c>
      <c r="Z67" s="9">
        <v>1.1000000000000001</v>
      </c>
      <c r="AA67" s="15" t="s">
        <v>1087</v>
      </c>
      <c r="AB67" s="178">
        <v>1</v>
      </c>
      <c r="AC67" s="126"/>
      <c r="AD67" s="72"/>
      <c r="AE67" s="352"/>
      <c r="AF67" s="127"/>
      <c r="AG67" s="126"/>
      <c r="AH67" s="72"/>
      <c r="AI67" s="352"/>
      <c r="AJ67" s="127"/>
      <c r="AK67" s="38">
        <v>7274</v>
      </c>
      <c r="AL67" s="339"/>
      <c r="AM67" s="9"/>
      <c r="AN67" s="9"/>
      <c r="AO67" s="9"/>
      <c r="AQ67" s="17"/>
    </row>
    <row r="68" spans="1:46" x14ac:dyDescent="0.25">
      <c r="AC68" s="334"/>
      <c r="AD68" s="334"/>
      <c r="AE68" s="334"/>
      <c r="AF68" s="334"/>
      <c r="AG68" s="334"/>
      <c r="AH68" s="334"/>
      <c r="AI68" s="334"/>
      <c r="AJ68" s="334"/>
      <c r="AM68"/>
      <c r="AN68"/>
      <c r="AO68"/>
      <c r="AP68"/>
      <c r="AQ68"/>
      <c r="AR68"/>
      <c r="AS68"/>
      <c r="AT68"/>
    </row>
    <row r="69" spans="1:46" x14ac:dyDescent="0.25">
      <c r="AC69" s="334"/>
      <c r="AD69" s="334"/>
      <c r="AE69" s="334"/>
      <c r="AF69" s="334"/>
      <c r="AG69" s="334"/>
      <c r="AH69" s="334"/>
      <c r="AI69" s="334"/>
      <c r="AJ69" s="334"/>
      <c r="AM69"/>
      <c r="AN69"/>
      <c r="AO69"/>
      <c r="AP69"/>
      <c r="AQ69"/>
      <c r="AR69"/>
      <c r="AS69"/>
      <c r="AT69"/>
    </row>
    <row r="70" spans="1:46" x14ac:dyDescent="0.25">
      <c r="AC70" s="334"/>
      <c r="AD70" s="334"/>
      <c r="AE70" s="334"/>
      <c r="AF70" s="334"/>
      <c r="AG70" s="334"/>
      <c r="AH70" s="334"/>
      <c r="AI70" s="334"/>
      <c r="AJ70" s="334"/>
      <c r="AM70"/>
      <c r="AN70"/>
      <c r="AO70"/>
      <c r="AP70"/>
      <c r="AQ70"/>
      <c r="AR70"/>
      <c r="AS70"/>
      <c r="AT70"/>
    </row>
    <row r="71" spans="1:46" x14ac:dyDescent="0.25">
      <c r="AC71" s="334"/>
      <c r="AD71" s="334"/>
      <c r="AE71" s="334"/>
      <c r="AF71" s="334"/>
      <c r="AG71" s="334"/>
      <c r="AH71" s="334"/>
      <c r="AI71" s="334"/>
      <c r="AJ71" s="334"/>
      <c r="AM71"/>
      <c r="AN71"/>
      <c r="AO71"/>
      <c r="AP71"/>
      <c r="AQ71"/>
      <c r="AR71"/>
      <c r="AS71"/>
      <c r="AT71"/>
    </row>
    <row r="72" spans="1:46" x14ac:dyDescent="0.25">
      <c r="AC72" s="334"/>
      <c r="AD72" s="334"/>
      <c r="AE72" s="334"/>
      <c r="AF72" s="334"/>
      <c r="AG72" s="334"/>
      <c r="AH72" s="334"/>
      <c r="AI72" s="334"/>
      <c r="AJ72" s="334"/>
      <c r="AM72"/>
      <c r="AN72"/>
      <c r="AO72"/>
      <c r="AP72"/>
      <c r="AQ72"/>
      <c r="AR72"/>
      <c r="AS72"/>
      <c r="AT72"/>
    </row>
    <row r="73" spans="1:46" x14ac:dyDescent="0.25">
      <c r="AC73" s="334"/>
      <c r="AD73" s="334"/>
      <c r="AE73" s="334"/>
      <c r="AF73" s="334"/>
      <c r="AG73" s="334"/>
      <c r="AH73" s="334"/>
      <c r="AI73" s="334"/>
      <c r="AJ73" s="334"/>
      <c r="AM73"/>
      <c r="AN73"/>
      <c r="AO73"/>
      <c r="AP73"/>
      <c r="AQ73"/>
      <c r="AR73"/>
      <c r="AS73"/>
      <c r="AT73"/>
    </row>
    <row r="74" spans="1:46" x14ac:dyDescent="0.25">
      <c r="AC74" s="334"/>
      <c r="AD74" s="334"/>
      <c r="AE74" s="334"/>
      <c r="AF74" s="334"/>
      <c r="AG74" s="334"/>
      <c r="AH74" s="334"/>
      <c r="AI74" s="334"/>
      <c r="AJ74" s="334"/>
      <c r="AM74"/>
      <c r="AN74"/>
      <c r="AO74"/>
      <c r="AP74"/>
      <c r="AQ74"/>
      <c r="AR74"/>
      <c r="AS74"/>
      <c r="AT74"/>
    </row>
    <row r="75" spans="1:46" x14ac:dyDescent="0.25">
      <c r="AC75" s="334"/>
      <c r="AD75" s="334"/>
      <c r="AE75" s="334"/>
      <c r="AF75" s="334"/>
      <c r="AG75" s="334"/>
      <c r="AH75" s="334"/>
      <c r="AI75" s="334"/>
      <c r="AJ75" s="334"/>
      <c r="AM75"/>
      <c r="AN75"/>
      <c r="AO75"/>
      <c r="AP75"/>
      <c r="AQ75"/>
      <c r="AR75"/>
      <c r="AS75"/>
      <c r="AT75"/>
    </row>
    <row r="76" spans="1:46" x14ac:dyDescent="0.25">
      <c r="AC76" s="334"/>
      <c r="AD76" s="334"/>
      <c r="AE76" s="334"/>
      <c r="AF76" s="334"/>
      <c r="AG76" s="334"/>
      <c r="AH76" s="334"/>
      <c r="AI76" s="334"/>
      <c r="AJ76" s="334"/>
      <c r="AM76"/>
      <c r="AN76"/>
      <c r="AO76"/>
      <c r="AP76"/>
      <c r="AQ76"/>
      <c r="AR76"/>
      <c r="AS76"/>
      <c r="AT76"/>
    </row>
    <row r="77" spans="1:46" x14ac:dyDescent="0.25">
      <c r="AC77" s="334"/>
      <c r="AD77" s="334"/>
      <c r="AE77" s="334"/>
      <c r="AF77" s="334"/>
      <c r="AG77" s="334"/>
      <c r="AH77" s="334"/>
      <c r="AI77" s="334"/>
      <c r="AJ77" s="334"/>
      <c r="AM77"/>
      <c r="AN77"/>
      <c r="AO77"/>
      <c r="AP77"/>
      <c r="AQ77"/>
      <c r="AR77"/>
      <c r="AS77"/>
      <c r="AT77"/>
    </row>
    <row r="78" spans="1:46" x14ac:dyDescent="0.25">
      <c r="AC78" s="334"/>
      <c r="AD78" s="334"/>
      <c r="AE78" s="334"/>
      <c r="AF78" s="334"/>
      <c r="AG78" s="334"/>
      <c r="AH78" s="334"/>
      <c r="AI78" s="334"/>
      <c r="AJ78" s="334"/>
      <c r="AM78"/>
      <c r="AN78"/>
      <c r="AO78"/>
      <c r="AP78"/>
      <c r="AQ78"/>
      <c r="AR78"/>
      <c r="AS78"/>
      <c r="AT78"/>
    </row>
    <row r="79" spans="1:46" x14ac:dyDescent="0.25">
      <c r="AC79" s="334"/>
      <c r="AD79" s="334"/>
      <c r="AE79" s="334"/>
      <c r="AF79" s="334"/>
      <c r="AG79" s="334"/>
      <c r="AH79" s="334"/>
      <c r="AI79" s="334"/>
      <c r="AJ79" s="334"/>
      <c r="AM79"/>
      <c r="AN79"/>
      <c r="AO79"/>
      <c r="AP79"/>
      <c r="AQ79"/>
      <c r="AR79"/>
      <c r="AS79"/>
      <c r="AT79"/>
    </row>
    <row r="80" spans="1:46" x14ac:dyDescent="0.25">
      <c r="AC80" s="334"/>
      <c r="AD80" s="334"/>
      <c r="AE80" s="334"/>
      <c r="AF80" s="334"/>
      <c r="AG80" s="334"/>
      <c r="AH80" s="334"/>
      <c r="AI80" s="334"/>
      <c r="AJ80" s="334"/>
      <c r="AM80"/>
      <c r="AN80"/>
      <c r="AO80"/>
      <c r="AP80"/>
      <c r="AQ80"/>
      <c r="AR80"/>
      <c r="AS80"/>
      <c r="AT80"/>
    </row>
    <row r="81" spans="29:46" x14ac:dyDescent="0.25">
      <c r="AC81" s="334"/>
      <c r="AD81" s="334"/>
      <c r="AE81" s="334"/>
      <c r="AF81" s="334"/>
      <c r="AG81" s="334"/>
      <c r="AH81" s="334"/>
      <c r="AI81" s="334"/>
      <c r="AJ81" s="334"/>
      <c r="AM81"/>
      <c r="AN81"/>
      <c r="AO81"/>
      <c r="AP81"/>
      <c r="AQ81"/>
      <c r="AR81"/>
      <c r="AS81"/>
      <c r="AT81"/>
    </row>
    <row r="82" spans="29:46" x14ac:dyDescent="0.25">
      <c r="AC82" s="334"/>
      <c r="AD82" s="334"/>
      <c r="AE82" s="334"/>
      <c r="AF82" s="334"/>
      <c r="AG82" s="334"/>
      <c r="AH82" s="334"/>
      <c r="AI82" s="334"/>
      <c r="AJ82" s="334"/>
      <c r="AM82"/>
      <c r="AN82"/>
      <c r="AO82"/>
      <c r="AP82"/>
      <c r="AQ82"/>
      <c r="AR82"/>
      <c r="AS82"/>
      <c r="AT82"/>
    </row>
    <row r="83" spans="29:46" x14ac:dyDescent="0.25">
      <c r="AC83" s="334"/>
      <c r="AD83" s="334"/>
      <c r="AE83" s="334"/>
      <c r="AF83" s="334"/>
      <c r="AG83" s="334"/>
      <c r="AH83" s="334"/>
      <c r="AI83" s="334"/>
      <c r="AJ83" s="334"/>
      <c r="AM83"/>
      <c r="AN83"/>
      <c r="AO83"/>
      <c r="AP83"/>
      <c r="AQ83"/>
      <c r="AR83"/>
      <c r="AS83"/>
      <c r="AT83"/>
    </row>
    <row r="84" spans="29:46" x14ac:dyDescent="0.25">
      <c r="AC84" s="334"/>
      <c r="AD84" s="334"/>
      <c r="AE84" s="334"/>
      <c r="AF84" s="334"/>
      <c r="AG84" s="334"/>
      <c r="AH84" s="334"/>
      <c r="AI84" s="334"/>
      <c r="AJ84" s="334"/>
      <c r="AM84"/>
      <c r="AN84"/>
      <c r="AO84"/>
      <c r="AP84"/>
      <c r="AQ84"/>
      <c r="AR84"/>
      <c r="AS84"/>
      <c r="AT84"/>
    </row>
    <row r="85" spans="29:46" x14ac:dyDescent="0.25">
      <c r="AC85" s="334"/>
      <c r="AD85" s="334"/>
      <c r="AE85" s="334"/>
      <c r="AF85" s="334"/>
      <c r="AG85" s="334"/>
      <c r="AH85" s="334"/>
      <c r="AI85" s="334"/>
      <c r="AJ85" s="334"/>
      <c r="AM85"/>
      <c r="AN85"/>
      <c r="AO85"/>
      <c r="AP85"/>
      <c r="AQ85"/>
      <c r="AR85"/>
      <c r="AS85"/>
      <c r="AT85"/>
    </row>
    <row r="86" spans="29:46" x14ac:dyDescent="0.25">
      <c r="AC86" s="334"/>
      <c r="AD86" s="334"/>
      <c r="AE86" s="334"/>
      <c r="AF86" s="334"/>
      <c r="AG86" s="334"/>
      <c r="AH86" s="334"/>
      <c r="AI86" s="334"/>
      <c r="AJ86" s="334"/>
      <c r="AM86"/>
      <c r="AN86"/>
      <c r="AO86"/>
      <c r="AP86"/>
      <c r="AQ86"/>
      <c r="AR86"/>
      <c r="AS86"/>
      <c r="AT86"/>
    </row>
    <row r="87" spans="29:46" x14ac:dyDescent="0.25">
      <c r="AC87" s="334"/>
      <c r="AD87" s="334"/>
      <c r="AE87" s="334"/>
      <c r="AF87" s="334"/>
      <c r="AG87" s="334"/>
      <c r="AH87" s="334"/>
      <c r="AI87" s="334"/>
      <c r="AJ87" s="334"/>
      <c r="AM87"/>
      <c r="AN87"/>
      <c r="AO87"/>
      <c r="AP87"/>
      <c r="AQ87"/>
      <c r="AR87"/>
      <c r="AS87"/>
      <c r="AT87"/>
    </row>
    <row r="88" spans="29:46" x14ac:dyDescent="0.25">
      <c r="AC88" s="334"/>
      <c r="AD88" s="334"/>
      <c r="AE88" s="334"/>
      <c r="AF88" s="334"/>
      <c r="AG88" s="334"/>
      <c r="AH88" s="334"/>
      <c r="AI88" s="334"/>
      <c r="AJ88" s="334"/>
      <c r="AM88"/>
      <c r="AN88"/>
      <c r="AO88"/>
      <c r="AP88"/>
      <c r="AQ88"/>
      <c r="AR88"/>
      <c r="AS88"/>
      <c r="AT88"/>
    </row>
    <row r="89" spans="29:46" x14ac:dyDescent="0.25">
      <c r="AC89" s="334"/>
      <c r="AD89" s="334"/>
      <c r="AE89" s="334"/>
      <c r="AF89" s="334"/>
      <c r="AG89" s="334"/>
      <c r="AH89" s="334"/>
      <c r="AI89" s="334"/>
      <c r="AJ89" s="334"/>
      <c r="AM89"/>
      <c r="AN89"/>
      <c r="AO89"/>
      <c r="AP89"/>
      <c r="AQ89"/>
      <c r="AR89"/>
      <c r="AS89"/>
      <c r="AT89"/>
    </row>
    <row r="90" spans="29:46" x14ac:dyDescent="0.25">
      <c r="AC90" s="334"/>
      <c r="AD90" s="334"/>
      <c r="AE90" s="334"/>
      <c r="AF90" s="334"/>
      <c r="AG90" s="334"/>
      <c r="AH90" s="334"/>
      <c r="AI90" s="334"/>
      <c r="AJ90" s="334"/>
      <c r="AM90"/>
      <c r="AN90"/>
      <c r="AO90"/>
      <c r="AP90"/>
      <c r="AQ90"/>
      <c r="AR90"/>
      <c r="AS90"/>
      <c r="AT90"/>
    </row>
    <row r="91" spans="29:46" x14ac:dyDescent="0.25">
      <c r="AC91" s="334"/>
      <c r="AD91" s="334"/>
      <c r="AE91" s="334"/>
      <c r="AF91" s="334"/>
      <c r="AG91" s="334"/>
      <c r="AH91" s="334"/>
      <c r="AI91" s="334"/>
      <c r="AJ91" s="334"/>
      <c r="AM91"/>
      <c r="AN91"/>
      <c r="AO91"/>
      <c r="AP91"/>
      <c r="AQ91"/>
      <c r="AR91"/>
      <c r="AS91"/>
      <c r="AT91"/>
    </row>
    <row r="92" spans="29:46" x14ac:dyDescent="0.25">
      <c r="AC92" s="334"/>
      <c r="AD92" s="334"/>
      <c r="AE92" s="334"/>
      <c r="AF92" s="334"/>
      <c r="AG92" s="334"/>
      <c r="AH92" s="334"/>
      <c r="AI92" s="334"/>
      <c r="AJ92" s="334"/>
      <c r="AM92"/>
      <c r="AN92"/>
      <c r="AO92"/>
      <c r="AP92"/>
      <c r="AQ92"/>
      <c r="AR92"/>
      <c r="AS92"/>
      <c r="AT92"/>
    </row>
    <row r="93" spans="29:46" x14ac:dyDescent="0.25">
      <c r="AC93" s="334"/>
      <c r="AD93" s="334"/>
      <c r="AE93" s="334"/>
      <c r="AF93" s="334"/>
      <c r="AG93" s="334"/>
      <c r="AH93" s="334"/>
      <c r="AI93" s="334"/>
      <c r="AJ93" s="334"/>
      <c r="AM93"/>
      <c r="AN93"/>
      <c r="AO93"/>
      <c r="AP93"/>
      <c r="AQ93"/>
      <c r="AR93"/>
      <c r="AS93"/>
      <c r="AT93"/>
    </row>
    <row r="94" spans="29:46" x14ac:dyDescent="0.25">
      <c r="AC94" s="334"/>
      <c r="AD94" s="334"/>
      <c r="AE94" s="334"/>
      <c r="AF94" s="334"/>
      <c r="AG94" s="334"/>
      <c r="AH94" s="334"/>
      <c r="AI94" s="334"/>
      <c r="AJ94" s="334"/>
      <c r="AM94"/>
      <c r="AN94"/>
      <c r="AO94"/>
      <c r="AP94"/>
      <c r="AQ94"/>
      <c r="AR94"/>
      <c r="AS94"/>
      <c r="AT94"/>
    </row>
    <row r="95" spans="29:46" x14ac:dyDescent="0.25">
      <c r="AC95" s="334"/>
      <c r="AD95" s="334"/>
      <c r="AE95" s="334"/>
      <c r="AF95" s="334"/>
      <c r="AG95" s="334"/>
      <c r="AH95" s="334"/>
      <c r="AI95" s="334"/>
      <c r="AJ95" s="334"/>
      <c r="AM95"/>
      <c r="AN95"/>
      <c r="AO95"/>
      <c r="AP95"/>
      <c r="AQ95"/>
      <c r="AR95"/>
      <c r="AS95"/>
      <c r="AT95"/>
    </row>
    <row r="96" spans="29:46" x14ac:dyDescent="0.25">
      <c r="AC96" s="334"/>
      <c r="AD96" s="334"/>
      <c r="AE96" s="334"/>
      <c r="AF96" s="334"/>
      <c r="AG96" s="334"/>
      <c r="AH96" s="334"/>
      <c r="AI96" s="334"/>
      <c r="AJ96" s="334"/>
      <c r="AM96"/>
      <c r="AN96"/>
      <c r="AO96"/>
      <c r="AP96"/>
      <c r="AQ96"/>
      <c r="AR96"/>
      <c r="AS96"/>
      <c r="AT96"/>
    </row>
    <row r="97" spans="29:46" x14ac:dyDescent="0.25">
      <c r="AC97" s="334"/>
      <c r="AD97" s="334"/>
      <c r="AE97" s="334"/>
      <c r="AF97" s="334"/>
      <c r="AG97" s="334"/>
      <c r="AH97" s="334"/>
      <c r="AI97" s="334"/>
      <c r="AJ97" s="334"/>
      <c r="AM97"/>
      <c r="AN97"/>
      <c r="AO97"/>
      <c r="AP97"/>
      <c r="AQ97"/>
      <c r="AR97"/>
      <c r="AS97"/>
      <c r="AT97"/>
    </row>
    <row r="98" spans="29:46" x14ac:dyDescent="0.25">
      <c r="AC98" s="334"/>
      <c r="AD98" s="334"/>
      <c r="AE98" s="334"/>
      <c r="AF98" s="334"/>
      <c r="AG98" s="334"/>
      <c r="AH98" s="334"/>
      <c r="AI98" s="334"/>
      <c r="AJ98" s="334"/>
      <c r="AM98"/>
      <c r="AN98"/>
      <c r="AO98"/>
      <c r="AP98"/>
      <c r="AQ98"/>
      <c r="AR98"/>
      <c r="AS98"/>
      <c r="AT98"/>
    </row>
    <row r="99" spans="29:46" x14ac:dyDescent="0.25">
      <c r="AC99" s="334"/>
      <c r="AD99" s="334"/>
      <c r="AE99" s="334"/>
      <c r="AF99" s="334"/>
      <c r="AG99" s="334"/>
      <c r="AH99" s="334"/>
      <c r="AI99" s="334"/>
      <c r="AJ99" s="334"/>
      <c r="AM99"/>
      <c r="AN99"/>
      <c r="AO99"/>
      <c r="AP99"/>
      <c r="AQ99"/>
      <c r="AR99"/>
      <c r="AS99"/>
      <c r="AT99"/>
    </row>
    <row r="100" spans="29:46" x14ac:dyDescent="0.25">
      <c r="AC100" s="334"/>
      <c r="AD100" s="334"/>
      <c r="AE100" s="334"/>
      <c r="AF100" s="334"/>
      <c r="AG100" s="334"/>
      <c r="AH100" s="334"/>
      <c r="AI100" s="334"/>
      <c r="AJ100" s="334"/>
      <c r="AM100"/>
      <c r="AN100"/>
      <c r="AO100"/>
      <c r="AP100"/>
      <c r="AQ100"/>
      <c r="AR100"/>
      <c r="AS100"/>
      <c r="AT100"/>
    </row>
    <row r="101" spans="29:46" x14ac:dyDescent="0.25">
      <c r="AC101" s="334"/>
      <c r="AD101" s="334"/>
      <c r="AE101" s="334"/>
      <c r="AF101" s="334"/>
      <c r="AG101" s="334"/>
      <c r="AH101" s="334"/>
      <c r="AI101" s="334"/>
      <c r="AJ101" s="334"/>
      <c r="AM101"/>
      <c r="AN101"/>
      <c r="AO101"/>
      <c r="AP101"/>
      <c r="AQ101"/>
      <c r="AR101"/>
      <c r="AS101"/>
      <c r="AT101"/>
    </row>
    <row r="102" spans="29:46" x14ac:dyDescent="0.25">
      <c r="AC102" s="334"/>
      <c r="AD102" s="334"/>
      <c r="AE102" s="334"/>
      <c r="AF102" s="334"/>
      <c r="AG102" s="334"/>
      <c r="AH102" s="334"/>
      <c r="AI102" s="334"/>
      <c r="AJ102" s="334"/>
      <c r="AM102"/>
      <c r="AN102"/>
      <c r="AO102"/>
      <c r="AP102"/>
      <c r="AQ102"/>
      <c r="AR102"/>
      <c r="AS102"/>
      <c r="AT102"/>
    </row>
    <row r="103" spans="29:46" x14ac:dyDescent="0.25">
      <c r="AC103" s="334"/>
      <c r="AD103" s="334"/>
      <c r="AE103" s="334"/>
      <c r="AF103" s="334"/>
      <c r="AG103" s="334"/>
      <c r="AH103" s="334"/>
      <c r="AI103" s="334"/>
      <c r="AJ103" s="334"/>
      <c r="AM103"/>
      <c r="AN103"/>
      <c r="AO103"/>
      <c r="AP103"/>
      <c r="AQ103"/>
      <c r="AR103"/>
      <c r="AS103"/>
      <c r="AT103"/>
    </row>
    <row r="104" spans="29:46" x14ac:dyDescent="0.25">
      <c r="AC104" s="334"/>
      <c r="AD104" s="334"/>
      <c r="AE104" s="334"/>
      <c r="AF104" s="334"/>
      <c r="AG104" s="334"/>
      <c r="AH104" s="334"/>
      <c r="AI104" s="334"/>
      <c r="AJ104" s="334"/>
      <c r="AM104"/>
      <c r="AN104"/>
      <c r="AO104"/>
      <c r="AP104"/>
      <c r="AQ104"/>
      <c r="AR104"/>
      <c r="AS104"/>
      <c r="AT104"/>
    </row>
    <row r="105" spans="29:46" x14ac:dyDescent="0.25">
      <c r="AC105" s="334"/>
      <c r="AD105" s="334"/>
      <c r="AE105" s="334"/>
      <c r="AF105" s="334"/>
      <c r="AG105" s="334"/>
      <c r="AH105" s="334"/>
      <c r="AI105" s="334"/>
      <c r="AJ105" s="334"/>
      <c r="AM105"/>
      <c r="AN105"/>
      <c r="AO105"/>
      <c r="AP105"/>
      <c r="AQ105"/>
      <c r="AR105"/>
      <c r="AS105"/>
      <c r="AT105"/>
    </row>
    <row r="106" spans="29:46" x14ac:dyDescent="0.25">
      <c r="AC106" s="334"/>
      <c r="AD106" s="334"/>
      <c r="AE106" s="334"/>
      <c r="AF106" s="334"/>
      <c r="AG106" s="334"/>
      <c r="AH106" s="334"/>
      <c r="AI106" s="334"/>
      <c r="AJ106" s="334"/>
      <c r="AM106"/>
      <c r="AN106"/>
      <c r="AO106"/>
      <c r="AP106"/>
      <c r="AQ106"/>
      <c r="AR106"/>
      <c r="AS106"/>
      <c r="AT106"/>
    </row>
    <row r="107" spans="29:46" x14ac:dyDescent="0.25">
      <c r="AC107" s="334"/>
      <c r="AD107" s="334"/>
      <c r="AE107" s="334"/>
      <c r="AF107" s="334"/>
      <c r="AG107" s="334"/>
      <c r="AH107" s="334"/>
      <c r="AI107" s="334"/>
      <c r="AJ107" s="334"/>
      <c r="AM107"/>
      <c r="AN107"/>
      <c r="AO107"/>
      <c r="AP107"/>
      <c r="AQ107"/>
      <c r="AR107"/>
      <c r="AS107"/>
      <c r="AT107"/>
    </row>
    <row r="108" spans="29:46" x14ac:dyDescent="0.25">
      <c r="AC108" s="334"/>
      <c r="AD108" s="334"/>
      <c r="AE108" s="334"/>
      <c r="AF108" s="334"/>
      <c r="AG108" s="334"/>
      <c r="AH108" s="334"/>
      <c r="AI108" s="334"/>
      <c r="AJ108" s="334"/>
      <c r="AM108"/>
      <c r="AN108"/>
      <c r="AO108"/>
      <c r="AP108"/>
      <c r="AQ108"/>
      <c r="AR108"/>
      <c r="AS108"/>
      <c r="AT108"/>
    </row>
    <row r="109" spans="29:46" x14ac:dyDescent="0.25">
      <c r="AC109" s="334"/>
      <c r="AD109" s="334"/>
      <c r="AE109" s="334"/>
      <c r="AF109" s="334"/>
      <c r="AG109" s="334"/>
      <c r="AH109" s="334"/>
      <c r="AI109" s="334"/>
      <c r="AJ109" s="334"/>
      <c r="AM109"/>
      <c r="AN109"/>
      <c r="AO109"/>
      <c r="AP109"/>
      <c r="AQ109"/>
      <c r="AR109"/>
      <c r="AS109"/>
      <c r="AT109"/>
    </row>
    <row r="110" spans="29:46" x14ac:dyDescent="0.25">
      <c r="AC110" s="334"/>
      <c r="AD110" s="334"/>
      <c r="AE110" s="334"/>
      <c r="AF110" s="334"/>
      <c r="AG110" s="334"/>
      <c r="AH110" s="334"/>
      <c r="AI110" s="334"/>
      <c r="AJ110" s="334"/>
      <c r="AM110"/>
      <c r="AN110"/>
      <c r="AO110"/>
      <c r="AP110"/>
      <c r="AQ110"/>
      <c r="AR110"/>
      <c r="AS110"/>
      <c r="AT110"/>
    </row>
    <row r="111" spans="29:46" x14ac:dyDescent="0.25">
      <c r="AC111" s="334"/>
      <c r="AD111" s="334"/>
      <c r="AE111" s="334"/>
      <c r="AF111" s="334"/>
      <c r="AG111" s="334"/>
      <c r="AH111" s="334"/>
      <c r="AI111" s="334"/>
      <c r="AJ111" s="334"/>
      <c r="AM111"/>
      <c r="AN111"/>
      <c r="AO111"/>
      <c r="AP111"/>
      <c r="AQ111"/>
      <c r="AR111"/>
      <c r="AS111"/>
      <c r="AT111"/>
    </row>
    <row r="112" spans="29:46" x14ac:dyDescent="0.25">
      <c r="AC112" s="334"/>
      <c r="AD112" s="334"/>
      <c r="AE112" s="334"/>
      <c r="AF112" s="334"/>
      <c r="AG112" s="334"/>
      <c r="AH112" s="334"/>
      <c r="AI112" s="334"/>
      <c r="AJ112" s="334"/>
      <c r="AM112"/>
      <c r="AN112"/>
      <c r="AO112"/>
      <c r="AP112"/>
      <c r="AQ112"/>
      <c r="AR112"/>
      <c r="AS112"/>
      <c r="AT112"/>
    </row>
    <row r="113" spans="29:46" x14ac:dyDescent="0.25">
      <c r="AC113" s="334"/>
      <c r="AD113" s="334"/>
      <c r="AE113" s="334"/>
      <c r="AF113" s="334"/>
      <c r="AG113" s="334"/>
      <c r="AH113" s="334"/>
      <c r="AI113" s="334"/>
      <c r="AJ113" s="334"/>
      <c r="AM113"/>
      <c r="AN113"/>
      <c r="AO113"/>
      <c r="AP113"/>
      <c r="AQ113"/>
      <c r="AR113"/>
      <c r="AS113"/>
      <c r="AT113"/>
    </row>
    <row r="114" spans="29:46" x14ac:dyDescent="0.25">
      <c r="AC114" s="334"/>
      <c r="AD114" s="334"/>
      <c r="AE114" s="334"/>
      <c r="AF114" s="334"/>
      <c r="AG114" s="334"/>
      <c r="AH114" s="334"/>
      <c r="AI114" s="334"/>
      <c r="AJ114" s="334"/>
      <c r="AM114"/>
      <c r="AN114"/>
      <c r="AO114"/>
      <c r="AP114"/>
      <c r="AQ114"/>
      <c r="AR114"/>
      <c r="AS114"/>
      <c r="AT114"/>
    </row>
    <row r="115" spans="29:46" x14ac:dyDescent="0.25">
      <c r="AC115" s="334"/>
      <c r="AD115" s="334"/>
      <c r="AE115" s="334"/>
      <c r="AF115" s="334"/>
      <c r="AG115" s="334"/>
      <c r="AH115" s="334"/>
      <c r="AI115" s="334"/>
      <c r="AJ115" s="334"/>
      <c r="AM115"/>
      <c r="AN115"/>
      <c r="AO115"/>
      <c r="AP115"/>
      <c r="AQ115"/>
      <c r="AR115"/>
      <c r="AS115"/>
      <c r="AT115"/>
    </row>
    <row r="116" spans="29:46" x14ac:dyDescent="0.25">
      <c r="AC116" s="334"/>
      <c r="AD116" s="334"/>
      <c r="AE116" s="334"/>
      <c r="AF116" s="334"/>
      <c r="AG116" s="334"/>
      <c r="AH116" s="334"/>
      <c r="AI116" s="334"/>
      <c r="AJ116" s="334"/>
      <c r="AM116"/>
      <c r="AN116"/>
      <c r="AO116"/>
      <c r="AP116"/>
      <c r="AQ116"/>
      <c r="AR116"/>
      <c r="AS116"/>
      <c r="AT116"/>
    </row>
    <row r="117" spans="29:46" x14ac:dyDescent="0.25">
      <c r="AC117" s="334"/>
      <c r="AD117" s="334"/>
      <c r="AE117" s="334"/>
      <c r="AF117" s="334"/>
      <c r="AG117" s="334"/>
      <c r="AH117" s="334"/>
      <c r="AI117" s="334"/>
      <c r="AJ117" s="334"/>
      <c r="AM117"/>
      <c r="AN117"/>
      <c r="AO117"/>
      <c r="AP117"/>
      <c r="AQ117"/>
      <c r="AR117"/>
      <c r="AS117"/>
      <c r="AT117"/>
    </row>
    <row r="118" spans="29:46" x14ac:dyDescent="0.25">
      <c r="AC118" s="334"/>
      <c r="AD118" s="334"/>
      <c r="AE118" s="334"/>
      <c r="AF118" s="334"/>
      <c r="AG118" s="334"/>
      <c r="AH118" s="334"/>
      <c r="AI118" s="334"/>
      <c r="AJ118" s="334"/>
      <c r="AM118"/>
      <c r="AN118"/>
      <c r="AO118"/>
      <c r="AP118"/>
      <c r="AQ118"/>
      <c r="AR118"/>
      <c r="AS118"/>
      <c r="AT118"/>
    </row>
    <row r="119" spans="29:46" x14ac:dyDescent="0.25">
      <c r="AC119" s="334"/>
      <c r="AD119" s="334"/>
      <c r="AE119" s="334"/>
      <c r="AF119" s="334"/>
      <c r="AG119" s="334"/>
      <c r="AH119" s="334"/>
      <c r="AI119" s="334"/>
      <c r="AJ119" s="334"/>
      <c r="AM119"/>
      <c r="AN119"/>
      <c r="AO119"/>
      <c r="AP119"/>
      <c r="AQ119"/>
      <c r="AR119"/>
      <c r="AS119"/>
      <c r="AT119"/>
    </row>
    <row r="120" spans="29:46" x14ac:dyDescent="0.25">
      <c r="AC120" s="334"/>
      <c r="AD120" s="334"/>
      <c r="AE120" s="334"/>
      <c r="AF120" s="334"/>
      <c r="AG120" s="334"/>
      <c r="AH120" s="334"/>
      <c r="AI120" s="334"/>
      <c r="AJ120" s="334"/>
      <c r="AM120"/>
      <c r="AN120"/>
      <c r="AO120"/>
      <c r="AP120"/>
      <c r="AQ120"/>
      <c r="AR120"/>
      <c r="AS120"/>
      <c r="AT120"/>
    </row>
    <row r="121" spans="29:46" x14ac:dyDescent="0.25">
      <c r="AC121" s="334"/>
      <c r="AD121" s="334"/>
      <c r="AE121" s="334"/>
      <c r="AF121" s="334"/>
      <c r="AG121" s="334"/>
      <c r="AH121" s="334"/>
      <c r="AI121" s="334"/>
      <c r="AJ121" s="334"/>
      <c r="AM121"/>
      <c r="AN121"/>
      <c r="AO121"/>
      <c r="AP121"/>
      <c r="AQ121"/>
      <c r="AR121"/>
      <c r="AS121"/>
      <c r="AT121"/>
    </row>
    <row r="122" spans="29:46" x14ac:dyDescent="0.25">
      <c r="AC122" s="334"/>
      <c r="AD122" s="334"/>
      <c r="AE122" s="334"/>
      <c r="AF122" s="334"/>
      <c r="AG122" s="334"/>
      <c r="AH122" s="334"/>
      <c r="AI122" s="334"/>
      <c r="AJ122" s="334"/>
      <c r="AM122"/>
      <c r="AN122"/>
      <c r="AO122"/>
      <c r="AP122"/>
      <c r="AQ122"/>
      <c r="AR122"/>
      <c r="AS122"/>
      <c r="AT122"/>
    </row>
    <row r="123" spans="29:46" x14ac:dyDescent="0.25">
      <c r="AC123" s="334"/>
      <c r="AD123" s="334"/>
      <c r="AE123" s="334"/>
      <c r="AF123" s="334"/>
      <c r="AG123" s="334"/>
      <c r="AH123" s="334"/>
      <c r="AI123" s="334"/>
      <c r="AJ123" s="334"/>
      <c r="AM123"/>
      <c r="AN123"/>
      <c r="AO123"/>
      <c r="AP123"/>
      <c r="AQ123"/>
      <c r="AR123"/>
      <c r="AS123"/>
      <c r="AT123"/>
    </row>
    <row r="124" spans="29:46" x14ac:dyDescent="0.25">
      <c r="AC124" s="334"/>
      <c r="AD124" s="334"/>
      <c r="AE124" s="334"/>
      <c r="AF124" s="334"/>
      <c r="AG124" s="334"/>
      <c r="AH124" s="334"/>
      <c r="AI124" s="334"/>
      <c r="AJ124" s="334"/>
      <c r="AM124"/>
      <c r="AN124"/>
      <c r="AO124"/>
      <c r="AP124"/>
      <c r="AQ124"/>
      <c r="AR124"/>
      <c r="AS124"/>
      <c r="AT124"/>
    </row>
    <row r="125" spans="29:46" x14ac:dyDescent="0.25">
      <c r="AC125" s="334"/>
      <c r="AD125" s="334"/>
      <c r="AE125" s="334"/>
      <c r="AF125" s="334"/>
      <c r="AG125" s="334"/>
      <c r="AH125" s="334"/>
      <c r="AI125" s="334"/>
      <c r="AJ125" s="334"/>
      <c r="AM125"/>
      <c r="AN125"/>
      <c r="AO125"/>
      <c r="AP125"/>
      <c r="AQ125"/>
      <c r="AR125"/>
      <c r="AS125"/>
      <c r="AT125"/>
    </row>
    <row r="126" spans="29:46" x14ac:dyDescent="0.25">
      <c r="AC126" s="334"/>
      <c r="AD126" s="334"/>
      <c r="AE126" s="334"/>
      <c r="AF126" s="334"/>
      <c r="AG126" s="334"/>
      <c r="AH126" s="334"/>
      <c r="AI126" s="334"/>
      <c r="AJ126" s="334"/>
      <c r="AM126"/>
      <c r="AN126"/>
      <c r="AO126"/>
      <c r="AP126"/>
      <c r="AQ126"/>
      <c r="AR126"/>
      <c r="AS126"/>
      <c r="AT126"/>
    </row>
    <row r="127" spans="29:46" x14ac:dyDescent="0.25">
      <c r="AC127" s="334"/>
      <c r="AD127" s="334"/>
      <c r="AE127" s="334"/>
      <c r="AF127" s="334"/>
      <c r="AG127" s="334"/>
      <c r="AH127" s="334"/>
      <c r="AI127" s="334"/>
      <c r="AJ127" s="334"/>
      <c r="AM127"/>
      <c r="AN127"/>
      <c r="AO127"/>
      <c r="AP127"/>
      <c r="AQ127"/>
      <c r="AR127"/>
      <c r="AS127"/>
      <c r="AT127"/>
    </row>
    <row r="128" spans="29:46" x14ac:dyDescent="0.25">
      <c r="AC128" s="334"/>
      <c r="AD128" s="334"/>
      <c r="AE128" s="334"/>
      <c r="AF128" s="334"/>
      <c r="AG128" s="334"/>
      <c r="AH128" s="334"/>
      <c r="AI128" s="334"/>
      <c r="AJ128" s="334"/>
      <c r="AM128"/>
      <c r="AN128"/>
      <c r="AO128"/>
      <c r="AP128"/>
      <c r="AQ128"/>
      <c r="AR128"/>
      <c r="AS128"/>
      <c r="AT128"/>
    </row>
    <row r="129" spans="29:46" x14ac:dyDescent="0.25">
      <c r="AC129" s="334"/>
      <c r="AD129" s="334"/>
      <c r="AE129" s="334"/>
      <c r="AF129" s="334"/>
      <c r="AG129" s="334"/>
      <c r="AH129" s="334"/>
      <c r="AI129" s="334"/>
      <c r="AJ129" s="334"/>
      <c r="AM129"/>
      <c r="AN129"/>
      <c r="AO129"/>
      <c r="AP129"/>
      <c r="AQ129"/>
      <c r="AR129"/>
      <c r="AS129"/>
      <c r="AT129"/>
    </row>
    <row r="130" spans="29:46" x14ac:dyDescent="0.25">
      <c r="AC130" s="334"/>
      <c r="AD130" s="334"/>
      <c r="AE130" s="334"/>
      <c r="AF130" s="334"/>
      <c r="AG130" s="334"/>
      <c r="AH130" s="334"/>
      <c r="AI130" s="334"/>
      <c r="AJ130" s="334"/>
      <c r="AM130"/>
      <c r="AN130"/>
      <c r="AO130"/>
      <c r="AP130"/>
      <c r="AQ130"/>
      <c r="AR130"/>
      <c r="AS130"/>
      <c r="AT130"/>
    </row>
    <row r="131" spans="29:46" x14ac:dyDescent="0.25">
      <c r="AC131" s="334"/>
      <c r="AD131" s="334"/>
      <c r="AE131" s="334"/>
      <c r="AF131" s="334"/>
      <c r="AG131" s="334"/>
      <c r="AH131" s="334"/>
      <c r="AI131" s="334"/>
      <c r="AJ131" s="334"/>
      <c r="AM131"/>
      <c r="AN131"/>
      <c r="AO131"/>
      <c r="AP131"/>
      <c r="AQ131"/>
      <c r="AR131"/>
      <c r="AS131"/>
      <c r="AT131"/>
    </row>
    <row r="132" spans="29:46" x14ac:dyDescent="0.25">
      <c r="AC132" s="334"/>
      <c r="AD132" s="334"/>
      <c r="AE132" s="334"/>
      <c r="AF132" s="334"/>
      <c r="AG132" s="334"/>
      <c r="AH132" s="334"/>
      <c r="AI132" s="334"/>
      <c r="AJ132" s="334"/>
      <c r="AM132"/>
      <c r="AN132"/>
      <c r="AO132"/>
      <c r="AP132"/>
      <c r="AQ132"/>
      <c r="AR132"/>
      <c r="AS132"/>
      <c r="AT132"/>
    </row>
    <row r="133" spans="29:46" x14ac:dyDescent="0.25">
      <c r="AC133" s="334"/>
      <c r="AD133" s="334"/>
      <c r="AE133" s="334"/>
      <c r="AF133" s="334"/>
      <c r="AG133" s="334"/>
      <c r="AH133" s="334"/>
      <c r="AI133" s="334"/>
      <c r="AJ133" s="334"/>
      <c r="AM133"/>
      <c r="AN133"/>
      <c r="AO133"/>
      <c r="AP133"/>
      <c r="AQ133"/>
      <c r="AR133"/>
      <c r="AS133"/>
      <c r="AT133"/>
    </row>
    <row r="134" spans="29:46" x14ac:dyDescent="0.25">
      <c r="AC134" s="334"/>
      <c r="AD134" s="334"/>
      <c r="AE134" s="334"/>
      <c r="AF134" s="334"/>
      <c r="AG134" s="334"/>
      <c r="AH134" s="334"/>
      <c r="AI134" s="334"/>
      <c r="AJ134" s="334"/>
      <c r="AM134"/>
      <c r="AN134"/>
      <c r="AO134"/>
      <c r="AP134"/>
      <c r="AQ134"/>
      <c r="AR134"/>
      <c r="AS134"/>
      <c r="AT134"/>
    </row>
    <row r="135" spans="29:46" x14ac:dyDescent="0.25">
      <c r="AC135" s="334"/>
      <c r="AD135" s="334"/>
      <c r="AE135" s="334"/>
      <c r="AF135" s="334"/>
      <c r="AG135" s="334"/>
      <c r="AH135" s="334"/>
      <c r="AI135" s="334"/>
      <c r="AJ135" s="334"/>
      <c r="AM135"/>
      <c r="AN135"/>
      <c r="AO135"/>
      <c r="AP135"/>
      <c r="AQ135"/>
      <c r="AR135"/>
      <c r="AS135"/>
      <c r="AT135"/>
    </row>
    <row r="136" spans="29:46" x14ac:dyDescent="0.25">
      <c r="AC136" s="334"/>
      <c r="AD136" s="334"/>
      <c r="AE136" s="334"/>
      <c r="AF136" s="334"/>
      <c r="AG136" s="334"/>
      <c r="AH136" s="334"/>
      <c r="AI136" s="334"/>
      <c r="AJ136" s="334"/>
      <c r="AM136"/>
      <c r="AN136"/>
      <c r="AO136"/>
      <c r="AP136"/>
      <c r="AQ136"/>
      <c r="AR136"/>
      <c r="AS136"/>
      <c r="AT136"/>
    </row>
    <row r="137" spans="29:46" x14ac:dyDescent="0.25">
      <c r="AC137" s="334"/>
      <c r="AD137" s="334"/>
      <c r="AE137" s="334"/>
      <c r="AF137" s="334"/>
      <c r="AG137" s="334"/>
      <c r="AH137" s="334"/>
      <c r="AI137" s="334"/>
      <c r="AJ137" s="334"/>
      <c r="AM137"/>
      <c r="AN137"/>
      <c r="AO137"/>
      <c r="AP137"/>
      <c r="AQ137"/>
      <c r="AR137"/>
      <c r="AS137"/>
      <c r="AT137"/>
    </row>
    <row r="138" spans="29:46" x14ac:dyDescent="0.25">
      <c r="AC138" s="334"/>
      <c r="AD138" s="334"/>
      <c r="AE138" s="334"/>
      <c r="AF138" s="334"/>
      <c r="AG138" s="334"/>
      <c r="AH138" s="334"/>
      <c r="AI138" s="334"/>
      <c r="AJ138" s="334"/>
      <c r="AM138"/>
      <c r="AN138"/>
      <c r="AO138"/>
      <c r="AP138"/>
      <c r="AQ138"/>
      <c r="AR138"/>
      <c r="AS138"/>
      <c r="AT138"/>
    </row>
    <row r="139" spans="29:46" x14ac:dyDescent="0.25">
      <c r="AC139" s="334"/>
      <c r="AD139" s="334"/>
      <c r="AE139" s="334"/>
      <c r="AF139" s="334"/>
      <c r="AG139" s="334"/>
      <c r="AH139" s="334"/>
      <c r="AI139" s="334"/>
      <c r="AJ139" s="334"/>
      <c r="AM139"/>
      <c r="AN139"/>
      <c r="AO139"/>
      <c r="AP139"/>
      <c r="AQ139"/>
      <c r="AR139"/>
      <c r="AS139"/>
      <c r="AT139"/>
    </row>
    <row r="140" spans="29:46" x14ac:dyDescent="0.25">
      <c r="AC140" s="334"/>
      <c r="AD140" s="334"/>
      <c r="AE140" s="334"/>
      <c r="AF140" s="334"/>
      <c r="AG140" s="334"/>
      <c r="AH140" s="334"/>
      <c r="AI140" s="334"/>
      <c r="AJ140" s="334"/>
      <c r="AM140"/>
      <c r="AN140"/>
      <c r="AO140"/>
      <c r="AP140"/>
      <c r="AQ140"/>
      <c r="AR140"/>
      <c r="AS140"/>
      <c r="AT140"/>
    </row>
    <row r="141" spans="29:46" x14ac:dyDescent="0.25">
      <c r="AC141" s="334"/>
      <c r="AD141" s="334"/>
      <c r="AE141" s="334"/>
      <c r="AF141" s="334"/>
      <c r="AG141" s="334"/>
      <c r="AH141" s="334"/>
      <c r="AI141" s="334"/>
      <c r="AJ141" s="334"/>
      <c r="AM141"/>
      <c r="AN141"/>
      <c r="AO141"/>
      <c r="AP141"/>
      <c r="AQ141"/>
      <c r="AR141"/>
      <c r="AS141"/>
      <c r="AT141"/>
    </row>
    <row r="142" spans="29:46" x14ac:dyDescent="0.25">
      <c r="AC142" s="334"/>
      <c r="AD142" s="334"/>
      <c r="AE142" s="334"/>
      <c r="AF142" s="334"/>
      <c r="AG142" s="334"/>
      <c r="AH142" s="334"/>
      <c r="AI142" s="334"/>
      <c r="AJ142" s="334"/>
      <c r="AM142"/>
      <c r="AN142"/>
      <c r="AO142"/>
      <c r="AP142"/>
      <c r="AQ142"/>
      <c r="AR142"/>
      <c r="AS142"/>
      <c r="AT142"/>
    </row>
    <row r="143" spans="29:46" x14ac:dyDescent="0.25">
      <c r="AC143" s="334"/>
      <c r="AD143" s="334"/>
      <c r="AE143" s="334"/>
      <c r="AF143" s="334"/>
      <c r="AG143" s="334"/>
      <c r="AH143" s="334"/>
      <c r="AI143" s="334"/>
      <c r="AJ143" s="334"/>
      <c r="AM143"/>
      <c r="AN143"/>
      <c r="AO143"/>
      <c r="AP143"/>
      <c r="AQ143"/>
      <c r="AR143"/>
      <c r="AS143"/>
      <c r="AT143"/>
    </row>
    <row r="144" spans="29:46" x14ac:dyDescent="0.25">
      <c r="AC144" s="334"/>
      <c r="AD144" s="334"/>
      <c r="AE144" s="334"/>
      <c r="AF144" s="334"/>
      <c r="AG144" s="334"/>
      <c r="AH144" s="334"/>
      <c r="AI144" s="334"/>
      <c r="AJ144" s="334"/>
      <c r="AM144"/>
      <c r="AN144"/>
      <c r="AO144"/>
      <c r="AP144"/>
      <c r="AQ144"/>
      <c r="AR144"/>
      <c r="AS144"/>
      <c r="AT144"/>
    </row>
    <row r="145" spans="29:46" x14ac:dyDescent="0.25">
      <c r="AC145" s="334"/>
      <c r="AD145" s="334"/>
      <c r="AE145" s="334"/>
      <c r="AF145" s="334"/>
      <c r="AG145" s="334"/>
      <c r="AH145" s="334"/>
      <c r="AI145" s="334"/>
      <c r="AJ145" s="334"/>
      <c r="AM145"/>
      <c r="AN145"/>
      <c r="AO145"/>
      <c r="AP145"/>
      <c r="AQ145"/>
      <c r="AR145"/>
      <c r="AS145"/>
      <c r="AT145"/>
    </row>
    <row r="146" spans="29:46" x14ac:dyDescent="0.25">
      <c r="AC146" s="334"/>
      <c r="AD146" s="334"/>
      <c r="AE146" s="334"/>
      <c r="AF146" s="334"/>
      <c r="AG146" s="334"/>
      <c r="AH146" s="334"/>
      <c r="AI146" s="334"/>
      <c r="AJ146" s="334"/>
      <c r="AM146"/>
      <c r="AN146"/>
      <c r="AO146"/>
      <c r="AP146"/>
      <c r="AQ146"/>
      <c r="AR146"/>
      <c r="AS146"/>
      <c r="AT146"/>
    </row>
    <row r="147" spans="29:46" x14ac:dyDescent="0.25">
      <c r="AC147" s="334"/>
      <c r="AD147" s="334"/>
      <c r="AE147" s="334"/>
      <c r="AF147" s="334"/>
      <c r="AG147" s="334"/>
      <c r="AH147" s="334"/>
      <c r="AI147" s="334"/>
      <c r="AJ147" s="334"/>
      <c r="AM147"/>
      <c r="AN147"/>
      <c r="AO147"/>
      <c r="AP147"/>
      <c r="AQ147"/>
      <c r="AR147"/>
      <c r="AS147"/>
      <c r="AT147"/>
    </row>
    <row r="148" spans="29:46" x14ac:dyDescent="0.25">
      <c r="AC148" s="334"/>
      <c r="AD148" s="334"/>
      <c r="AE148" s="334"/>
      <c r="AF148" s="334"/>
      <c r="AG148" s="334"/>
      <c r="AH148" s="334"/>
      <c r="AI148" s="334"/>
      <c r="AJ148" s="334"/>
      <c r="AM148"/>
      <c r="AN148"/>
      <c r="AO148"/>
      <c r="AP148"/>
      <c r="AQ148"/>
      <c r="AR148"/>
      <c r="AS148"/>
      <c r="AT148"/>
    </row>
    <row r="149" spans="29:46" x14ac:dyDescent="0.25">
      <c r="AC149" s="334"/>
      <c r="AD149" s="334"/>
      <c r="AE149" s="334"/>
      <c r="AF149" s="334"/>
      <c r="AG149" s="334"/>
      <c r="AH149" s="334"/>
      <c r="AI149" s="334"/>
      <c r="AJ149" s="334"/>
      <c r="AM149"/>
      <c r="AN149"/>
      <c r="AO149"/>
      <c r="AP149"/>
      <c r="AQ149"/>
      <c r="AR149"/>
      <c r="AS149"/>
      <c r="AT149"/>
    </row>
    <row r="150" spans="29:46" x14ac:dyDescent="0.25">
      <c r="AC150" s="334"/>
      <c r="AD150" s="334"/>
      <c r="AE150" s="334"/>
      <c r="AF150" s="334"/>
      <c r="AG150" s="334"/>
      <c r="AH150" s="334"/>
      <c r="AI150" s="334"/>
      <c r="AJ150" s="334"/>
      <c r="AM150"/>
      <c r="AN150"/>
      <c r="AO150"/>
      <c r="AP150"/>
      <c r="AQ150"/>
      <c r="AR150"/>
      <c r="AS150"/>
      <c r="AT150"/>
    </row>
    <row r="151" spans="29:46" x14ac:dyDescent="0.25">
      <c r="AC151" s="334"/>
      <c r="AD151" s="334"/>
      <c r="AE151" s="334"/>
      <c r="AF151" s="334"/>
      <c r="AG151" s="334"/>
      <c r="AH151" s="334"/>
      <c r="AI151" s="334"/>
      <c r="AJ151" s="334"/>
      <c r="AM151"/>
      <c r="AN151"/>
      <c r="AO151"/>
      <c r="AP151"/>
      <c r="AQ151"/>
      <c r="AR151"/>
      <c r="AS151"/>
      <c r="AT151"/>
    </row>
    <row r="152" spans="29:46" x14ac:dyDescent="0.25">
      <c r="AC152" s="334"/>
      <c r="AD152" s="334"/>
      <c r="AE152" s="334"/>
      <c r="AF152" s="334"/>
      <c r="AG152" s="334"/>
      <c r="AH152" s="334"/>
      <c r="AI152" s="334"/>
      <c r="AJ152" s="334"/>
      <c r="AM152"/>
      <c r="AN152"/>
      <c r="AO152"/>
      <c r="AP152"/>
      <c r="AQ152"/>
      <c r="AR152"/>
      <c r="AS152"/>
      <c r="AT152"/>
    </row>
    <row r="153" spans="29:46" x14ac:dyDescent="0.25">
      <c r="AC153" s="334"/>
      <c r="AD153" s="334"/>
      <c r="AE153" s="334"/>
      <c r="AF153" s="334"/>
      <c r="AG153" s="334"/>
      <c r="AH153" s="334"/>
      <c r="AI153" s="334"/>
      <c r="AJ153" s="334"/>
      <c r="AM153"/>
      <c r="AN153"/>
      <c r="AO153"/>
      <c r="AP153"/>
      <c r="AQ153"/>
      <c r="AR153"/>
      <c r="AS153"/>
      <c r="AT153"/>
    </row>
    <row r="154" spans="29:46" x14ac:dyDescent="0.25">
      <c r="AC154" s="334"/>
      <c r="AD154" s="334"/>
      <c r="AE154" s="334"/>
      <c r="AF154" s="334"/>
      <c r="AG154" s="334"/>
      <c r="AH154" s="334"/>
      <c r="AI154" s="334"/>
      <c r="AJ154" s="334"/>
      <c r="AM154"/>
      <c r="AN154"/>
      <c r="AO154"/>
      <c r="AP154"/>
      <c r="AQ154"/>
      <c r="AR154"/>
      <c r="AS154"/>
      <c r="AT154"/>
    </row>
    <row r="155" spans="29:46" x14ac:dyDescent="0.25">
      <c r="AC155" s="334"/>
      <c r="AD155" s="334"/>
      <c r="AE155" s="334"/>
      <c r="AF155" s="334"/>
      <c r="AG155" s="334"/>
      <c r="AH155" s="334"/>
      <c r="AI155" s="334"/>
      <c r="AJ155" s="334"/>
      <c r="AM155"/>
      <c r="AN155"/>
      <c r="AO155"/>
      <c r="AP155"/>
      <c r="AQ155"/>
      <c r="AR155"/>
      <c r="AS155"/>
      <c r="AT155"/>
    </row>
    <row r="156" spans="29:46" x14ac:dyDescent="0.25">
      <c r="AC156" s="334"/>
      <c r="AD156" s="334"/>
      <c r="AE156" s="334"/>
      <c r="AF156" s="334"/>
      <c r="AG156" s="334"/>
      <c r="AH156" s="334"/>
      <c r="AI156" s="334"/>
      <c r="AJ156" s="334"/>
      <c r="AM156"/>
      <c r="AN156"/>
      <c r="AO156"/>
      <c r="AP156"/>
      <c r="AQ156"/>
      <c r="AR156"/>
      <c r="AS156"/>
      <c r="AT156"/>
    </row>
    <row r="157" spans="29:46" x14ac:dyDescent="0.25">
      <c r="AC157" s="334"/>
      <c r="AD157" s="334"/>
      <c r="AE157" s="334"/>
      <c r="AF157" s="334"/>
      <c r="AG157" s="334"/>
      <c r="AH157" s="334"/>
      <c r="AI157" s="334"/>
      <c r="AJ157" s="334"/>
      <c r="AM157"/>
      <c r="AN157"/>
      <c r="AO157"/>
      <c r="AP157"/>
      <c r="AQ157"/>
      <c r="AR157"/>
      <c r="AS157"/>
      <c r="AT157"/>
    </row>
    <row r="158" spans="29:46" x14ac:dyDescent="0.25">
      <c r="AC158" s="334"/>
      <c r="AD158" s="334"/>
      <c r="AE158" s="334"/>
      <c r="AF158" s="334"/>
      <c r="AG158" s="334"/>
      <c r="AH158" s="334"/>
      <c r="AI158" s="334"/>
      <c r="AJ158" s="334"/>
      <c r="AM158"/>
      <c r="AN158"/>
      <c r="AO158"/>
      <c r="AP158"/>
      <c r="AQ158"/>
      <c r="AR158"/>
      <c r="AS158"/>
      <c r="AT158"/>
    </row>
    <row r="159" spans="29:46" x14ac:dyDescent="0.25">
      <c r="AC159" s="334"/>
      <c r="AD159" s="334"/>
      <c r="AE159" s="334"/>
      <c r="AF159" s="334"/>
      <c r="AG159" s="334"/>
      <c r="AH159" s="334"/>
      <c r="AI159" s="334"/>
      <c r="AJ159" s="334"/>
      <c r="AM159"/>
      <c r="AN159"/>
      <c r="AO159"/>
      <c r="AP159"/>
      <c r="AQ159"/>
      <c r="AR159"/>
      <c r="AS159"/>
      <c r="AT159"/>
    </row>
    <row r="160" spans="29:46" x14ac:dyDescent="0.25">
      <c r="AC160" s="334"/>
      <c r="AD160" s="334"/>
      <c r="AE160" s="334"/>
      <c r="AF160" s="334"/>
      <c r="AG160" s="334"/>
      <c r="AH160" s="334"/>
      <c r="AI160" s="334"/>
      <c r="AJ160" s="334"/>
      <c r="AM160"/>
      <c r="AN160"/>
      <c r="AO160"/>
      <c r="AP160"/>
      <c r="AQ160"/>
      <c r="AR160"/>
      <c r="AS160"/>
      <c r="AT160"/>
    </row>
    <row r="161" spans="29:46" x14ac:dyDescent="0.25">
      <c r="AC161" s="334"/>
      <c r="AD161" s="334"/>
      <c r="AE161" s="334"/>
      <c r="AF161" s="334"/>
      <c r="AG161" s="334"/>
      <c r="AH161" s="334"/>
      <c r="AI161" s="334"/>
      <c r="AJ161" s="334"/>
      <c r="AM161"/>
      <c r="AN161"/>
      <c r="AO161"/>
      <c r="AP161"/>
      <c r="AQ161"/>
      <c r="AR161"/>
      <c r="AS161"/>
      <c r="AT161"/>
    </row>
    <row r="162" spans="29:46" x14ac:dyDescent="0.25">
      <c r="AC162" s="334"/>
      <c r="AD162" s="334"/>
      <c r="AE162" s="334"/>
      <c r="AF162" s="334"/>
      <c r="AG162" s="334"/>
      <c r="AH162" s="334"/>
      <c r="AI162" s="334"/>
      <c r="AJ162" s="334"/>
      <c r="AM162"/>
      <c r="AN162"/>
      <c r="AO162"/>
      <c r="AP162"/>
      <c r="AQ162"/>
      <c r="AR162"/>
      <c r="AS162"/>
      <c r="AT162"/>
    </row>
    <row r="163" spans="29:46" x14ac:dyDescent="0.25">
      <c r="AC163" s="334"/>
      <c r="AD163" s="334"/>
      <c r="AE163" s="334"/>
      <c r="AF163" s="334"/>
      <c r="AG163" s="334"/>
      <c r="AH163" s="334"/>
      <c r="AI163" s="334"/>
      <c r="AJ163" s="334"/>
      <c r="AM163"/>
      <c r="AN163"/>
      <c r="AO163"/>
      <c r="AP163"/>
      <c r="AQ163"/>
      <c r="AR163"/>
      <c r="AS163"/>
      <c r="AT163"/>
    </row>
    <row r="164" spans="29:46" x14ac:dyDescent="0.25">
      <c r="AC164" s="334"/>
      <c r="AD164" s="334"/>
      <c r="AE164" s="334"/>
      <c r="AF164" s="334"/>
      <c r="AG164" s="334"/>
      <c r="AH164" s="334"/>
      <c r="AI164" s="334"/>
      <c r="AJ164" s="334"/>
      <c r="AM164"/>
      <c r="AN164"/>
      <c r="AO164"/>
      <c r="AP164"/>
      <c r="AQ164"/>
      <c r="AR164"/>
      <c r="AS164"/>
      <c r="AT164"/>
    </row>
    <row r="165" spans="29:46" x14ac:dyDescent="0.25">
      <c r="AC165" s="334"/>
      <c r="AD165" s="334"/>
      <c r="AE165" s="334"/>
      <c r="AF165" s="334"/>
      <c r="AG165" s="334"/>
      <c r="AH165" s="334"/>
      <c r="AI165" s="334"/>
      <c r="AJ165" s="334"/>
      <c r="AM165"/>
      <c r="AN165"/>
      <c r="AO165"/>
      <c r="AP165"/>
      <c r="AQ165"/>
      <c r="AR165"/>
      <c r="AS165"/>
      <c r="AT165"/>
    </row>
    <row r="166" spans="29:46" x14ac:dyDescent="0.25">
      <c r="AC166" s="334"/>
      <c r="AD166" s="334"/>
      <c r="AE166" s="334"/>
      <c r="AF166" s="334"/>
      <c r="AG166" s="334"/>
      <c r="AH166" s="334"/>
      <c r="AI166" s="334"/>
      <c r="AJ166" s="334"/>
      <c r="AM166"/>
      <c r="AN166"/>
      <c r="AO166"/>
      <c r="AP166"/>
      <c r="AQ166"/>
      <c r="AR166"/>
      <c r="AS166"/>
      <c r="AT166"/>
    </row>
    <row r="167" spans="29:46" x14ac:dyDescent="0.25">
      <c r="AC167" s="334"/>
      <c r="AD167" s="334"/>
      <c r="AE167" s="334"/>
      <c r="AF167" s="334"/>
      <c r="AG167" s="334"/>
      <c r="AH167" s="334"/>
      <c r="AI167" s="334"/>
      <c r="AJ167" s="334"/>
      <c r="AM167"/>
      <c r="AN167"/>
      <c r="AO167"/>
      <c r="AP167"/>
      <c r="AQ167"/>
      <c r="AR167"/>
      <c r="AS167"/>
      <c r="AT167"/>
    </row>
    <row r="168" spans="29:46" x14ac:dyDescent="0.25">
      <c r="AC168" s="334"/>
      <c r="AD168" s="334"/>
      <c r="AE168" s="334"/>
      <c r="AF168" s="334"/>
      <c r="AG168" s="334"/>
      <c r="AH168" s="334"/>
      <c r="AI168" s="334"/>
      <c r="AJ168" s="334"/>
      <c r="AM168"/>
      <c r="AN168"/>
      <c r="AO168"/>
      <c r="AP168"/>
      <c r="AQ168"/>
      <c r="AR168"/>
      <c r="AS168"/>
      <c r="AT168"/>
    </row>
    <row r="169" spans="29:46" x14ac:dyDescent="0.25">
      <c r="AC169" s="334"/>
      <c r="AD169" s="334"/>
      <c r="AE169" s="334"/>
      <c r="AF169" s="334"/>
      <c r="AG169" s="334"/>
      <c r="AH169" s="334"/>
      <c r="AI169" s="334"/>
      <c r="AJ169" s="334"/>
      <c r="AM169"/>
      <c r="AN169"/>
      <c r="AO169"/>
      <c r="AP169"/>
      <c r="AQ169"/>
      <c r="AR169"/>
      <c r="AS169"/>
      <c r="AT169"/>
    </row>
    <row r="170" spans="29:46" x14ac:dyDescent="0.25">
      <c r="AC170" s="334"/>
      <c r="AD170" s="334"/>
      <c r="AE170" s="334"/>
      <c r="AF170" s="334"/>
      <c r="AG170" s="334"/>
      <c r="AH170" s="334"/>
      <c r="AI170" s="334"/>
      <c r="AJ170" s="334"/>
      <c r="AM170"/>
      <c r="AN170"/>
      <c r="AO170"/>
      <c r="AP170"/>
      <c r="AQ170"/>
      <c r="AR170"/>
      <c r="AS170"/>
      <c r="AT170"/>
    </row>
    <row r="171" spans="29:46" x14ac:dyDescent="0.25">
      <c r="AC171" s="334"/>
      <c r="AD171" s="334"/>
      <c r="AE171" s="334"/>
      <c r="AF171" s="334"/>
      <c r="AG171" s="334"/>
      <c r="AH171" s="334"/>
      <c r="AI171" s="334"/>
      <c r="AJ171" s="334"/>
      <c r="AM171"/>
      <c r="AN171"/>
      <c r="AO171"/>
      <c r="AP171"/>
      <c r="AQ171"/>
      <c r="AR171"/>
      <c r="AS171"/>
      <c r="AT171"/>
    </row>
    <row r="172" spans="29:46" x14ac:dyDescent="0.25">
      <c r="AC172" s="334"/>
      <c r="AD172" s="334"/>
      <c r="AE172" s="334"/>
      <c r="AF172" s="334"/>
      <c r="AG172" s="334"/>
      <c r="AH172" s="334"/>
      <c r="AI172" s="334"/>
      <c r="AJ172" s="334"/>
      <c r="AM172"/>
      <c r="AN172"/>
      <c r="AO172"/>
      <c r="AP172"/>
      <c r="AQ172"/>
      <c r="AR172"/>
      <c r="AS172"/>
      <c r="AT172"/>
    </row>
    <row r="173" spans="29:46" x14ac:dyDescent="0.25">
      <c r="AC173" s="334"/>
      <c r="AD173" s="334"/>
      <c r="AE173" s="334"/>
      <c r="AF173" s="334"/>
      <c r="AG173" s="334"/>
      <c r="AH173" s="334"/>
      <c r="AI173" s="334"/>
      <c r="AJ173" s="334"/>
      <c r="AM173"/>
      <c r="AN173"/>
      <c r="AO173"/>
      <c r="AP173"/>
      <c r="AQ173"/>
      <c r="AR173"/>
      <c r="AS173"/>
      <c r="AT173"/>
    </row>
    <row r="174" spans="29:46" x14ac:dyDescent="0.25">
      <c r="AC174" s="334"/>
      <c r="AD174" s="334"/>
      <c r="AE174" s="334"/>
      <c r="AF174" s="334"/>
      <c r="AG174" s="334"/>
      <c r="AH174" s="334"/>
      <c r="AI174" s="334"/>
      <c r="AJ174" s="334"/>
      <c r="AM174"/>
      <c r="AN174"/>
      <c r="AO174"/>
      <c r="AP174"/>
      <c r="AQ174"/>
      <c r="AR174"/>
      <c r="AS174"/>
      <c r="AT174"/>
    </row>
    <row r="175" spans="29:46" x14ac:dyDescent="0.25">
      <c r="AC175" s="334"/>
      <c r="AD175" s="334"/>
      <c r="AE175" s="334"/>
      <c r="AF175" s="334"/>
      <c r="AG175" s="334"/>
      <c r="AH175" s="334"/>
      <c r="AI175" s="334"/>
      <c r="AJ175" s="334"/>
      <c r="AM175"/>
      <c r="AN175"/>
      <c r="AO175"/>
      <c r="AP175"/>
      <c r="AQ175"/>
      <c r="AR175"/>
      <c r="AS175"/>
      <c r="AT175"/>
    </row>
    <row r="176" spans="29:46" x14ac:dyDescent="0.25">
      <c r="AC176" s="334"/>
      <c r="AD176" s="334"/>
      <c r="AE176" s="334"/>
      <c r="AF176" s="334"/>
      <c r="AG176" s="334"/>
      <c r="AH176" s="334"/>
      <c r="AI176" s="334"/>
      <c r="AJ176" s="334"/>
      <c r="AM176"/>
      <c r="AN176"/>
      <c r="AO176"/>
      <c r="AP176"/>
      <c r="AQ176"/>
      <c r="AR176"/>
      <c r="AS176"/>
      <c r="AT176"/>
    </row>
    <row r="177" spans="29:46" x14ac:dyDescent="0.25">
      <c r="AC177" s="334"/>
      <c r="AD177" s="334"/>
      <c r="AE177" s="334"/>
      <c r="AF177" s="334"/>
      <c r="AG177" s="334"/>
      <c r="AH177" s="334"/>
      <c r="AI177" s="334"/>
      <c r="AJ177" s="334"/>
      <c r="AM177"/>
      <c r="AN177"/>
      <c r="AO177"/>
      <c r="AP177"/>
      <c r="AQ177"/>
      <c r="AR177"/>
      <c r="AS177"/>
      <c r="AT177"/>
    </row>
    <row r="178" spans="29:46" x14ac:dyDescent="0.25">
      <c r="AC178" s="334"/>
      <c r="AD178" s="334"/>
      <c r="AE178" s="334"/>
      <c r="AF178" s="334"/>
      <c r="AG178" s="334"/>
      <c r="AH178" s="334"/>
      <c r="AI178" s="334"/>
      <c r="AJ178" s="334"/>
      <c r="AM178"/>
      <c r="AN178"/>
      <c r="AO178"/>
      <c r="AP178"/>
      <c r="AQ178"/>
      <c r="AR178"/>
      <c r="AS178"/>
      <c r="AT178"/>
    </row>
    <row r="179" spans="29:46" x14ac:dyDescent="0.25">
      <c r="AC179" s="334"/>
      <c r="AD179" s="334"/>
      <c r="AE179" s="334"/>
      <c r="AF179" s="334"/>
      <c r="AG179" s="334"/>
      <c r="AH179" s="334"/>
      <c r="AI179" s="334"/>
      <c r="AJ179" s="334"/>
      <c r="AM179"/>
      <c r="AN179"/>
      <c r="AO179"/>
      <c r="AP179"/>
      <c r="AQ179"/>
      <c r="AR179"/>
      <c r="AS179"/>
      <c r="AT179"/>
    </row>
    <row r="180" spans="29:46" x14ac:dyDescent="0.25">
      <c r="AC180" s="334"/>
      <c r="AD180" s="334"/>
      <c r="AE180" s="334"/>
      <c r="AF180" s="334"/>
      <c r="AG180" s="334"/>
      <c r="AH180" s="334"/>
      <c r="AI180" s="334"/>
      <c r="AJ180" s="334"/>
      <c r="AM180"/>
      <c r="AN180"/>
      <c r="AO180"/>
      <c r="AP180"/>
      <c r="AQ180"/>
      <c r="AR180"/>
      <c r="AS180"/>
      <c r="AT180"/>
    </row>
    <row r="181" spans="29:46" x14ac:dyDescent="0.25">
      <c r="AC181" s="334"/>
      <c r="AD181" s="334"/>
      <c r="AE181" s="334"/>
      <c r="AF181" s="334"/>
      <c r="AG181" s="334"/>
      <c r="AH181" s="334"/>
      <c r="AI181" s="334"/>
      <c r="AJ181" s="334"/>
      <c r="AM181"/>
      <c r="AN181"/>
      <c r="AO181"/>
      <c r="AP181"/>
      <c r="AQ181"/>
      <c r="AR181"/>
      <c r="AS181"/>
      <c r="AT181"/>
    </row>
    <row r="182" spans="29:46" x14ac:dyDescent="0.25">
      <c r="AC182" s="334"/>
      <c r="AD182" s="334"/>
      <c r="AE182" s="334"/>
      <c r="AF182" s="334"/>
      <c r="AG182" s="334"/>
      <c r="AH182" s="334"/>
      <c r="AI182" s="334"/>
      <c r="AJ182" s="334"/>
      <c r="AM182"/>
      <c r="AN182"/>
      <c r="AO182"/>
      <c r="AP182"/>
      <c r="AQ182"/>
      <c r="AR182"/>
      <c r="AS182"/>
      <c r="AT182"/>
    </row>
    <row r="183" spans="29:46" x14ac:dyDescent="0.25">
      <c r="AC183" s="334"/>
      <c r="AD183" s="334"/>
      <c r="AE183" s="334"/>
      <c r="AF183" s="334"/>
      <c r="AG183" s="334"/>
      <c r="AH183" s="334"/>
      <c r="AI183" s="334"/>
      <c r="AJ183" s="334"/>
      <c r="AM183"/>
      <c r="AN183"/>
      <c r="AO183"/>
      <c r="AP183"/>
      <c r="AQ183"/>
      <c r="AR183"/>
      <c r="AS183"/>
      <c r="AT183"/>
    </row>
    <row r="184" spans="29:46" x14ac:dyDescent="0.25">
      <c r="AC184" s="334"/>
      <c r="AD184" s="334"/>
      <c r="AE184" s="334"/>
      <c r="AF184" s="334"/>
      <c r="AG184" s="334"/>
      <c r="AH184" s="334"/>
      <c r="AI184" s="334"/>
      <c r="AJ184" s="334"/>
      <c r="AM184"/>
      <c r="AN184"/>
      <c r="AO184"/>
      <c r="AP184"/>
      <c r="AQ184"/>
      <c r="AR184"/>
      <c r="AS184"/>
      <c r="AT184"/>
    </row>
    <row r="185" spans="29:46" x14ac:dyDescent="0.25">
      <c r="AC185"/>
      <c r="AD185"/>
      <c r="AE185"/>
      <c r="AF185"/>
      <c r="AG185"/>
      <c r="AH185"/>
      <c r="AI185"/>
      <c r="AJ185"/>
    </row>
    <row r="186" spans="29:46" x14ac:dyDescent="0.25">
      <c r="AC186"/>
      <c r="AD186"/>
      <c r="AE186"/>
      <c r="AF186"/>
      <c r="AG186"/>
      <c r="AH186"/>
      <c r="AI186"/>
      <c r="AJ186"/>
    </row>
    <row r="187" spans="29:46" x14ac:dyDescent="0.25">
      <c r="AC187"/>
      <c r="AD187"/>
      <c r="AE187"/>
      <c r="AF187"/>
      <c r="AG187"/>
      <c r="AH187"/>
      <c r="AI187"/>
      <c r="AJ187"/>
    </row>
    <row r="188" spans="29:46" x14ac:dyDescent="0.25">
      <c r="AC188"/>
      <c r="AD188"/>
      <c r="AE188"/>
      <c r="AF188"/>
      <c r="AG188"/>
      <c r="AH188"/>
      <c r="AI188"/>
      <c r="AJ188"/>
    </row>
    <row r="189" spans="29:46" x14ac:dyDescent="0.25">
      <c r="AC189"/>
      <c r="AD189"/>
      <c r="AE189"/>
      <c r="AF189"/>
      <c r="AG189"/>
      <c r="AH189"/>
      <c r="AI189"/>
      <c r="AJ189"/>
    </row>
    <row r="190" spans="29:46" x14ac:dyDescent="0.25">
      <c r="AC190"/>
      <c r="AD190"/>
      <c r="AE190"/>
      <c r="AF190"/>
      <c r="AG190"/>
      <c r="AH190"/>
      <c r="AI190"/>
      <c r="AJ190"/>
    </row>
    <row r="191" spans="29:46" x14ac:dyDescent="0.25">
      <c r="AC191"/>
      <c r="AD191"/>
      <c r="AE191"/>
      <c r="AF191"/>
      <c r="AG191"/>
      <c r="AH191"/>
      <c r="AI191"/>
      <c r="AJ191"/>
    </row>
    <row r="192" spans="29:46" x14ac:dyDescent="0.25">
      <c r="AC192"/>
      <c r="AD192"/>
      <c r="AE192"/>
      <c r="AF192"/>
      <c r="AG192"/>
      <c r="AH192"/>
      <c r="AI192"/>
      <c r="AJ192"/>
    </row>
    <row r="193" spans="29:36" x14ac:dyDescent="0.25">
      <c r="AC193"/>
      <c r="AD193"/>
      <c r="AE193"/>
      <c r="AF193"/>
      <c r="AG193"/>
      <c r="AH193"/>
      <c r="AI193"/>
      <c r="AJ193"/>
    </row>
    <row r="194" spans="29:36" x14ac:dyDescent="0.25">
      <c r="AC194"/>
      <c r="AD194"/>
      <c r="AE194"/>
      <c r="AF194"/>
      <c r="AG194"/>
      <c r="AH194"/>
      <c r="AI194"/>
      <c r="AJ194"/>
    </row>
    <row r="195" spans="29:36" x14ac:dyDescent="0.25">
      <c r="AC195"/>
      <c r="AD195"/>
      <c r="AE195"/>
      <c r="AF195"/>
      <c r="AG195"/>
      <c r="AH195"/>
      <c r="AI195"/>
      <c r="AJ195"/>
    </row>
  </sheetData>
  <autoFilter ref="A3:Y67" xr:uid="{00000000-0009-0000-0000-00000E000000}">
    <filterColumn colId="24">
      <colorFilter dxfId="3"/>
    </filterColumn>
  </autoFilter>
  <mergeCells count="3">
    <mergeCell ref="AP8:AQ8"/>
    <mergeCell ref="AC1:AF1"/>
    <mergeCell ref="AG1:AJ1"/>
  </mergeCells>
  <conditionalFormatting sqref="F1:F3">
    <cfRule type="duplicateValues" dxfId="21" priority="1"/>
  </conditionalFormatting>
  <conditionalFormatting sqref="E1:E3">
    <cfRule type="duplicateValues" dxfId="20" priority="2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Z195"/>
  <sheetViews>
    <sheetView topLeftCell="B1" workbookViewId="0">
      <pane ySplit="3" topLeftCell="A35" activePane="bottomLeft" state="frozen"/>
      <selection pane="bottomLeft" activeCell="X35" activeCellId="3" sqref="X5:X24 X27:X29 X32 X35:X64"/>
    </sheetView>
  </sheetViews>
  <sheetFormatPr defaultRowHeight="15" x14ac:dyDescent="0.25"/>
  <cols>
    <col min="2" max="2" width="16.7109375" customWidth="1"/>
    <col min="3" max="3" width="26.42578125" hidden="1" customWidth="1"/>
    <col min="4" max="4" width="46.7109375" hidden="1" customWidth="1"/>
    <col min="5" max="5" width="25.85546875" hidden="1" customWidth="1"/>
    <col min="6" max="6" width="27.42578125" style="17" customWidth="1"/>
    <col min="7" max="7" width="18.7109375" style="17" hidden="1" customWidth="1"/>
    <col min="8" max="9" width="21.28515625" style="17" hidden="1" customWidth="1"/>
    <col min="10" max="10" width="12.85546875" style="17" customWidth="1"/>
    <col min="11" max="11" width="11.28515625" style="17" customWidth="1"/>
    <col min="12" max="13" width="12.140625" style="17" hidden="1" customWidth="1"/>
    <col min="14" max="14" width="5.7109375" style="17" customWidth="1"/>
    <col min="15" max="15" width="5.140625" style="17" customWidth="1"/>
    <col min="16" max="16" width="5.42578125" style="17" customWidth="1"/>
    <col min="17" max="17" width="5.7109375" style="17" customWidth="1"/>
    <col min="18" max="18" width="12.140625" style="17" customWidth="1"/>
    <col min="19" max="20" width="21.28515625" style="17" hidden="1" customWidth="1"/>
    <col min="21" max="21" width="12.28515625" style="17" hidden="1" customWidth="1"/>
    <col min="22" max="22" width="21.28515625" style="17" hidden="1" customWidth="1"/>
    <col min="23" max="23" width="15" style="17" customWidth="1"/>
    <col min="24" max="24" width="10" style="17" customWidth="1"/>
    <col min="25" max="25" width="10.28515625" style="17" hidden="1" customWidth="1"/>
    <col min="26" max="26" width="35.42578125" style="23" hidden="1" customWidth="1"/>
    <col min="27" max="27" width="11.7109375" hidden="1" customWidth="1"/>
    <col min="28" max="28" width="16.28515625" style="71" hidden="1" customWidth="1"/>
    <col min="29" max="29" width="6.42578125" style="32" hidden="1" customWidth="1"/>
    <col min="30" max="30" width="6.7109375" style="32" hidden="1" customWidth="1"/>
    <col min="31" max="31" width="6.42578125" style="32" hidden="1" customWidth="1"/>
    <col min="32" max="32" width="6.7109375" style="32" hidden="1" customWidth="1"/>
    <col min="33" max="33" width="6.42578125" style="32" hidden="1" customWidth="1"/>
    <col min="34" max="34" width="6.7109375" style="32" hidden="1" customWidth="1"/>
    <col min="35" max="35" width="6.42578125" style="32" hidden="1" customWidth="1"/>
    <col min="36" max="36" width="6.28515625" style="32" hidden="1" customWidth="1"/>
    <col min="37" max="37" width="6.42578125" style="32" hidden="1" customWidth="1"/>
    <col min="38" max="38" width="6.7109375" style="32" hidden="1" customWidth="1"/>
    <col min="39" max="39" width="6.42578125" style="32" hidden="1" customWidth="1"/>
    <col min="40" max="40" width="6.28515625" style="32" hidden="1" customWidth="1"/>
    <col min="41" max="41" width="6.42578125" style="32" hidden="1" customWidth="1"/>
    <col min="42" max="42" width="6.7109375" style="32" hidden="1" customWidth="1"/>
    <col min="43" max="43" width="6.42578125" style="32" hidden="1" customWidth="1"/>
    <col min="44" max="44" width="6.28515625" style="32" hidden="1" customWidth="1"/>
    <col min="45" max="45" width="6.42578125" style="32" customWidth="1"/>
    <col min="46" max="46" width="6.7109375" style="32" customWidth="1"/>
    <col min="47" max="47" width="6.42578125" style="32" customWidth="1"/>
    <col min="48" max="48" width="6.28515625" style="32" customWidth="1"/>
    <col min="49" max="49" width="6.42578125" style="32" customWidth="1"/>
    <col min="50" max="50" width="6.7109375" style="32" customWidth="1"/>
    <col min="51" max="51" width="6.42578125" style="32" customWidth="1"/>
    <col min="52" max="52" width="6.28515625" style="32" customWidth="1"/>
  </cols>
  <sheetData>
    <row r="1" spans="1:52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259</v>
      </c>
      <c r="O1" s="1" t="s">
        <v>259</v>
      </c>
      <c r="P1" s="1" t="s">
        <v>259</v>
      </c>
      <c r="Q1" s="1" t="s">
        <v>259</v>
      </c>
      <c r="R1" s="107" t="s">
        <v>13</v>
      </c>
      <c r="S1" s="1" t="s">
        <v>14</v>
      </c>
      <c r="T1" s="1" t="s">
        <v>15</v>
      </c>
      <c r="U1" s="2" t="s">
        <v>16</v>
      </c>
      <c r="V1" s="2" t="s">
        <v>17</v>
      </c>
      <c r="W1" s="3" t="s">
        <v>18</v>
      </c>
      <c r="X1" s="1" t="s">
        <v>19</v>
      </c>
      <c r="Y1" s="1" t="s">
        <v>20</v>
      </c>
      <c r="Z1" s="4" t="s">
        <v>21</v>
      </c>
      <c r="AA1" s="5" t="s">
        <v>22</v>
      </c>
      <c r="AB1" s="6" t="s">
        <v>23</v>
      </c>
      <c r="AC1" s="452" t="s">
        <v>157</v>
      </c>
      <c r="AD1" s="453"/>
      <c r="AE1" s="453"/>
      <c r="AF1" s="454"/>
      <c r="AG1" s="452" t="s">
        <v>160</v>
      </c>
      <c r="AH1" s="453"/>
      <c r="AI1" s="453"/>
      <c r="AJ1" s="454"/>
      <c r="AK1" s="452" t="s">
        <v>258</v>
      </c>
      <c r="AL1" s="453"/>
      <c r="AM1" s="453"/>
      <c r="AN1" s="454"/>
      <c r="AO1" s="452" t="s">
        <v>646</v>
      </c>
      <c r="AP1" s="453"/>
      <c r="AQ1" s="453"/>
      <c r="AR1" s="454"/>
      <c r="AS1" s="452" t="s">
        <v>979</v>
      </c>
      <c r="AT1" s="453"/>
      <c r="AU1" s="453"/>
      <c r="AV1" s="454"/>
      <c r="AW1" s="452" t="s">
        <v>1145</v>
      </c>
      <c r="AX1" s="453"/>
      <c r="AY1" s="453"/>
      <c r="AZ1" s="454"/>
    </row>
    <row r="2" spans="1:52" x14ac:dyDescent="0.25">
      <c r="A2" s="1"/>
      <c r="B2" s="1"/>
      <c r="C2" s="1"/>
      <c r="D2" s="1"/>
      <c r="E2" s="2"/>
      <c r="F2" s="1"/>
      <c r="G2" s="1"/>
      <c r="H2" s="1"/>
      <c r="I2" s="1"/>
      <c r="J2" s="1"/>
      <c r="K2" s="108">
        <f>SUM(K5:K64)</f>
        <v>309.72447200000011</v>
      </c>
      <c r="L2" s="1"/>
      <c r="M2" s="1"/>
      <c r="N2" s="133">
        <v>0.3</v>
      </c>
      <c r="O2" s="133">
        <v>0.35</v>
      </c>
      <c r="P2" s="133">
        <v>0.2</v>
      </c>
      <c r="Q2" s="133">
        <v>0.15</v>
      </c>
      <c r="R2" s="108">
        <f>SUM(R5:R64)</f>
        <v>14709.236256000009</v>
      </c>
      <c r="S2" s="1"/>
      <c r="T2" s="1"/>
      <c r="U2" s="2"/>
      <c r="V2" s="2"/>
      <c r="W2" s="3"/>
      <c r="X2" s="1"/>
      <c r="Y2" s="1"/>
      <c r="Z2" s="4"/>
      <c r="AA2" s="5"/>
      <c r="AB2" s="6"/>
      <c r="AC2" s="36">
        <v>0.3</v>
      </c>
      <c r="AD2" s="36">
        <v>0.35</v>
      </c>
      <c r="AE2" s="36">
        <v>0.2</v>
      </c>
      <c r="AF2" s="36">
        <v>0.15</v>
      </c>
      <c r="AG2" s="36">
        <v>0.3</v>
      </c>
      <c r="AH2" s="36">
        <v>0.35</v>
      </c>
      <c r="AI2" s="36">
        <v>0.2</v>
      </c>
      <c r="AJ2" s="36">
        <v>0.15</v>
      </c>
      <c r="AK2" s="36">
        <v>0.3</v>
      </c>
      <c r="AL2" s="36">
        <v>0.35</v>
      </c>
      <c r="AM2" s="36">
        <v>0.2</v>
      </c>
      <c r="AN2" s="36">
        <v>0.15</v>
      </c>
      <c r="AO2" s="36">
        <v>0.3</v>
      </c>
      <c r="AP2" s="36">
        <v>0.35</v>
      </c>
      <c r="AQ2" s="36">
        <v>0.2</v>
      </c>
      <c r="AR2" s="36">
        <v>0.15</v>
      </c>
      <c r="AS2" s="36">
        <v>0.3</v>
      </c>
      <c r="AT2" s="36">
        <v>0.35</v>
      </c>
      <c r="AU2" s="36">
        <v>0.2</v>
      </c>
      <c r="AV2" s="36">
        <v>0.15</v>
      </c>
      <c r="AW2" s="36">
        <v>0.3</v>
      </c>
      <c r="AX2" s="36">
        <v>0.35</v>
      </c>
      <c r="AY2" s="36">
        <v>0.2</v>
      </c>
      <c r="AZ2" s="36">
        <v>0.15</v>
      </c>
    </row>
    <row r="3" spans="1:52" ht="15.75" thickBot="1" x14ac:dyDescent="0.3">
      <c r="A3" s="1"/>
      <c r="B3" s="1"/>
      <c r="C3" s="1"/>
      <c r="D3" s="1"/>
      <c r="E3" s="2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07"/>
      <c r="S3" s="1"/>
      <c r="T3" s="1"/>
      <c r="U3" s="2"/>
      <c r="V3" s="2"/>
      <c r="W3" s="3"/>
      <c r="X3" s="1"/>
      <c r="Y3" s="1"/>
      <c r="Z3" s="4"/>
      <c r="AA3" s="5"/>
      <c r="AB3" s="6"/>
      <c r="AC3" s="91">
        <f t="shared" ref="AC3:AJ3" si="0">SUM(AC4:AC37)</f>
        <v>20.159999999999997</v>
      </c>
      <c r="AD3" s="91">
        <f t="shared" si="0"/>
        <v>0</v>
      </c>
      <c r="AE3" s="91">
        <f t="shared" si="0"/>
        <v>0</v>
      </c>
      <c r="AF3" s="91">
        <f t="shared" si="0"/>
        <v>0</v>
      </c>
      <c r="AG3" s="91">
        <f t="shared" si="0"/>
        <v>15.984141599999997</v>
      </c>
      <c r="AH3" s="91">
        <f t="shared" si="0"/>
        <v>12.215</v>
      </c>
      <c r="AI3" s="91">
        <f t="shared" si="0"/>
        <v>0</v>
      </c>
      <c r="AJ3" s="91">
        <f t="shared" si="0"/>
        <v>0</v>
      </c>
      <c r="AK3" s="91">
        <f>SUM(AK4:AK64)</f>
        <v>13.125599999999997</v>
      </c>
      <c r="AL3" s="91">
        <f t="shared" ref="AL3:AN3" si="1">SUM(AL4:AL64)</f>
        <v>63.298199999999994</v>
      </c>
      <c r="AM3" s="91">
        <f t="shared" si="1"/>
        <v>10.1744</v>
      </c>
      <c r="AN3" s="91">
        <f t="shared" si="1"/>
        <v>1.0800000000000001E-2</v>
      </c>
      <c r="AO3" s="91">
        <f>SUM(AO4:AO64)</f>
        <v>0</v>
      </c>
      <c r="AP3" s="91">
        <f t="shared" ref="AP3:AR3" si="2">SUM(AP4:AP64)</f>
        <v>2.3904999999999998</v>
      </c>
      <c r="AQ3" s="91">
        <f t="shared" si="2"/>
        <v>37.770000000000003</v>
      </c>
      <c r="AR3" s="91">
        <f t="shared" si="2"/>
        <v>13.0875</v>
      </c>
      <c r="AS3" s="91">
        <f>SUM(AS4:AS64)</f>
        <v>0</v>
      </c>
      <c r="AT3" s="91">
        <f t="shared" ref="AT3:AV3" si="3">SUM(AT4:AT64)</f>
        <v>0</v>
      </c>
      <c r="AU3" s="91">
        <f t="shared" si="3"/>
        <v>0</v>
      </c>
      <c r="AV3" s="91">
        <f t="shared" si="3"/>
        <v>0</v>
      </c>
      <c r="AW3" s="91">
        <f>SUM(AW4:AW64)</f>
        <v>0</v>
      </c>
      <c r="AX3" s="91">
        <f t="shared" ref="AX3:AZ3" si="4">SUM(AX4:AX64)</f>
        <v>0</v>
      </c>
      <c r="AY3" s="91">
        <f t="shared" si="4"/>
        <v>0</v>
      </c>
      <c r="AZ3" s="91">
        <f t="shared" si="4"/>
        <v>0</v>
      </c>
    </row>
    <row r="4" spans="1:52" x14ac:dyDescent="0.25">
      <c r="A4" s="9">
        <v>285</v>
      </c>
      <c r="B4" s="9" t="s">
        <v>228</v>
      </c>
      <c r="C4" s="9" t="s">
        <v>229</v>
      </c>
      <c r="D4" s="9" t="s">
        <v>230</v>
      </c>
      <c r="E4" s="8"/>
      <c r="F4" s="15"/>
      <c r="G4" s="9"/>
      <c r="H4" s="105"/>
      <c r="I4" s="9"/>
      <c r="J4" s="9"/>
      <c r="K4" s="9"/>
      <c r="L4" s="9"/>
      <c r="M4" s="9"/>
      <c r="N4" s="9"/>
      <c r="O4" s="9"/>
      <c r="P4" s="9"/>
      <c r="Q4" s="9"/>
      <c r="R4" s="9"/>
      <c r="S4" s="106"/>
      <c r="T4" s="106"/>
      <c r="U4" s="9"/>
      <c r="V4" s="9"/>
      <c r="W4" s="9"/>
      <c r="X4" s="9"/>
      <c r="Y4" s="19"/>
      <c r="Z4" s="15"/>
      <c r="AA4" s="9"/>
      <c r="AB4"/>
      <c r="AC4" s="122"/>
      <c r="AD4" s="123"/>
      <c r="AE4" s="123"/>
      <c r="AF4" s="93"/>
      <c r="AG4" s="122"/>
      <c r="AH4" s="123"/>
      <c r="AI4" s="123"/>
      <c r="AJ4" s="93"/>
      <c r="AK4" s="122"/>
      <c r="AL4" s="123"/>
      <c r="AM4" s="123"/>
      <c r="AN4" s="93"/>
      <c r="AO4" s="122"/>
      <c r="AP4" s="123"/>
      <c r="AQ4" s="123"/>
      <c r="AR4" s="93"/>
      <c r="AS4" s="122"/>
      <c r="AT4" s="123"/>
      <c r="AU4" s="123"/>
      <c r="AV4" s="93"/>
      <c r="AW4" s="122"/>
      <c r="AX4" s="123"/>
      <c r="AY4" s="123"/>
      <c r="AZ4" s="93"/>
    </row>
    <row r="5" spans="1:52" x14ac:dyDescent="0.25">
      <c r="A5" s="25">
        <v>286</v>
      </c>
      <c r="B5" s="25" t="s">
        <v>228</v>
      </c>
      <c r="C5" s="25" t="s">
        <v>229</v>
      </c>
      <c r="D5" s="25" t="s">
        <v>230</v>
      </c>
      <c r="E5" s="24"/>
      <c r="F5" s="25" t="s">
        <v>231</v>
      </c>
      <c r="G5" s="25"/>
      <c r="H5" s="139" t="s">
        <v>31</v>
      </c>
      <c r="I5" s="25"/>
      <c r="J5" s="25">
        <v>5.2</v>
      </c>
      <c r="K5" s="25">
        <v>5.2</v>
      </c>
      <c r="L5" s="25">
        <v>1</v>
      </c>
      <c r="M5" s="25" t="s">
        <v>33</v>
      </c>
      <c r="N5" s="25">
        <f>R5*0.3</f>
        <v>73.319999999999993</v>
      </c>
      <c r="O5" s="25">
        <f>R5*0.35</f>
        <v>85.539999999999992</v>
      </c>
      <c r="P5" s="25">
        <f>R5*0.2</f>
        <v>48.88</v>
      </c>
      <c r="Q5" s="25">
        <f>R5*0.15</f>
        <v>36.659999999999997</v>
      </c>
      <c r="R5" s="25">
        <v>244.4</v>
      </c>
      <c r="S5" s="140">
        <v>171718.65</v>
      </c>
      <c r="T5" s="140">
        <v>892936.98</v>
      </c>
      <c r="U5" s="25"/>
      <c r="V5" s="25"/>
      <c r="W5" s="25" t="s">
        <v>232</v>
      </c>
      <c r="X5" s="25">
        <v>71885</v>
      </c>
      <c r="Y5" s="19" t="s">
        <v>233</v>
      </c>
      <c r="Z5" s="9" t="s">
        <v>231</v>
      </c>
      <c r="AA5" s="70">
        <v>1</v>
      </c>
      <c r="AB5" s="71">
        <v>4459</v>
      </c>
      <c r="AC5" s="131">
        <f t="shared" ref="AC5" si="5">(K5*0.3)</f>
        <v>1.56</v>
      </c>
      <c r="AD5" s="90"/>
      <c r="AE5" s="90"/>
      <c r="AF5" s="112"/>
      <c r="AG5" s="94"/>
      <c r="AH5" s="41">
        <f>K5*0.35</f>
        <v>1.8199999999999998</v>
      </c>
      <c r="AI5" s="90"/>
      <c r="AJ5" s="112"/>
      <c r="AK5" s="94"/>
      <c r="AL5" s="90"/>
      <c r="AM5" s="90"/>
      <c r="AN5" s="112"/>
      <c r="AO5" s="94"/>
      <c r="AP5" s="90"/>
      <c r="AQ5" s="41">
        <f>K5*0.2</f>
        <v>1.04</v>
      </c>
      <c r="AR5" s="112"/>
      <c r="AS5" s="94"/>
      <c r="AT5" s="90"/>
      <c r="AU5" s="48"/>
      <c r="AV5" s="95"/>
      <c r="AW5" s="94"/>
      <c r="AX5" s="90"/>
      <c r="AY5" s="48"/>
      <c r="AZ5" s="95"/>
    </row>
    <row r="6" spans="1:52" x14ac:dyDescent="0.25">
      <c r="A6" s="25">
        <v>287</v>
      </c>
      <c r="B6" s="25" t="s">
        <v>228</v>
      </c>
      <c r="C6" s="25" t="s">
        <v>234</v>
      </c>
      <c r="D6" s="25" t="s">
        <v>230</v>
      </c>
      <c r="E6" s="24"/>
      <c r="F6" s="25" t="s">
        <v>235</v>
      </c>
      <c r="G6" s="25"/>
      <c r="H6" s="139" t="s">
        <v>31</v>
      </c>
      <c r="I6" s="25"/>
      <c r="J6" s="25">
        <v>3.415</v>
      </c>
      <c r="K6" s="25">
        <v>3.415</v>
      </c>
      <c r="L6" s="25">
        <v>1</v>
      </c>
      <c r="M6" s="25" t="s">
        <v>33</v>
      </c>
      <c r="N6" s="25">
        <f t="shared" ref="N6:N64" si="6">R6*0.3</f>
        <v>53.274000000000001</v>
      </c>
      <c r="O6" s="25">
        <f t="shared" ref="O6:O64" si="7">R6*0.35</f>
        <v>62.152999999999999</v>
      </c>
      <c r="P6" s="25">
        <f t="shared" ref="P6:P64" si="8">R6*0.2</f>
        <v>35.516000000000005</v>
      </c>
      <c r="Q6" s="25">
        <f t="shared" ref="Q6:Q64" si="9">R6*0.15</f>
        <v>26.637</v>
      </c>
      <c r="R6" s="25">
        <v>177.58</v>
      </c>
      <c r="S6" s="140">
        <v>171718.65</v>
      </c>
      <c r="T6" s="140">
        <v>586419.18975000002</v>
      </c>
      <c r="U6" s="25"/>
      <c r="V6" s="25"/>
      <c r="W6" s="25" t="s">
        <v>236</v>
      </c>
      <c r="X6" s="38">
        <v>71859</v>
      </c>
      <c r="Y6" s="19" t="s">
        <v>233</v>
      </c>
      <c r="Z6" s="9" t="s">
        <v>235</v>
      </c>
      <c r="AA6" s="70">
        <v>4</v>
      </c>
      <c r="AB6" s="71">
        <v>4459</v>
      </c>
      <c r="AC6" s="73"/>
      <c r="AD6" s="48"/>
      <c r="AE6" s="48"/>
      <c r="AF6" s="49"/>
      <c r="AG6" s="46">
        <f t="shared" ref="AG6:AG9" si="10">K6*0.3</f>
        <v>1.0245</v>
      </c>
      <c r="AH6" s="48"/>
      <c r="AI6" s="48"/>
      <c r="AJ6" s="49"/>
      <c r="AK6" s="51"/>
      <c r="AL6" s="48"/>
      <c r="AM6" s="48"/>
      <c r="AN6" s="49"/>
      <c r="AO6" s="51"/>
      <c r="AP6" s="48"/>
      <c r="AQ6" s="48"/>
      <c r="AR6" s="49"/>
      <c r="AS6" s="51"/>
      <c r="AT6" s="42"/>
      <c r="AU6" s="42"/>
      <c r="AV6" s="59"/>
      <c r="AW6" s="51"/>
      <c r="AX6" s="42"/>
      <c r="AY6" s="42"/>
      <c r="AZ6" s="59"/>
    </row>
    <row r="7" spans="1:52" x14ac:dyDescent="0.25">
      <c r="A7" s="25">
        <v>288</v>
      </c>
      <c r="B7" s="25" t="s">
        <v>228</v>
      </c>
      <c r="C7" s="25" t="s">
        <v>234</v>
      </c>
      <c r="D7" s="25" t="s">
        <v>230</v>
      </c>
      <c r="E7" s="24"/>
      <c r="F7" s="25" t="s">
        <v>235</v>
      </c>
      <c r="G7" s="25"/>
      <c r="H7" s="139" t="s">
        <v>31</v>
      </c>
      <c r="I7" s="25"/>
      <c r="J7" s="25">
        <v>3.415</v>
      </c>
      <c r="K7" s="25">
        <v>3.415</v>
      </c>
      <c r="L7" s="25">
        <v>1</v>
      </c>
      <c r="M7" s="25" t="s">
        <v>33</v>
      </c>
      <c r="N7" s="25">
        <f t="shared" si="6"/>
        <v>53.274000000000001</v>
      </c>
      <c r="O7" s="25">
        <f t="shared" si="7"/>
        <v>62.152999999999999</v>
      </c>
      <c r="P7" s="25">
        <f t="shared" si="8"/>
        <v>35.516000000000005</v>
      </c>
      <c r="Q7" s="25">
        <f t="shared" si="9"/>
        <v>26.637</v>
      </c>
      <c r="R7" s="25">
        <v>177.58</v>
      </c>
      <c r="S7" s="140">
        <v>171718.65</v>
      </c>
      <c r="T7" s="140">
        <v>586419.18975000002</v>
      </c>
      <c r="U7" s="25"/>
      <c r="V7" s="25"/>
      <c r="W7" s="25" t="s">
        <v>236</v>
      </c>
      <c r="X7" s="38">
        <v>71859</v>
      </c>
      <c r="Y7" s="19" t="s">
        <v>233</v>
      </c>
      <c r="Z7" s="9" t="s">
        <v>235</v>
      </c>
      <c r="AA7" s="70">
        <v>5</v>
      </c>
      <c r="AB7" s="71">
        <v>4459</v>
      </c>
      <c r="AC7" s="73"/>
      <c r="AD7" s="48"/>
      <c r="AE7" s="48"/>
      <c r="AF7" s="49"/>
      <c r="AG7" s="46">
        <f t="shared" si="10"/>
        <v>1.0245</v>
      </c>
      <c r="AH7" s="48"/>
      <c r="AI7" s="48"/>
      <c r="AJ7" s="49"/>
      <c r="AK7" s="51"/>
      <c r="AL7" s="48"/>
      <c r="AM7" s="48"/>
      <c r="AN7" s="49"/>
      <c r="AO7" s="51"/>
      <c r="AP7" s="48"/>
      <c r="AQ7" s="48"/>
      <c r="AR7" s="49"/>
      <c r="AS7" s="51"/>
      <c r="AT7" s="42"/>
      <c r="AU7" s="42"/>
      <c r="AV7" s="59"/>
      <c r="AW7" s="51"/>
      <c r="AX7" s="42"/>
      <c r="AY7" s="42"/>
      <c r="AZ7" s="59"/>
    </row>
    <row r="8" spans="1:52" x14ac:dyDescent="0.25">
      <c r="A8" s="25">
        <v>289</v>
      </c>
      <c r="B8" s="25" t="s">
        <v>228</v>
      </c>
      <c r="C8" s="9" t="s">
        <v>229</v>
      </c>
      <c r="D8" s="9" t="s">
        <v>230</v>
      </c>
      <c r="E8" s="8"/>
      <c r="F8" s="25" t="s">
        <v>231</v>
      </c>
      <c r="G8" s="9"/>
      <c r="H8" s="105" t="s">
        <v>31</v>
      </c>
      <c r="I8" s="9"/>
      <c r="J8" s="25">
        <v>5.2</v>
      </c>
      <c r="K8" s="25">
        <v>5.2</v>
      </c>
      <c r="L8" s="9">
        <v>1</v>
      </c>
      <c r="M8" s="9" t="s">
        <v>33</v>
      </c>
      <c r="N8" s="25">
        <f t="shared" si="6"/>
        <v>73.319999999999993</v>
      </c>
      <c r="O8" s="25">
        <f t="shared" si="7"/>
        <v>85.539999999999992</v>
      </c>
      <c r="P8" s="25">
        <f t="shared" si="8"/>
        <v>48.88</v>
      </c>
      <c r="Q8" s="25">
        <f t="shared" si="9"/>
        <v>36.659999999999997</v>
      </c>
      <c r="R8" s="25">
        <v>244.4</v>
      </c>
      <c r="S8" s="106">
        <v>171718.65</v>
      </c>
      <c r="T8" s="106">
        <v>892936.98</v>
      </c>
      <c r="U8" s="9"/>
      <c r="V8" s="9"/>
      <c r="W8" s="25" t="s">
        <v>232</v>
      </c>
      <c r="X8" s="25">
        <v>71886</v>
      </c>
      <c r="Y8" s="19" t="s">
        <v>233</v>
      </c>
      <c r="Z8" s="9" t="s">
        <v>231</v>
      </c>
      <c r="AA8" s="70">
        <v>1</v>
      </c>
      <c r="AB8" s="71">
        <v>4459</v>
      </c>
      <c r="AC8" s="73"/>
      <c r="AD8" s="48"/>
      <c r="AE8" s="48"/>
      <c r="AF8" s="49"/>
      <c r="AG8" s="46">
        <f t="shared" si="10"/>
        <v>1.56</v>
      </c>
      <c r="AH8" s="41">
        <f>K8*0.35</f>
        <v>1.8199999999999998</v>
      </c>
      <c r="AI8" s="48"/>
      <c r="AJ8" s="49"/>
      <c r="AK8" s="51"/>
      <c r="AL8" s="48"/>
      <c r="AM8" s="41">
        <f>K8*0.2</f>
        <v>1.04</v>
      </c>
      <c r="AN8" s="49"/>
      <c r="AO8" s="51"/>
      <c r="AP8" s="48"/>
      <c r="AQ8" s="48"/>
      <c r="AR8" s="49"/>
      <c r="AS8" s="51"/>
      <c r="AT8" s="48"/>
      <c r="AU8" s="48"/>
      <c r="AV8" s="59"/>
      <c r="AW8" s="51"/>
      <c r="AX8" s="48"/>
      <c r="AY8" s="48"/>
      <c r="AZ8" s="59"/>
    </row>
    <row r="9" spans="1:52" x14ac:dyDescent="0.25">
      <c r="A9" s="25">
        <v>290</v>
      </c>
      <c r="B9" s="25" t="s">
        <v>228</v>
      </c>
      <c r="C9" s="9" t="s">
        <v>229</v>
      </c>
      <c r="D9" s="9" t="s">
        <v>230</v>
      </c>
      <c r="E9" s="8"/>
      <c r="F9" s="25" t="s">
        <v>231</v>
      </c>
      <c r="G9" s="9"/>
      <c r="H9" s="105" t="s">
        <v>31</v>
      </c>
      <c r="I9" s="9"/>
      <c r="J9" s="25">
        <v>5.2</v>
      </c>
      <c r="K9" s="25">
        <v>5.2</v>
      </c>
      <c r="L9" s="9">
        <v>1</v>
      </c>
      <c r="M9" s="9" t="s">
        <v>33</v>
      </c>
      <c r="N9" s="25">
        <f t="shared" si="6"/>
        <v>73.319999999999993</v>
      </c>
      <c r="O9" s="25">
        <f t="shared" si="7"/>
        <v>85.539999999999992</v>
      </c>
      <c r="P9" s="25">
        <f t="shared" si="8"/>
        <v>48.88</v>
      </c>
      <c r="Q9" s="25">
        <f t="shared" si="9"/>
        <v>36.659999999999997</v>
      </c>
      <c r="R9" s="25">
        <v>244.4</v>
      </c>
      <c r="S9" s="106">
        <v>171718.65</v>
      </c>
      <c r="T9" s="106">
        <v>892936.98</v>
      </c>
      <c r="U9" s="9"/>
      <c r="V9" s="9"/>
      <c r="W9" s="25" t="s">
        <v>232</v>
      </c>
      <c r="X9" s="25">
        <v>71887</v>
      </c>
      <c r="Y9" s="19" t="s">
        <v>233</v>
      </c>
      <c r="Z9" s="9" t="s">
        <v>231</v>
      </c>
      <c r="AA9" s="70">
        <v>1</v>
      </c>
      <c r="AB9" s="71">
        <v>4459</v>
      </c>
      <c r="AC9" s="73"/>
      <c r="AD9" s="48"/>
      <c r="AE9" s="48"/>
      <c r="AF9" s="49"/>
      <c r="AG9" s="46">
        <f t="shared" si="10"/>
        <v>1.56</v>
      </c>
      <c r="AH9" s="41">
        <f t="shared" ref="AH9" si="11">K9*0.35</f>
        <v>1.8199999999999998</v>
      </c>
      <c r="AI9" s="48"/>
      <c r="AJ9" s="49"/>
      <c r="AK9" s="51"/>
      <c r="AL9" s="48"/>
      <c r="AM9" s="41">
        <f>K9*0.2</f>
        <v>1.04</v>
      </c>
      <c r="AN9" s="49"/>
      <c r="AO9" s="51"/>
      <c r="AP9" s="48"/>
      <c r="AQ9" s="48"/>
      <c r="AR9" s="49"/>
      <c r="AS9" s="51"/>
      <c r="AT9" s="48"/>
      <c r="AU9" s="48"/>
      <c r="AV9" s="59"/>
      <c r="AW9" s="51"/>
      <c r="AX9" s="48"/>
      <c r="AY9" s="48"/>
      <c r="AZ9" s="59"/>
    </row>
    <row r="10" spans="1:52" x14ac:dyDescent="0.25">
      <c r="A10" s="25">
        <v>291</v>
      </c>
      <c r="B10" s="25" t="s">
        <v>228</v>
      </c>
      <c r="C10" s="25" t="s">
        <v>237</v>
      </c>
      <c r="D10" s="9" t="s">
        <v>230</v>
      </c>
      <c r="E10" s="8"/>
      <c r="F10" s="25" t="s">
        <v>238</v>
      </c>
      <c r="G10" s="9"/>
      <c r="H10" s="105" t="s">
        <v>31</v>
      </c>
      <c r="I10" s="9"/>
      <c r="J10" s="25">
        <v>5.0000000000000001E-4</v>
      </c>
      <c r="K10" s="25">
        <v>8.4000000000000005E-2</v>
      </c>
      <c r="L10" s="9">
        <v>168</v>
      </c>
      <c r="M10" s="9" t="s">
        <v>33</v>
      </c>
      <c r="N10" s="25">
        <f t="shared" si="6"/>
        <v>2.4696000000000002</v>
      </c>
      <c r="O10" s="25">
        <f t="shared" si="7"/>
        <v>2.8812000000000002</v>
      </c>
      <c r="P10" s="25">
        <f t="shared" si="8"/>
        <v>1.6464000000000003</v>
      </c>
      <c r="Q10" s="25">
        <f t="shared" si="9"/>
        <v>1.2348000000000001</v>
      </c>
      <c r="R10" s="25">
        <v>8.2320000000000011</v>
      </c>
      <c r="S10" s="106">
        <v>171718.65</v>
      </c>
      <c r="T10" s="106">
        <v>14424.366600000001</v>
      </c>
      <c r="U10" s="9"/>
      <c r="V10" s="9"/>
      <c r="W10" s="25" t="s">
        <v>239</v>
      </c>
      <c r="X10" s="25">
        <v>71860</v>
      </c>
      <c r="Y10" s="19" t="s">
        <v>233</v>
      </c>
      <c r="Z10" s="9" t="s">
        <v>238</v>
      </c>
      <c r="AA10" s="70">
        <v>1</v>
      </c>
      <c r="AB10" s="71">
        <v>4459</v>
      </c>
      <c r="AC10" s="73"/>
      <c r="AD10" s="48"/>
      <c r="AE10" s="48"/>
      <c r="AF10" s="49"/>
      <c r="AG10" s="46">
        <f>K10*0.3</f>
        <v>2.52E-2</v>
      </c>
      <c r="AH10" s="48"/>
      <c r="AI10" s="48"/>
      <c r="AJ10" s="49"/>
      <c r="AK10" s="51"/>
      <c r="AL10" s="48"/>
      <c r="AM10" s="48"/>
      <c r="AN10" s="49"/>
      <c r="AO10" s="51"/>
      <c r="AP10" s="48"/>
      <c r="AQ10" s="48"/>
      <c r="AR10" s="49"/>
      <c r="AS10" s="51"/>
      <c r="AT10" s="42"/>
      <c r="AU10" s="42"/>
      <c r="AV10" s="59"/>
      <c r="AW10" s="51"/>
      <c r="AX10" s="42"/>
      <c r="AY10" s="42"/>
      <c r="AZ10" s="59"/>
    </row>
    <row r="11" spans="1:52" x14ac:dyDescent="0.25">
      <c r="A11" s="25">
        <v>292</v>
      </c>
      <c r="B11" s="25" t="s">
        <v>228</v>
      </c>
      <c r="C11" s="25" t="s">
        <v>237</v>
      </c>
      <c r="D11" s="9" t="s">
        <v>230</v>
      </c>
      <c r="E11" s="8"/>
      <c r="F11" s="25" t="s">
        <v>240</v>
      </c>
      <c r="G11" s="9"/>
      <c r="H11" s="105" t="s">
        <v>31</v>
      </c>
      <c r="I11" s="9"/>
      <c r="J11" s="25">
        <v>2.5000000000000001E-5</v>
      </c>
      <c r="K11" s="25">
        <v>4.2000000000000006E-3</v>
      </c>
      <c r="L11" s="9">
        <v>168</v>
      </c>
      <c r="M11" s="9" t="s">
        <v>33</v>
      </c>
      <c r="N11" s="25">
        <f t="shared" si="6"/>
        <v>0.12348000000000002</v>
      </c>
      <c r="O11" s="25">
        <f t="shared" si="7"/>
        <v>0.14406000000000002</v>
      </c>
      <c r="P11" s="25">
        <f t="shared" si="8"/>
        <v>8.2320000000000018E-2</v>
      </c>
      <c r="Q11" s="25">
        <f t="shared" si="9"/>
        <v>6.174000000000001E-2</v>
      </c>
      <c r="R11" s="25">
        <v>0.41160000000000008</v>
      </c>
      <c r="S11" s="106">
        <v>171718.65</v>
      </c>
      <c r="T11" s="106">
        <v>721.21833000000004</v>
      </c>
      <c r="U11" s="9"/>
      <c r="V11" s="9"/>
      <c r="W11" s="25" t="s">
        <v>241</v>
      </c>
      <c r="X11" s="25">
        <v>71860</v>
      </c>
      <c r="Y11" s="19" t="s">
        <v>233</v>
      </c>
      <c r="Z11" s="9" t="s">
        <v>240</v>
      </c>
      <c r="AA11" s="70">
        <v>2</v>
      </c>
      <c r="AB11" s="71">
        <v>4459</v>
      </c>
      <c r="AC11" s="73"/>
      <c r="AD11" s="48"/>
      <c r="AE11" s="48"/>
      <c r="AF11" s="49"/>
      <c r="AG11" s="46">
        <f t="shared" ref="AG11:AG16" si="12">K11*0.3</f>
        <v>1.2600000000000001E-3</v>
      </c>
      <c r="AH11" s="48"/>
      <c r="AI11" s="48"/>
      <c r="AJ11" s="49"/>
      <c r="AK11" s="51"/>
      <c r="AL11" s="48"/>
      <c r="AM11" s="48"/>
      <c r="AN11" s="49"/>
      <c r="AO11" s="51"/>
      <c r="AP11" s="48"/>
      <c r="AQ11" s="48"/>
      <c r="AR11" s="49"/>
      <c r="AS11" s="51"/>
      <c r="AT11" s="42"/>
      <c r="AU11" s="42"/>
      <c r="AV11" s="59"/>
      <c r="AW11" s="51"/>
      <c r="AX11" s="42"/>
      <c r="AY11" s="42"/>
      <c r="AZ11" s="59"/>
    </row>
    <row r="12" spans="1:52" x14ac:dyDescent="0.25">
      <c r="A12" s="25">
        <v>293</v>
      </c>
      <c r="B12" s="25" t="s">
        <v>228</v>
      </c>
      <c r="C12" s="25" t="s">
        <v>237</v>
      </c>
      <c r="D12" s="9" t="s">
        <v>230</v>
      </c>
      <c r="E12" s="8"/>
      <c r="F12" s="25" t="s">
        <v>242</v>
      </c>
      <c r="G12" s="9"/>
      <c r="H12" s="105" t="s">
        <v>31</v>
      </c>
      <c r="I12" s="9"/>
      <c r="J12" s="25">
        <v>1E-4</v>
      </c>
      <c r="K12" s="25">
        <v>1.6000000000000001E-3</v>
      </c>
      <c r="L12" s="9">
        <v>16</v>
      </c>
      <c r="M12" s="9" t="s">
        <v>33</v>
      </c>
      <c r="N12" s="25">
        <f t="shared" si="6"/>
        <v>4.7039999999999998E-2</v>
      </c>
      <c r="O12" s="25">
        <f t="shared" si="7"/>
        <v>5.4879999999999991E-2</v>
      </c>
      <c r="P12" s="25">
        <f t="shared" si="8"/>
        <v>3.1359999999999999E-2</v>
      </c>
      <c r="Q12" s="25">
        <f t="shared" si="9"/>
        <v>2.3519999999999999E-2</v>
      </c>
      <c r="R12" s="25">
        <v>0.15679999999999999</v>
      </c>
      <c r="S12" s="106">
        <v>171718.65</v>
      </c>
      <c r="T12" s="106">
        <v>274.74984000000001</v>
      </c>
      <c r="U12" s="9"/>
      <c r="V12" s="9"/>
      <c r="W12" s="25" t="s">
        <v>163</v>
      </c>
      <c r="X12" s="25">
        <v>71860</v>
      </c>
      <c r="Y12" s="19" t="s">
        <v>233</v>
      </c>
      <c r="Z12" s="9" t="s">
        <v>242</v>
      </c>
      <c r="AA12" s="70">
        <v>3</v>
      </c>
      <c r="AB12" s="71">
        <v>4459</v>
      </c>
      <c r="AC12" s="73"/>
      <c r="AD12" s="48"/>
      <c r="AE12" s="48"/>
      <c r="AF12" s="49"/>
      <c r="AG12" s="46">
        <f t="shared" si="12"/>
        <v>4.8000000000000001E-4</v>
      </c>
      <c r="AH12" s="48"/>
      <c r="AI12" s="48"/>
      <c r="AJ12" s="49"/>
      <c r="AK12" s="51"/>
      <c r="AL12" s="48"/>
      <c r="AM12" s="48"/>
      <c r="AN12" s="49"/>
      <c r="AO12" s="51"/>
      <c r="AP12" s="48"/>
      <c r="AQ12" s="48"/>
      <c r="AR12" s="49"/>
      <c r="AS12" s="51"/>
      <c r="AT12" s="42"/>
      <c r="AU12" s="42"/>
      <c r="AV12" s="59"/>
      <c r="AW12" s="51"/>
      <c r="AX12" s="42"/>
      <c r="AY12" s="42"/>
      <c r="AZ12" s="59"/>
    </row>
    <row r="13" spans="1:52" x14ac:dyDescent="0.25">
      <c r="A13" s="25">
        <v>294</v>
      </c>
      <c r="B13" s="25" t="s">
        <v>228</v>
      </c>
      <c r="C13" s="25" t="s">
        <v>237</v>
      </c>
      <c r="D13" s="9" t="s">
        <v>230</v>
      </c>
      <c r="E13" s="8"/>
      <c r="F13" s="25" t="s">
        <v>243</v>
      </c>
      <c r="G13" s="9"/>
      <c r="H13" s="105" t="s">
        <v>31</v>
      </c>
      <c r="I13" s="9"/>
      <c r="J13" s="25">
        <v>2.9E-5</v>
      </c>
      <c r="K13" s="25">
        <v>1.392E-3</v>
      </c>
      <c r="L13" s="9">
        <v>48</v>
      </c>
      <c r="M13" s="9" t="s">
        <v>33</v>
      </c>
      <c r="N13" s="25">
        <f t="shared" si="6"/>
        <v>4.0924800000000004E-2</v>
      </c>
      <c r="O13" s="25">
        <f t="shared" si="7"/>
        <v>4.7745599999999999E-2</v>
      </c>
      <c r="P13" s="25">
        <f t="shared" si="8"/>
        <v>2.7283200000000004E-2</v>
      </c>
      <c r="Q13" s="25">
        <f t="shared" si="9"/>
        <v>2.0462400000000002E-2</v>
      </c>
      <c r="R13" s="25">
        <v>0.13641600000000001</v>
      </c>
      <c r="S13" s="106">
        <v>171718.65</v>
      </c>
      <c r="T13" s="106">
        <v>239.03236079999999</v>
      </c>
      <c r="U13" s="9"/>
      <c r="V13" s="9"/>
      <c r="W13" s="25" t="s">
        <v>244</v>
      </c>
      <c r="X13" s="25">
        <v>71860</v>
      </c>
      <c r="Y13" s="19" t="s">
        <v>233</v>
      </c>
      <c r="Z13" s="9" t="s">
        <v>243</v>
      </c>
      <c r="AA13" s="70">
        <v>4</v>
      </c>
      <c r="AB13" s="71">
        <v>4459</v>
      </c>
      <c r="AC13" s="73"/>
      <c r="AD13" s="48"/>
      <c r="AE13" s="48"/>
      <c r="AF13" s="49"/>
      <c r="AG13" s="46">
        <f t="shared" si="12"/>
        <v>4.1760000000000001E-4</v>
      </c>
      <c r="AH13" s="48"/>
      <c r="AI13" s="48"/>
      <c r="AJ13" s="49"/>
      <c r="AK13" s="51"/>
      <c r="AL13" s="48"/>
      <c r="AM13" s="48"/>
      <c r="AN13" s="49"/>
      <c r="AO13" s="51"/>
      <c r="AP13" s="48"/>
      <c r="AQ13" s="48"/>
      <c r="AR13" s="49"/>
      <c r="AS13" s="51"/>
      <c r="AT13" s="42"/>
      <c r="AU13" s="42"/>
      <c r="AV13" s="59"/>
      <c r="AW13" s="51"/>
      <c r="AX13" s="42"/>
      <c r="AY13" s="42"/>
      <c r="AZ13" s="59"/>
    </row>
    <row r="14" spans="1:52" x14ac:dyDescent="0.25">
      <c r="A14" s="25">
        <v>295</v>
      </c>
      <c r="B14" s="25" t="s">
        <v>228</v>
      </c>
      <c r="C14" s="25" t="s">
        <v>237</v>
      </c>
      <c r="D14" s="9" t="s">
        <v>230</v>
      </c>
      <c r="E14" s="8"/>
      <c r="F14" s="25" t="s">
        <v>245</v>
      </c>
      <c r="G14" s="9"/>
      <c r="H14" s="105" t="s">
        <v>31</v>
      </c>
      <c r="I14" s="9"/>
      <c r="J14" s="25">
        <v>6.0999999999999997E-4</v>
      </c>
      <c r="K14" s="25">
        <v>2.928E-2</v>
      </c>
      <c r="L14" s="9">
        <v>48</v>
      </c>
      <c r="M14" s="9" t="s">
        <v>33</v>
      </c>
      <c r="N14" s="25">
        <f t="shared" si="6"/>
        <v>0.86083199999999993</v>
      </c>
      <c r="O14" s="25">
        <f t="shared" si="7"/>
        <v>1.0043039999999999</v>
      </c>
      <c r="P14" s="25">
        <f t="shared" si="8"/>
        <v>0.57388800000000006</v>
      </c>
      <c r="Q14" s="25">
        <f t="shared" si="9"/>
        <v>0.43041599999999997</v>
      </c>
      <c r="R14" s="25">
        <v>2.86944</v>
      </c>
      <c r="S14" s="106">
        <v>171718.65</v>
      </c>
      <c r="T14" s="106">
        <v>5027.9220720000003</v>
      </c>
      <c r="U14" s="9"/>
      <c r="V14" s="9"/>
      <c r="W14" s="25" t="s">
        <v>246</v>
      </c>
      <c r="X14" s="25">
        <v>71860</v>
      </c>
      <c r="Y14" s="19" t="s">
        <v>233</v>
      </c>
      <c r="Z14" s="9" t="s">
        <v>245</v>
      </c>
      <c r="AA14" s="70">
        <v>5</v>
      </c>
      <c r="AB14" s="71">
        <v>4459</v>
      </c>
      <c r="AC14" s="73"/>
      <c r="AD14" s="48"/>
      <c r="AE14" s="48"/>
      <c r="AF14" s="49"/>
      <c r="AG14" s="46">
        <f t="shared" si="12"/>
        <v>8.7840000000000001E-3</v>
      </c>
      <c r="AH14" s="48"/>
      <c r="AI14" s="48"/>
      <c r="AJ14" s="49"/>
      <c r="AK14" s="51"/>
      <c r="AL14" s="48"/>
      <c r="AM14" s="48"/>
      <c r="AN14" s="49"/>
      <c r="AO14" s="51"/>
      <c r="AP14" s="48"/>
      <c r="AQ14" s="48"/>
      <c r="AR14" s="49"/>
      <c r="AS14" s="51"/>
      <c r="AT14" s="42"/>
      <c r="AU14" s="42"/>
      <c r="AV14" s="59"/>
      <c r="AW14" s="51"/>
      <c r="AX14" s="42"/>
      <c r="AY14" s="42"/>
      <c r="AZ14" s="59"/>
    </row>
    <row r="15" spans="1:52" x14ac:dyDescent="0.25">
      <c r="A15" s="25">
        <v>296</v>
      </c>
      <c r="B15" s="25" t="s">
        <v>228</v>
      </c>
      <c r="C15" s="25" t="s">
        <v>234</v>
      </c>
      <c r="D15" s="9" t="s">
        <v>230</v>
      </c>
      <c r="E15" s="8"/>
      <c r="F15" s="25" t="s">
        <v>235</v>
      </c>
      <c r="G15" s="9"/>
      <c r="H15" s="105" t="s">
        <v>31</v>
      </c>
      <c r="I15" s="9"/>
      <c r="J15" s="25">
        <v>3.415</v>
      </c>
      <c r="K15" s="25">
        <v>3.415</v>
      </c>
      <c r="L15" s="9">
        <v>1</v>
      </c>
      <c r="M15" s="9" t="s">
        <v>33</v>
      </c>
      <c r="N15" s="25">
        <f t="shared" si="6"/>
        <v>53.274000000000001</v>
      </c>
      <c r="O15" s="25">
        <f t="shared" si="7"/>
        <v>62.152999999999999</v>
      </c>
      <c r="P15" s="25">
        <f t="shared" si="8"/>
        <v>35.516000000000005</v>
      </c>
      <c r="Q15" s="25">
        <f t="shared" si="9"/>
        <v>26.637</v>
      </c>
      <c r="R15" s="25">
        <v>177.58</v>
      </c>
      <c r="S15" s="106">
        <v>171718.65</v>
      </c>
      <c r="T15" s="106">
        <v>586419.18975000002</v>
      </c>
      <c r="U15" s="9"/>
      <c r="V15" s="9"/>
      <c r="W15" s="25" t="s">
        <v>247</v>
      </c>
      <c r="X15" s="25">
        <v>71860</v>
      </c>
      <c r="Y15" s="19" t="s">
        <v>233</v>
      </c>
      <c r="Z15" s="9" t="s">
        <v>235</v>
      </c>
      <c r="AA15" s="70">
        <v>6</v>
      </c>
      <c r="AB15" s="71">
        <v>4459</v>
      </c>
      <c r="AC15" s="73"/>
      <c r="AD15" s="48"/>
      <c r="AE15" s="48"/>
      <c r="AF15" s="49"/>
      <c r="AG15" s="46">
        <f t="shared" si="12"/>
        <v>1.0245</v>
      </c>
      <c r="AH15" s="48"/>
      <c r="AI15" s="48"/>
      <c r="AJ15" s="49"/>
      <c r="AK15" s="51"/>
      <c r="AL15" s="48"/>
      <c r="AM15" s="48"/>
      <c r="AN15" s="49"/>
      <c r="AO15" s="51"/>
      <c r="AP15" s="41">
        <f>K15*0.35</f>
        <v>1.1952499999999999</v>
      </c>
      <c r="AQ15" s="41">
        <f>K15*0.2</f>
        <v>0.68300000000000005</v>
      </c>
      <c r="AR15" s="132">
        <f t="shared" ref="AR15:AR16" si="13">K15*0.15</f>
        <v>0.51224999999999998</v>
      </c>
      <c r="AS15" s="51"/>
      <c r="AT15" s="48"/>
      <c r="AU15" s="48"/>
      <c r="AV15" s="49"/>
      <c r="AW15" s="51"/>
      <c r="AX15" s="48"/>
      <c r="AY15" s="48"/>
      <c r="AZ15" s="49"/>
    </row>
    <row r="16" spans="1:52" x14ac:dyDescent="0.25">
      <c r="A16" s="25">
        <v>297</v>
      </c>
      <c r="B16" s="25" t="s">
        <v>228</v>
      </c>
      <c r="C16" s="25" t="s">
        <v>234</v>
      </c>
      <c r="D16" s="9" t="s">
        <v>230</v>
      </c>
      <c r="E16" s="8"/>
      <c r="F16" s="25" t="s">
        <v>235</v>
      </c>
      <c r="G16" s="9"/>
      <c r="H16" s="105" t="s">
        <v>31</v>
      </c>
      <c r="I16" s="9"/>
      <c r="J16" s="25">
        <v>3.415</v>
      </c>
      <c r="K16" s="25">
        <v>3.415</v>
      </c>
      <c r="L16" s="9">
        <v>1</v>
      </c>
      <c r="M16" s="9" t="s">
        <v>33</v>
      </c>
      <c r="N16" s="25">
        <f t="shared" si="6"/>
        <v>53.274000000000001</v>
      </c>
      <c r="O16" s="25">
        <f t="shared" si="7"/>
        <v>62.152999999999999</v>
      </c>
      <c r="P16" s="25">
        <f t="shared" si="8"/>
        <v>35.516000000000005</v>
      </c>
      <c r="Q16" s="25">
        <f t="shared" si="9"/>
        <v>26.637</v>
      </c>
      <c r="R16" s="25">
        <v>177.58</v>
      </c>
      <c r="S16" s="106">
        <v>171718.65</v>
      </c>
      <c r="T16" s="106">
        <v>586419.18975000002</v>
      </c>
      <c r="U16" s="9"/>
      <c r="V16" s="9"/>
      <c r="W16" s="25" t="s">
        <v>247</v>
      </c>
      <c r="X16" s="25">
        <v>71860</v>
      </c>
      <c r="Y16" s="19" t="s">
        <v>233</v>
      </c>
      <c r="Z16" s="9" t="s">
        <v>235</v>
      </c>
      <c r="AA16" s="70">
        <v>7</v>
      </c>
      <c r="AB16" s="71">
        <v>4459</v>
      </c>
      <c r="AC16" s="73"/>
      <c r="AD16" s="48"/>
      <c r="AE16" s="48"/>
      <c r="AF16" s="49"/>
      <c r="AG16" s="46">
        <f t="shared" si="12"/>
        <v>1.0245</v>
      </c>
      <c r="AH16" s="48"/>
      <c r="AI16" s="48"/>
      <c r="AJ16" s="49"/>
      <c r="AK16" s="51"/>
      <c r="AL16" s="48"/>
      <c r="AM16" s="48"/>
      <c r="AN16" s="49"/>
      <c r="AO16" s="51"/>
      <c r="AP16" s="41">
        <f>K16*0.35</f>
        <v>1.1952499999999999</v>
      </c>
      <c r="AQ16" s="41">
        <f>K16*0.2</f>
        <v>0.68300000000000005</v>
      </c>
      <c r="AR16" s="132">
        <f t="shared" si="13"/>
        <v>0.51224999999999998</v>
      </c>
      <c r="AS16" s="51"/>
      <c r="AT16" s="48"/>
      <c r="AU16" s="48"/>
      <c r="AV16" s="49"/>
      <c r="AW16" s="51"/>
      <c r="AX16" s="48"/>
      <c r="AY16" s="48"/>
      <c r="AZ16" s="49"/>
    </row>
    <row r="17" spans="1:52" x14ac:dyDescent="0.25">
      <c r="A17" s="25">
        <v>298</v>
      </c>
      <c r="B17" s="25" t="s">
        <v>228</v>
      </c>
      <c r="C17" s="104" t="s">
        <v>229</v>
      </c>
      <c r="D17" s="9" t="s">
        <v>230</v>
      </c>
      <c r="E17" s="8"/>
      <c r="F17" s="25" t="s">
        <v>231</v>
      </c>
      <c r="G17" s="9"/>
      <c r="H17" s="105" t="s">
        <v>31</v>
      </c>
      <c r="I17" s="9"/>
      <c r="J17" s="25">
        <v>5.2</v>
      </c>
      <c r="K17" s="25">
        <v>5.2</v>
      </c>
      <c r="L17" s="9">
        <v>1</v>
      </c>
      <c r="M17" s="9" t="s">
        <v>33</v>
      </c>
      <c r="N17" s="25">
        <f t="shared" si="6"/>
        <v>73.319999999999993</v>
      </c>
      <c r="O17" s="25">
        <f t="shared" si="7"/>
        <v>85.539999999999992</v>
      </c>
      <c r="P17" s="25">
        <f t="shared" si="8"/>
        <v>48.88</v>
      </c>
      <c r="Q17" s="25">
        <f t="shared" si="9"/>
        <v>36.659999999999997</v>
      </c>
      <c r="R17" s="25">
        <v>244.4</v>
      </c>
      <c r="S17" s="106">
        <v>171718.65</v>
      </c>
      <c r="T17" s="106">
        <v>892936.98</v>
      </c>
      <c r="U17" s="9"/>
      <c r="V17" s="9"/>
      <c r="W17" s="25" t="s">
        <v>232</v>
      </c>
      <c r="X17" s="25">
        <v>71888</v>
      </c>
      <c r="Y17" s="19" t="s">
        <v>233</v>
      </c>
      <c r="Z17" s="9" t="s">
        <v>231</v>
      </c>
      <c r="AA17" s="70">
        <v>1</v>
      </c>
      <c r="AB17" s="71">
        <v>4459</v>
      </c>
      <c r="AC17" s="131">
        <f t="shared" ref="AC17:AC18" si="14">(K17*0.3)</f>
        <v>1.56</v>
      </c>
      <c r="AD17" s="48"/>
      <c r="AE17" s="48"/>
      <c r="AF17" s="49"/>
      <c r="AG17" s="51"/>
      <c r="AH17" s="48"/>
      <c r="AI17" s="48"/>
      <c r="AJ17" s="49"/>
      <c r="AK17" s="51"/>
      <c r="AL17" s="41">
        <f t="shared" ref="AL17:AL18" si="15">K17*0.35</f>
        <v>1.8199999999999998</v>
      </c>
      <c r="AM17" s="48"/>
      <c r="AN17" s="49"/>
      <c r="AO17" s="51"/>
      <c r="AP17" s="48"/>
      <c r="AQ17" s="41">
        <f t="shared" ref="AQ17:AQ18" si="16">K17*0.2</f>
        <v>1.04</v>
      </c>
      <c r="AR17" s="49"/>
      <c r="AS17" s="51"/>
      <c r="AT17" s="48"/>
      <c r="AU17" s="48"/>
      <c r="AV17" s="59"/>
      <c r="AW17" s="51"/>
      <c r="AX17" s="48"/>
      <c r="AY17" s="48"/>
      <c r="AZ17" s="59"/>
    </row>
    <row r="18" spans="1:52" x14ac:dyDescent="0.25">
      <c r="A18" s="25">
        <v>299</v>
      </c>
      <c r="B18" s="25" t="s">
        <v>228</v>
      </c>
      <c r="C18" s="104" t="s">
        <v>229</v>
      </c>
      <c r="D18" s="9" t="s">
        <v>230</v>
      </c>
      <c r="E18" s="8"/>
      <c r="F18" s="25" t="s">
        <v>231</v>
      </c>
      <c r="G18" s="9"/>
      <c r="H18" s="105" t="s">
        <v>31</v>
      </c>
      <c r="I18" s="9"/>
      <c r="J18" s="25">
        <v>5.2</v>
      </c>
      <c r="K18" s="25">
        <v>5.2</v>
      </c>
      <c r="L18" s="9">
        <v>1</v>
      </c>
      <c r="M18" s="9" t="s">
        <v>33</v>
      </c>
      <c r="N18" s="25">
        <f t="shared" si="6"/>
        <v>73.319999999999993</v>
      </c>
      <c r="O18" s="25">
        <f t="shared" si="7"/>
        <v>85.539999999999992</v>
      </c>
      <c r="P18" s="25">
        <f t="shared" si="8"/>
        <v>48.88</v>
      </c>
      <c r="Q18" s="25">
        <f t="shared" si="9"/>
        <v>36.659999999999997</v>
      </c>
      <c r="R18" s="25">
        <v>244.4</v>
      </c>
      <c r="S18" s="106">
        <v>171718.65</v>
      </c>
      <c r="T18" s="106">
        <v>892936.98</v>
      </c>
      <c r="U18" s="9"/>
      <c r="V18" s="9"/>
      <c r="W18" s="25" t="s">
        <v>232</v>
      </c>
      <c r="X18" s="25">
        <v>71889</v>
      </c>
      <c r="Y18" s="19" t="s">
        <v>233</v>
      </c>
      <c r="Z18" s="9" t="s">
        <v>231</v>
      </c>
      <c r="AA18" s="70">
        <v>1</v>
      </c>
      <c r="AB18" s="71">
        <v>4459</v>
      </c>
      <c r="AC18" s="131">
        <f t="shared" si="14"/>
        <v>1.56</v>
      </c>
      <c r="AD18" s="48"/>
      <c r="AE18" s="48"/>
      <c r="AF18" s="49"/>
      <c r="AG18" s="51"/>
      <c r="AH18" s="48"/>
      <c r="AI18" s="48"/>
      <c r="AJ18" s="49"/>
      <c r="AK18" s="51"/>
      <c r="AL18" s="41">
        <f t="shared" si="15"/>
        <v>1.8199999999999998</v>
      </c>
      <c r="AM18" s="48"/>
      <c r="AN18" s="49"/>
      <c r="AO18" s="51"/>
      <c r="AP18" s="48"/>
      <c r="AQ18" s="41">
        <f t="shared" si="16"/>
        <v>1.04</v>
      </c>
      <c r="AR18" s="49"/>
      <c r="AS18" s="51"/>
      <c r="AT18" s="48"/>
      <c r="AU18" s="48"/>
      <c r="AV18" s="59"/>
      <c r="AW18" s="51"/>
      <c r="AX18" s="48"/>
      <c r="AY18" s="48"/>
      <c r="AZ18" s="59"/>
    </row>
    <row r="19" spans="1:52" x14ac:dyDescent="0.25">
      <c r="A19" s="25">
        <v>300</v>
      </c>
      <c r="B19" s="25" t="s">
        <v>228</v>
      </c>
      <c r="C19" s="25" t="s">
        <v>229</v>
      </c>
      <c r="D19" s="9" t="s">
        <v>230</v>
      </c>
      <c r="E19" s="8"/>
      <c r="F19" s="25" t="s">
        <v>231</v>
      </c>
      <c r="G19" s="9"/>
      <c r="H19" s="105" t="s">
        <v>31</v>
      </c>
      <c r="I19" s="9"/>
      <c r="J19" s="25">
        <v>8.9</v>
      </c>
      <c r="K19" s="25">
        <v>8.9</v>
      </c>
      <c r="L19" s="9">
        <v>1</v>
      </c>
      <c r="M19" s="9" t="s">
        <v>33</v>
      </c>
      <c r="N19" s="25">
        <f t="shared" si="6"/>
        <v>125.49</v>
      </c>
      <c r="O19" s="25">
        <f t="shared" si="7"/>
        <v>146.405</v>
      </c>
      <c r="P19" s="25">
        <f t="shared" si="8"/>
        <v>83.660000000000011</v>
      </c>
      <c r="Q19" s="25">
        <f t="shared" si="9"/>
        <v>62.744999999999997</v>
      </c>
      <c r="R19" s="25">
        <v>418.3</v>
      </c>
      <c r="S19" s="106">
        <v>171718.65</v>
      </c>
      <c r="T19" s="106">
        <v>1528295.9850000001</v>
      </c>
      <c r="U19" s="9"/>
      <c r="V19" s="9"/>
      <c r="W19" s="25" t="s">
        <v>232</v>
      </c>
      <c r="X19" s="25">
        <v>71890</v>
      </c>
      <c r="Y19" s="19" t="s">
        <v>233</v>
      </c>
      <c r="Z19" s="9" t="s">
        <v>231</v>
      </c>
      <c r="AA19" s="70">
        <v>1</v>
      </c>
      <c r="AB19" s="71">
        <v>4459</v>
      </c>
      <c r="AC19" s="131">
        <f>(K19*0.3)</f>
        <v>2.67</v>
      </c>
      <c r="AD19" s="48"/>
      <c r="AE19" s="48"/>
      <c r="AF19" s="49"/>
      <c r="AG19" s="51"/>
      <c r="AH19" s="48"/>
      <c r="AI19" s="48"/>
      <c r="AJ19" s="49"/>
      <c r="AK19" s="51"/>
      <c r="AL19" s="184">
        <f>K19*0.35</f>
        <v>3.1149999999999998</v>
      </c>
      <c r="AM19" s="41">
        <f t="shared" ref="AM19:AM20" si="17">K19*0.2</f>
        <v>1.7800000000000002</v>
      </c>
      <c r="AN19" s="49"/>
      <c r="AO19" s="51"/>
      <c r="AP19" s="163"/>
      <c r="AQ19" s="48"/>
      <c r="AR19" s="49"/>
      <c r="AS19" s="51"/>
      <c r="AT19" s="163"/>
      <c r="AU19" s="48"/>
      <c r="AV19" s="59"/>
      <c r="AW19" s="51"/>
      <c r="AX19" s="163"/>
      <c r="AY19" s="48"/>
      <c r="AZ19" s="59"/>
    </row>
    <row r="20" spans="1:52" x14ac:dyDescent="0.25">
      <c r="A20" s="25">
        <v>301</v>
      </c>
      <c r="B20" s="25" t="s">
        <v>228</v>
      </c>
      <c r="C20" s="25" t="s">
        <v>229</v>
      </c>
      <c r="D20" s="25" t="s">
        <v>230</v>
      </c>
      <c r="E20" s="24"/>
      <c r="F20" s="25" t="s">
        <v>231</v>
      </c>
      <c r="G20" s="25"/>
      <c r="H20" s="139" t="s">
        <v>31</v>
      </c>
      <c r="I20" s="25"/>
      <c r="J20" s="25">
        <v>8.9</v>
      </c>
      <c r="K20" s="25">
        <v>8.9</v>
      </c>
      <c r="L20" s="25">
        <v>1</v>
      </c>
      <c r="M20" s="25" t="s">
        <v>33</v>
      </c>
      <c r="N20" s="25">
        <f t="shared" si="6"/>
        <v>125.49</v>
      </c>
      <c r="O20" s="25">
        <f t="shared" si="7"/>
        <v>146.405</v>
      </c>
      <c r="P20" s="25">
        <f t="shared" si="8"/>
        <v>83.660000000000011</v>
      </c>
      <c r="Q20" s="25">
        <f t="shared" si="9"/>
        <v>62.744999999999997</v>
      </c>
      <c r="R20" s="25">
        <v>418.3</v>
      </c>
      <c r="S20" s="140">
        <v>171718.65</v>
      </c>
      <c r="T20" s="140">
        <v>1528295.9850000001</v>
      </c>
      <c r="U20" s="25"/>
      <c r="V20" s="25"/>
      <c r="W20" s="25" t="s">
        <v>232</v>
      </c>
      <c r="X20" s="25">
        <v>71891</v>
      </c>
      <c r="Y20" s="19" t="s">
        <v>233</v>
      </c>
      <c r="Z20" s="9" t="s">
        <v>231</v>
      </c>
      <c r="AA20" s="70">
        <v>1</v>
      </c>
      <c r="AB20" s="71">
        <v>4459</v>
      </c>
      <c r="AC20" s="73"/>
      <c r="AD20" s="48"/>
      <c r="AE20" s="48"/>
      <c r="AF20" s="49"/>
      <c r="AG20" s="46">
        <f t="shared" ref="AG20:AG21" si="18">K20*0.3</f>
        <v>2.67</v>
      </c>
      <c r="AH20" s="48"/>
      <c r="AI20" s="48"/>
      <c r="AJ20" s="49"/>
      <c r="AK20" s="51"/>
      <c r="AL20" s="41">
        <f>K20*0.35</f>
        <v>3.1149999999999998</v>
      </c>
      <c r="AM20" s="41">
        <f t="shared" si="17"/>
        <v>1.7800000000000002</v>
      </c>
      <c r="AN20" s="49"/>
      <c r="AO20" s="51"/>
      <c r="AP20" s="48"/>
      <c r="AQ20" s="48"/>
      <c r="AR20" s="49"/>
      <c r="AS20" s="51"/>
      <c r="AT20" s="48"/>
      <c r="AU20" s="48"/>
      <c r="AV20" s="59"/>
      <c r="AW20" s="51"/>
      <c r="AX20" s="48"/>
      <c r="AY20" s="48"/>
      <c r="AZ20" s="59"/>
    </row>
    <row r="21" spans="1:52" x14ac:dyDescent="0.25">
      <c r="A21" s="25">
        <v>302</v>
      </c>
      <c r="B21" s="25" t="s">
        <v>228</v>
      </c>
      <c r="C21" s="25" t="s">
        <v>229</v>
      </c>
      <c r="D21" s="25" t="s">
        <v>230</v>
      </c>
      <c r="E21" s="24"/>
      <c r="F21" s="25" t="s">
        <v>231</v>
      </c>
      <c r="G21" s="25"/>
      <c r="H21" s="139" t="s">
        <v>31</v>
      </c>
      <c r="I21" s="25"/>
      <c r="J21" s="25">
        <v>8.9</v>
      </c>
      <c r="K21" s="25">
        <v>8.9</v>
      </c>
      <c r="L21" s="25">
        <v>1</v>
      </c>
      <c r="M21" s="25" t="s">
        <v>33</v>
      </c>
      <c r="N21" s="25">
        <f t="shared" si="6"/>
        <v>125.49</v>
      </c>
      <c r="O21" s="25">
        <f t="shared" si="7"/>
        <v>146.405</v>
      </c>
      <c r="P21" s="25">
        <f t="shared" si="8"/>
        <v>83.660000000000011</v>
      </c>
      <c r="Q21" s="25">
        <f t="shared" si="9"/>
        <v>62.744999999999997</v>
      </c>
      <c r="R21" s="25">
        <v>418.3</v>
      </c>
      <c r="S21" s="140">
        <v>171718.65</v>
      </c>
      <c r="T21" s="140">
        <v>1528295.9850000001</v>
      </c>
      <c r="U21" s="25"/>
      <c r="V21" s="25"/>
      <c r="W21" s="25" t="s">
        <v>232</v>
      </c>
      <c r="X21" s="25">
        <v>71892</v>
      </c>
      <c r="Y21" s="19" t="s">
        <v>233</v>
      </c>
      <c r="Z21" s="9" t="s">
        <v>231</v>
      </c>
      <c r="AA21" s="70">
        <v>1</v>
      </c>
      <c r="AB21" s="71">
        <v>4459</v>
      </c>
      <c r="AC21" s="73"/>
      <c r="AD21" s="48"/>
      <c r="AE21" s="48"/>
      <c r="AF21" s="49"/>
      <c r="AG21" s="46">
        <f t="shared" si="18"/>
        <v>2.67</v>
      </c>
      <c r="AH21" s="48"/>
      <c r="AI21" s="48"/>
      <c r="AJ21" s="49"/>
      <c r="AK21" s="51"/>
      <c r="AL21" s="41">
        <f t="shared" ref="AL21:AL24" si="19">K21*0.35</f>
        <v>3.1149999999999998</v>
      </c>
      <c r="AM21" s="48"/>
      <c r="AN21" s="49"/>
      <c r="AO21" s="51"/>
      <c r="AP21" s="48"/>
      <c r="AQ21" s="41">
        <f>K21*0.2</f>
        <v>1.7800000000000002</v>
      </c>
      <c r="AR21" s="49"/>
      <c r="AS21" s="51"/>
      <c r="AT21" s="48"/>
      <c r="AU21" s="48"/>
      <c r="AV21" s="59"/>
      <c r="AW21" s="51"/>
      <c r="AX21" s="48"/>
      <c r="AY21" s="48"/>
      <c r="AZ21" s="59"/>
    </row>
    <row r="22" spans="1:52" x14ac:dyDescent="0.25">
      <c r="A22" s="25">
        <v>303</v>
      </c>
      <c r="B22" s="25" t="s">
        <v>228</v>
      </c>
      <c r="C22" s="25" t="s">
        <v>229</v>
      </c>
      <c r="D22" s="25" t="s">
        <v>230</v>
      </c>
      <c r="E22" s="24"/>
      <c r="F22" s="25" t="s">
        <v>231</v>
      </c>
      <c r="G22" s="25"/>
      <c r="H22" s="139" t="s">
        <v>31</v>
      </c>
      <c r="I22" s="25"/>
      <c r="J22" s="25">
        <v>8.9</v>
      </c>
      <c r="K22" s="25">
        <v>8.9</v>
      </c>
      <c r="L22" s="25">
        <v>1</v>
      </c>
      <c r="M22" s="25" t="s">
        <v>33</v>
      </c>
      <c r="N22" s="25">
        <f t="shared" si="6"/>
        <v>125.49</v>
      </c>
      <c r="O22" s="25">
        <f t="shared" si="7"/>
        <v>146.405</v>
      </c>
      <c r="P22" s="25">
        <f t="shared" si="8"/>
        <v>83.660000000000011</v>
      </c>
      <c r="Q22" s="25">
        <f t="shared" si="9"/>
        <v>62.744999999999997</v>
      </c>
      <c r="R22" s="25">
        <v>418.3</v>
      </c>
      <c r="S22" s="140">
        <v>171718.65</v>
      </c>
      <c r="T22" s="140">
        <v>1528295.9850000001</v>
      </c>
      <c r="U22" s="25"/>
      <c r="V22" s="25"/>
      <c r="W22" s="25" t="s">
        <v>232</v>
      </c>
      <c r="X22" s="25">
        <v>71893</v>
      </c>
      <c r="Y22" s="19" t="s">
        <v>233</v>
      </c>
      <c r="Z22" s="9" t="s">
        <v>231</v>
      </c>
      <c r="AA22" s="70">
        <v>1</v>
      </c>
      <c r="AB22" s="71">
        <v>4459</v>
      </c>
      <c r="AC22" s="131">
        <f>(K22*0.3)</f>
        <v>2.67</v>
      </c>
      <c r="AD22" s="48"/>
      <c r="AE22" s="48"/>
      <c r="AF22" s="49"/>
      <c r="AG22" s="51"/>
      <c r="AH22" s="48"/>
      <c r="AI22" s="48"/>
      <c r="AJ22" s="49"/>
      <c r="AK22" s="51"/>
      <c r="AL22" s="41">
        <f t="shared" si="19"/>
        <v>3.1149999999999998</v>
      </c>
      <c r="AM22" s="48"/>
      <c r="AN22" s="49"/>
      <c r="AO22" s="51"/>
      <c r="AP22" s="48"/>
      <c r="AQ22" s="41">
        <f t="shared" ref="AQ22:AQ23" si="20">K22*0.2</f>
        <v>1.7800000000000002</v>
      </c>
      <c r="AR22" s="49"/>
      <c r="AS22" s="51"/>
      <c r="AT22" s="48"/>
      <c r="AU22" s="48"/>
      <c r="AV22" s="59"/>
      <c r="AW22" s="51"/>
      <c r="AX22" s="48"/>
      <c r="AY22" s="48"/>
      <c r="AZ22" s="59"/>
    </row>
    <row r="23" spans="1:52" x14ac:dyDescent="0.25">
      <c r="A23" s="25">
        <v>304</v>
      </c>
      <c r="B23" s="25" t="s">
        <v>228</v>
      </c>
      <c r="C23" s="25" t="s">
        <v>229</v>
      </c>
      <c r="D23" s="9" t="s">
        <v>230</v>
      </c>
      <c r="E23" s="8"/>
      <c r="F23" s="25" t="s">
        <v>231</v>
      </c>
      <c r="G23" s="9"/>
      <c r="H23" s="105" t="s">
        <v>31</v>
      </c>
      <c r="I23" s="9"/>
      <c r="J23" s="25">
        <v>8.9</v>
      </c>
      <c r="K23" s="25">
        <v>8.9</v>
      </c>
      <c r="L23" s="9">
        <v>1</v>
      </c>
      <c r="M23" s="9" t="s">
        <v>33</v>
      </c>
      <c r="N23" s="25">
        <f t="shared" si="6"/>
        <v>125.49</v>
      </c>
      <c r="O23" s="25">
        <f t="shared" si="7"/>
        <v>146.405</v>
      </c>
      <c r="P23" s="25">
        <f t="shared" si="8"/>
        <v>83.660000000000011</v>
      </c>
      <c r="Q23" s="25">
        <f t="shared" si="9"/>
        <v>62.744999999999997</v>
      </c>
      <c r="R23" s="25">
        <v>418.3</v>
      </c>
      <c r="S23" s="106">
        <v>171718.65</v>
      </c>
      <c r="T23" s="106">
        <v>1528295.9850000001</v>
      </c>
      <c r="U23" s="9"/>
      <c r="V23" s="9"/>
      <c r="W23" s="25" t="s">
        <v>232</v>
      </c>
      <c r="X23" s="25">
        <v>71894</v>
      </c>
      <c r="Y23" s="19" t="s">
        <v>233</v>
      </c>
      <c r="Z23" s="9" t="s">
        <v>231</v>
      </c>
      <c r="AA23" s="70">
        <v>1</v>
      </c>
      <c r="AB23" s="71">
        <v>4459</v>
      </c>
      <c r="AC23" s="131">
        <f>(K23*0.3)</f>
        <v>2.67</v>
      </c>
      <c r="AD23" s="48"/>
      <c r="AE23" s="48"/>
      <c r="AF23" s="49"/>
      <c r="AG23" s="51"/>
      <c r="AH23" s="48"/>
      <c r="AI23" s="48"/>
      <c r="AJ23" s="49"/>
      <c r="AK23" s="51"/>
      <c r="AL23" s="41">
        <f t="shared" si="19"/>
        <v>3.1149999999999998</v>
      </c>
      <c r="AM23" s="48"/>
      <c r="AN23" s="49"/>
      <c r="AO23" s="51"/>
      <c r="AP23" s="48"/>
      <c r="AQ23" s="41">
        <f t="shared" si="20"/>
        <v>1.7800000000000002</v>
      </c>
      <c r="AR23" s="49"/>
      <c r="AS23" s="51"/>
      <c r="AT23" s="48"/>
      <c r="AU23" s="48"/>
      <c r="AV23" s="59"/>
      <c r="AW23" s="51"/>
      <c r="AX23" s="48"/>
      <c r="AY23" s="48"/>
      <c r="AZ23" s="59"/>
    </row>
    <row r="24" spans="1:52" x14ac:dyDescent="0.25">
      <c r="A24" s="25">
        <v>305</v>
      </c>
      <c r="B24" s="25" t="s">
        <v>228</v>
      </c>
      <c r="C24" s="25" t="s">
        <v>229</v>
      </c>
      <c r="D24" s="25" t="s">
        <v>230</v>
      </c>
      <c r="E24" s="24"/>
      <c r="F24" s="25" t="s">
        <v>231</v>
      </c>
      <c r="G24" s="25"/>
      <c r="H24" s="139" t="s">
        <v>31</v>
      </c>
      <c r="I24" s="25"/>
      <c r="J24" s="25">
        <v>8.9</v>
      </c>
      <c r="K24" s="25">
        <v>8.9</v>
      </c>
      <c r="L24" s="25">
        <v>1</v>
      </c>
      <c r="M24" s="25" t="s">
        <v>33</v>
      </c>
      <c r="N24" s="25">
        <f t="shared" si="6"/>
        <v>125.49</v>
      </c>
      <c r="O24" s="25">
        <f t="shared" si="7"/>
        <v>146.405</v>
      </c>
      <c r="P24" s="25">
        <f t="shared" si="8"/>
        <v>83.660000000000011</v>
      </c>
      <c r="Q24" s="25">
        <f t="shared" si="9"/>
        <v>62.744999999999997</v>
      </c>
      <c r="R24" s="25">
        <v>418.3</v>
      </c>
      <c r="S24" s="140">
        <v>171718.65</v>
      </c>
      <c r="T24" s="140">
        <v>1528295.9850000001</v>
      </c>
      <c r="U24" s="25"/>
      <c r="V24" s="25"/>
      <c r="W24" s="25" t="s">
        <v>232</v>
      </c>
      <c r="X24" s="25">
        <v>71895</v>
      </c>
      <c r="Y24" s="19" t="s">
        <v>233</v>
      </c>
      <c r="Z24" s="9" t="s">
        <v>231</v>
      </c>
      <c r="AA24" s="70">
        <v>1</v>
      </c>
      <c r="AB24" s="71">
        <v>4459</v>
      </c>
      <c r="AC24" s="131">
        <f>(K24*0.3)</f>
        <v>2.67</v>
      </c>
      <c r="AD24" s="48"/>
      <c r="AE24" s="48"/>
      <c r="AF24" s="49"/>
      <c r="AG24" s="51"/>
      <c r="AH24" s="48"/>
      <c r="AI24" s="48"/>
      <c r="AJ24" s="49"/>
      <c r="AK24" s="51"/>
      <c r="AL24" s="41">
        <f t="shared" si="19"/>
        <v>3.1149999999999998</v>
      </c>
      <c r="AM24" s="48"/>
      <c r="AN24" s="49"/>
      <c r="AO24" s="51"/>
      <c r="AP24" s="48"/>
      <c r="AQ24" s="41">
        <f>K24*0.2</f>
        <v>1.7800000000000002</v>
      </c>
      <c r="AR24" s="49"/>
      <c r="AS24" s="51"/>
      <c r="AT24" s="48"/>
      <c r="AU24" s="48"/>
      <c r="AV24" s="59"/>
      <c r="AW24" s="51"/>
      <c r="AX24" s="48"/>
      <c r="AY24" s="48"/>
      <c r="AZ24" s="59"/>
    </row>
    <row r="25" spans="1:52" x14ac:dyDescent="0.25">
      <c r="A25" s="9">
        <v>306</v>
      </c>
      <c r="B25" s="9" t="s">
        <v>228</v>
      </c>
      <c r="C25" s="9" t="s">
        <v>248</v>
      </c>
      <c r="D25" s="9" t="s">
        <v>230</v>
      </c>
      <c r="E25" s="8"/>
      <c r="F25" s="9" t="s">
        <v>501</v>
      </c>
      <c r="G25" s="9"/>
      <c r="H25" s="105" t="s">
        <v>31</v>
      </c>
      <c r="I25" s="9"/>
      <c r="J25" s="9">
        <v>4.4000000000000004</v>
      </c>
      <c r="K25" s="9">
        <v>4.4000000000000004</v>
      </c>
      <c r="L25" s="9">
        <v>1</v>
      </c>
      <c r="M25" s="9" t="s">
        <v>33</v>
      </c>
      <c r="N25" s="9">
        <f t="shared" si="6"/>
        <v>68.64</v>
      </c>
      <c r="O25" s="9">
        <f t="shared" si="7"/>
        <v>80.08</v>
      </c>
      <c r="P25" s="9">
        <f t="shared" si="8"/>
        <v>45.760000000000005</v>
      </c>
      <c r="Q25" s="9">
        <f t="shared" si="9"/>
        <v>34.32</v>
      </c>
      <c r="R25" s="9">
        <v>228.8</v>
      </c>
      <c r="S25" s="106">
        <v>171718.65</v>
      </c>
      <c r="T25" s="106">
        <v>755562.06</v>
      </c>
      <c r="U25" s="9"/>
      <c r="V25" s="9"/>
      <c r="W25" s="9" t="s">
        <v>249</v>
      </c>
      <c r="X25" s="9">
        <v>71864</v>
      </c>
      <c r="Y25" s="19" t="s">
        <v>233</v>
      </c>
      <c r="Z25" s="9" t="s">
        <v>109</v>
      </c>
      <c r="AA25" s="70">
        <v>1</v>
      </c>
      <c r="AB25" s="71">
        <v>4459</v>
      </c>
      <c r="AC25" s="73"/>
      <c r="AD25" s="48"/>
      <c r="AE25" s="48"/>
      <c r="AF25" s="49"/>
      <c r="AG25" s="51"/>
      <c r="AH25" s="48"/>
      <c r="AI25" s="48"/>
      <c r="AJ25" s="49"/>
      <c r="AK25" s="51"/>
      <c r="AL25" s="48"/>
      <c r="AM25" s="48"/>
      <c r="AN25" s="49"/>
      <c r="AO25" s="51"/>
      <c r="AP25" s="48"/>
      <c r="AQ25" s="48"/>
      <c r="AR25" s="49"/>
      <c r="AS25" s="58"/>
      <c r="AT25" s="42"/>
      <c r="AU25" s="42"/>
      <c r="AV25" s="59"/>
      <c r="AW25" s="58"/>
      <c r="AX25" s="42"/>
      <c r="AY25" s="42"/>
      <c r="AZ25" s="59"/>
    </row>
    <row r="26" spans="1:52" x14ac:dyDescent="0.25">
      <c r="A26" s="9">
        <v>307</v>
      </c>
      <c r="B26" s="9" t="s">
        <v>228</v>
      </c>
      <c r="C26" s="9" t="s">
        <v>248</v>
      </c>
      <c r="D26" s="9" t="s">
        <v>230</v>
      </c>
      <c r="E26" s="8"/>
      <c r="F26" s="9" t="s">
        <v>501</v>
      </c>
      <c r="G26" s="9"/>
      <c r="H26" s="105" t="s">
        <v>31</v>
      </c>
      <c r="I26" s="9"/>
      <c r="J26" s="9">
        <v>4.4000000000000004</v>
      </c>
      <c r="K26" s="9">
        <v>4.4000000000000004</v>
      </c>
      <c r="L26" s="9">
        <v>1</v>
      </c>
      <c r="M26" s="9" t="s">
        <v>33</v>
      </c>
      <c r="N26" s="9">
        <f t="shared" si="6"/>
        <v>68.64</v>
      </c>
      <c r="O26" s="9">
        <f t="shared" si="7"/>
        <v>80.08</v>
      </c>
      <c r="P26" s="9">
        <f t="shared" si="8"/>
        <v>45.760000000000005</v>
      </c>
      <c r="Q26" s="9">
        <f t="shared" si="9"/>
        <v>34.32</v>
      </c>
      <c r="R26" s="9">
        <v>228.8</v>
      </c>
      <c r="S26" s="106">
        <v>171718.65</v>
      </c>
      <c r="T26" s="106">
        <v>755562.06</v>
      </c>
      <c r="U26" s="9"/>
      <c r="V26" s="9"/>
      <c r="W26" s="9" t="s">
        <v>249</v>
      </c>
      <c r="X26" s="9">
        <v>71864</v>
      </c>
      <c r="Y26" s="19" t="s">
        <v>233</v>
      </c>
      <c r="Z26" s="9" t="s">
        <v>109</v>
      </c>
      <c r="AA26" s="70">
        <v>2</v>
      </c>
      <c r="AB26" s="71">
        <v>4459</v>
      </c>
      <c r="AC26" s="73"/>
      <c r="AD26" s="48"/>
      <c r="AE26" s="48"/>
      <c r="AF26" s="49"/>
      <c r="AG26" s="51"/>
      <c r="AH26" s="48"/>
      <c r="AI26" s="48"/>
      <c r="AJ26" s="49"/>
      <c r="AK26" s="51"/>
      <c r="AL26" s="48"/>
      <c r="AM26" s="48"/>
      <c r="AN26" s="49"/>
      <c r="AO26" s="51"/>
      <c r="AP26" s="48"/>
      <c r="AQ26" s="48"/>
      <c r="AR26" s="49"/>
      <c r="AS26" s="58"/>
      <c r="AT26" s="42"/>
      <c r="AU26" s="42"/>
      <c r="AV26" s="59"/>
      <c r="AW26" s="58"/>
      <c r="AX26" s="42"/>
      <c r="AY26" s="42"/>
      <c r="AZ26" s="59"/>
    </row>
    <row r="27" spans="1:52" x14ac:dyDescent="0.25">
      <c r="A27" s="25">
        <v>308</v>
      </c>
      <c r="B27" s="25" t="s">
        <v>228</v>
      </c>
      <c r="C27" s="25" t="s">
        <v>229</v>
      </c>
      <c r="D27" s="9" t="s">
        <v>230</v>
      </c>
      <c r="E27" s="8"/>
      <c r="F27" s="25" t="s">
        <v>231</v>
      </c>
      <c r="G27" s="9"/>
      <c r="H27" s="105" t="s">
        <v>31</v>
      </c>
      <c r="I27" s="9"/>
      <c r="J27" s="25">
        <v>4</v>
      </c>
      <c r="K27" s="25">
        <v>4</v>
      </c>
      <c r="L27" s="25">
        <v>1</v>
      </c>
      <c r="M27" s="25" t="s">
        <v>33</v>
      </c>
      <c r="N27" s="25">
        <f t="shared" si="6"/>
        <v>62.4</v>
      </c>
      <c r="O27" s="25">
        <f t="shared" si="7"/>
        <v>72.8</v>
      </c>
      <c r="P27" s="25">
        <f t="shared" si="8"/>
        <v>41.6</v>
      </c>
      <c r="Q27" s="25">
        <f t="shared" si="9"/>
        <v>31.2</v>
      </c>
      <c r="R27" s="25">
        <v>208</v>
      </c>
      <c r="S27" s="106">
        <v>171718.65</v>
      </c>
      <c r="T27" s="106">
        <v>686874.6</v>
      </c>
      <c r="U27" s="9"/>
      <c r="V27" s="9"/>
      <c r="W27" s="25" t="s">
        <v>232</v>
      </c>
      <c r="X27" s="25">
        <v>71896</v>
      </c>
      <c r="Y27" s="19" t="s">
        <v>233</v>
      </c>
      <c r="Z27" s="9" t="s">
        <v>231</v>
      </c>
      <c r="AA27" s="70">
        <v>1</v>
      </c>
      <c r="AB27" s="71">
        <v>4459</v>
      </c>
      <c r="AC27" s="131">
        <f>(K27*0.3)</f>
        <v>1.2</v>
      </c>
      <c r="AD27" s="48"/>
      <c r="AE27" s="48"/>
      <c r="AF27" s="49"/>
      <c r="AG27" s="51"/>
      <c r="AH27" s="41">
        <f>K27*0.35</f>
        <v>1.4</v>
      </c>
      <c r="AI27" s="48"/>
      <c r="AJ27" s="49"/>
      <c r="AK27" s="51"/>
      <c r="AL27" s="48"/>
      <c r="AM27" s="41">
        <f t="shared" ref="AM27:AM28" si="21">K27*0.2</f>
        <v>0.8</v>
      </c>
      <c r="AN27" s="49"/>
      <c r="AO27" s="51"/>
      <c r="AP27" s="48"/>
      <c r="AQ27" s="48"/>
      <c r="AR27" s="49"/>
      <c r="AS27" s="51"/>
      <c r="AT27" s="48"/>
      <c r="AU27" s="48"/>
      <c r="AV27" s="59"/>
      <c r="AW27" s="51"/>
      <c r="AX27" s="48"/>
      <c r="AY27" s="48"/>
      <c r="AZ27" s="59"/>
    </row>
    <row r="28" spans="1:52" x14ac:dyDescent="0.25">
      <c r="A28" s="25">
        <v>309</v>
      </c>
      <c r="B28" s="25" t="s">
        <v>228</v>
      </c>
      <c r="C28" s="25" t="s">
        <v>229</v>
      </c>
      <c r="D28" s="9" t="s">
        <v>230</v>
      </c>
      <c r="E28" s="8"/>
      <c r="F28" s="25" t="s">
        <v>231</v>
      </c>
      <c r="G28" s="9"/>
      <c r="H28" s="105" t="s">
        <v>31</v>
      </c>
      <c r="I28" s="9"/>
      <c r="J28" s="25">
        <v>4</v>
      </c>
      <c r="K28" s="25">
        <v>4</v>
      </c>
      <c r="L28" s="25">
        <v>1</v>
      </c>
      <c r="M28" s="25" t="s">
        <v>33</v>
      </c>
      <c r="N28" s="25">
        <f t="shared" si="6"/>
        <v>62.4</v>
      </c>
      <c r="O28" s="25">
        <f t="shared" si="7"/>
        <v>72.8</v>
      </c>
      <c r="P28" s="25">
        <f t="shared" si="8"/>
        <v>41.6</v>
      </c>
      <c r="Q28" s="25">
        <f t="shared" si="9"/>
        <v>31.2</v>
      </c>
      <c r="R28" s="25">
        <v>208</v>
      </c>
      <c r="S28" s="106">
        <v>171718.65</v>
      </c>
      <c r="T28" s="106">
        <v>686874.6</v>
      </c>
      <c r="U28" s="9"/>
      <c r="V28" s="9"/>
      <c r="W28" s="25" t="s">
        <v>232</v>
      </c>
      <c r="X28" s="25">
        <v>71897</v>
      </c>
      <c r="Y28" s="19" t="s">
        <v>233</v>
      </c>
      <c r="Z28" s="9" t="s">
        <v>231</v>
      </c>
      <c r="AA28" s="70">
        <v>1</v>
      </c>
      <c r="AB28" s="71">
        <v>4459</v>
      </c>
      <c r="AC28" s="131">
        <f>K28*0.3</f>
        <v>1.2</v>
      </c>
      <c r="AD28" s="48"/>
      <c r="AE28" s="48"/>
      <c r="AF28" s="49"/>
      <c r="AG28" s="51"/>
      <c r="AH28" s="41">
        <f>K28*0.35</f>
        <v>1.4</v>
      </c>
      <c r="AI28" s="48"/>
      <c r="AJ28" s="49"/>
      <c r="AK28" s="51"/>
      <c r="AL28" s="48"/>
      <c r="AM28" s="41">
        <f t="shared" si="21"/>
        <v>0.8</v>
      </c>
      <c r="AN28" s="49"/>
      <c r="AO28" s="51"/>
      <c r="AP28" s="48"/>
      <c r="AQ28" s="48"/>
      <c r="AR28" s="49"/>
      <c r="AS28" s="51"/>
      <c r="AT28" s="48"/>
      <c r="AU28" s="48"/>
      <c r="AV28" s="59"/>
      <c r="AW28" s="51"/>
      <c r="AX28" s="48"/>
      <c r="AY28" s="48"/>
      <c r="AZ28" s="59"/>
    </row>
    <row r="29" spans="1:52" x14ac:dyDescent="0.25">
      <c r="A29" s="25">
        <v>310</v>
      </c>
      <c r="B29" s="25" t="s">
        <v>228</v>
      </c>
      <c r="C29" s="25" t="s">
        <v>229</v>
      </c>
      <c r="D29" s="9" t="s">
        <v>230</v>
      </c>
      <c r="E29" s="8"/>
      <c r="F29" s="25" t="s">
        <v>231</v>
      </c>
      <c r="G29" s="9"/>
      <c r="H29" s="105" t="s">
        <v>31</v>
      </c>
      <c r="I29" s="9"/>
      <c r="J29" s="25">
        <v>4</v>
      </c>
      <c r="K29" s="25">
        <v>4</v>
      </c>
      <c r="L29" s="25">
        <v>1</v>
      </c>
      <c r="M29" s="25" t="s">
        <v>33</v>
      </c>
      <c r="N29" s="25">
        <f t="shared" si="6"/>
        <v>62.4</v>
      </c>
      <c r="O29" s="25">
        <f t="shared" si="7"/>
        <v>72.8</v>
      </c>
      <c r="P29" s="25">
        <f t="shared" si="8"/>
        <v>41.6</v>
      </c>
      <c r="Q29" s="25">
        <f t="shared" si="9"/>
        <v>31.2</v>
      </c>
      <c r="R29" s="25">
        <v>208</v>
      </c>
      <c r="S29" s="106">
        <v>171718.65</v>
      </c>
      <c r="T29" s="106">
        <v>686874.6</v>
      </c>
      <c r="U29" s="9"/>
      <c r="V29" s="9"/>
      <c r="W29" s="25" t="s">
        <v>232</v>
      </c>
      <c r="X29" s="25">
        <v>71899</v>
      </c>
      <c r="Y29" s="19" t="s">
        <v>233</v>
      </c>
      <c r="Z29" s="9" t="s">
        <v>231</v>
      </c>
      <c r="AA29" s="70">
        <v>1</v>
      </c>
      <c r="AB29" s="71">
        <v>4459</v>
      </c>
      <c r="AC29" s="131">
        <f>(K29*0.3)</f>
        <v>1.2</v>
      </c>
      <c r="AD29" s="48"/>
      <c r="AE29" s="48"/>
      <c r="AF29" s="49"/>
      <c r="AG29" s="51"/>
      <c r="AH29" s="48"/>
      <c r="AI29" s="48"/>
      <c r="AJ29" s="49"/>
      <c r="AK29" s="51"/>
      <c r="AL29" s="41">
        <f>K29*0.35</f>
        <v>1.4</v>
      </c>
      <c r="AM29" s="48"/>
      <c r="AN29" s="49"/>
      <c r="AO29" s="51"/>
      <c r="AP29" s="48"/>
      <c r="AQ29" s="41">
        <f t="shared" ref="AQ29" si="22">K29*0.2</f>
        <v>0.8</v>
      </c>
      <c r="AR29" s="49"/>
      <c r="AS29" s="51"/>
      <c r="AT29" s="48"/>
      <c r="AU29" s="48"/>
      <c r="AV29" s="49"/>
      <c r="AW29" s="51"/>
      <c r="AX29" s="48"/>
      <c r="AY29" s="48"/>
      <c r="AZ29" s="49"/>
    </row>
    <row r="30" spans="1:52" x14ac:dyDescent="0.25">
      <c r="A30" s="9">
        <v>311</v>
      </c>
      <c r="B30" s="9" t="s">
        <v>228</v>
      </c>
      <c r="C30" s="9" t="s">
        <v>248</v>
      </c>
      <c r="D30" s="9" t="s">
        <v>230</v>
      </c>
      <c r="E30" s="8"/>
      <c r="F30" s="9" t="s">
        <v>501</v>
      </c>
      <c r="G30" s="9"/>
      <c r="H30" s="105" t="s">
        <v>31</v>
      </c>
      <c r="I30" s="9"/>
      <c r="J30" s="9">
        <v>4.4000000000000004</v>
      </c>
      <c r="K30" s="9">
        <v>4.4000000000000004</v>
      </c>
      <c r="L30" s="9">
        <v>1</v>
      </c>
      <c r="M30" s="9" t="s">
        <v>33</v>
      </c>
      <c r="N30" s="9">
        <f t="shared" si="6"/>
        <v>68.64</v>
      </c>
      <c r="O30" s="9">
        <f t="shared" si="7"/>
        <v>80.08</v>
      </c>
      <c r="P30" s="9">
        <f t="shared" si="8"/>
        <v>45.760000000000005</v>
      </c>
      <c r="Q30" s="9">
        <f t="shared" si="9"/>
        <v>34.32</v>
      </c>
      <c r="R30" s="9">
        <v>228.8</v>
      </c>
      <c r="S30" s="106">
        <v>171718.65</v>
      </c>
      <c r="T30" s="106">
        <v>755562.06</v>
      </c>
      <c r="U30" s="9"/>
      <c r="V30" s="9"/>
      <c r="W30" s="9" t="s">
        <v>250</v>
      </c>
      <c r="X30" s="9">
        <v>71865</v>
      </c>
      <c r="Y30" s="19" t="s">
        <v>233</v>
      </c>
      <c r="Z30" s="9" t="s">
        <v>109</v>
      </c>
      <c r="AA30" s="70">
        <v>1</v>
      </c>
      <c r="AB30" s="71">
        <v>4459</v>
      </c>
      <c r="AC30" s="73"/>
      <c r="AD30" s="48"/>
      <c r="AE30" s="48"/>
      <c r="AF30" s="49"/>
      <c r="AG30" s="51"/>
      <c r="AH30" s="48"/>
      <c r="AI30" s="48"/>
      <c r="AJ30" s="49"/>
      <c r="AK30" s="51"/>
      <c r="AL30" s="48"/>
      <c r="AM30" s="48"/>
      <c r="AN30" s="49"/>
      <c r="AO30" s="51"/>
      <c r="AP30" s="48"/>
      <c r="AQ30" s="48"/>
      <c r="AR30" s="49"/>
      <c r="AS30" s="58"/>
      <c r="AT30" s="42"/>
      <c r="AU30" s="42"/>
      <c r="AV30" s="59"/>
      <c r="AW30" s="58"/>
      <c r="AX30" s="42"/>
      <c r="AY30" s="42"/>
      <c r="AZ30" s="59"/>
    </row>
    <row r="31" spans="1:52" x14ac:dyDescent="0.25">
      <c r="A31" s="9">
        <v>312</v>
      </c>
      <c r="B31" s="9" t="s">
        <v>228</v>
      </c>
      <c r="C31" s="9" t="s">
        <v>248</v>
      </c>
      <c r="D31" s="9" t="s">
        <v>230</v>
      </c>
      <c r="E31" s="8"/>
      <c r="F31" s="9" t="s">
        <v>501</v>
      </c>
      <c r="G31" s="9"/>
      <c r="H31" s="105" t="s">
        <v>31</v>
      </c>
      <c r="I31" s="9"/>
      <c r="J31" s="9">
        <v>4.4000000000000004</v>
      </c>
      <c r="K31" s="9">
        <v>4.4000000000000004</v>
      </c>
      <c r="L31" s="9">
        <v>1</v>
      </c>
      <c r="M31" s="9" t="s">
        <v>33</v>
      </c>
      <c r="N31" s="9">
        <f t="shared" si="6"/>
        <v>68.64</v>
      </c>
      <c r="O31" s="9">
        <f t="shared" si="7"/>
        <v>80.08</v>
      </c>
      <c r="P31" s="9">
        <f t="shared" si="8"/>
        <v>45.760000000000005</v>
      </c>
      <c r="Q31" s="9">
        <f t="shared" si="9"/>
        <v>34.32</v>
      </c>
      <c r="R31" s="9">
        <v>228.8</v>
      </c>
      <c r="S31" s="106">
        <v>171718.65</v>
      </c>
      <c r="T31" s="106">
        <v>755562.06</v>
      </c>
      <c r="U31" s="9"/>
      <c r="V31" s="9"/>
      <c r="W31" s="9" t="s">
        <v>250</v>
      </c>
      <c r="X31" s="9">
        <v>71865</v>
      </c>
      <c r="Y31" s="19" t="s">
        <v>233</v>
      </c>
      <c r="Z31" s="9" t="s">
        <v>109</v>
      </c>
      <c r="AA31" s="70">
        <v>2</v>
      </c>
      <c r="AB31" s="71">
        <v>4459</v>
      </c>
      <c r="AC31" s="73"/>
      <c r="AD31" s="48"/>
      <c r="AE31" s="48"/>
      <c r="AF31" s="49"/>
      <c r="AG31" s="51"/>
      <c r="AH31" s="48"/>
      <c r="AI31" s="48"/>
      <c r="AJ31" s="49"/>
      <c r="AK31" s="51"/>
      <c r="AL31" s="48"/>
      <c r="AM31" s="48"/>
      <c r="AN31" s="49"/>
      <c r="AO31" s="51"/>
      <c r="AP31" s="48"/>
      <c r="AQ31" s="48"/>
      <c r="AR31" s="49"/>
      <c r="AS31" s="58"/>
      <c r="AT31" s="42"/>
      <c r="AU31" s="42"/>
      <c r="AV31" s="59"/>
      <c r="AW31" s="58"/>
      <c r="AX31" s="42"/>
      <c r="AY31" s="42"/>
      <c r="AZ31" s="59"/>
    </row>
    <row r="32" spans="1:52" x14ac:dyDescent="0.25">
      <c r="A32" s="25">
        <v>313</v>
      </c>
      <c r="B32" s="25" t="s">
        <v>228</v>
      </c>
      <c r="C32" s="25" t="s">
        <v>229</v>
      </c>
      <c r="D32" s="9" t="s">
        <v>230</v>
      </c>
      <c r="E32" s="8"/>
      <c r="F32" s="25" t="s">
        <v>231</v>
      </c>
      <c r="G32" s="9"/>
      <c r="H32" s="105" t="s">
        <v>31</v>
      </c>
      <c r="I32" s="9"/>
      <c r="J32" s="25">
        <v>4</v>
      </c>
      <c r="K32" s="25">
        <v>4</v>
      </c>
      <c r="L32" s="9">
        <v>1</v>
      </c>
      <c r="M32" s="9" t="s">
        <v>33</v>
      </c>
      <c r="N32" s="25">
        <f t="shared" si="6"/>
        <v>62.4</v>
      </c>
      <c r="O32" s="25">
        <f t="shared" si="7"/>
        <v>72.8</v>
      </c>
      <c r="P32" s="25">
        <f t="shared" si="8"/>
        <v>41.6</v>
      </c>
      <c r="Q32" s="25">
        <f t="shared" si="9"/>
        <v>31.2</v>
      </c>
      <c r="R32" s="25">
        <v>208</v>
      </c>
      <c r="S32" s="106">
        <v>171718.65</v>
      </c>
      <c r="T32" s="106">
        <v>686874.6</v>
      </c>
      <c r="U32" s="9"/>
      <c r="V32" s="9"/>
      <c r="W32" s="25" t="s">
        <v>232</v>
      </c>
      <c r="X32" s="25">
        <v>71898</v>
      </c>
      <c r="Y32" s="19" t="s">
        <v>233</v>
      </c>
      <c r="Z32" s="9" t="s">
        <v>231</v>
      </c>
      <c r="AA32" s="70">
        <v>1</v>
      </c>
      <c r="AB32" s="71">
        <v>4459</v>
      </c>
      <c r="AC32" s="131">
        <f>K32*0.3</f>
        <v>1.2</v>
      </c>
      <c r="AD32" s="48"/>
      <c r="AE32" s="48"/>
      <c r="AF32" s="49"/>
      <c r="AG32" s="51"/>
      <c r="AH32" s="48"/>
      <c r="AI32" s="48"/>
      <c r="AJ32" s="49"/>
      <c r="AK32" s="51"/>
      <c r="AL32" s="41">
        <f>K32*0.35</f>
        <v>1.4</v>
      </c>
      <c r="AM32" s="48"/>
      <c r="AN32" s="49"/>
      <c r="AO32" s="51"/>
      <c r="AP32" s="48"/>
      <c r="AQ32" s="41">
        <f t="shared" ref="AQ32" si="23">K32*0.2</f>
        <v>0.8</v>
      </c>
      <c r="AR32" s="49"/>
      <c r="AS32" s="51"/>
      <c r="AT32" s="48"/>
      <c r="AU32" s="48"/>
      <c r="AV32" s="49"/>
      <c r="AW32" s="51"/>
      <c r="AX32" s="48"/>
      <c r="AY32" s="48"/>
      <c r="AZ32" s="49"/>
    </row>
    <row r="33" spans="1:52" x14ac:dyDescent="0.25">
      <c r="A33" s="9">
        <v>314</v>
      </c>
      <c r="B33" s="9" t="s">
        <v>228</v>
      </c>
      <c r="C33" s="9" t="s">
        <v>248</v>
      </c>
      <c r="D33" s="9" t="s">
        <v>230</v>
      </c>
      <c r="E33" s="8"/>
      <c r="F33" s="9" t="s">
        <v>501</v>
      </c>
      <c r="G33" s="9"/>
      <c r="H33" s="105" t="s">
        <v>31</v>
      </c>
      <c r="I33" s="9"/>
      <c r="J33" s="9">
        <v>4.2709999999999999</v>
      </c>
      <c r="K33" s="9">
        <v>4.2709999999999999</v>
      </c>
      <c r="L33" s="9">
        <v>1</v>
      </c>
      <c r="M33" s="9" t="s">
        <v>33</v>
      </c>
      <c r="N33" s="9">
        <f t="shared" si="6"/>
        <v>66.627599999999987</v>
      </c>
      <c r="O33" s="9">
        <f t="shared" si="7"/>
        <v>77.732199999999992</v>
      </c>
      <c r="P33" s="9">
        <f t="shared" si="8"/>
        <v>44.418399999999998</v>
      </c>
      <c r="Q33" s="9">
        <f t="shared" si="9"/>
        <v>33.313799999999993</v>
      </c>
      <c r="R33" s="9">
        <v>222.09199999999998</v>
      </c>
      <c r="S33" s="106">
        <v>171718.65</v>
      </c>
      <c r="T33" s="106">
        <v>733410.35414999991</v>
      </c>
      <c r="U33" s="9"/>
      <c r="V33" s="9"/>
      <c r="W33" s="9" t="s">
        <v>250</v>
      </c>
      <c r="X33" s="9">
        <v>71866</v>
      </c>
      <c r="Y33" s="19" t="s">
        <v>233</v>
      </c>
      <c r="Z33" s="9" t="s">
        <v>109</v>
      </c>
      <c r="AA33" s="70">
        <v>2</v>
      </c>
      <c r="AB33" s="71">
        <v>4459</v>
      </c>
      <c r="AC33" s="73"/>
      <c r="AD33" s="48"/>
      <c r="AE33" s="48"/>
      <c r="AF33" s="49"/>
      <c r="AG33" s="51"/>
      <c r="AH33" s="48"/>
      <c r="AI33" s="48"/>
      <c r="AJ33" s="49"/>
      <c r="AK33" s="51"/>
      <c r="AL33" s="48"/>
      <c r="AM33" s="48"/>
      <c r="AN33" s="49"/>
      <c r="AO33" s="51"/>
      <c r="AP33" s="48"/>
      <c r="AQ33" s="48"/>
      <c r="AR33" s="49"/>
      <c r="AS33" s="58"/>
      <c r="AT33" s="42"/>
      <c r="AU33" s="42"/>
      <c r="AV33" s="59"/>
      <c r="AW33" s="58"/>
      <c r="AX33" s="42"/>
      <c r="AY33" s="42"/>
      <c r="AZ33" s="59"/>
    </row>
    <row r="34" spans="1:52" x14ac:dyDescent="0.25">
      <c r="A34" s="9">
        <v>315</v>
      </c>
      <c r="B34" s="9" t="s">
        <v>228</v>
      </c>
      <c r="C34" s="9" t="s">
        <v>248</v>
      </c>
      <c r="D34" s="9" t="s">
        <v>230</v>
      </c>
      <c r="E34" s="8"/>
      <c r="F34" s="9" t="s">
        <v>501</v>
      </c>
      <c r="G34" s="9"/>
      <c r="H34" s="105" t="s">
        <v>31</v>
      </c>
      <c r="I34" s="9"/>
      <c r="J34" s="9">
        <v>4.2709999999999999</v>
      </c>
      <c r="K34" s="9">
        <v>4.2709999999999999</v>
      </c>
      <c r="L34" s="9">
        <v>1</v>
      </c>
      <c r="M34" s="9" t="s">
        <v>33</v>
      </c>
      <c r="N34" s="9">
        <f t="shared" si="6"/>
        <v>66.627599999999987</v>
      </c>
      <c r="O34" s="9">
        <f t="shared" si="7"/>
        <v>77.732199999999992</v>
      </c>
      <c r="P34" s="9">
        <f t="shared" si="8"/>
        <v>44.418399999999998</v>
      </c>
      <c r="Q34" s="9">
        <f t="shared" si="9"/>
        <v>33.313799999999993</v>
      </c>
      <c r="R34" s="9">
        <v>222.09199999999998</v>
      </c>
      <c r="S34" s="106">
        <v>171718.65</v>
      </c>
      <c r="T34" s="106">
        <v>733410.35414999991</v>
      </c>
      <c r="U34" s="9"/>
      <c r="V34" s="9"/>
      <c r="W34" s="9" t="s">
        <v>249</v>
      </c>
      <c r="X34" s="9">
        <v>71866</v>
      </c>
      <c r="Y34" s="19" t="s">
        <v>233</v>
      </c>
      <c r="Z34" s="9" t="s">
        <v>109</v>
      </c>
      <c r="AA34" s="70">
        <v>3</v>
      </c>
      <c r="AB34" s="71">
        <v>4459</v>
      </c>
      <c r="AC34" s="73"/>
      <c r="AD34" s="48"/>
      <c r="AE34" s="48"/>
      <c r="AF34" s="49"/>
      <c r="AG34" s="51"/>
      <c r="AH34" s="48"/>
      <c r="AI34" s="48"/>
      <c r="AJ34" s="49"/>
      <c r="AK34" s="51"/>
      <c r="AL34" s="48"/>
      <c r="AM34" s="48"/>
      <c r="AN34" s="49"/>
      <c r="AO34" s="51"/>
      <c r="AP34" s="48"/>
      <c r="AQ34" s="48"/>
      <c r="AR34" s="49"/>
      <c r="AS34" s="58"/>
      <c r="AT34" s="42"/>
      <c r="AU34" s="42"/>
      <c r="AV34" s="59"/>
      <c r="AW34" s="58"/>
      <c r="AX34" s="42"/>
      <c r="AY34" s="42"/>
      <c r="AZ34" s="59"/>
    </row>
    <row r="35" spans="1:52" x14ac:dyDescent="0.25">
      <c r="A35" s="25">
        <v>316</v>
      </c>
      <c r="B35" s="25" t="s">
        <v>228</v>
      </c>
      <c r="C35" s="9" t="s">
        <v>229</v>
      </c>
      <c r="D35" s="9" t="s">
        <v>230</v>
      </c>
      <c r="E35" s="8"/>
      <c r="F35" s="25" t="s">
        <v>231</v>
      </c>
      <c r="G35" s="9"/>
      <c r="H35" s="105" t="s">
        <v>31</v>
      </c>
      <c r="I35" s="9"/>
      <c r="J35" s="25">
        <v>4</v>
      </c>
      <c r="K35" s="25">
        <v>4</v>
      </c>
      <c r="L35" s="9">
        <v>1</v>
      </c>
      <c r="M35" s="9" t="s">
        <v>33</v>
      </c>
      <c r="N35" s="25">
        <f t="shared" si="6"/>
        <v>62.4</v>
      </c>
      <c r="O35" s="25">
        <f t="shared" si="7"/>
        <v>72.8</v>
      </c>
      <c r="P35" s="25">
        <f t="shared" si="8"/>
        <v>41.6</v>
      </c>
      <c r="Q35" s="25">
        <f t="shared" si="9"/>
        <v>31.2</v>
      </c>
      <c r="R35" s="25">
        <v>208</v>
      </c>
      <c r="S35" s="106">
        <v>171718.65</v>
      </c>
      <c r="T35" s="106">
        <v>686874.6</v>
      </c>
      <c r="U35" s="9"/>
      <c r="V35" s="9"/>
      <c r="W35" s="25" t="s">
        <v>232</v>
      </c>
      <c r="X35" s="25">
        <v>71900</v>
      </c>
      <c r="Y35" s="19" t="s">
        <v>233</v>
      </c>
      <c r="Z35" s="9" t="s">
        <v>231</v>
      </c>
      <c r="AA35" s="70">
        <v>1</v>
      </c>
      <c r="AB35" s="71">
        <v>4459</v>
      </c>
      <c r="AC35" s="73"/>
      <c r="AD35" s="48"/>
      <c r="AE35" s="48"/>
      <c r="AF35" s="49"/>
      <c r="AG35" s="46">
        <f t="shared" ref="AG35:AG40" si="24">K35*0.3</f>
        <v>1.2</v>
      </c>
      <c r="AH35" s="41">
        <f t="shared" ref="AH35:AH40" si="25">K35*0.35</f>
        <v>1.4</v>
      </c>
      <c r="AI35" s="48"/>
      <c r="AJ35" s="49"/>
      <c r="AK35" s="51"/>
      <c r="AL35" s="48"/>
      <c r="AM35" s="48"/>
      <c r="AN35" s="49"/>
      <c r="AO35" s="51"/>
      <c r="AP35" s="48"/>
      <c r="AQ35" s="41">
        <f>K35*0.2</f>
        <v>0.8</v>
      </c>
      <c r="AR35" s="49"/>
      <c r="AS35" s="51"/>
      <c r="AT35" s="48"/>
      <c r="AU35" s="48"/>
      <c r="AV35" s="59"/>
      <c r="AW35" s="51"/>
      <c r="AX35" s="48"/>
      <c r="AY35" s="48"/>
      <c r="AZ35" s="59"/>
    </row>
    <row r="36" spans="1:52" x14ac:dyDescent="0.25">
      <c r="A36" s="25">
        <v>317</v>
      </c>
      <c r="B36" s="25" t="s">
        <v>228</v>
      </c>
      <c r="C36" s="25" t="s">
        <v>229</v>
      </c>
      <c r="D36" s="25" t="s">
        <v>230</v>
      </c>
      <c r="E36" s="24"/>
      <c r="F36" s="25" t="s">
        <v>231</v>
      </c>
      <c r="G36" s="25"/>
      <c r="H36" s="139" t="s">
        <v>31</v>
      </c>
      <c r="I36" s="25"/>
      <c r="J36" s="25">
        <v>4</v>
      </c>
      <c r="K36" s="25">
        <v>4</v>
      </c>
      <c r="L36" s="25">
        <v>1</v>
      </c>
      <c r="M36" s="25" t="s">
        <v>33</v>
      </c>
      <c r="N36" s="25">
        <f t="shared" si="6"/>
        <v>62.4</v>
      </c>
      <c r="O36" s="25">
        <f t="shared" si="7"/>
        <v>72.8</v>
      </c>
      <c r="P36" s="25">
        <f t="shared" si="8"/>
        <v>41.6</v>
      </c>
      <c r="Q36" s="25">
        <f t="shared" si="9"/>
        <v>31.2</v>
      </c>
      <c r="R36" s="25">
        <v>208</v>
      </c>
      <c r="S36" s="140">
        <v>171718.65</v>
      </c>
      <c r="T36" s="140">
        <v>686874.6</v>
      </c>
      <c r="U36" s="25"/>
      <c r="V36" s="25"/>
      <c r="W36" s="25" t="s">
        <v>232</v>
      </c>
      <c r="X36" s="25">
        <v>71901</v>
      </c>
      <c r="Y36" s="19" t="s">
        <v>233</v>
      </c>
      <c r="Z36" s="9" t="s">
        <v>231</v>
      </c>
      <c r="AA36" s="70">
        <v>1</v>
      </c>
      <c r="AB36" s="71">
        <v>4459</v>
      </c>
      <c r="AC36" s="73"/>
      <c r="AD36" s="48"/>
      <c r="AE36" s="48"/>
      <c r="AF36" s="49"/>
      <c r="AG36" s="46">
        <f t="shared" si="24"/>
        <v>1.2</v>
      </c>
      <c r="AH36" s="41">
        <f t="shared" si="25"/>
        <v>1.4</v>
      </c>
      <c r="AI36" s="48"/>
      <c r="AJ36" s="49"/>
      <c r="AK36" s="51"/>
      <c r="AL36" s="48"/>
      <c r="AM36" s="48"/>
      <c r="AN36" s="49"/>
      <c r="AO36" s="51"/>
      <c r="AP36" s="48"/>
      <c r="AQ36" s="41">
        <f>K36*0.2</f>
        <v>0.8</v>
      </c>
      <c r="AR36" s="49"/>
      <c r="AS36" s="51"/>
      <c r="AT36" s="48"/>
      <c r="AU36" s="48"/>
      <c r="AV36" s="59"/>
      <c r="AW36" s="51"/>
      <c r="AX36" s="48"/>
      <c r="AY36" s="48"/>
      <c r="AZ36" s="59"/>
    </row>
    <row r="37" spans="1:52" x14ac:dyDescent="0.25">
      <c r="A37" s="25">
        <v>318</v>
      </c>
      <c r="B37" s="25" t="s">
        <v>228</v>
      </c>
      <c r="C37" s="25" t="s">
        <v>248</v>
      </c>
      <c r="D37" s="25" t="s">
        <v>230</v>
      </c>
      <c r="E37" s="24"/>
      <c r="F37" s="25" t="s">
        <v>500</v>
      </c>
      <c r="G37" s="25"/>
      <c r="H37" s="139" t="s">
        <v>31</v>
      </c>
      <c r="I37" s="25"/>
      <c r="J37" s="25">
        <v>3.57</v>
      </c>
      <c r="K37" s="25">
        <v>3.3</v>
      </c>
      <c r="L37" s="25">
        <v>1</v>
      </c>
      <c r="M37" s="25" t="s">
        <v>33</v>
      </c>
      <c r="N37" s="25">
        <f t="shared" si="6"/>
        <v>51.48</v>
      </c>
      <c r="O37" s="25">
        <f t="shared" si="7"/>
        <v>60.059999999999995</v>
      </c>
      <c r="P37" s="25">
        <f t="shared" si="8"/>
        <v>34.32</v>
      </c>
      <c r="Q37" s="25">
        <f t="shared" si="9"/>
        <v>25.74</v>
      </c>
      <c r="R37" s="25">
        <v>171.6</v>
      </c>
      <c r="S37" s="140">
        <v>171718.65</v>
      </c>
      <c r="T37" s="140">
        <v>566671.54499999993</v>
      </c>
      <c r="U37" s="25"/>
      <c r="V37" s="25"/>
      <c r="W37" s="25" t="s">
        <v>251</v>
      </c>
      <c r="X37" s="25">
        <v>71852</v>
      </c>
      <c r="Y37" s="19" t="s">
        <v>233</v>
      </c>
      <c r="Z37" s="9" t="s">
        <v>109</v>
      </c>
      <c r="AA37" s="70">
        <v>2</v>
      </c>
      <c r="AB37" s="71">
        <v>4459</v>
      </c>
      <c r="AC37" s="73"/>
      <c r="AD37" s="48"/>
      <c r="AE37" s="48"/>
      <c r="AF37" s="49"/>
      <c r="AG37" s="46">
        <f t="shared" si="24"/>
        <v>0.98999999999999988</v>
      </c>
      <c r="AH37" s="41">
        <f t="shared" si="25"/>
        <v>1.1549999999999998</v>
      </c>
      <c r="AI37" s="48"/>
      <c r="AJ37" s="49"/>
      <c r="AK37" s="51"/>
      <c r="AL37" s="48"/>
      <c r="AM37" s="48"/>
      <c r="AN37" s="49"/>
      <c r="AO37" s="51"/>
      <c r="AP37" s="48"/>
      <c r="AQ37" s="41">
        <f t="shared" ref="AQ37:AQ40" si="26">K37*0.2</f>
        <v>0.66</v>
      </c>
      <c r="AR37" s="132">
        <f t="shared" ref="AR37:AR40" si="27">K37*0.15</f>
        <v>0.49499999999999994</v>
      </c>
      <c r="AS37" s="51"/>
      <c r="AT37" s="48"/>
      <c r="AU37" s="48"/>
      <c r="AV37" s="49"/>
      <c r="AW37" s="51"/>
      <c r="AX37" s="48"/>
      <c r="AY37" s="48"/>
      <c r="AZ37" s="49"/>
    </row>
    <row r="38" spans="1:52" x14ac:dyDescent="0.25">
      <c r="A38" s="25">
        <v>319</v>
      </c>
      <c r="B38" s="25" t="s">
        <v>228</v>
      </c>
      <c r="C38" s="25" t="s">
        <v>248</v>
      </c>
      <c r="D38" s="25" t="s">
        <v>230</v>
      </c>
      <c r="E38" s="24"/>
      <c r="F38" s="25" t="s">
        <v>500</v>
      </c>
      <c r="G38" s="25"/>
      <c r="H38" s="139" t="s">
        <v>31</v>
      </c>
      <c r="I38" s="25"/>
      <c r="J38" s="25">
        <v>3.57</v>
      </c>
      <c r="K38" s="25">
        <v>3.3</v>
      </c>
      <c r="L38" s="25">
        <v>1</v>
      </c>
      <c r="M38" s="25" t="s">
        <v>33</v>
      </c>
      <c r="N38" s="25">
        <f t="shared" si="6"/>
        <v>51.48</v>
      </c>
      <c r="O38" s="25">
        <f t="shared" si="7"/>
        <v>60.059999999999995</v>
      </c>
      <c r="P38" s="25">
        <f t="shared" si="8"/>
        <v>34.32</v>
      </c>
      <c r="Q38" s="25">
        <f t="shared" si="9"/>
        <v>25.74</v>
      </c>
      <c r="R38" s="25">
        <v>171.6</v>
      </c>
      <c r="S38" s="140">
        <v>171718.65</v>
      </c>
      <c r="T38" s="140">
        <v>566671.54499999993</v>
      </c>
      <c r="U38" s="25"/>
      <c r="V38" s="25"/>
      <c r="W38" s="25" t="s">
        <v>252</v>
      </c>
      <c r="X38" s="25">
        <v>71852</v>
      </c>
      <c r="Y38" s="19" t="s">
        <v>233</v>
      </c>
      <c r="Z38" s="9" t="s">
        <v>109</v>
      </c>
      <c r="AA38" s="70">
        <v>3</v>
      </c>
      <c r="AB38" s="71">
        <v>4459</v>
      </c>
      <c r="AC38" s="73"/>
      <c r="AD38" s="163"/>
      <c r="AE38" s="163"/>
      <c r="AF38" s="164"/>
      <c r="AG38" s="46">
        <f t="shared" si="24"/>
        <v>0.98999999999999988</v>
      </c>
      <c r="AH38" s="41">
        <f t="shared" si="25"/>
        <v>1.1549999999999998</v>
      </c>
      <c r="AI38" s="163"/>
      <c r="AJ38" s="164"/>
      <c r="AK38" s="141"/>
      <c r="AL38" s="163"/>
      <c r="AM38" s="163"/>
      <c r="AN38" s="164"/>
      <c r="AO38" s="141"/>
      <c r="AP38" s="163"/>
      <c r="AQ38" s="41">
        <f t="shared" si="26"/>
        <v>0.66</v>
      </c>
      <c r="AR38" s="132">
        <f t="shared" si="27"/>
        <v>0.49499999999999994</v>
      </c>
      <c r="AS38" s="141"/>
      <c r="AT38" s="163"/>
      <c r="AU38" s="163"/>
      <c r="AV38" s="164"/>
      <c r="AW38" s="141"/>
      <c r="AX38" s="163"/>
      <c r="AY38" s="163"/>
      <c r="AZ38" s="164"/>
    </row>
    <row r="39" spans="1:52" x14ac:dyDescent="0.25">
      <c r="A39" s="25">
        <v>320</v>
      </c>
      <c r="B39" s="25" t="s">
        <v>228</v>
      </c>
      <c r="C39" s="25" t="s">
        <v>248</v>
      </c>
      <c r="D39" s="25" t="s">
        <v>230</v>
      </c>
      <c r="E39" s="24"/>
      <c r="F39" s="25" t="s">
        <v>500</v>
      </c>
      <c r="G39" s="25"/>
      <c r="H39" s="139" t="s">
        <v>31</v>
      </c>
      <c r="I39" s="25"/>
      <c r="J39" s="25">
        <v>3.4750000000000001</v>
      </c>
      <c r="K39" s="25">
        <v>3.4750000000000001</v>
      </c>
      <c r="L39" s="25">
        <v>1</v>
      </c>
      <c r="M39" s="25" t="s">
        <v>33</v>
      </c>
      <c r="N39" s="25">
        <f t="shared" si="6"/>
        <v>54.21</v>
      </c>
      <c r="O39" s="25">
        <f t="shared" si="7"/>
        <v>63.245000000000005</v>
      </c>
      <c r="P39" s="25">
        <f t="shared" si="8"/>
        <v>36.140000000000008</v>
      </c>
      <c r="Q39" s="25">
        <f t="shared" si="9"/>
        <v>27.105</v>
      </c>
      <c r="R39" s="25">
        <v>180.70000000000002</v>
      </c>
      <c r="S39" s="140">
        <v>171718.65</v>
      </c>
      <c r="T39" s="140">
        <v>596722.30874999997</v>
      </c>
      <c r="U39" s="25"/>
      <c r="V39" s="25"/>
      <c r="W39" s="25" t="s">
        <v>253</v>
      </c>
      <c r="X39" s="25">
        <v>71853</v>
      </c>
      <c r="Y39" s="19" t="s">
        <v>233</v>
      </c>
      <c r="Z39" s="9" t="s">
        <v>109</v>
      </c>
      <c r="AA39" s="70">
        <v>1</v>
      </c>
      <c r="AB39" s="71">
        <v>4459</v>
      </c>
      <c r="AC39" s="165"/>
      <c r="AD39" s="163"/>
      <c r="AE39" s="163"/>
      <c r="AF39" s="164"/>
      <c r="AG39" s="46">
        <f t="shared" si="24"/>
        <v>1.0425</v>
      </c>
      <c r="AH39" s="41">
        <f t="shared" si="25"/>
        <v>1.2162500000000001</v>
      </c>
      <c r="AI39" s="163"/>
      <c r="AJ39" s="164"/>
      <c r="AK39" s="141"/>
      <c r="AL39" s="163"/>
      <c r="AM39" s="163"/>
      <c r="AN39" s="164"/>
      <c r="AO39" s="141"/>
      <c r="AP39" s="163"/>
      <c r="AQ39" s="41">
        <f t="shared" si="26"/>
        <v>0.69500000000000006</v>
      </c>
      <c r="AR39" s="132">
        <f t="shared" si="27"/>
        <v>0.52124999999999999</v>
      </c>
      <c r="AS39" s="141"/>
      <c r="AT39" s="163"/>
      <c r="AU39" s="163"/>
      <c r="AV39" s="164"/>
      <c r="AW39" s="141"/>
      <c r="AX39" s="163"/>
      <c r="AY39" s="163"/>
      <c r="AZ39" s="164"/>
    </row>
    <row r="40" spans="1:52" x14ac:dyDescent="0.25">
      <c r="A40" s="25">
        <v>321</v>
      </c>
      <c r="B40" s="25" t="s">
        <v>228</v>
      </c>
      <c r="C40" s="25" t="s">
        <v>248</v>
      </c>
      <c r="D40" s="25" t="s">
        <v>230</v>
      </c>
      <c r="E40" s="24"/>
      <c r="F40" s="25" t="s">
        <v>500</v>
      </c>
      <c r="G40" s="25"/>
      <c r="H40" s="139" t="s">
        <v>31</v>
      </c>
      <c r="I40" s="25"/>
      <c r="J40" s="25">
        <v>3.4750000000000001</v>
      </c>
      <c r="K40" s="25">
        <v>3.4750000000000001</v>
      </c>
      <c r="L40" s="25">
        <v>1</v>
      </c>
      <c r="M40" s="25" t="s">
        <v>33</v>
      </c>
      <c r="N40" s="25">
        <f t="shared" si="6"/>
        <v>54.21</v>
      </c>
      <c r="O40" s="25">
        <f t="shared" si="7"/>
        <v>63.245000000000005</v>
      </c>
      <c r="P40" s="25">
        <f t="shared" si="8"/>
        <v>36.140000000000008</v>
      </c>
      <c r="Q40" s="25">
        <f t="shared" si="9"/>
        <v>27.105</v>
      </c>
      <c r="R40" s="25">
        <v>180.70000000000002</v>
      </c>
      <c r="S40" s="140">
        <v>171718.65</v>
      </c>
      <c r="T40" s="140">
        <v>596722.30874999997</v>
      </c>
      <c r="U40" s="25"/>
      <c r="V40" s="25"/>
      <c r="W40" s="25" t="s">
        <v>253</v>
      </c>
      <c r="X40" s="25">
        <v>71853</v>
      </c>
      <c r="Y40" s="19" t="s">
        <v>233</v>
      </c>
      <c r="Z40" s="9" t="s">
        <v>109</v>
      </c>
      <c r="AA40" s="70">
        <v>2</v>
      </c>
      <c r="AB40" s="71">
        <v>4459</v>
      </c>
      <c r="AC40" s="165"/>
      <c r="AD40" s="163"/>
      <c r="AE40" s="163"/>
      <c r="AF40" s="164"/>
      <c r="AG40" s="46">
        <f t="shared" si="24"/>
        <v>1.0425</v>
      </c>
      <c r="AH40" s="41">
        <f t="shared" si="25"/>
        <v>1.2162500000000001</v>
      </c>
      <c r="AI40" s="163"/>
      <c r="AJ40" s="164"/>
      <c r="AK40" s="141"/>
      <c r="AL40" s="163"/>
      <c r="AM40" s="163"/>
      <c r="AN40" s="164"/>
      <c r="AO40" s="141"/>
      <c r="AP40" s="163"/>
      <c r="AQ40" s="41">
        <f t="shared" si="26"/>
        <v>0.69500000000000006</v>
      </c>
      <c r="AR40" s="132">
        <f t="shared" si="27"/>
        <v>0.52124999999999999</v>
      </c>
      <c r="AS40" s="141"/>
      <c r="AT40" s="163"/>
      <c r="AU40" s="163"/>
      <c r="AV40" s="164"/>
      <c r="AW40" s="141"/>
      <c r="AX40" s="163"/>
      <c r="AY40" s="163"/>
      <c r="AZ40" s="164"/>
    </row>
    <row r="41" spans="1:52" x14ac:dyDescent="0.25">
      <c r="A41" s="25">
        <v>322</v>
      </c>
      <c r="B41" s="25" t="s">
        <v>228</v>
      </c>
      <c r="C41" s="25" t="s">
        <v>248</v>
      </c>
      <c r="D41" s="25" t="s">
        <v>230</v>
      </c>
      <c r="E41" s="24"/>
      <c r="F41" s="25" t="s">
        <v>500</v>
      </c>
      <c r="G41" s="25"/>
      <c r="H41" s="139" t="s">
        <v>31</v>
      </c>
      <c r="I41" s="25"/>
      <c r="J41" s="25">
        <v>3.4750000000000001</v>
      </c>
      <c r="K41" s="25">
        <v>3.4750000000000001</v>
      </c>
      <c r="L41" s="25">
        <v>1</v>
      </c>
      <c r="M41" s="25" t="s">
        <v>33</v>
      </c>
      <c r="N41" s="25">
        <f t="shared" si="6"/>
        <v>54.21</v>
      </c>
      <c r="O41" s="25">
        <f t="shared" si="7"/>
        <v>63.245000000000005</v>
      </c>
      <c r="P41" s="25">
        <f t="shared" si="8"/>
        <v>36.140000000000008</v>
      </c>
      <c r="Q41" s="25">
        <f t="shared" si="9"/>
        <v>27.105</v>
      </c>
      <c r="R41" s="25">
        <v>180.70000000000002</v>
      </c>
      <c r="S41" s="140">
        <v>171718.65</v>
      </c>
      <c r="T41" s="140">
        <v>596722.30874999997</v>
      </c>
      <c r="U41" s="25"/>
      <c r="V41" s="25"/>
      <c r="W41" s="25" t="s">
        <v>251</v>
      </c>
      <c r="X41" s="38">
        <v>71854</v>
      </c>
      <c r="Y41" s="19" t="s">
        <v>233</v>
      </c>
      <c r="Z41" s="9" t="s">
        <v>109</v>
      </c>
      <c r="AA41" s="70">
        <v>1</v>
      </c>
      <c r="AB41" s="71">
        <v>4459</v>
      </c>
      <c r="AC41" s="165"/>
      <c r="AD41" s="163"/>
      <c r="AE41" s="163"/>
      <c r="AF41" s="164"/>
      <c r="AG41" s="141"/>
      <c r="AH41" s="163"/>
      <c r="AI41" s="163"/>
      <c r="AJ41" s="164"/>
      <c r="AK41" s="169">
        <f>K41*0.3</f>
        <v>1.0425</v>
      </c>
      <c r="AL41" s="163"/>
      <c r="AM41" s="163"/>
      <c r="AN41" s="164"/>
      <c r="AO41" s="141"/>
      <c r="AP41" s="163"/>
      <c r="AQ41" s="163"/>
      <c r="AR41" s="164"/>
      <c r="AS41" s="141"/>
      <c r="AT41" s="72"/>
      <c r="AU41" s="72"/>
      <c r="AV41" s="127"/>
      <c r="AW41" s="141"/>
      <c r="AX41" s="72"/>
      <c r="AY41" s="72"/>
      <c r="AZ41" s="127"/>
    </row>
    <row r="42" spans="1:52" x14ac:dyDescent="0.25">
      <c r="A42" s="25">
        <v>323</v>
      </c>
      <c r="B42" s="25" t="s">
        <v>228</v>
      </c>
      <c r="C42" s="25" t="s">
        <v>248</v>
      </c>
      <c r="D42" s="25" t="s">
        <v>230</v>
      </c>
      <c r="E42" s="24"/>
      <c r="F42" s="25" t="s">
        <v>500</v>
      </c>
      <c r="G42" s="25"/>
      <c r="H42" s="139" t="s">
        <v>31</v>
      </c>
      <c r="I42" s="25"/>
      <c r="J42" s="25">
        <v>3.4750000000000001</v>
      </c>
      <c r="K42" s="25">
        <v>3.4750000000000001</v>
      </c>
      <c r="L42" s="25">
        <v>1</v>
      </c>
      <c r="M42" s="25" t="s">
        <v>33</v>
      </c>
      <c r="N42" s="25">
        <f t="shared" si="6"/>
        <v>54.21</v>
      </c>
      <c r="O42" s="25">
        <f t="shared" si="7"/>
        <v>63.245000000000005</v>
      </c>
      <c r="P42" s="25">
        <f t="shared" si="8"/>
        <v>36.140000000000008</v>
      </c>
      <c r="Q42" s="25">
        <f t="shared" si="9"/>
        <v>27.105</v>
      </c>
      <c r="R42" s="25">
        <v>180.70000000000002</v>
      </c>
      <c r="S42" s="140">
        <v>171718.65</v>
      </c>
      <c r="T42" s="140">
        <v>596722.30874999997</v>
      </c>
      <c r="U42" s="25"/>
      <c r="V42" s="25"/>
      <c r="W42" s="25" t="s">
        <v>251</v>
      </c>
      <c r="X42" s="38">
        <v>71854</v>
      </c>
      <c r="Y42" s="19" t="s">
        <v>233</v>
      </c>
      <c r="Z42" s="9" t="s">
        <v>109</v>
      </c>
      <c r="AA42" s="70">
        <v>2</v>
      </c>
      <c r="AB42" s="71">
        <v>4459</v>
      </c>
      <c r="AC42" s="165"/>
      <c r="AD42" s="163"/>
      <c r="AE42" s="163"/>
      <c r="AF42" s="164"/>
      <c r="AG42" s="141"/>
      <c r="AH42" s="163"/>
      <c r="AI42" s="163"/>
      <c r="AJ42" s="164"/>
      <c r="AK42" s="169">
        <f>K42*0.3</f>
        <v>1.0425</v>
      </c>
      <c r="AL42" s="163"/>
      <c r="AM42" s="163"/>
      <c r="AN42" s="164"/>
      <c r="AO42" s="141"/>
      <c r="AP42" s="163"/>
      <c r="AQ42" s="163"/>
      <c r="AR42" s="164"/>
      <c r="AS42" s="141"/>
      <c r="AT42" s="72"/>
      <c r="AU42" s="72"/>
      <c r="AV42" s="127"/>
      <c r="AW42" s="141"/>
      <c r="AX42" s="72"/>
      <c r="AY42" s="72"/>
      <c r="AZ42" s="127"/>
    </row>
    <row r="43" spans="1:52" x14ac:dyDescent="0.25">
      <c r="A43" s="25">
        <v>324</v>
      </c>
      <c r="B43" s="25" t="s">
        <v>228</v>
      </c>
      <c r="C43" s="25" t="s">
        <v>248</v>
      </c>
      <c r="D43" s="25" t="s">
        <v>230</v>
      </c>
      <c r="E43" s="24"/>
      <c r="F43" s="25" t="s">
        <v>254</v>
      </c>
      <c r="G43" s="25"/>
      <c r="H43" s="139" t="s">
        <v>31</v>
      </c>
      <c r="I43" s="25"/>
      <c r="J43" s="25">
        <v>11.565</v>
      </c>
      <c r="K43" s="25">
        <v>11.565</v>
      </c>
      <c r="L43" s="25">
        <v>1</v>
      </c>
      <c r="M43" s="25" t="s">
        <v>33</v>
      </c>
      <c r="N43" s="25">
        <f t="shared" si="6"/>
        <v>142.24949999999998</v>
      </c>
      <c r="O43" s="25">
        <f t="shared" si="7"/>
        <v>165.95774999999998</v>
      </c>
      <c r="P43" s="25">
        <f t="shared" si="8"/>
        <v>94.832999999999998</v>
      </c>
      <c r="Q43" s="25">
        <f t="shared" si="9"/>
        <v>71.124749999999992</v>
      </c>
      <c r="R43" s="25">
        <v>474.16499999999996</v>
      </c>
      <c r="S43" s="140">
        <v>171718.65</v>
      </c>
      <c r="T43" s="140">
        <v>1985926.18725</v>
      </c>
      <c r="U43" s="25"/>
      <c r="V43" s="25"/>
      <c r="W43" s="25" t="s">
        <v>255</v>
      </c>
      <c r="X43" s="25">
        <v>71867</v>
      </c>
      <c r="Y43" s="19" t="s">
        <v>233</v>
      </c>
      <c r="Z43" s="9" t="s">
        <v>254</v>
      </c>
      <c r="AA43" s="70">
        <v>1</v>
      </c>
      <c r="AB43" s="71">
        <v>4459</v>
      </c>
      <c r="AC43" s="73"/>
      <c r="AD43" s="163"/>
      <c r="AE43" s="163"/>
      <c r="AF43" s="164"/>
      <c r="AG43" s="46">
        <f t="shared" ref="AG43:AG44" si="28">K43*0.3</f>
        <v>3.4694999999999996</v>
      </c>
      <c r="AH43" s="163"/>
      <c r="AI43" s="163"/>
      <c r="AJ43" s="164"/>
      <c r="AK43" s="141"/>
      <c r="AL43" s="41">
        <f t="shared" ref="AL43:AL46" si="29">K43*0.35</f>
        <v>4.0477499999999997</v>
      </c>
      <c r="AM43" s="163"/>
      <c r="AN43" s="164"/>
      <c r="AO43" s="141"/>
      <c r="AP43" s="48"/>
      <c r="AQ43" s="41">
        <f t="shared" ref="AQ43:AQ46" si="30">K43*0.2</f>
        <v>2.3130000000000002</v>
      </c>
      <c r="AR43" s="132">
        <f>K43*0.15</f>
        <v>1.7347499999999998</v>
      </c>
      <c r="AS43" s="141"/>
      <c r="AT43" s="48"/>
      <c r="AU43" s="163"/>
      <c r="AV43" s="164"/>
      <c r="AW43" s="141"/>
      <c r="AX43" s="48"/>
      <c r="AY43" s="163"/>
      <c r="AZ43" s="164"/>
    </row>
    <row r="44" spans="1:52" x14ac:dyDescent="0.25">
      <c r="A44" s="25">
        <v>325</v>
      </c>
      <c r="B44" s="25" t="s">
        <v>228</v>
      </c>
      <c r="C44" s="25" t="s">
        <v>248</v>
      </c>
      <c r="D44" s="25" t="s">
        <v>230</v>
      </c>
      <c r="E44" s="24"/>
      <c r="F44" s="25" t="s">
        <v>254</v>
      </c>
      <c r="G44" s="25"/>
      <c r="H44" s="139" t="s">
        <v>31</v>
      </c>
      <c r="I44" s="25"/>
      <c r="J44" s="25">
        <v>11.565</v>
      </c>
      <c r="K44" s="25">
        <v>11.565</v>
      </c>
      <c r="L44" s="25">
        <v>1</v>
      </c>
      <c r="M44" s="25" t="s">
        <v>33</v>
      </c>
      <c r="N44" s="25">
        <f t="shared" si="6"/>
        <v>142.24949999999998</v>
      </c>
      <c r="O44" s="25">
        <f t="shared" si="7"/>
        <v>165.95774999999998</v>
      </c>
      <c r="P44" s="25">
        <f t="shared" si="8"/>
        <v>94.832999999999998</v>
      </c>
      <c r="Q44" s="25">
        <f t="shared" si="9"/>
        <v>71.124749999999992</v>
      </c>
      <c r="R44" s="25">
        <v>474.16499999999996</v>
      </c>
      <c r="S44" s="140">
        <v>171718.65</v>
      </c>
      <c r="T44" s="140">
        <v>1985926.18725</v>
      </c>
      <c r="U44" s="25"/>
      <c r="V44" s="25"/>
      <c r="W44" s="25" t="s">
        <v>255</v>
      </c>
      <c r="X44" s="25">
        <v>71867</v>
      </c>
      <c r="Y44" s="19" t="s">
        <v>233</v>
      </c>
      <c r="Z44" s="9" t="s">
        <v>254</v>
      </c>
      <c r="AA44" s="70">
        <v>2</v>
      </c>
      <c r="AB44" s="71">
        <v>4459</v>
      </c>
      <c r="AC44" s="73"/>
      <c r="AD44" s="163"/>
      <c r="AE44" s="163"/>
      <c r="AF44" s="164"/>
      <c r="AG44" s="46">
        <f t="shared" si="28"/>
        <v>3.4694999999999996</v>
      </c>
      <c r="AH44" s="163"/>
      <c r="AI44" s="163"/>
      <c r="AJ44" s="164"/>
      <c r="AK44" s="141"/>
      <c r="AL44" s="41">
        <f t="shared" si="29"/>
        <v>4.0477499999999997</v>
      </c>
      <c r="AM44" s="163"/>
      <c r="AN44" s="164"/>
      <c r="AO44" s="141"/>
      <c r="AP44" s="48"/>
      <c r="AQ44" s="41">
        <f t="shared" si="30"/>
        <v>2.3130000000000002</v>
      </c>
      <c r="AR44" s="132">
        <f>K44*0.15</f>
        <v>1.7347499999999998</v>
      </c>
      <c r="AS44" s="141"/>
      <c r="AT44" s="48"/>
      <c r="AU44" s="163"/>
      <c r="AV44" s="164"/>
      <c r="AW44" s="141"/>
      <c r="AX44" s="48"/>
      <c r="AY44" s="163"/>
      <c r="AZ44" s="164"/>
    </row>
    <row r="45" spans="1:52" x14ac:dyDescent="0.25">
      <c r="A45" s="25">
        <v>326</v>
      </c>
      <c r="B45" s="25" t="s">
        <v>228</v>
      </c>
      <c r="C45" s="25" t="s">
        <v>248</v>
      </c>
      <c r="D45" s="25" t="s">
        <v>230</v>
      </c>
      <c r="E45" s="24"/>
      <c r="F45" s="25" t="s">
        <v>254</v>
      </c>
      <c r="G45" s="25"/>
      <c r="H45" s="139" t="s">
        <v>31</v>
      </c>
      <c r="I45" s="25"/>
      <c r="J45" s="25">
        <v>11.565</v>
      </c>
      <c r="K45" s="25">
        <v>11.565</v>
      </c>
      <c r="L45" s="25">
        <v>1</v>
      </c>
      <c r="M45" s="25" t="s">
        <v>33</v>
      </c>
      <c r="N45" s="25">
        <f t="shared" si="6"/>
        <v>142.24949999999998</v>
      </c>
      <c r="O45" s="25">
        <f t="shared" si="7"/>
        <v>165.95774999999998</v>
      </c>
      <c r="P45" s="25">
        <f t="shared" si="8"/>
        <v>94.832999999999998</v>
      </c>
      <c r="Q45" s="25">
        <f t="shared" si="9"/>
        <v>71.124749999999992</v>
      </c>
      <c r="R45" s="25">
        <v>474.16499999999996</v>
      </c>
      <c r="S45" s="140">
        <v>171718.65</v>
      </c>
      <c r="T45" s="140">
        <v>1985926.18725</v>
      </c>
      <c r="U45" s="25"/>
      <c r="V45" s="25"/>
      <c r="W45" s="25" t="s">
        <v>255</v>
      </c>
      <c r="X45" s="25">
        <v>71868</v>
      </c>
      <c r="Y45" s="19" t="s">
        <v>233</v>
      </c>
      <c r="Z45" s="9" t="s">
        <v>254</v>
      </c>
      <c r="AA45" s="70">
        <v>1</v>
      </c>
      <c r="AB45" s="71">
        <v>4459</v>
      </c>
      <c r="AC45" s="165"/>
      <c r="AD45" s="163"/>
      <c r="AE45" s="163"/>
      <c r="AF45" s="164"/>
      <c r="AG45" s="46">
        <f t="shared" ref="AG45:AG46" si="31">K45*0.3</f>
        <v>3.4694999999999996</v>
      </c>
      <c r="AH45" s="163"/>
      <c r="AI45" s="163"/>
      <c r="AJ45" s="164"/>
      <c r="AK45" s="141"/>
      <c r="AL45" s="41">
        <f t="shared" si="29"/>
        <v>4.0477499999999997</v>
      </c>
      <c r="AM45" s="163"/>
      <c r="AN45" s="164"/>
      <c r="AO45" s="141"/>
      <c r="AP45" s="48"/>
      <c r="AQ45" s="41">
        <f t="shared" si="30"/>
        <v>2.3130000000000002</v>
      </c>
      <c r="AR45" s="132">
        <f t="shared" ref="AR45:AR46" si="32">K45*0.15</f>
        <v>1.7347499999999998</v>
      </c>
      <c r="AS45" s="141"/>
      <c r="AT45" s="48"/>
      <c r="AU45" s="163"/>
      <c r="AV45" s="164"/>
      <c r="AW45" s="141"/>
      <c r="AX45" s="48"/>
      <c r="AY45" s="163"/>
      <c r="AZ45" s="164"/>
    </row>
    <row r="46" spans="1:52" x14ac:dyDescent="0.25">
      <c r="A46" s="25">
        <v>327</v>
      </c>
      <c r="B46" s="25" t="s">
        <v>228</v>
      </c>
      <c r="C46" s="25" t="s">
        <v>248</v>
      </c>
      <c r="D46" s="25" t="s">
        <v>230</v>
      </c>
      <c r="E46" s="24"/>
      <c r="F46" s="25" t="s">
        <v>254</v>
      </c>
      <c r="G46" s="25"/>
      <c r="H46" s="139" t="s">
        <v>31</v>
      </c>
      <c r="I46" s="25"/>
      <c r="J46" s="25">
        <v>11.565</v>
      </c>
      <c r="K46" s="25">
        <v>11.565</v>
      </c>
      <c r="L46" s="25">
        <v>1</v>
      </c>
      <c r="M46" s="25" t="s">
        <v>33</v>
      </c>
      <c r="N46" s="25">
        <f t="shared" si="6"/>
        <v>142.24949999999998</v>
      </c>
      <c r="O46" s="25">
        <f t="shared" si="7"/>
        <v>165.95774999999998</v>
      </c>
      <c r="P46" s="25">
        <f t="shared" si="8"/>
        <v>94.832999999999998</v>
      </c>
      <c r="Q46" s="25">
        <f t="shared" si="9"/>
        <v>71.124749999999992</v>
      </c>
      <c r="R46" s="25">
        <v>474.16499999999996</v>
      </c>
      <c r="S46" s="140">
        <v>171718.65</v>
      </c>
      <c r="T46" s="140">
        <v>1985926.18725</v>
      </c>
      <c r="U46" s="25"/>
      <c r="V46" s="25"/>
      <c r="W46" s="25" t="s">
        <v>255</v>
      </c>
      <c r="X46" s="25">
        <v>71868</v>
      </c>
      <c r="Y46" s="19" t="s">
        <v>233</v>
      </c>
      <c r="Z46" s="9" t="s">
        <v>254</v>
      </c>
      <c r="AA46" s="70">
        <v>2</v>
      </c>
      <c r="AB46" s="71">
        <v>4459</v>
      </c>
      <c r="AC46" s="165"/>
      <c r="AD46" s="163"/>
      <c r="AE46" s="163"/>
      <c r="AF46" s="164"/>
      <c r="AG46" s="46">
        <f t="shared" si="31"/>
        <v>3.4694999999999996</v>
      </c>
      <c r="AH46" s="163"/>
      <c r="AI46" s="163"/>
      <c r="AJ46" s="164"/>
      <c r="AK46" s="141"/>
      <c r="AL46" s="41">
        <f t="shared" si="29"/>
        <v>4.0477499999999997</v>
      </c>
      <c r="AM46" s="163"/>
      <c r="AN46" s="164"/>
      <c r="AO46" s="141"/>
      <c r="AP46" s="48"/>
      <c r="AQ46" s="41">
        <f t="shared" si="30"/>
        <v>2.3130000000000002</v>
      </c>
      <c r="AR46" s="132">
        <f t="shared" si="32"/>
        <v>1.7347499999999998</v>
      </c>
      <c r="AS46" s="141"/>
      <c r="AT46" s="48"/>
      <c r="AU46" s="163"/>
      <c r="AV46" s="164"/>
      <c r="AW46" s="141"/>
      <c r="AX46" s="48"/>
      <c r="AY46" s="163"/>
      <c r="AZ46" s="164"/>
    </row>
    <row r="47" spans="1:52" x14ac:dyDescent="0.25">
      <c r="A47" s="25">
        <v>328</v>
      </c>
      <c r="B47" s="25" t="s">
        <v>228</v>
      </c>
      <c r="C47" s="25" t="s">
        <v>248</v>
      </c>
      <c r="D47" s="25" t="s">
        <v>230</v>
      </c>
      <c r="E47" s="24"/>
      <c r="F47" s="25" t="s">
        <v>254</v>
      </c>
      <c r="G47" s="25"/>
      <c r="H47" s="139" t="s">
        <v>31</v>
      </c>
      <c r="I47" s="25"/>
      <c r="J47" s="25">
        <v>11.565</v>
      </c>
      <c r="K47" s="25">
        <v>11.565</v>
      </c>
      <c r="L47" s="25">
        <v>1</v>
      </c>
      <c r="M47" s="25" t="s">
        <v>33</v>
      </c>
      <c r="N47" s="25">
        <f t="shared" si="6"/>
        <v>142.24949999999998</v>
      </c>
      <c r="O47" s="25">
        <f t="shared" si="7"/>
        <v>165.95774999999998</v>
      </c>
      <c r="P47" s="25">
        <f t="shared" si="8"/>
        <v>94.832999999999998</v>
      </c>
      <c r="Q47" s="25">
        <f t="shared" si="9"/>
        <v>71.124749999999992</v>
      </c>
      <c r="R47" s="25">
        <v>474.16499999999996</v>
      </c>
      <c r="S47" s="140">
        <v>171718.65</v>
      </c>
      <c r="T47" s="140">
        <v>1985926.18725</v>
      </c>
      <c r="U47" s="25"/>
      <c r="V47" s="25"/>
      <c r="W47" s="25" t="s">
        <v>255</v>
      </c>
      <c r="X47" s="38">
        <v>71869</v>
      </c>
      <c r="Y47" s="19" t="s">
        <v>233</v>
      </c>
      <c r="Z47" s="9" t="s">
        <v>254</v>
      </c>
      <c r="AA47" s="70">
        <v>1</v>
      </c>
      <c r="AB47" s="71">
        <v>4459</v>
      </c>
      <c r="AC47" s="165"/>
      <c r="AD47" s="163"/>
      <c r="AE47" s="163"/>
      <c r="AF47" s="164"/>
      <c r="AG47" s="141"/>
      <c r="AH47" s="163"/>
      <c r="AI47" s="163"/>
      <c r="AJ47" s="164"/>
      <c r="AK47" s="169">
        <f t="shared" ref="AK47:AK48" si="33">K47*0.3</f>
        <v>3.4694999999999996</v>
      </c>
      <c r="AL47" s="163"/>
      <c r="AM47" s="163"/>
      <c r="AN47" s="164"/>
      <c r="AO47" s="141"/>
      <c r="AP47" s="163"/>
      <c r="AQ47" s="163"/>
      <c r="AR47" s="164"/>
      <c r="AS47" s="141"/>
      <c r="AT47" s="72"/>
      <c r="AU47" s="72"/>
      <c r="AV47" s="127"/>
      <c r="AW47" s="141"/>
      <c r="AX47" s="72"/>
      <c r="AY47" s="72"/>
      <c r="AZ47" s="127"/>
    </row>
    <row r="48" spans="1:52" x14ac:dyDescent="0.25">
      <c r="A48" s="25">
        <v>329</v>
      </c>
      <c r="B48" s="25" t="s">
        <v>228</v>
      </c>
      <c r="C48" s="25" t="s">
        <v>248</v>
      </c>
      <c r="D48" s="25" t="s">
        <v>230</v>
      </c>
      <c r="E48" s="24"/>
      <c r="F48" s="25" t="s">
        <v>254</v>
      </c>
      <c r="G48" s="25"/>
      <c r="H48" s="139" t="s">
        <v>31</v>
      </c>
      <c r="I48" s="25"/>
      <c r="J48" s="25">
        <v>11.565</v>
      </c>
      <c r="K48" s="25">
        <v>11.565</v>
      </c>
      <c r="L48" s="25">
        <v>1</v>
      </c>
      <c r="M48" s="25" t="s">
        <v>33</v>
      </c>
      <c r="N48" s="25">
        <f t="shared" si="6"/>
        <v>142.24949999999998</v>
      </c>
      <c r="O48" s="25">
        <f t="shared" si="7"/>
        <v>165.95774999999998</v>
      </c>
      <c r="P48" s="25">
        <f t="shared" si="8"/>
        <v>94.832999999999998</v>
      </c>
      <c r="Q48" s="25">
        <f t="shared" si="9"/>
        <v>71.124749999999992</v>
      </c>
      <c r="R48" s="25">
        <v>474.16499999999996</v>
      </c>
      <c r="S48" s="140">
        <v>171718.65</v>
      </c>
      <c r="T48" s="140">
        <v>1985926.18725</v>
      </c>
      <c r="U48" s="25"/>
      <c r="V48" s="25"/>
      <c r="W48" s="25" t="s">
        <v>255</v>
      </c>
      <c r="X48" s="38">
        <v>71869</v>
      </c>
      <c r="Y48" s="19" t="s">
        <v>233</v>
      </c>
      <c r="Z48" s="9" t="s">
        <v>254</v>
      </c>
      <c r="AA48" s="70">
        <v>2</v>
      </c>
      <c r="AB48" s="71">
        <v>4459</v>
      </c>
      <c r="AC48" s="165"/>
      <c r="AD48" s="163"/>
      <c r="AE48" s="163"/>
      <c r="AF48" s="164"/>
      <c r="AG48" s="141"/>
      <c r="AH48" s="163"/>
      <c r="AI48" s="163"/>
      <c r="AJ48" s="164"/>
      <c r="AK48" s="169">
        <f t="shared" si="33"/>
        <v>3.4694999999999996</v>
      </c>
      <c r="AL48" s="163"/>
      <c r="AM48" s="163"/>
      <c r="AN48" s="164"/>
      <c r="AO48" s="141"/>
      <c r="AP48" s="163"/>
      <c r="AQ48" s="163"/>
      <c r="AR48" s="164"/>
      <c r="AS48" s="141"/>
      <c r="AT48" s="72"/>
      <c r="AU48" s="72"/>
      <c r="AV48" s="127"/>
      <c r="AW48" s="141"/>
      <c r="AX48" s="72"/>
      <c r="AY48" s="72"/>
      <c r="AZ48" s="127"/>
    </row>
    <row r="49" spans="1:52" x14ac:dyDescent="0.25">
      <c r="A49" s="25">
        <v>330</v>
      </c>
      <c r="B49" s="25" t="s">
        <v>228</v>
      </c>
      <c r="C49" s="25" t="s">
        <v>234</v>
      </c>
      <c r="D49" s="25" t="s">
        <v>230</v>
      </c>
      <c r="E49" s="24"/>
      <c r="F49" s="25" t="s">
        <v>235</v>
      </c>
      <c r="G49" s="25"/>
      <c r="H49" s="139" t="s">
        <v>31</v>
      </c>
      <c r="I49" s="25"/>
      <c r="J49" s="25">
        <v>3.4750000000000001</v>
      </c>
      <c r="K49" s="25">
        <v>3.4750000000000001</v>
      </c>
      <c r="L49" s="25">
        <v>1</v>
      </c>
      <c r="M49" s="25" t="s">
        <v>33</v>
      </c>
      <c r="N49" s="25">
        <f t="shared" si="6"/>
        <v>54.21</v>
      </c>
      <c r="O49" s="25">
        <f t="shared" si="7"/>
        <v>63.245000000000005</v>
      </c>
      <c r="P49" s="25">
        <f t="shared" si="8"/>
        <v>36.140000000000008</v>
      </c>
      <c r="Q49" s="25">
        <f t="shared" si="9"/>
        <v>27.105</v>
      </c>
      <c r="R49" s="25">
        <v>180.70000000000002</v>
      </c>
      <c r="S49" s="140">
        <v>171718.65</v>
      </c>
      <c r="T49" s="140">
        <v>596722.30874999997</v>
      </c>
      <c r="U49" s="25"/>
      <c r="V49" s="25"/>
      <c r="W49" s="25" t="s">
        <v>236</v>
      </c>
      <c r="X49" s="25">
        <v>71855</v>
      </c>
      <c r="Y49" s="19" t="s">
        <v>233</v>
      </c>
      <c r="Z49" s="9" t="s">
        <v>235</v>
      </c>
      <c r="AA49" s="70">
        <v>1</v>
      </c>
      <c r="AB49" s="71">
        <v>4459</v>
      </c>
      <c r="AC49" s="165"/>
      <c r="AD49" s="163"/>
      <c r="AE49" s="163"/>
      <c r="AF49" s="164"/>
      <c r="AG49" s="46">
        <f t="shared" ref="AG49:AG50" si="34">K49*0.3</f>
        <v>1.0425</v>
      </c>
      <c r="AH49" s="163"/>
      <c r="AI49" s="163"/>
      <c r="AJ49" s="164"/>
      <c r="AK49" s="141"/>
      <c r="AL49" s="41">
        <f t="shared" ref="AL49:AL50" si="35">K49*0.35</f>
        <v>1.2162500000000001</v>
      </c>
      <c r="AM49" s="163"/>
      <c r="AN49" s="164"/>
      <c r="AO49" s="141"/>
      <c r="AP49" s="48"/>
      <c r="AQ49" s="41">
        <f t="shared" ref="AQ49:AQ50" si="36">K49*0.2</f>
        <v>0.69500000000000006</v>
      </c>
      <c r="AR49" s="132">
        <f t="shared" ref="AR49:AR50" si="37">K49*0.15</f>
        <v>0.52124999999999999</v>
      </c>
      <c r="AS49" s="141"/>
      <c r="AT49" s="48"/>
      <c r="AU49" s="163"/>
      <c r="AV49" s="164"/>
      <c r="AW49" s="141"/>
      <c r="AX49" s="48"/>
      <c r="AY49" s="163"/>
      <c r="AZ49" s="164"/>
    </row>
    <row r="50" spans="1:52" x14ac:dyDescent="0.25">
      <c r="A50" s="25">
        <v>331</v>
      </c>
      <c r="B50" s="25" t="s">
        <v>228</v>
      </c>
      <c r="C50" s="25" t="s">
        <v>234</v>
      </c>
      <c r="D50" s="25" t="s">
        <v>230</v>
      </c>
      <c r="E50" s="24"/>
      <c r="F50" s="25" t="s">
        <v>235</v>
      </c>
      <c r="G50" s="25"/>
      <c r="H50" s="139" t="s">
        <v>31</v>
      </c>
      <c r="I50" s="25"/>
      <c r="J50" s="25">
        <v>3.4750000000000001</v>
      </c>
      <c r="K50" s="25">
        <v>3.4750000000000001</v>
      </c>
      <c r="L50" s="25">
        <v>1</v>
      </c>
      <c r="M50" s="25" t="s">
        <v>33</v>
      </c>
      <c r="N50" s="25">
        <f t="shared" si="6"/>
        <v>54.21</v>
      </c>
      <c r="O50" s="25">
        <f t="shared" si="7"/>
        <v>63.245000000000005</v>
      </c>
      <c r="P50" s="25">
        <f t="shared" si="8"/>
        <v>36.140000000000008</v>
      </c>
      <c r="Q50" s="25">
        <f t="shared" si="9"/>
        <v>27.105</v>
      </c>
      <c r="R50" s="25">
        <v>180.70000000000002</v>
      </c>
      <c r="S50" s="140">
        <v>171718.65</v>
      </c>
      <c r="T50" s="140">
        <v>596722.30874999997</v>
      </c>
      <c r="U50" s="25"/>
      <c r="V50" s="25"/>
      <c r="W50" s="25" t="s">
        <v>236</v>
      </c>
      <c r="X50" s="25">
        <v>71855</v>
      </c>
      <c r="Y50" s="19" t="s">
        <v>233</v>
      </c>
      <c r="Z50" s="9" t="s">
        <v>235</v>
      </c>
      <c r="AA50" s="70">
        <v>2</v>
      </c>
      <c r="AB50" s="71">
        <v>4459</v>
      </c>
      <c r="AC50" s="165"/>
      <c r="AD50" s="163"/>
      <c r="AE50" s="163"/>
      <c r="AF50" s="164"/>
      <c r="AG50" s="46">
        <f t="shared" si="34"/>
        <v>1.0425</v>
      </c>
      <c r="AH50" s="163"/>
      <c r="AI50" s="163"/>
      <c r="AJ50" s="164"/>
      <c r="AK50" s="141"/>
      <c r="AL50" s="41">
        <f t="shared" si="35"/>
        <v>1.2162500000000001</v>
      </c>
      <c r="AM50" s="163"/>
      <c r="AN50" s="164"/>
      <c r="AO50" s="141"/>
      <c r="AP50" s="48"/>
      <c r="AQ50" s="41">
        <f t="shared" si="36"/>
        <v>0.69500000000000006</v>
      </c>
      <c r="AR50" s="132">
        <f t="shared" si="37"/>
        <v>0.52124999999999999</v>
      </c>
      <c r="AS50" s="141"/>
      <c r="AT50" s="48"/>
      <c r="AU50" s="163"/>
      <c r="AV50" s="164"/>
      <c r="AW50" s="141"/>
      <c r="AX50" s="48"/>
      <c r="AY50" s="163"/>
      <c r="AZ50" s="164"/>
    </row>
    <row r="51" spans="1:52" x14ac:dyDescent="0.25">
      <c r="A51" s="25">
        <v>332</v>
      </c>
      <c r="B51" s="25" t="s">
        <v>228</v>
      </c>
      <c r="C51" s="25" t="s">
        <v>229</v>
      </c>
      <c r="D51" s="25" t="s">
        <v>230</v>
      </c>
      <c r="E51" s="24"/>
      <c r="F51" s="25" t="s">
        <v>231</v>
      </c>
      <c r="G51" s="25"/>
      <c r="H51" s="139" t="s">
        <v>31</v>
      </c>
      <c r="I51" s="25"/>
      <c r="J51" s="25">
        <v>7.3</v>
      </c>
      <c r="K51" s="25">
        <v>7.3</v>
      </c>
      <c r="L51" s="25">
        <v>1</v>
      </c>
      <c r="M51" s="25" t="s">
        <v>33</v>
      </c>
      <c r="N51" s="25">
        <f t="shared" si="6"/>
        <v>102.92999999999999</v>
      </c>
      <c r="O51" s="25">
        <f t="shared" si="7"/>
        <v>120.08499999999998</v>
      </c>
      <c r="P51" s="25">
        <f t="shared" si="8"/>
        <v>68.61999999999999</v>
      </c>
      <c r="Q51" s="25">
        <f t="shared" si="9"/>
        <v>51.464999999999996</v>
      </c>
      <c r="R51" s="25">
        <v>343.09999999999997</v>
      </c>
      <c r="S51" s="140">
        <v>171718.65</v>
      </c>
      <c r="T51" s="140">
        <v>1253546.145</v>
      </c>
      <c r="U51" s="25"/>
      <c r="V51" s="25"/>
      <c r="W51" s="25" t="s">
        <v>232</v>
      </c>
      <c r="X51" s="25">
        <v>71878</v>
      </c>
      <c r="Y51" s="19" t="s">
        <v>233</v>
      </c>
      <c r="Z51" s="9" t="s">
        <v>231</v>
      </c>
      <c r="AA51" s="70">
        <v>1</v>
      </c>
      <c r="AB51" s="71">
        <v>4459</v>
      </c>
      <c r="AC51" s="131">
        <f>K51*0.3</f>
        <v>2.19</v>
      </c>
      <c r="AD51" s="163"/>
      <c r="AE51" s="163"/>
      <c r="AF51" s="164"/>
      <c r="AG51" s="141"/>
      <c r="AH51" s="163"/>
      <c r="AI51" s="163"/>
      <c r="AJ51" s="164"/>
      <c r="AK51" s="141"/>
      <c r="AL51" s="184">
        <f>K51*0.35</f>
        <v>2.5549999999999997</v>
      </c>
      <c r="AM51" s="41">
        <f t="shared" ref="AM51:AM52" si="38">K51*0.2</f>
        <v>1.46</v>
      </c>
      <c r="AN51" s="164"/>
      <c r="AO51" s="141"/>
      <c r="AP51" s="163"/>
      <c r="AQ51" s="48"/>
      <c r="AR51" s="164"/>
      <c r="AS51" s="141"/>
      <c r="AT51" s="163"/>
      <c r="AU51" s="48"/>
      <c r="AV51" s="127"/>
      <c r="AW51" s="141"/>
      <c r="AX51" s="163"/>
      <c r="AY51" s="48"/>
      <c r="AZ51" s="127"/>
    </row>
    <row r="52" spans="1:52" x14ac:dyDescent="0.25">
      <c r="A52" s="25">
        <v>333</v>
      </c>
      <c r="B52" s="25" t="s">
        <v>228</v>
      </c>
      <c r="C52" s="25" t="s">
        <v>229</v>
      </c>
      <c r="D52" s="25" t="s">
        <v>230</v>
      </c>
      <c r="E52" s="24"/>
      <c r="F52" s="25" t="s">
        <v>231</v>
      </c>
      <c r="G52" s="25"/>
      <c r="H52" s="139" t="s">
        <v>31</v>
      </c>
      <c r="I52" s="25"/>
      <c r="J52" s="25">
        <v>7.3</v>
      </c>
      <c r="K52" s="25">
        <v>7.3</v>
      </c>
      <c r="L52" s="25">
        <v>1</v>
      </c>
      <c r="M52" s="25" t="s">
        <v>33</v>
      </c>
      <c r="N52" s="25">
        <f t="shared" si="6"/>
        <v>102.92999999999999</v>
      </c>
      <c r="O52" s="25">
        <f t="shared" si="7"/>
        <v>120.08499999999998</v>
      </c>
      <c r="P52" s="25">
        <f t="shared" si="8"/>
        <v>68.61999999999999</v>
      </c>
      <c r="Q52" s="25">
        <f t="shared" si="9"/>
        <v>51.464999999999996</v>
      </c>
      <c r="R52" s="25">
        <v>343.09999999999997</v>
      </c>
      <c r="S52" s="140">
        <v>171718.65</v>
      </c>
      <c r="T52" s="140">
        <v>1253546.145</v>
      </c>
      <c r="U52" s="25"/>
      <c r="V52" s="25"/>
      <c r="W52" s="25" t="s">
        <v>232</v>
      </c>
      <c r="X52" s="25">
        <v>71879</v>
      </c>
      <c r="Y52" s="19" t="s">
        <v>233</v>
      </c>
      <c r="Z52" s="9" t="s">
        <v>231</v>
      </c>
      <c r="AA52" s="70">
        <v>1</v>
      </c>
      <c r="AB52" s="71">
        <v>4459</v>
      </c>
      <c r="AC52" s="131">
        <f>K52*0.3</f>
        <v>2.19</v>
      </c>
      <c r="AD52" s="163"/>
      <c r="AE52" s="163"/>
      <c r="AF52" s="164"/>
      <c r="AG52" s="141"/>
      <c r="AH52" s="163"/>
      <c r="AI52" s="163"/>
      <c r="AJ52" s="164"/>
      <c r="AK52" s="141"/>
      <c r="AL52" s="184">
        <f>K52*0.35</f>
        <v>2.5549999999999997</v>
      </c>
      <c r="AM52" s="41">
        <f t="shared" si="38"/>
        <v>1.46</v>
      </c>
      <c r="AN52" s="164"/>
      <c r="AO52" s="141"/>
      <c r="AP52" s="163"/>
      <c r="AQ52" s="48"/>
      <c r="AR52" s="164"/>
      <c r="AS52" s="141"/>
      <c r="AT52" s="163"/>
      <c r="AU52" s="48"/>
      <c r="AV52" s="127"/>
      <c r="AW52" s="141"/>
      <c r="AX52" s="163"/>
      <c r="AY52" s="48"/>
      <c r="AZ52" s="127"/>
    </row>
    <row r="53" spans="1:52" x14ac:dyDescent="0.25">
      <c r="A53" s="25">
        <v>334</v>
      </c>
      <c r="B53" s="25" t="s">
        <v>228</v>
      </c>
      <c r="C53" s="25" t="s">
        <v>234</v>
      </c>
      <c r="D53" s="25" t="s">
        <v>230</v>
      </c>
      <c r="E53" s="24"/>
      <c r="F53" s="25" t="s">
        <v>235</v>
      </c>
      <c r="G53" s="25"/>
      <c r="H53" s="139" t="s">
        <v>31</v>
      </c>
      <c r="I53" s="25"/>
      <c r="J53" s="25">
        <v>3.3849999999999998</v>
      </c>
      <c r="K53" s="25">
        <v>3.3849999999999998</v>
      </c>
      <c r="L53" s="25">
        <v>1</v>
      </c>
      <c r="M53" s="25" t="s">
        <v>33</v>
      </c>
      <c r="N53" s="25">
        <f t="shared" si="6"/>
        <v>52.80599999999999</v>
      </c>
      <c r="O53" s="25">
        <f t="shared" si="7"/>
        <v>61.606999999999992</v>
      </c>
      <c r="P53" s="25">
        <f t="shared" si="8"/>
        <v>35.204000000000001</v>
      </c>
      <c r="Q53" s="25">
        <f t="shared" si="9"/>
        <v>26.402999999999995</v>
      </c>
      <c r="R53" s="25">
        <v>176.01999999999998</v>
      </c>
      <c r="S53" s="140">
        <v>171718.65</v>
      </c>
      <c r="T53" s="140">
        <v>581267.63024999993</v>
      </c>
      <c r="U53" s="25"/>
      <c r="V53" s="25"/>
      <c r="W53" s="25" t="s">
        <v>247</v>
      </c>
      <c r="X53" s="25">
        <v>71856</v>
      </c>
      <c r="Y53" s="19" t="s">
        <v>233</v>
      </c>
      <c r="Z53" s="9" t="s">
        <v>235</v>
      </c>
      <c r="AA53" s="70">
        <v>1</v>
      </c>
      <c r="AB53" s="71">
        <v>4459</v>
      </c>
      <c r="AC53" s="165"/>
      <c r="AD53" s="163"/>
      <c r="AE53" s="163"/>
      <c r="AF53" s="164"/>
      <c r="AG53" s="141"/>
      <c r="AH53" s="163"/>
      <c r="AI53" s="163"/>
      <c r="AJ53" s="164"/>
      <c r="AK53" s="169">
        <f t="shared" ref="AK53:AK54" si="39">K53*0.3</f>
        <v>1.0154999999999998</v>
      </c>
      <c r="AL53" s="41">
        <f t="shared" ref="AL53:AL56" si="40">K53*0.35</f>
        <v>1.1847499999999997</v>
      </c>
      <c r="AM53" s="163"/>
      <c r="AN53" s="164"/>
      <c r="AO53" s="141"/>
      <c r="AP53" s="48"/>
      <c r="AQ53" s="41">
        <f t="shared" ref="AQ53:AQ54" si="41">K53*0.2</f>
        <v>0.67700000000000005</v>
      </c>
      <c r="AR53" s="132">
        <f t="shared" ref="AR53:AR54" si="42">K53*0.15</f>
        <v>0.50774999999999992</v>
      </c>
      <c r="AS53" s="141"/>
      <c r="AT53" s="48"/>
      <c r="AU53" s="163"/>
      <c r="AV53" s="164"/>
      <c r="AW53" s="141"/>
      <c r="AX53" s="48"/>
      <c r="AY53" s="163"/>
      <c r="AZ53" s="164"/>
    </row>
    <row r="54" spans="1:52" x14ac:dyDescent="0.25">
      <c r="A54" s="25">
        <v>335</v>
      </c>
      <c r="B54" s="25" t="s">
        <v>228</v>
      </c>
      <c r="C54" s="25" t="s">
        <v>234</v>
      </c>
      <c r="D54" s="25" t="s">
        <v>230</v>
      </c>
      <c r="E54" s="24"/>
      <c r="F54" s="25" t="s">
        <v>235</v>
      </c>
      <c r="G54" s="25"/>
      <c r="H54" s="139" t="s">
        <v>31</v>
      </c>
      <c r="I54" s="25"/>
      <c r="J54" s="25">
        <v>3.3849999999999998</v>
      </c>
      <c r="K54" s="25">
        <v>3.3849999999999998</v>
      </c>
      <c r="L54" s="25">
        <v>1</v>
      </c>
      <c r="M54" s="25" t="s">
        <v>33</v>
      </c>
      <c r="N54" s="25">
        <f t="shared" si="6"/>
        <v>52.80599999999999</v>
      </c>
      <c r="O54" s="25">
        <f t="shared" si="7"/>
        <v>61.606999999999992</v>
      </c>
      <c r="P54" s="25">
        <f t="shared" si="8"/>
        <v>35.204000000000001</v>
      </c>
      <c r="Q54" s="25">
        <f t="shared" si="9"/>
        <v>26.402999999999995</v>
      </c>
      <c r="R54" s="25">
        <v>176.01999999999998</v>
      </c>
      <c r="S54" s="140">
        <v>171718.65</v>
      </c>
      <c r="T54" s="140">
        <v>581267.63024999993</v>
      </c>
      <c r="U54" s="25"/>
      <c r="V54" s="25"/>
      <c r="W54" s="25" t="s">
        <v>247</v>
      </c>
      <c r="X54" s="25">
        <v>71856</v>
      </c>
      <c r="Y54" s="19" t="s">
        <v>233</v>
      </c>
      <c r="Z54" s="9" t="s">
        <v>235</v>
      </c>
      <c r="AA54" s="70">
        <v>2</v>
      </c>
      <c r="AB54" s="71">
        <v>4459</v>
      </c>
      <c r="AC54" s="165"/>
      <c r="AD54" s="163"/>
      <c r="AE54" s="163"/>
      <c r="AF54" s="164"/>
      <c r="AG54" s="141"/>
      <c r="AH54" s="163"/>
      <c r="AI54" s="163"/>
      <c r="AJ54" s="164"/>
      <c r="AK54" s="169">
        <f t="shared" si="39"/>
        <v>1.0154999999999998</v>
      </c>
      <c r="AL54" s="41">
        <f t="shared" si="40"/>
        <v>1.1847499999999997</v>
      </c>
      <c r="AM54" s="163"/>
      <c r="AN54" s="164"/>
      <c r="AO54" s="141"/>
      <c r="AP54" s="48"/>
      <c r="AQ54" s="41">
        <f t="shared" si="41"/>
        <v>0.67700000000000005</v>
      </c>
      <c r="AR54" s="132">
        <f t="shared" si="42"/>
        <v>0.50774999999999992</v>
      </c>
      <c r="AS54" s="141"/>
      <c r="AT54" s="48"/>
      <c r="AU54" s="163"/>
      <c r="AV54" s="164"/>
      <c r="AW54" s="141"/>
      <c r="AX54" s="48"/>
      <c r="AY54" s="163"/>
      <c r="AZ54" s="164"/>
    </row>
    <row r="55" spans="1:52" x14ac:dyDescent="0.25">
      <c r="A55" s="25">
        <v>336</v>
      </c>
      <c r="B55" s="25" t="s">
        <v>228</v>
      </c>
      <c r="C55" s="25" t="s">
        <v>229</v>
      </c>
      <c r="D55" s="25" t="s">
        <v>230</v>
      </c>
      <c r="E55" s="24"/>
      <c r="F55" s="25" t="s">
        <v>231</v>
      </c>
      <c r="G55" s="25"/>
      <c r="H55" s="139" t="s">
        <v>31</v>
      </c>
      <c r="I55" s="25"/>
      <c r="J55" s="25">
        <v>7.3</v>
      </c>
      <c r="K55" s="25">
        <v>7.3</v>
      </c>
      <c r="L55" s="25">
        <v>1</v>
      </c>
      <c r="M55" s="25" t="s">
        <v>33</v>
      </c>
      <c r="N55" s="25">
        <f t="shared" si="6"/>
        <v>102.92999999999999</v>
      </c>
      <c r="O55" s="25">
        <f t="shared" si="7"/>
        <v>120.08499999999998</v>
      </c>
      <c r="P55" s="25">
        <f t="shared" si="8"/>
        <v>68.61999999999999</v>
      </c>
      <c r="Q55" s="25">
        <f t="shared" si="9"/>
        <v>51.464999999999996</v>
      </c>
      <c r="R55" s="25">
        <v>343.09999999999997</v>
      </c>
      <c r="S55" s="140">
        <v>171718.65</v>
      </c>
      <c r="T55" s="140">
        <v>1253546.145</v>
      </c>
      <c r="U55" s="25"/>
      <c r="V55" s="25"/>
      <c r="W55" s="25" t="s">
        <v>232</v>
      </c>
      <c r="X55" s="25">
        <v>71880</v>
      </c>
      <c r="Y55" s="19" t="s">
        <v>233</v>
      </c>
      <c r="Z55" s="9" t="s">
        <v>231</v>
      </c>
      <c r="AA55" s="70">
        <v>1</v>
      </c>
      <c r="AB55" s="71">
        <v>4459</v>
      </c>
      <c r="AC55" s="165"/>
      <c r="AD55" s="163"/>
      <c r="AE55" s="163"/>
      <c r="AF55" s="164"/>
      <c r="AG55" s="46">
        <f t="shared" ref="AG55:AG58" si="43">K55*0.3</f>
        <v>2.19</v>
      </c>
      <c r="AH55" s="163"/>
      <c r="AI55" s="163"/>
      <c r="AJ55" s="164"/>
      <c r="AK55" s="141"/>
      <c r="AL55" s="41">
        <f t="shared" si="40"/>
        <v>2.5549999999999997</v>
      </c>
      <c r="AM55" s="163"/>
      <c r="AN55" s="164"/>
      <c r="AO55" s="141"/>
      <c r="AP55" s="48"/>
      <c r="AQ55" s="41">
        <f>K55*0.2</f>
        <v>1.46</v>
      </c>
      <c r="AR55" s="164"/>
      <c r="AS55" s="141"/>
      <c r="AT55" s="48"/>
      <c r="AU55" s="163"/>
      <c r="AV55" s="127"/>
      <c r="AW55" s="141"/>
      <c r="AX55" s="48"/>
      <c r="AY55" s="163"/>
      <c r="AZ55" s="127"/>
    </row>
    <row r="56" spans="1:52" x14ac:dyDescent="0.25">
      <c r="A56" s="25">
        <v>337</v>
      </c>
      <c r="B56" s="25" t="s">
        <v>228</v>
      </c>
      <c r="C56" s="25" t="s">
        <v>229</v>
      </c>
      <c r="D56" s="25" t="s">
        <v>230</v>
      </c>
      <c r="E56" s="24"/>
      <c r="F56" s="25" t="s">
        <v>231</v>
      </c>
      <c r="G56" s="25"/>
      <c r="H56" s="139" t="s">
        <v>31</v>
      </c>
      <c r="I56" s="25"/>
      <c r="J56" s="25">
        <v>7.3</v>
      </c>
      <c r="K56" s="25">
        <v>7.3</v>
      </c>
      <c r="L56" s="25">
        <v>1</v>
      </c>
      <c r="M56" s="25" t="s">
        <v>33</v>
      </c>
      <c r="N56" s="25">
        <f t="shared" si="6"/>
        <v>102.92999999999999</v>
      </c>
      <c r="O56" s="25">
        <f t="shared" si="7"/>
        <v>120.08499999999998</v>
      </c>
      <c r="P56" s="25">
        <f t="shared" si="8"/>
        <v>68.61999999999999</v>
      </c>
      <c r="Q56" s="25">
        <f t="shared" si="9"/>
        <v>51.464999999999996</v>
      </c>
      <c r="R56" s="25">
        <v>343.09999999999997</v>
      </c>
      <c r="S56" s="140">
        <v>171718.65</v>
      </c>
      <c r="T56" s="140">
        <v>1253546.145</v>
      </c>
      <c r="U56" s="25"/>
      <c r="V56" s="25"/>
      <c r="W56" s="25" t="s">
        <v>232</v>
      </c>
      <c r="X56" s="25">
        <v>71881</v>
      </c>
      <c r="Y56" s="19" t="s">
        <v>233</v>
      </c>
      <c r="Z56" s="9" t="s">
        <v>231</v>
      </c>
      <c r="AA56" s="70">
        <v>1</v>
      </c>
      <c r="AB56" s="71">
        <v>4459</v>
      </c>
      <c r="AC56" s="165"/>
      <c r="AD56" s="163"/>
      <c r="AE56" s="163"/>
      <c r="AF56" s="164"/>
      <c r="AG56" s="46">
        <f t="shared" si="43"/>
        <v>2.19</v>
      </c>
      <c r="AH56" s="163"/>
      <c r="AI56" s="163"/>
      <c r="AJ56" s="164"/>
      <c r="AK56" s="141"/>
      <c r="AL56" s="41">
        <f t="shared" si="40"/>
        <v>2.5549999999999997</v>
      </c>
      <c r="AM56" s="163"/>
      <c r="AN56" s="164"/>
      <c r="AO56" s="141"/>
      <c r="AP56" s="48"/>
      <c r="AQ56" s="41">
        <f t="shared" ref="AQ56:AQ58" si="44">K56*0.2</f>
        <v>1.46</v>
      </c>
      <c r="AR56" s="164"/>
      <c r="AS56" s="141"/>
      <c r="AT56" s="48"/>
      <c r="AU56" s="163"/>
      <c r="AV56" s="127"/>
      <c r="AW56" s="141"/>
      <c r="AX56" s="48"/>
      <c r="AY56" s="163"/>
      <c r="AZ56" s="127"/>
    </row>
    <row r="57" spans="1:52" x14ac:dyDescent="0.25">
      <c r="A57" s="25">
        <v>338</v>
      </c>
      <c r="B57" s="25" t="s">
        <v>228</v>
      </c>
      <c r="C57" s="25" t="s">
        <v>234</v>
      </c>
      <c r="D57" s="25" t="s">
        <v>230</v>
      </c>
      <c r="E57" s="24"/>
      <c r="F57" s="25" t="s">
        <v>235</v>
      </c>
      <c r="G57" s="25"/>
      <c r="H57" s="139" t="s">
        <v>31</v>
      </c>
      <c r="I57" s="25"/>
      <c r="J57" s="25">
        <v>3.4449999999999998</v>
      </c>
      <c r="K57" s="25">
        <v>3.4449999999999998</v>
      </c>
      <c r="L57" s="25">
        <v>1</v>
      </c>
      <c r="M57" s="25" t="s">
        <v>33</v>
      </c>
      <c r="N57" s="25">
        <f t="shared" si="6"/>
        <v>53.741999999999997</v>
      </c>
      <c r="O57" s="25">
        <f t="shared" si="7"/>
        <v>62.698999999999991</v>
      </c>
      <c r="P57" s="25">
        <f t="shared" si="8"/>
        <v>35.827999999999996</v>
      </c>
      <c r="Q57" s="25">
        <f t="shared" si="9"/>
        <v>26.870999999999999</v>
      </c>
      <c r="R57" s="25">
        <v>179.14</v>
      </c>
      <c r="S57" s="140">
        <v>171718.65</v>
      </c>
      <c r="T57" s="140">
        <v>591570.74924999999</v>
      </c>
      <c r="U57" s="25"/>
      <c r="V57" s="25"/>
      <c r="W57" s="25" t="s">
        <v>236</v>
      </c>
      <c r="X57" s="25">
        <v>71857</v>
      </c>
      <c r="Y57" s="19" t="s">
        <v>233</v>
      </c>
      <c r="Z57" s="9" t="s">
        <v>235</v>
      </c>
      <c r="AA57" s="70">
        <v>1</v>
      </c>
      <c r="AB57" s="71">
        <v>4459</v>
      </c>
      <c r="AC57" s="165"/>
      <c r="AD57" s="163"/>
      <c r="AE57" s="163"/>
      <c r="AF57" s="164"/>
      <c r="AG57" s="46">
        <f t="shared" si="43"/>
        <v>1.0334999999999999</v>
      </c>
      <c r="AH57" s="41">
        <f t="shared" ref="AH57:AH58" si="45">K57*0.35</f>
        <v>1.2057499999999999</v>
      </c>
      <c r="AI57" s="163"/>
      <c r="AJ57" s="164"/>
      <c r="AK57" s="141"/>
      <c r="AL57" s="163"/>
      <c r="AM57" s="163"/>
      <c r="AN57" s="164"/>
      <c r="AO57" s="141"/>
      <c r="AP57" s="163"/>
      <c r="AQ57" s="41">
        <f t="shared" si="44"/>
        <v>0.68900000000000006</v>
      </c>
      <c r="AR57" s="132">
        <f t="shared" ref="AR57:AR58" si="46">K57*0.15</f>
        <v>0.51674999999999993</v>
      </c>
      <c r="AS57" s="141"/>
      <c r="AT57" s="163"/>
      <c r="AU57" s="163"/>
      <c r="AV57" s="164"/>
      <c r="AW57" s="141"/>
      <c r="AX57" s="163"/>
      <c r="AY57" s="163"/>
      <c r="AZ57" s="164"/>
    </row>
    <row r="58" spans="1:52" x14ac:dyDescent="0.25">
      <c r="A58" s="25">
        <v>339</v>
      </c>
      <c r="B58" s="25" t="s">
        <v>228</v>
      </c>
      <c r="C58" s="25" t="s">
        <v>234</v>
      </c>
      <c r="D58" s="25" t="s">
        <v>230</v>
      </c>
      <c r="E58" s="24"/>
      <c r="F58" s="25" t="s">
        <v>235</v>
      </c>
      <c r="G58" s="25"/>
      <c r="H58" s="139" t="s">
        <v>31</v>
      </c>
      <c r="I58" s="25"/>
      <c r="J58" s="25">
        <v>3.4449999999999998</v>
      </c>
      <c r="K58" s="25">
        <v>3.4449999999999998</v>
      </c>
      <c r="L58" s="25">
        <v>1</v>
      </c>
      <c r="M58" s="25" t="s">
        <v>33</v>
      </c>
      <c r="N58" s="25">
        <f t="shared" si="6"/>
        <v>53.741999999999997</v>
      </c>
      <c r="O58" s="25">
        <f t="shared" si="7"/>
        <v>62.698999999999991</v>
      </c>
      <c r="P58" s="25">
        <f t="shared" si="8"/>
        <v>35.827999999999996</v>
      </c>
      <c r="Q58" s="25">
        <f t="shared" si="9"/>
        <v>26.870999999999999</v>
      </c>
      <c r="R58" s="25">
        <v>179.14</v>
      </c>
      <c r="S58" s="140">
        <v>171718.65</v>
      </c>
      <c r="T58" s="140">
        <v>591570.74924999999</v>
      </c>
      <c r="U58" s="25"/>
      <c r="V58" s="25"/>
      <c r="W58" s="25" t="s">
        <v>236</v>
      </c>
      <c r="X58" s="25">
        <v>71857</v>
      </c>
      <c r="Y58" s="19" t="s">
        <v>233</v>
      </c>
      <c r="Z58" s="9" t="s">
        <v>235</v>
      </c>
      <c r="AA58" s="70">
        <v>2</v>
      </c>
      <c r="AB58" s="71">
        <v>4459</v>
      </c>
      <c r="AC58" s="165"/>
      <c r="AD58" s="163"/>
      <c r="AE58" s="163"/>
      <c r="AF58" s="164"/>
      <c r="AG58" s="46">
        <f t="shared" si="43"/>
        <v>1.0334999999999999</v>
      </c>
      <c r="AH58" s="41">
        <f t="shared" si="45"/>
        <v>1.2057499999999999</v>
      </c>
      <c r="AI58" s="163"/>
      <c r="AJ58" s="164"/>
      <c r="AK58" s="141"/>
      <c r="AL58" s="163"/>
      <c r="AM58" s="163"/>
      <c r="AN58" s="164"/>
      <c r="AO58" s="141"/>
      <c r="AP58" s="163"/>
      <c r="AQ58" s="41">
        <f t="shared" si="44"/>
        <v>0.68900000000000006</v>
      </c>
      <c r="AR58" s="132">
        <f t="shared" si="46"/>
        <v>0.51674999999999993</v>
      </c>
      <c r="AS58" s="141"/>
      <c r="AT58" s="163"/>
      <c r="AU58" s="163"/>
      <c r="AV58" s="164"/>
      <c r="AW58" s="141"/>
      <c r="AX58" s="163"/>
      <c r="AY58" s="163"/>
      <c r="AZ58" s="164"/>
    </row>
    <row r="59" spans="1:52" x14ac:dyDescent="0.25">
      <c r="A59" s="25">
        <v>340</v>
      </c>
      <c r="B59" s="25" t="s">
        <v>228</v>
      </c>
      <c r="C59" s="25" t="s">
        <v>229</v>
      </c>
      <c r="D59" s="25" t="s">
        <v>230</v>
      </c>
      <c r="E59" s="24"/>
      <c r="F59" s="25" t="s">
        <v>231</v>
      </c>
      <c r="G59" s="25"/>
      <c r="H59" s="139" t="s">
        <v>31</v>
      </c>
      <c r="I59" s="25"/>
      <c r="J59" s="25">
        <v>7.3</v>
      </c>
      <c r="K59" s="25">
        <v>7.3</v>
      </c>
      <c r="L59" s="25">
        <v>1</v>
      </c>
      <c r="M59" s="25" t="s">
        <v>33</v>
      </c>
      <c r="N59" s="25">
        <f t="shared" si="6"/>
        <v>102.92999999999999</v>
      </c>
      <c r="O59" s="25">
        <f t="shared" si="7"/>
        <v>120.08499999999998</v>
      </c>
      <c r="P59" s="25">
        <f t="shared" si="8"/>
        <v>68.61999999999999</v>
      </c>
      <c r="Q59" s="25">
        <f t="shared" si="9"/>
        <v>51.464999999999996</v>
      </c>
      <c r="R59" s="25">
        <v>343.09999999999997</v>
      </c>
      <c r="S59" s="140">
        <v>171718.65</v>
      </c>
      <c r="T59" s="140">
        <v>1253546.145</v>
      </c>
      <c r="U59" s="25"/>
      <c r="V59" s="25"/>
      <c r="W59" s="25" t="s">
        <v>232</v>
      </c>
      <c r="X59" s="25">
        <v>71882</v>
      </c>
      <c r="Y59" s="19" t="s">
        <v>233</v>
      </c>
      <c r="Z59" s="9" t="s">
        <v>231</v>
      </c>
      <c r="AA59" s="70">
        <v>1</v>
      </c>
      <c r="AB59" s="71">
        <v>4459</v>
      </c>
      <c r="AC59" s="131">
        <f>K59*0.3</f>
        <v>2.19</v>
      </c>
      <c r="AD59" s="163"/>
      <c r="AE59" s="163"/>
      <c r="AF59" s="164"/>
      <c r="AG59" s="141"/>
      <c r="AH59" s="163"/>
      <c r="AI59" s="163"/>
      <c r="AJ59" s="164"/>
      <c r="AK59" s="141"/>
      <c r="AL59" s="41">
        <f t="shared" ref="AL59:AL61" si="47">K59*0.35</f>
        <v>2.5549999999999997</v>
      </c>
      <c r="AM59" s="163"/>
      <c r="AN59" s="164"/>
      <c r="AO59" s="141"/>
      <c r="AP59" s="48"/>
      <c r="AQ59" s="41">
        <f>K59*0.2</f>
        <v>1.46</v>
      </c>
      <c r="AR59" s="164"/>
      <c r="AS59" s="141"/>
      <c r="AT59" s="48"/>
      <c r="AU59" s="163"/>
      <c r="AV59" s="127"/>
      <c r="AW59" s="141"/>
      <c r="AX59" s="48"/>
      <c r="AY59" s="163"/>
      <c r="AZ59" s="127"/>
    </row>
    <row r="60" spans="1:52" x14ac:dyDescent="0.25">
      <c r="A60" s="25">
        <v>341</v>
      </c>
      <c r="B60" s="25" t="s">
        <v>228</v>
      </c>
      <c r="C60" s="25" t="s">
        <v>229</v>
      </c>
      <c r="D60" s="25" t="s">
        <v>230</v>
      </c>
      <c r="E60" s="24"/>
      <c r="F60" s="25" t="s">
        <v>231</v>
      </c>
      <c r="G60" s="25"/>
      <c r="H60" s="139" t="s">
        <v>31</v>
      </c>
      <c r="I60" s="25"/>
      <c r="J60" s="25">
        <v>7.3</v>
      </c>
      <c r="K60" s="25">
        <v>7.3</v>
      </c>
      <c r="L60" s="25">
        <v>1</v>
      </c>
      <c r="M60" s="25" t="s">
        <v>33</v>
      </c>
      <c r="N60" s="25">
        <f t="shared" si="6"/>
        <v>102.92999999999999</v>
      </c>
      <c r="O60" s="25">
        <f t="shared" si="7"/>
        <v>120.08499999999998</v>
      </c>
      <c r="P60" s="25">
        <f t="shared" si="8"/>
        <v>68.61999999999999</v>
      </c>
      <c r="Q60" s="25">
        <f t="shared" si="9"/>
        <v>51.464999999999996</v>
      </c>
      <c r="R60" s="25">
        <v>343.09999999999997</v>
      </c>
      <c r="S60" s="140">
        <v>171718.65</v>
      </c>
      <c r="T60" s="140">
        <v>1253546.145</v>
      </c>
      <c r="U60" s="25"/>
      <c r="V60" s="25"/>
      <c r="W60" s="25" t="s">
        <v>232</v>
      </c>
      <c r="X60" s="25">
        <v>71883</v>
      </c>
      <c r="Y60" s="19" t="s">
        <v>233</v>
      </c>
      <c r="Z60" s="9" t="s">
        <v>231</v>
      </c>
      <c r="AA60" s="70">
        <v>1</v>
      </c>
      <c r="AB60" s="71">
        <v>4459</v>
      </c>
      <c r="AC60" s="131">
        <f>K60*0.3</f>
        <v>2.19</v>
      </c>
      <c r="AD60" s="163"/>
      <c r="AE60" s="163"/>
      <c r="AF60" s="164"/>
      <c r="AG60" s="141"/>
      <c r="AH60" s="163"/>
      <c r="AI60" s="163"/>
      <c r="AJ60" s="164"/>
      <c r="AK60" s="141"/>
      <c r="AL60" s="41">
        <f t="shared" si="47"/>
        <v>2.5549999999999997</v>
      </c>
      <c r="AM60" s="163"/>
      <c r="AN60" s="164"/>
      <c r="AO60" s="141"/>
      <c r="AP60" s="48"/>
      <c r="AQ60" s="41">
        <f>K60*0.2</f>
        <v>1.46</v>
      </c>
      <c r="AR60" s="164"/>
      <c r="AS60" s="141"/>
      <c r="AT60" s="48"/>
      <c r="AU60" s="163"/>
      <c r="AV60" s="127"/>
      <c r="AW60" s="141"/>
      <c r="AX60" s="48"/>
      <c r="AY60" s="163"/>
      <c r="AZ60" s="127"/>
    </row>
    <row r="61" spans="1:52" x14ac:dyDescent="0.25">
      <c r="A61" s="25">
        <v>342</v>
      </c>
      <c r="B61" s="25" t="s">
        <v>228</v>
      </c>
      <c r="C61" s="25" t="s">
        <v>237</v>
      </c>
      <c r="D61" s="25" t="s">
        <v>230</v>
      </c>
      <c r="E61" s="24"/>
      <c r="F61" s="25" t="s">
        <v>256</v>
      </c>
      <c r="G61" s="25"/>
      <c r="H61" s="139" t="s">
        <v>31</v>
      </c>
      <c r="I61" s="25"/>
      <c r="J61" s="25">
        <v>3.0000000000000001E-3</v>
      </c>
      <c r="K61" s="25">
        <v>7.2000000000000008E-2</v>
      </c>
      <c r="L61" s="25">
        <v>24</v>
      </c>
      <c r="M61" s="25" t="s">
        <v>33</v>
      </c>
      <c r="N61" s="25">
        <f t="shared" si="6"/>
        <v>2.1168</v>
      </c>
      <c r="O61" s="25">
        <f t="shared" si="7"/>
        <v>2.4696000000000002</v>
      </c>
      <c r="P61" s="25">
        <f t="shared" si="8"/>
        <v>1.4112000000000002</v>
      </c>
      <c r="Q61" s="25">
        <f t="shared" si="9"/>
        <v>1.0584</v>
      </c>
      <c r="R61" s="25">
        <v>7.0560000000000009</v>
      </c>
      <c r="S61" s="140">
        <v>171718.65</v>
      </c>
      <c r="T61" s="140">
        <v>12363.742800000002</v>
      </c>
      <c r="U61" s="25"/>
      <c r="V61" s="25"/>
      <c r="W61" s="25" t="s">
        <v>257</v>
      </c>
      <c r="X61" s="25">
        <v>71858</v>
      </c>
      <c r="Y61" s="19" t="s">
        <v>233</v>
      </c>
      <c r="Z61" s="9" t="s">
        <v>256</v>
      </c>
      <c r="AA61" s="70">
        <v>1</v>
      </c>
      <c r="AB61" s="71">
        <v>4459</v>
      </c>
      <c r="AC61" s="165"/>
      <c r="AD61" s="163"/>
      <c r="AE61" s="163"/>
      <c r="AF61" s="164"/>
      <c r="AG61" s="141"/>
      <c r="AH61" s="163"/>
      <c r="AI61" s="163"/>
      <c r="AJ61" s="164"/>
      <c r="AK61" s="169">
        <f>K61*0.3</f>
        <v>2.1600000000000001E-2</v>
      </c>
      <c r="AL61" s="41">
        <f t="shared" si="47"/>
        <v>2.52E-2</v>
      </c>
      <c r="AM61" s="41">
        <f t="shared" ref="AM61" si="48">K61*0.2</f>
        <v>1.4400000000000003E-2</v>
      </c>
      <c r="AN61" s="264">
        <f>K61*0.15</f>
        <v>1.0800000000000001E-2</v>
      </c>
      <c r="AO61" s="141"/>
      <c r="AP61" s="163"/>
      <c r="AQ61" s="163"/>
      <c r="AR61" s="164"/>
      <c r="AS61" s="141"/>
      <c r="AT61" s="163"/>
      <c r="AU61" s="163"/>
      <c r="AV61" s="164"/>
      <c r="AW61" s="141"/>
      <c r="AX61" s="163"/>
      <c r="AY61" s="163"/>
      <c r="AZ61" s="164"/>
    </row>
    <row r="62" spans="1:52" x14ac:dyDescent="0.25">
      <c r="A62" s="25">
        <v>343</v>
      </c>
      <c r="B62" s="25" t="s">
        <v>228</v>
      </c>
      <c r="C62" s="25" t="s">
        <v>234</v>
      </c>
      <c r="D62" s="25" t="s">
        <v>230</v>
      </c>
      <c r="E62" s="24"/>
      <c r="F62" s="25" t="s">
        <v>235</v>
      </c>
      <c r="G62" s="25"/>
      <c r="H62" s="139" t="s">
        <v>31</v>
      </c>
      <c r="I62" s="25"/>
      <c r="J62" s="25">
        <v>3.415</v>
      </c>
      <c r="K62" s="25">
        <v>3.415</v>
      </c>
      <c r="L62" s="25">
        <v>1</v>
      </c>
      <c r="M62" s="25" t="s">
        <v>33</v>
      </c>
      <c r="N62" s="25">
        <f t="shared" si="6"/>
        <v>53.274000000000001</v>
      </c>
      <c r="O62" s="25">
        <f t="shared" si="7"/>
        <v>62.152999999999999</v>
      </c>
      <c r="P62" s="25">
        <f t="shared" si="8"/>
        <v>35.516000000000005</v>
      </c>
      <c r="Q62" s="25">
        <f t="shared" si="9"/>
        <v>26.637</v>
      </c>
      <c r="R62" s="25">
        <v>177.58</v>
      </c>
      <c r="S62" s="140">
        <v>171718.65</v>
      </c>
      <c r="T62" s="140">
        <v>586419.18975000002</v>
      </c>
      <c r="U62" s="25"/>
      <c r="V62" s="25"/>
      <c r="W62" s="25" t="s">
        <v>247</v>
      </c>
      <c r="X62" s="38">
        <v>71858</v>
      </c>
      <c r="Y62" s="19" t="s">
        <v>233</v>
      </c>
      <c r="Z62" s="9" t="s">
        <v>235</v>
      </c>
      <c r="AA62" s="70">
        <v>3</v>
      </c>
      <c r="AB62" s="71">
        <v>4459</v>
      </c>
      <c r="AC62" s="165"/>
      <c r="AD62" s="163"/>
      <c r="AE62" s="163"/>
      <c r="AF62" s="164"/>
      <c r="AG62" s="141"/>
      <c r="AH62" s="163"/>
      <c r="AI62" s="163"/>
      <c r="AJ62" s="164"/>
      <c r="AK62" s="169">
        <f t="shared" ref="AK62:AK63" si="49">K62*0.3</f>
        <v>1.0245</v>
      </c>
      <c r="AL62" s="163"/>
      <c r="AM62" s="163"/>
      <c r="AN62" s="164"/>
      <c r="AO62" s="141"/>
      <c r="AP62" s="163"/>
      <c r="AQ62" s="163"/>
      <c r="AR62" s="164"/>
      <c r="AS62" s="141"/>
      <c r="AT62" s="72"/>
      <c r="AU62" s="72"/>
      <c r="AV62" s="127"/>
      <c r="AW62" s="141"/>
      <c r="AX62" s="72"/>
      <c r="AY62" s="72"/>
      <c r="AZ62" s="127"/>
    </row>
    <row r="63" spans="1:52" x14ac:dyDescent="0.25">
      <c r="A63" s="25">
        <v>344</v>
      </c>
      <c r="B63" s="25" t="s">
        <v>228</v>
      </c>
      <c r="C63" s="25" t="s">
        <v>234</v>
      </c>
      <c r="D63" s="25" t="s">
        <v>230</v>
      </c>
      <c r="E63" s="24"/>
      <c r="F63" s="25" t="s">
        <v>235</v>
      </c>
      <c r="G63" s="25"/>
      <c r="H63" s="139" t="s">
        <v>31</v>
      </c>
      <c r="I63" s="25"/>
      <c r="J63" s="25">
        <v>3.415</v>
      </c>
      <c r="K63" s="25">
        <v>3.415</v>
      </c>
      <c r="L63" s="25">
        <v>1</v>
      </c>
      <c r="M63" s="25" t="s">
        <v>33</v>
      </c>
      <c r="N63" s="25">
        <f t="shared" si="6"/>
        <v>53.274000000000001</v>
      </c>
      <c r="O63" s="25">
        <f t="shared" si="7"/>
        <v>62.152999999999999</v>
      </c>
      <c r="P63" s="25">
        <f t="shared" si="8"/>
        <v>35.516000000000005</v>
      </c>
      <c r="Q63" s="25">
        <f t="shared" si="9"/>
        <v>26.637</v>
      </c>
      <c r="R63" s="25">
        <v>177.58</v>
      </c>
      <c r="S63" s="140">
        <v>171718.65</v>
      </c>
      <c r="T63" s="140">
        <v>586419.18975000002</v>
      </c>
      <c r="U63" s="25"/>
      <c r="V63" s="25"/>
      <c r="W63" s="25" t="s">
        <v>247</v>
      </c>
      <c r="X63" s="38">
        <v>71858</v>
      </c>
      <c r="Y63" s="19" t="s">
        <v>233</v>
      </c>
      <c r="Z63" s="9" t="s">
        <v>235</v>
      </c>
      <c r="AA63" s="70">
        <v>4</v>
      </c>
      <c r="AB63" s="71">
        <v>4459</v>
      </c>
      <c r="AC63" s="165"/>
      <c r="AD63" s="163"/>
      <c r="AE63" s="163"/>
      <c r="AF63" s="164"/>
      <c r="AG63" s="141"/>
      <c r="AH63" s="163"/>
      <c r="AI63" s="163"/>
      <c r="AJ63" s="164"/>
      <c r="AK63" s="169">
        <f t="shared" si="49"/>
        <v>1.0245</v>
      </c>
      <c r="AL63" s="163"/>
      <c r="AM63" s="163"/>
      <c r="AN63" s="164"/>
      <c r="AO63" s="141"/>
      <c r="AP63" s="163"/>
      <c r="AQ63" s="163"/>
      <c r="AR63" s="164"/>
      <c r="AS63" s="141"/>
      <c r="AT63" s="72"/>
      <c r="AU63" s="72"/>
      <c r="AV63" s="127"/>
      <c r="AW63" s="141"/>
      <c r="AX63" s="72"/>
      <c r="AY63" s="72"/>
      <c r="AZ63" s="127"/>
    </row>
    <row r="64" spans="1:52" ht="15.75" thickBot="1" x14ac:dyDescent="0.3">
      <c r="A64" s="25">
        <v>345</v>
      </c>
      <c r="B64" s="25" t="s">
        <v>228</v>
      </c>
      <c r="C64" s="25" t="s">
        <v>229</v>
      </c>
      <c r="D64" s="25" t="s">
        <v>230</v>
      </c>
      <c r="E64" s="24"/>
      <c r="F64" s="25" t="s">
        <v>231</v>
      </c>
      <c r="G64" s="25"/>
      <c r="H64" s="139" t="s">
        <v>31</v>
      </c>
      <c r="I64" s="25"/>
      <c r="J64" s="25">
        <v>5.2</v>
      </c>
      <c r="K64" s="25">
        <v>5.2</v>
      </c>
      <c r="L64" s="25">
        <v>1</v>
      </c>
      <c r="M64" s="25" t="s">
        <v>33</v>
      </c>
      <c r="N64" s="25">
        <f t="shared" si="6"/>
        <v>73.319999999999993</v>
      </c>
      <c r="O64" s="25">
        <f t="shared" si="7"/>
        <v>85.539999999999992</v>
      </c>
      <c r="P64" s="25">
        <f t="shared" si="8"/>
        <v>48.88</v>
      </c>
      <c r="Q64" s="25">
        <f t="shared" si="9"/>
        <v>36.659999999999997</v>
      </c>
      <c r="R64" s="25">
        <v>244.4</v>
      </c>
      <c r="S64" s="140">
        <v>171718.65</v>
      </c>
      <c r="T64" s="140">
        <v>892936.98</v>
      </c>
      <c r="U64" s="25"/>
      <c r="V64" s="25"/>
      <c r="W64" s="25" t="s">
        <v>232</v>
      </c>
      <c r="X64" s="25">
        <v>71884</v>
      </c>
      <c r="Y64" s="19" t="s">
        <v>233</v>
      </c>
      <c r="Z64" s="9" t="s">
        <v>231</v>
      </c>
      <c r="AA64" s="70">
        <v>1</v>
      </c>
      <c r="AB64" s="71">
        <v>4459</v>
      </c>
      <c r="AC64" s="131">
        <f>K64*0.3</f>
        <v>1.56</v>
      </c>
      <c r="AD64" s="167"/>
      <c r="AE64" s="167"/>
      <c r="AF64" s="168"/>
      <c r="AG64" s="158"/>
      <c r="AH64" s="167"/>
      <c r="AI64" s="167"/>
      <c r="AJ64" s="168"/>
      <c r="AK64" s="158"/>
      <c r="AL64" s="41">
        <f t="shared" ref="AL64" si="50">K64*0.35</f>
        <v>1.8199999999999998</v>
      </c>
      <c r="AM64" s="167"/>
      <c r="AN64" s="168"/>
      <c r="AO64" s="158"/>
      <c r="AP64" s="48"/>
      <c r="AQ64" s="41">
        <f>K64*0.2</f>
        <v>1.04</v>
      </c>
      <c r="AR64" s="168"/>
      <c r="AS64" s="158"/>
      <c r="AT64" s="48"/>
      <c r="AU64" s="167"/>
      <c r="AV64" s="129"/>
      <c r="AW64" s="158"/>
      <c r="AX64" s="48"/>
      <c r="AY64" s="167"/>
      <c r="AZ64" s="129"/>
    </row>
    <row r="65" spans="29:52" x14ac:dyDescent="0.25">
      <c r="AC65"/>
      <c r="AD65"/>
      <c r="AE65"/>
      <c r="AF65"/>
      <c r="AG65"/>
      <c r="AH65"/>
      <c r="AI65"/>
      <c r="AJ65"/>
      <c r="AK65" s="32">
        <f>SUM(AK5:AK64)</f>
        <v>13.125599999999997</v>
      </c>
      <c r="AL65" s="32">
        <f t="shared" ref="AL65:AN65" si="51">SUM(AL5:AL64)</f>
        <v>63.298199999999994</v>
      </c>
      <c r="AM65" s="32">
        <f t="shared" si="51"/>
        <v>10.1744</v>
      </c>
      <c r="AN65" s="32">
        <f t="shared" si="51"/>
        <v>1.0800000000000001E-2</v>
      </c>
    </row>
    <row r="66" spans="29:52" x14ac:dyDescent="0.25"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</row>
    <row r="67" spans="29:52" x14ac:dyDescent="0.25"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</row>
    <row r="68" spans="29:52" x14ac:dyDescent="0.25"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</row>
    <row r="69" spans="29:52" x14ac:dyDescent="0.25"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</row>
    <row r="70" spans="29:52" x14ac:dyDescent="0.25"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</row>
    <row r="71" spans="29:52" x14ac:dyDescent="0.25"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</row>
    <row r="72" spans="29:52" x14ac:dyDescent="0.25"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</row>
    <row r="73" spans="29:52" x14ac:dyDescent="0.25"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</row>
    <row r="74" spans="29:52" x14ac:dyDescent="0.25"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</row>
    <row r="75" spans="29:52" x14ac:dyDescent="0.25"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</row>
    <row r="76" spans="29:52" x14ac:dyDescent="0.25"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</row>
    <row r="77" spans="29:52" x14ac:dyDescent="0.25"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</row>
    <row r="78" spans="29:52" x14ac:dyDescent="0.25"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</row>
    <row r="79" spans="29:52" x14ac:dyDescent="0.25"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</row>
    <row r="80" spans="29:52" x14ac:dyDescent="0.25"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</row>
    <row r="81" spans="29:52" x14ac:dyDescent="0.25"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</row>
    <row r="82" spans="29:52" x14ac:dyDescent="0.25"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</row>
    <row r="83" spans="29:52" x14ac:dyDescent="0.25"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</row>
    <row r="84" spans="29:52" x14ac:dyDescent="0.25"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</row>
    <row r="85" spans="29:52" x14ac:dyDescent="0.25"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</row>
    <row r="86" spans="29:52" x14ac:dyDescent="0.25"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</row>
    <row r="87" spans="29:52" x14ac:dyDescent="0.25"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</row>
    <row r="88" spans="29:52" x14ac:dyDescent="0.25"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</row>
    <row r="89" spans="29:52" x14ac:dyDescent="0.25"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</row>
    <row r="90" spans="29:52" x14ac:dyDescent="0.25"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</row>
    <row r="91" spans="29:52" x14ac:dyDescent="0.25"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</row>
    <row r="92" spans="29:52" x14ac:dyDescent="0.25"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</row>
    <row r="93" spans="29:52" x14ac:dyDescent="0.25"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</row>
    <row r="94" spans="29:52" x14ac:dyDescent="0.25"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</row>
    <row r="95" spans="29:52" x14ac:dyDescent="0.25"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</row>
    <row r="96" spans="29:52" x14ac:dyDescent="0.25"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</row>
    <row r="97" spans="29:52" x14ac:dyDescent="0.25"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</row>
    <row r="98" spans="29:52" x14ac:dyDescent="0.25"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</row>
    <row r="99" spans="29:52" x14ac:dyDescent="0.25"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</row>
    <row r="100" spans="29:52" x14ac:dyDescent="0.25"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</row>
    <row r="101" spans="29:52" x14ac:dyDescent="0.25"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</row>
    <row r="102" spans="29:52" x14ac:dyDescent="0.25"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</row>
    <row r="103" spans="29:52" x14ac:dyDescent="0.25"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</row>
    <row r="104" spans="29:52" x14ac:dyDescent="0.25"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</row>
    <row r="105" spans="29:52" x14ac:dyDescent="0.25"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</row>
    <row r="106" spans="29:52" x14ac:dyDescent="0.25"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</row>
    <row r="107" spans="29:52" x14ac:dyDescent="0.25"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</row>
    <row r="108" spans="29:52" x14ac:dyDescent="0.25"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</row>
    <row r="109" spans="29:52" x14ac:dyDescent="0.25"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</row>
    <row r="110" spans="29:52" x14ac:dyDescent="0.25"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</row>
    <row r="111" spans="29:52" x14ac:dyDescent="0.25"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</row>
    <row r="112" spans="29:52" x14ac:dyDescent="0.25"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</row>
    <row r="113" spans="29:52" x14ac:dyDescent="0.25"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</row>
    <row r="114" spans="29:52" x14ac:dyDescent="0.25"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</row>
    <row r="115" spans="29:52" x14ac:dyDescent="0.25"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</row>
    <row r="116" spans="29:52" x14ac:dyDescent="0.25"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</row>
    <row r="117" spans="29:52" x14ac:dyDescent="0.25"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</row>
    <row r="118" spans="29:52" x14ac:dyDescent="0.25"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</row>
    <row r="119" spans="29:52" x14ac:dyDescent="0.25"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</row>
    <row r="120" spans="29:52" x14ac:dyDescent="0.25"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</row>
    <row r="121" spans="29:52" x14ac:dyDescent="0.25"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</row>
    <row r="122" spans="29:52" x14ac:dyDescent="0.25"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</row>
    <row r="123" spans="29:52" x14ac:dyDescent="0.25"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</row>
    <row r="124" spans="29:52" x14ac:dyDescent="0.25"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</row>
    <row r="125" spans="29:52" x14ac:dyDescent="0.25"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</row>
    <row r="126" spans="29:52" x14ac:dyDescent="0.25"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</row>
    <row r="127" spans="29:52" x14ac:dyDescent="0.25"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</row>
    <row r="128" spans="29:52" x14ac:dyDescent="0.25"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</row>
    <row r="129" spans="29:52" x14ac:dyDescent="0.25"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</row>
    <row r="130" spans="29:52" x14ac:dyDescent="0.25"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</row>
    <row r="131" spans="29:52" x14ac:dyDescent="0.25"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</row>
    <row r="132" spans="29:52" x14ac:dyDescent="0.25"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</row>
    <row r="133" spans="29:52" x14ac:dyDescent="0.25"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</row>
    <row r="134" spans="29:52" x14ac:dyDescent="0.25"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</row>
    <row r="135" spans="29:52" x14ac:dyDescent="0.25"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</row>
    <row r="136" spans="29:52" x14ac:dyDescent="0.25"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</row>
    <row r="137" spans="29:52" x14ac:dyDescent="0.25"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</row>
    <row r="138" spans="29:52" x14ac:dyDescent="0.25"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</row>
    <row r="139" spans="29:52" x14ac:dyDescent="0.25"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</row>
    <row r="140" spans="29:52" x14ac:dyDescent="0.25"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</row>
    <row r="141" spans="29:52" x14ac:dyDescent="0.25"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</row>
    <row r="142" spans="29:52" x14ac:dyDescent="0.25"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</row>
    <row r="143" spans="29:52" x14ac:dyDescent="0.25"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</row>
    <row r="144" spans="29:52" x14ac:dyDescent="0.25"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</row>
    <row r="145" spans="29:52" x14ac:dyDescent="0.25"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</row>
    <row r="146" spans="29:52" x14ac:dyDescent="0.25"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</row>
    <row r="147" spans="29:52" x14ac:dyDescent="0.25"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</row>
    <row r="148" spans="29:52" x14ac:dyDescent="0.25"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</row>
    <row r="149" spans="29:52" x14ac:dyDescent="0.25"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</row>
    <row r="150" spans="29:52" x14ac:dyDescent="0.25"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</row>
    <row r="151" spans="29:52" x14ac:dyDescent="0.25"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</row>
    <row r="152" spans="29:52" x14ac:dyDescent="0.25"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</row>
    <row r="153" spans="29:52" x14ac:dyDescent="0.25"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</row>
    <row r="154" spans="29:52" x14ac:dyDescent="0.25"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</row>
    <row r="155" spans="29:52" x14ac:dyDescent="0.25"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</row>
    <row r="156" spans="29:52" x14ac:dyDescent="0.25"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</row>
    <row r="157" spans="29:52" x14ac:dyDescent="0.25"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</row>
    <row r="158" spans="29:52" x14ac:dyDescent="0.25"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</row>
    <row r="159" spans="29:52" x14ac:dyDescent="0.25"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</row>
    <row r="160" spans="29:52" x14ac:dyDescent="0.25"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</row>
    <row r="161" spans="29:52" x14ac:dyDescent="0.25"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</row>
    <row r="162" spans="29:52" x14ac:dyDescent="0.25"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</row>
    <row r="163" spans="29:52" x14ac:dyDescent="0.25"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</row>
    <row r="164" spans="29:52" x14ac:dyDescent="0.25"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</row>
    <row r="165" spans="29:52" x14ac:dyDescent="0.25"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</row>
    <row r="166" spans="29:52" x14ac:dyDescent="0.25"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</row>
    <row r="167" spans="29:52" x14ac:dyDescent="0.25"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</row>
    <row r="168" spans="29:52" x14ac:dyDescent="0.25"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</row>
    <row r="169" spans="29:52" x14ac:dyDescent="0.25"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</row>
    <row r="170" spans="29:52" x14ac:dyDescent="0.25"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</row>
    <row r="171" spans="29:52" x14ac:dyDescent="0.25"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</row>
    <row r="172" spans="29:52" x14ac:dyDescent="0.25"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</row>
    <row r="173" spans="29:52" x14ac:dyDescent="0.25"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</row>
    <row r="174" spans="29:52" x14ac:dyDescent="0.25"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</row>
    <row r="175" spans="29:52" x14ac:dyDescent="0.25"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</row>
    <row r="176" spans="29:52" x14ac:dyDescent="0.25"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</row>
    <row r="177" spans="29:52" x14ac:dyDescent="0.25"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</row>
    <row r="178" spans="29:52" x14ac:dyDescent="0.25"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</row>
    <row r="179" spans="29:52" x14ac:dyDescent="0.25"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</row>
    <row r="180" spans="29:52" x14ac:dyDescent="0.25"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</row>
    <row r="181" spans="29:52" x14ac:dyDescent="0.25"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</row>
    <row r="182" spans="29:52" x14ac:dyDescent="0.25"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</row>
    <row r="183" spans="29:52" x14ac:dyDescent="0.25"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</row>
    <row r="184" spans="29:52" x14ac:dyDescent="0.25"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</row>
    <row r="185" spans="29:52" x14ac:dyDescent="0.25"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</row>
    <row r="186" spans="29:52" x14ac:dyDescent="0.25"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</row>
    <row r="187" spans="29:52" x14ac:dyDescent="0.25"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</row>
    <row r="188" spans="29:52" x14ac:dyDescent="0.25"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</row>
    <row r="189" spans="29:52" x14ac:dyDescent="0.25"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</row>
    <row r="190" spans="29:52" x14ac:dyDescent="0.25"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</row>
    <row r="191" spans="29:52" x14ac:dyDescent="0.25"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</row>
    <row r="192" spans="29:52" x14ac:dyDescent="0.25"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</row>
    <row r="193" spans="29:52" x14ac:dyDescent="0.25"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</row>
    <row r="194" spans="29:52" x14ac:dyDescent="0.25"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</row>
    <row r="195" spans="29:52" x14ac:dyDescent="0.25"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</row>
  </sheetData>
  <autoFilter ref="A3:X64" xr:uid="{00000000-0009-0000-0000-00000F000000}"/>
  <mergeCells count="6">
    <mergeCell ref="AW1:AZ1"/>
    <mergeCell ref="AC1:AF1"/>
    <mergeCell ref="AG1:AJ1"/>
    <mergeCell ref="AK1:AN1"/>
    <mergeCell ref="AO1:AR1"/>
    <mergeCell ref="AS1:AV1"/>
  </mergeCells>
  <conditionalFormatting sqref="E1:E3">
    <cfRule type="duplicateValues" dxfId="19" priority="2"/>
  </conditionalFormatting>
  <conditionalFormatting sqref="F1:F3">
    <cfRule type="duplicateValues" dxfId="18" priority="1"/>
  </conditionalFormatting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filterMode="1"/>
  <dimension ref="A1:BF195"/>
  <sheetViews>
    <sheetView zoomScale="70" zoomScaleNormal="70" workbookViewId="0">
      <pane ySplit="3" topLeftCell="A4" activePane="bottomLeft" state="frozen"/>
      <selection pane="bottomLeft" activeCell="Y19" sqref="Y19:Y31"/>
    </sheetView>
  </sheetViews>
  <sheetFormatPr defaultRowHeight="15" x14ac:dyDescent="0.25"/>
  <cols>
    <col min="1" max="1" width="4" style="219" bestFit="1" customWidth="1"/>
    <col min="2" max="2" width="11.28515625" style="219" customWidth="1"/>
    <col min="3" max="3" width="32.42578125" style="219" hidden="1" customWidth="1"/>
    <col min="4" max="4" width="53.7109375" style="219" customWidth="1"/>
    <col min="5" max="5" width="21.5703125" style="219" hidden="1" customWidth="1"/>
    <col min="6" max="6" width="53.7109375" style="219" customWidth="1"/>
    <col min="7" max="7" width="0" style="219" hidden="1" customWidth="1"/>
    <col min="8" max="8" width="14.28515625" style="219" hidden="1" customWidth="1"/>
    <col min="9" max="10" width="0" style="219" hidden="1" customWidth="1"/>
    <col min="11" max="11" width="10" style="219" bestFit="1" customWidth="1"/>
    <col min="12" max="12" width="9" style="219" bestFit="1" customWidth="1"/>
    <col min="13" max="13" width="8.7109375" style="219" customWidth="1"/>
    <col min="14" max="14" width="7.28515625" style="219" customWidth="1"/>
    <col min="15" max="15" width="6.7109375" style="219" customWidth="1"/>
    <col min="16" max="16" width="6.42578125" style="219" customWidth="1"/>
    <col min="17" max="17" width="6.140625" style="219" customWidth="1"/>
    <col min="18" max="18" width="6.7109375" style="219" customWidth="1"/>
    <col min="19" max="19" width="7.42578125" style="219" bestFit="1" customWidth="1"/>
    <col min="20" max="20" width="19.85546875" style="219" hidden="1" customWidth="1"/>
    <col min="21" max="21" width="22.28515625" style="219" hidden="1" customWidth="1"/>
    <col min="22" max="23" width="0" style="219" hidden="1" customWidth="1"/>
    <col min="24" max="24" width="15.7109375" style="219" customWidth="1"/>
    <col min="25" max="25" width="11.42578125" style="219" customWidth="1"/>
    <col min="26" max="26" width="9.28515625" style="219" hidden="1" customWidth="1"/>
    <col min="27" max="27" width="45.140625" style="219" hidden="1" customWidth="1"/>
    <col min="28" max="28" width="8" style="219" hidden="1" customWidth="1"/>
    <col min="29" max="32" width="7.5703125" style="32" hidden="1" customWidth="1"/>
    <col min="33" max="44" width="7.5703125" style="32" customWidth="1"/>
    <col min="45" max="45" width="11" style="219" bestFit="1" customWidth="1"/>
    <col min="46" max="46" width="8.85546875" style="219"/>
    <col min="47" max="49" width="9.140625" style="219" bestFit="1" customWidth="1"/>
    <col min="50" max="50" width="8.85546875" style="219"/>
    <col min="51" max="51" width="16" style="219" bestFit="1" customWidth="1"/>
    <col min="52" max="58" width="8.85546875" style="219"/>
  </cols>
  <sheetData>
    <row r="1" spans="1:58" ht="75" x14ac:dyDescent="0.25">
      <c r="A1" s="203" t="s">
        <v>0</v>
      </c>
      <c r="B1" s="203" t="s">
        <v>1</v>
      </c>
      <c r="C1" s="203" t="s">
        <v>2</v>
      </c>
      <c r="D1" s="203" t="s">
        <v>3</v>
      </c>
      <c r="E1" s="204" t="s">
        <v>4</v>
      </c>
      <c r="F1" s="203" t="s">
        <v>5</v>
      </c>
      <c r="G1" s="203" t="s">
        <v>6</v>
      </c>
      <c r="H1" s="203" t="s">
        <v>7</v>
      </c>
      <c r="I1" s="203" t="s">
        <v>8</v>
      </c>
      <c r="J1" s="203"/>
      <c r="K1" s="203" t="s">
        <v>9</v>
      </c>
      <c r="L1" s="203" t="s">
        <v>10</v>
      </c>
      <c r="M1" s="203" t="s">
        <v>11</v>
      </c>
      <c r="N1" s="203" t="s">
        <v>12</v>
      </c>
      <c r="O1" s="1" t="s">
        <v>259</v>
      </c>
      <c r="P1" s="1" t="s">
        <v>259</v>
      </c>
      <c r="Q1" s="1" t="s">
        <v>259</v>
      </c>
      <c r="R1" s="1" t="s">
        <v>259</v>
      </c>
      <c r="S1" s="205" t="s">
        <v>13</v>
      </c>
      <c r="T1" s="203" t="s">
        <v>14</v>
      </c>
      <c r="U1" s="203" t="s">
        <v>15</v>
      </c>
      <c r="V1" s="204" t="s">
        <v>16</v>
      </c>
      <c r="W1" s="204" t="s">
        <v>17</v>
      </c>
      <c r="X1" s="5" t="s">
        <v>18</v>
      </c>
      <c r="Y1" s="203" t="s">
        <v>19</v>
      </c>
      <c r="Z1" s="203" t="s">
        <v>20</v>
      </c>
      <c r="AA1" s="206" t="s">
        <v>21</v>
      </c>
      <c r="AB1" s="5" t="s">
        <v>22</v>
      </c>
      <c r="AC1" s="452" t="s">
        <v>646</v>
      </c>
      <c r="AD1" s="453"/>
      <c r="AE1" s="453"/>
      <c r="AF1" s="454"/>
      <c r="AG1" s="452" t="s">
        <v>979</v>
      </c>
      <c r="AH1" s="453"/>
      <c r="AI1" s="453"/>
      <c r="AJ1" s="454"/>
      <c r="AK1" s="452" t="s">
        <v>1145</v>
      </c>
      <c r="AL1" s="453"/>
      <c r="AM1" s="453"/>
      <c r="AN1" s="454"/>
      <c r="AO1" s="202"/>
      <c r="AP1" s="202"/>
      <c r="AQ1" s="202"/>
      <c r="AR1" s="202"/>
      <c r="AS1" s="207" t="s">
        <v>23</v>
      </c>
      <c r="AT1" s="208" t="s">
        <v>24</v>
      </c>
      <c r="AU1" s="209"/>
      <c r="AV1" s="210"/>
      <c r="AW1" s="210"/>
      <c r="AX1" s="211"/>
      <c r="AY1" s="212"/>
      <c r="AZ1" s="213"/>
      <c r="BA1" s="213"/>
      <c r="BB1" s="213"/>
      <c r="BC1" s="213"/>
      <c r="BD1" s="213"/>
      <c r="BE1" s="213"/>
      <c r="BF1" s="213"/>
    </row>
    <row r="2" spans="1:58" ht="18.75" x14ac:dyDescent="0.25">
      <c r="A2" s="203"/>
      <c r="B2" s="203"/>
      <c r="C2" s="203"/>
      <c r="D2" s="203"/>
      <c r="E2" s="204"/>
      <c r="F2" s="203"/>
      <c r="G2" s="203"/>
      <c r="H2" s="203"/>
      <c r="I2" s="203"/>
      <c r="J2" s="203"/>
      <c r="K2" s="203"/>
      <c r="L2" s="203"/>
      <c r="M2" s="203"/>
      <c r="N2" s="203"/>
      <c r="O2" s="133">
        <v>0.3</v>
      </c>
      <c r="P2" s="133">
        <v>0.35</v>
      </c>
      <c r="Q2" s="133">
        <v>0.2</v>
      </c>
      <c r="R2" s="133">
        <v>0.15</v>
      </c>
      <c r="S2" s="205"/>
      <c r="T2" s="203"/>
      <c r="U2" s="203"/>
      <c r="V2" s="204"/>
      <c r="W2" s="204"/>
      <c r="X2" s="5"/>
      <c r="Y2" s="203"/>
      <c r="Z2" s="203"/>
      <c r="AA2" s="206"/>
      <c r="AB2" s="5"/>
      <c r="AC2" s="36">
        <v>0.3</v>
      </c>
      <c r="AD2" s="36">
        <v>0.35</v>
      </c>
      <c r="AE2" s="36">
        <v>0.2</v>
      </c>
      <c r="AF2" s="36">
        <v>0.15</v>
      </c>
      <c r="AG2" s="36">
        <v>0.3</v>
      </c>
      <c r="AH2" s="36">
        <v>0.35</v>
      </c>
      <c r="AI2" s="36">
        <v>0.2</v>
      </c>
      <c r="AJ2" s="36">
        <v>0.15</v>
      </c>
      <c r="AK2" s="36">
        <v>0.3</v>
      </c>
      <c r="AL2" s="36">
        <v>0.35</v>
      </c>
      <c r="AM2" s="36">
        <v>0.2</v>
      </c>
      <c r="AN2" s="36">
        <v>0.15</v>
      </c>
      <c r="AO2" s="246"/>
      <c r="AP2" s="246"/>
      <c r="AQ2" s="246"/>
      <c r="AR2" s="246"/>
      <c r="AS2" s="207"/>
      <c r="AT2" s="208"/>
      <c r="AU2" s="212"/>
      <c r="AV2" s="212"/>
      <c r="AW2" s="212"/>
      <c r="AX2" s="235"/>
      <c r="AY2" s="212"/>
      <c r="AZ2" s="213"/>
      <c r="BA2" s="213"/>
      <c r="BB2" s="213"/>
      <c r="BC2" s="213"/>
      <c r="BD2" s="213"/>
      <c r="BE2" s="213"/>
      <c r="BF2" s="213"/>
    </row>
    <row r="3" spans="1:58" ht="18.75" x14ac:dyDescent="0.25">
      <c r="A3" s="203"/>
      <c r="B3" s="203"/>
      <c r="C3" s="203"/>
      <c r="D3" s="203"/>
      <c r="E3" s="204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  <c r="R3" s="203"/>
      <c r="S3" s="205"/>
      <c r="T3" s="203"/>
      <c r="U3" s="203"/>
      <c r="V3" s="204"/>
      <c r="W3" s="204"/>
      <c r="X3" s="5"/>
      <c r="Y3" s="203"/>
      <c r="Z3" s="203"/>
      <c r="AA3" s="206"/>
      <c r="AB3" s="5"/>
      <c r="AC3" s="91">
        <f>SUM(AC4:AC71)</f>
        <v>1.9500000000000002</v>
      </c>
      <c r="AD3" s="91">
        <f t="shared" ref="AD3:AJ3" si="0">SUM(AD4:AD71)</f>
        <v>0</v>
      </c>
      <c r="AE3" s="91">
        <f t="shared" si="0"/>
        <v>0</v>
      </c>
      <c r="AF3" s="91">
        <f t="shared" si="0"/>
        <v>0</v>
      </c>
      <c r="AG3" s="91">
        <f>SUM(AG4:AG71)</f>
        <v>0</v>
      </c>
      <c r="AH3" s="91">
        <f t="shared" si="0"/>
        <v>0</v>
      </c>
      <c r="AI3" s="91">
        <f t="shared" si="0"/>
        <v>0</v>
      </c>
      <c r="AJ3" s="91">
        <f t="shared" si="0"/>
        <v>0</v>
      </c>
      <c r="AK3" s="91">
        <f>SUM(AK4:AK71)</f>
        <v>0</v>
      </c>
      <c r="AL3" s="91">
        <f t="shared" ref="AL3:AN3" si="1">SUM(AL4:AL71)</f>
        <v>0</v>
      </c>
      <c r="AM3" s="91">
        <f t="shared" si="1"/>
        <v>0</v>
      </c>
      <c r="AN3" s="91">
        <f t="shared" si="1"/>
        <v>0</v>
      </c>
      <c r="AO3" s="239"/>
      <c r="AP3" s="239"/>
      <c r="AQ3" s="239"/>
      <c r="AR3" s="239"/>
      <c r="AS3" s="207"/>
      <c r="AT3" s="208"/>
      <c r="AU3" s="212"/>
      <c r="AV3" s="212"/>
      <c r="AW3" s="212"/>
      <c r="AX3" s="235"/>
      <c r="AY3" s="212"/>
      <c r="AZ3" s="213"/>
      <c r="BA3" s="213"/>
      <c r="BB3" s="213"/>
      <c r="BC3" s="213"/>
      <c r="BD3" s="213"/>
      <c r="BE3" s="213"/>
      <c r="BF3" s="213"/>
    </row>
    <row r="4" spans="1:58" ht="30" hidden="1" x14ac:dyDescent="0.3">
      <c r="A4" s="143">
        <v>1</v>
      </c>
      <c r="B4" s="143" t="s">
        <v>228</v>
      </c>
      <c r="C4" s="143" t="s">
        <v>647</v>
      </c>
      <c r="D4" s="143" t="s">
        <v>648</v>
      </c>
      <c r="E4" s="143"/>
      <c r="F4" s="143"/>
      <c r="G4" s="143"/>
      <c r="H4" s="143" t="s">
        <v>31</v>
      </c>
      <c r="I4" s="143"/>
      <c r="J4" s="143"/>
      <c r="K4" s="143"/>
      <c r="L4" s="214">
        <v>94.35199999999999</v>
      </c>
      <c r="M4" s="143"/>
      <c r="N4" s="143"/>
      <c r="O4" s="143"/>
      <c r="P4" s="143"/>
      <c r="Q4" s="143"/>
      <c r="R4" s="143"/>
      <c r="S4" s="214">
        <v>5382.5616000000027</v>
      </c>
      <c r="T4" s="214"/>
      <c r="U4" s="214">
        <f>SUM(U5:U71)</f>
        <v>16201998.064800002</v>
      </c>
      <c r="V4" s="143"/>
      <c r="W4" s="143"/>
      <c r="X4" s="143"/>
      <c r="Y4" s="143"/>
      <c r="Z4" s="143"/>
      <c r="AA4" s="143"/>
      <c r="AB4" s="236"/>
      <c r="AC4" s="92"/>
      <c r="AD4" s="100"/>
      <c r="AE4" s="100"/>
      <c r="AF4" s="111"/>
      <c r="AG4" s="122"/>
      <c r="AH4" s="123"/>
      <c r="AI4" s="123"/>
      <c r="AJ4" s="93"/>
      <c r="AK4" s="122"/>
      <c r="AL4" s="123"/>
      <c r="AM4" s="123"/>
      <c r="AN4" s="93"/>
      <c r="AO4" s="240"/>
      <c r="AP4" s="240"/>
      <c r="AQ4" s="240"/>
      <c r="AR4" s="240"/>
      <c r="AS4" s="238"/>
      <c r="AT4" s="215"/>
      <c r="AU4" s="216">
        <f>SUM(S5:S227)</f>
        <v>5382.5616000000027</v>
      </c>
      <c r="AV4" s="217">
        <v>5849</v>
      </c>
      <c r="AW4" s="216">
        <f>AV4-AU4</f>
        <v>466.43839999999727</v>
      </c>
      <c r="AX4" s="217" t="s">
        <v>649</v>
      </c>
      <c r="AY4" s="218">
        <f>AU4/L4</f>
        <v>57.0476683059183</v>
      </c>
      <c r="BA4" s="219">
        <f>L4*62</f>
        <v>5849.8239999999996</v>
      </c>
    </row>
    <row r="5" spans="1:58" ht="30" hidden="1" x14ac:dyDescent="0.3">
      <c r="A5" s="143">
        <v>2</v>
      </c>
      <c r="B5" s="15" t="s">
        <v>228</v>
      </c>
      <c r="C5" s="15" t="s">
        <v>647</v>
      </c>
      <c r="D5" s="15" t="s">
        <v>648</v>
      </c>
      <c r="E5" s="15"/>
      <c r="F5" s="15" t="str">
        <f>AA5</f>
        <v>Клапанный блок</v>
      </c>
      <c r="G5" s="15"/>
      <c r="H5" s="15" t="s">
        <v>31</v>
      </c>
      <c r="I5" s="15"/>
      <c r="J5" s="15"/>
      <c r="K5" s="15">
        <v>0.03</v>
      </c>
      <c r="L5" s="15">
        <v>0.06</v>
      </c>
      <c r="M5" s="15">
        <v>2</v>
      </c>
      <c r="N5" s="15" t="s">
        <v>33</v>
      </c>
      <c r="O5" s="15">
        <f>S5*0.3</f>
        <v>1.9799999999999998</v>
      </c>
      <c r="P5" s="15">
        <f>S5*0.35</f>
        <v>2.3099999999999996</v>
      </c>
      <c r="Q5" s="15">
        <f>S5*0.2</f>
        <v>1.32</v>
      </c>
      <c r="R5" s="15">
        <f>S5*0.15</f>
        <v>0.98999999999999988</v>
      </c>
      <c r="S5" s="214">
        <v>6.6</v>
      </c>
      <c r="T5" s="220">
        <v>171718.65</v>
      </c>
      <c r="U5" s="220">
        <v>10303.118999999999</v>
      </c>
      <c r="V5" s="15"/>
      <c r="W5" s="15"/>
      <c r="X5" s="15" t="s">
        <v>650</v>
      </c>
      <c r="Y5" s="15">
        <v>500284</v>
      </c>
      <c r="Z5" s="182" t="s">
        <v>651</v>
      </c>
      <c r="AA5" s="15" t="s">
        <v>652</v>
      </c>
      <c r="AB5" s="237">
        <v>1</v>
      </c>
      <c r="AC5" s="94"/>
      <c r="AD5" s="90"/>
      <c r="AE5" s="90"/>
      <c r="AF5" s="112"/>
      <c r="AG5" s="124"/>
      <c r="AH5" s="34"/>
      <c r="AI5" s="34"/>
      <c r="AJ5" s="95"/>
      <c r="AK5" s="124"/>
      <c r="AL5" s="34"/>
      <c r="AM5" s="34"/>
      <c r="AN5" s="95"/>
      <c r="AO5" s="241"/>
      <c r="AP5" s="241"/>
      <c r="AQ5" s="241"/>
      <c r="AR5" s="241"/>
      <c r="AS5" s="238">
        <v>0.18659999999999999</v>
      </c>
      <c r="AT5" s="221"/>
      <c r="AU5" s="217"/>
      <c r="AV5" s="217">
        <f>AV4*0.05</f>
        <v>292.45</v>
      </c>
      <c r="AW5" s="217"/>
      <c r="AX5" s="217"/>
      <c r="AY5" s="218"/>
    </row>
    <row r="6" spans="1:58" ht="30" hidden="1" x14ac:dyDescent="0.25">
      <c r="A6" s="143">
        <v>3</v>
      </c>
      <c r="B6" s="15" t="s">
        <v>228</v>
      </c>
      <c r="C6" s="15" t="s">
        <v>647</v>
      </c>
      <c r="D6" s="15" t="s">
        <v>648</v>
      </c>
      <c r="E6" s="15"/>
      <c r="F6" s="15" t="str">
        <f t="shared" ref="F6:F69" si="2">AA6</f>
        <v>Сборочный чертеж клапанного блока REF.7224</v>
      </c>
      <c r="G6" s="15"/>
      <c r="H6" s="15" t="s">
        <v>31</v>
      </c>
      <c r="I6" s="15"/>
      <c r="J6" s="15"/>
      <c r="K6" s="15">
        <v>2.4999999999999998E-2</v>
      </c>
      <c r="L6" s="15">
        <v>0.3</v>
      </c>
      <c r="M6" s="15">
        <v>12</v>
      </c>
      <c r="N6" s="15" t="s">
        <v>33</v>
      </c>
      <c r="O6" s="15">
        <f t="shared" ref="O6:O69" si="3">S6*0.3</f>
        <v>9.9</v>
      </c>
      <c r="P6" s="15">
        <f t="shared" ref="P6:P69" si="4">S6*0.35</f>
        <v>11.549999999999999</v>
      </c>
      <c r="Q6" s="15">
        <f t="shared" ref="Q6:Q69" si="5">S6*0.2</f>
        <v>6.6000000000000005</v>
      </c>
      <c r="R6" s="15">
        <f t="shared" ref="R6:R69" si="6">S6*0.15</f>
        <v>4.95</v>
      </c>
      <c r="S6" s="214">
        <v>33</v>
      </c>
      <c r="T6" s="220">
        <v>171718.65</v>
      </c>
      <c r="U6" s="220">
        <v>51515.594999999994</v>
      </c>
      <c r="V6" s="15"/>
      <c r="W6" s="15"/>
      <c r="X6" s="15" t="s">
        <v>653</v>
      </c>
      <c r="Y6" s="15">
        <v>500285</v>
      </c>
      <c r="Z6" s="182" t="s">
        <v>651</v>
      </c>
      <c r="AA6" s="15" t="s">
        <v>654</v>
      </c>
      <c r="AB6" s="237">
        <v>1</v>
      </c>
      <c r="AC6" s="51"/>
      <c r="AD6" s="48"/>
      <c r="AE6" s="48"/>
      <c r="AF6" s="49"/>
      <c r="AG6" s="58"/>
      <c r="AH6" s="42"/>
      <c r="AI6" s="42"/>
      <c r="AJ6" s="59"/>
      <c r="AK6" s="58"/>
      <c r="AL6" s="42"/>
      <c r="AM6" s="42"/>
      <c r="AN6" s="59"/>
      <c r="AO6" s="242"/>
      <c r="AP6" s="242"/>
      <c r="AQ6" s="242"/>
      <c r="AR6" s="242"/>
      <c r="AS6" s="238">
        <v>0.93299999999999994</v>
      </c>
      <c r="AT6" s="221"/>
      <c r="AU6" s="30"/>
      <c r="AY6" s="219">
        <v>5578.4</v>
      </c>
      <c r="AZ6" s="219">
        <v>62</v>
      </c>
    </row>
    <row r="7" spans="1:58" ht="30.75" hidden="1" thickBot="1" x14ac:dyDescent="0.3">
      <c r="A7" s="143">
        <v>4</v>
      </c>
      <c r="B7" s="15" t="s">
        <v>228</v>
      </c>
      <c r="C7" s="15" t="s">
        <v>647</v>
      </c>
      <c r="D7" s="15" t="s">
        <v>648</v>
      </c>
      <c r="E7" s="15"/>
      <c r="F7" s="15" t="str">
        <f t="shared" si="2"/>
        <v>Сборочный чертеж клапанного блока REF.7224</v>
      </c>
      <c r="G7" s="15"/>
      <c r="H7" s="15" t="s">
        <v>31</v>
      </c>
      <c r="I7" s="15"/>
      <c r="J7" s="15"/>
      <c r="K7" s="15">
        <v>1.4999999999999999E-2</v>
      </c>
      <c r="L7" s="15">
        <v>0.18</v>
      </c>
      <c r="M7" s="15">
        <v>12</v>
      </c>
      <c r="N7" s="15" t="s">
        <v>33</v>
      </c>
      <c r="O7" s="15">
        <f t="shared" si="3"/>
        <v>5.94</v>
      </c>
      <c r="P7" s="15">
        <f t="shared" si="4"/>
        <v>6.93</v>
      </c>
      <c r="Q7" s="15">
        <f t="shared" si="5"/>
        <v>3.9600000000000004</v>
      </c>
      <c r="R7" s="15">
        <f t="shared" si="6"/>
        <v>2.97</v>
      </c>
      <c r="S7" s="214">
        <v>19.8</v>
      </c>
      <c r="T7" s="220">
        <v>171718.65</v>
      </c>
      <c r="U7" s="220">
        <v>30909.356999999996</v>
      </c>
      <c r="V7" s="15"/>
      <c r="W7" s="15"/>
      <c r="X7" s="15" t="s">
        <v>655</v>
      </c>
      <c r="Y7" s="15">
        <v>500286</v>
      </c>
      <c r="Z7" s="182" t="s">
        <v>651</v>
      </c>
      <c r="AA7" s="15" t="s">
        <v>654</v>
      </c>
      <c r="AB7" s="237">
        <v>1</v>
      </c>
      <c r="AC7" s="51"/>
      <c r="AD7" s="48"/>
      <c r="AE7" s="48"/>
      <c r="AF7" s="49"/>
      <c r="AG7" s="58"/>
      <c r="AH7" s="42"/>
      <c r="AI7" s="42"/>
      <c r="AJ7" s="59"/>
      <c r="AK7" s="58"/>
      <c r="AL7" s="42"/>
      <c r="AM7" s="42"/>
      <c r="AN7" s="59"/>
      <c r="AO7" s="242"/>
      <c r="AP7" s="242"/>
      <c r="AQ7" s="242"/>
      <c r="AR7" s="242"/>
      <c r="AS7" s="238">
        <v>0.55979999999999996</v>
      </c>
      <c r="AT7" s="221"/>
      <c r="AU7" s="30"/>
      <c r="AV7" s="222"/>
      <c r="AW7" s="223"/>
      <c r="AX7" s="224"/>
    </row>
    <row r="8" spans="1:58" ht="30.75" hidden="1" thickBot="1" x14ac:dyDescent="0.3">
      <c r="A8" s="143">
        <v>5</v>
      </c>
      <c r="B8" s="15" t="s">
        <v>228</v>
      </c>
      <c r="C8" s="15" t="s">
        <v>647</v>
      </c>
      <c r="D8" s="15" t="s">
        <v>648</v>
      </c>
      <c r="E8" s="15"/>
      <c r="F8" s="15" t="str">
        <f t="shared" si="2"/>
        <v>Главный подшипник установки печь</v>
      </c>
      <c r="G8" s="15"/>
      <c r="H8" s="15" t="s">
        <v>31</v>
      </c>
      <c r="I8" s="15"/>
      <c r="J8" s="15"/>
      <c r="K8" s="15">
        <v>1.1399999999999999</v>
      </c>
      <c r="L8" s="15">
        <v>1.1399999999999999</v>
      </c>
      <c r="M8" s="15">
        <v>1</v>
      </c>
      <c r="N8" s="15" t="s">
        <v>33</v>
      </c>
      <c r="O8" s="15">
        <f t="shared" si="3"/>
        <v>23.939999999999998</v>
      </c>
      <c r="P8" s="15">
        <f t="shared" si="4"/>
        <v>27.929999999999996</v>
      </c>
      <c r="Q8" s="15">
        <f t="shared" si="5"/>
        <v>15.96</v>
      </c>
      <c r="R8" s="15">
        <f t="shared" si="6"/>
        <v>11.969999999999999</v>
      </c>
      <c r="S8" s="214">
        <v>79.8</v>
      </c>
      <c r="T8" s="220">
        <v>171718.65</v>
      </c>
      <c r="U8" s="220">
        <v>195759.26099999997</v>
      </c>
      <c r="V8" s="15"/>
      <c r="W8" s="15"/>
      <c r="X8" s="15" t="s">
        <v>656</v>
      </c>
      <c r="Y8" s="15">
        <v>500233</v>
      </c>
      <c r="Z8" s="182" t="s">
        <v>651</v>
      </c>
      <c r="AA8" s="15" t="s">
        <v>657</v>
      </c>
      <c r="AB8" s="237">
        <v>1</v>
      </c>
      <c r="AC8" s="51"/>
      <c r="AD8" s="48"/>
      <c r="AE8" s="48"/>
      <c r="AF8" s="49"/>
      <c r="AG8" s="58"/>
      <c r="AH8" s="42"/>
      <c r="AI8" s="42"/>
      <c r="AJ8" s="59"/>
      <c r="AK8" s="58"/>
      <c r="AL8" s="42"/>
      <c r="AM8" s="42"/>
      <c r="AN8" s="59"/>
      <c r="AO8" s="242"/>
      <c r="AP8" s="242"/>
      <c r="AQ8" s="242"/>
      <c r="AR8" s="242"/>
      <c r="AS8" s="238">
        <v>3.5453999999999994</v>
      </c>
      <c r="AT8" s="221"/>
      <c r="AU8" s="30"/>
      <c r="AV8" s="225"/>
      <c r="AW8" s="455" t="s">
        <v>658</v>
      </c>
      <c r="AX8" s="456"/>
      <c r="AY8" s="224" t="s">
        <v>659</v>
      </c>
    </row>
    <row r="9" spans="1:58" ht="30" hidden="1" x14ac:dyDescent="0.25">
      <c r="A9" s="143">
        <v>6</v>
      </c>
      <c r="B9" s="15" t="s">
        <v>228</v>
      </c>
      <c r="C9" s="15" t="s">
        <v>647</v>
      </c>
      <c r="D9" s="15" t="s">
        <v>648</v>
      </c>
      <c r="E9" s="15"/>
      <c r="F9" s="15" t="str">
        <f t="shared" si="2"/>
        <v>Главный подшипник установки печь</v>
      </c>
      <c r="G9" s="15"/>
      <c r="H9" s="15" t="s">
        <v>31</v>
      </c>
      <c r="I9" s="15"/>
      <c r="J9" s="15"/>
      <c r="K9" s="15">
        <v>1.1399999999999999</v>
      </c>
      <c r="L9" s="15">
        <v>1.1399999999999999</v>
      </c>
      <c r="M9" s="15">
        <v>1</v>
      </c>
      <c r="N9" s="15" t="s">
        <v>33</v>
      </c>
      <c r="O9" s="15">
        <f t="shared" si="3"/>
        <v>23.939999999999998</v>
      </c>
      <c r="P9" s="15">
        <f t="shared" si="4"/>
        <v>27.929999999999996</v>
      </c>
      <c r="Q9" s="15">
        <f t="shared" si="5"/>
        <v>15.96</v>
      </c>
      <c r="R9" s="15">
        <f t="shared" si="6"/>
        <v>11.969999999999999</v>
      </c>
      <c r="S9" s="214">
        <v>79.8</v>
      </c>
      <c r="T9" s="220">
        <v>171718.65</v>
      </c>
      <c r="U9" s="220">
        <v>195759.26099999997</v>
      </c>
      <c r="V9" s="15"/>
      <c r="W9" s="15"/>
      <c r="X9" s="15" t="s">
        <v>656</v>
      </c>
      <c r="Y9" s="15">
        <v>500233</v>
      </c>
      <c r="Z9" s="182" t="s">
        <v>651</v>
      </c>
      <c r="AA9" s="15" t="s">
        <v>657</v>
      </c>
      <c r="AB9" s="237">
        <v>2</v>
      </c>
      <c r="AC9" s="51"/>
      <c r="AD9" s="48"/>
      <c r="AE9" s="48"/>
      <c r="AF9" s="49"/>
      <c r="AG9" s="58"/>
      <c r="AH9" s="42"/>
      <c r="AI9" s="42"/>
      <c r="AJ9" s="59"/>
      <c r="AK9" s="58"/>
      <c r="AL9" s="42"/>
      <c r="AM9" s="42"/>
      <c r="AN9" s="59"/>
      <c r="AO9" s="242"/>
      <c r="AP9" s="242"/>
      <c r="AQ9" s="242"/>
      <c r="AR9" s="242"/>
      <c r="AS9" s="238">
        <v>3.5453999999999994</v>
      </c>
      <c r="AT9" s="221"/>
      <c r="AU9" s="30"/>
      <c r="AV9" s="20"/>
      <c r="AW9" s="226" t="s">
        <v>660</v>
      </c>
      <c r="AX9" s="227">
        <v>0.05</v>
      </c>
      <c r="AY9" s="228">
        <v>110</v>
      </c>
    </row>
    <row r="10" spans="1:58" ht="30" hidden="1" x14ac:dyDescent="0.25">
      <c r="A10" s="143">
        <v>7</v>
      </c>
      <c r="B10" s="15" t="s">
        <v>228</v>
      </c>
      <c r="C10" s="15" t="s">
        <v>647</v>
      </c>
      <c r="D10" s="15" t="s">
        <v>648</v>
      </c>
      <c r="E10" s="15"/>
      <c r="F10" s="15" t="str">
        <f t="shared" si="2"/>
        <v>Рама</v>
      </c>
      <c r="G10" s="15"/>
      <c r="H10" s="15" t="s">
        <v>31</v>
      </c>
      <c r="I10" s="15"/>
      <c r="J10" s="15"/>
      <c r="K10" s="15">
        <v>1.33</v>
      </c>
      <c r="L10" s="15">
        <v>1.33</v>
      </c>
      <c r="M10" s="15">
        <v>1</v>
      </c>
      <c r="N10" s="15" t="s">
        <v>33</v>
      </c>
      <c r="O10" s="15">
        <f t="shared" si="3"/>
        <v>27.930000000000003</v>
      </c>
      <c r="P10" s="15">
        <f t="shared" si="4"/>
        <v>32.585000000000001</v>
      </c>
      <c r="Q10" s="15">
        <f t="shared" si="5"/>
        <v>18.62</v>
      </c>
      <c r="R10" s="15">
        <f t="shared" si="6"/>
        <v>13.965000000000002</v>
      </c>
      <c r="S10" s="214">
        <v>93.100000000000009</v>
      </c>
      <c r="T10" s="220">
        <v>171718.65</v>
      </c>
      <c r="U10" s="220">
        <v>228385.8045</v>
      </c>
      <c r="V10" s="15"/>
      <c r="W10" s="15"/>
      <c r="X10" s="15" t="s">
        <v>661</v>
      </c>
      <c r="Y10" s="15">
        <v>500234</v>
      </c>
      <c r="Z10" s="182" t="s">
        <v>651</v>
      </c>
      <c r="AA10" s="15" t="s">
        <v>126</v>
      </c>
      <c r="AB10" s="237">
        <v>1</v>
      </c>
      <c r="AC10" s="51"/>
      <c r="AD10" s="48"/>
      <c r="AE10" s="48"/>
      <c r="AF10" s="49"/>
      <c r="AG10" s="58"/>
      <c r="AH10" s="42"/>
      <c r="AI10" s="42"/>
      <c r="AJ10" s="59"/>
      <c r="AK10" s="58"/>
      <c r="AL10" s="42"/>
      <c r="AM10" s="42"/>
      <c r="AN10" s="59"/>
      <c r="AO10" s="242"/>
      <c r="AP10" s="242"/>
      <c r="AQ10" s="242"/>
      <c r="AR10" s="242"/>
      <c r="AS10" s="238">
        <v>4.1363000000000003</v>
      </c>
      <c r="AT10" s="221"/>
      <c r="AU10" s="30"/>
      <c r="AV10" s="20"/>
      <c r="AW10" s="229">
        <v>0.05</v>
      </c>
      <c r="AX10" s="230">
        <v>0.1</v>
      </c>
      <c r="AY10" s="231">
        <v>105</v>
      </c>
    </row>
    <row r="11" spans="1:58" ht="30" hidden="1" x14ac:dyDescent="0.25">
      <c r="A11" s="143">
        <v>8</v>
      </c>
      <c r="B11" s="15" t="s">
        <v>228</v>
      </c>
      <c r="C11" s="15" t="s">
        <v>647</v>
      </c>
      <c r="D11" s="15" t="s">
        <v>648</v>
      </c>
      <c r="E11" s="15"/>
      <c r="F11" s="15" t="str">
        <f t="shared" si="2"/>
        <v>Уст. Печь-ковш подъем и вращен электродов бортовая труб.обвяз</v>
      </c>
      <c r="G11" s="15"/>
      <c r="H11" s="15" t="s">
        <v>31</v>
      </c>
      <c r="I11" s="15"/>
      <c r="J11" s="15"/>
      <c r="K11" s="15">
        <v>0.1875</v>
      </c>
      <c r="L11" s="15">
        <v>0.375</v>
      </c>
      <c r="M11" s="15">
        <v>2</v>
      </c>
      <c r="N11" s="15" t="s">
        <v>33</v>
      </c>
      <c r="O11" s="15">
        <f t="shared" si="3"/>
        <v>11.25</v>
      </c>
      <c r="P11" s="15">
        <f t="shared" si="4"/>
        <v>13.125</v>
      </c>
      <c r="Q11" s="15">
        <f t="shared" si="5"/>
        <v>7.5</v>
      </c>
      <c r="R11" s="15">
        <f t="shared" si="6"/>
        <v>5.625</v>
      </c>
      <c r="S11" s="214">
        <v>37.5</v>
      </c>
      <c r="T11" s="220">
        <v>171718.65</v>
      </c>
      <c r="U11" s="220">
        <v>64394.493749999994</v>
      </c>
      <c r="V11" s="15"/>
      <c r="W11" s="15"/>
      <c r="X11" s="15" t="s">
        <v>662</v>
      </c>
      <c r="Y11" s="15">
        <v>500235</v>
      </c>
      <c r="Z11" s="182" t="s">
        <v>651</v>
      </c>
      <c r="AA11" s="15" t="s">
        <v>663</v>
      </c>
      <c r="AB11" s="237">
        <v>1</v>
      </c>
      <c r="AC11" s="51"/>
      <c r="AD11" s="48"/>
      <c r="AE11" s="48"/>
      <c r="AF11" s="49"/>
      <c r="AG11" s="58"/>
      <c r="AH11" s="42"/>
      <c r="AI11" s="42"/>
      <c r="AJ11" s="59"/>
      <c r="AK11" s="58"/>
      <c r="AL11" s="42"/>
      <c r="AM11" s="42"/>
      <c r="AN11" s="59"/>
      <c r="AO11" s="242"/>
      <c r="AP11" s="242"/>
      <c r="AQ11" s="242"/>
      <c r="AR11" s="242"/>
      <c r="AS11" s="238">
        <v>1.16625</v>
      </c>
      <c r="AT11" s="221"/>
      <c r="AU11" s="30"/>
      <c r="AV11" s="20"/>
      <c r="AW11" s="229">
        <v>0.1</v>
      </c>
      <c r="AX11" s="230">
        <v>0.5</v>
      </c>
      <c r="AY11" s="231">
        <v>100</v>
      </c>
    </row>
    <row r="12" spans="1:58" ht="30" hidden="1" x14ac:dyDescent="0.25">
      <c r="A12" s="143">
        <v>9</v>
      </c>
      <c r="B12" s="15" t="s">
        <v>228</v>
      </c>
      <c r="C12" s="15" t="s">
        <v>647</v>
      </c>
      <c r="D12" s="15" t="s">
        <v>648</v>
      </c>
      <c r="E12" s="15"/>
      <c r="F12" s="15" t="str">
        <f t="shared" si="2"/>
        <v>Рама</v>
      </c>
      <c r="G12" s="15"/>
      <c r="H12" s="15" t="s">
        <v>31</v>
      </c>
      <c r="I12" s="15"/>
      <c r="J12" s="15"/>
      <c r="K12" s="15">
        <v>0.95499999999999996</v>
      </c>
      <c r="L12" s="15">
        <v>0.95499999999999996</v>
      </c>
      <c r="M12" s="15">
        <v>1</v>
      </c>
      <c r="N12" s="15" t="s">
        <v>33</v>
      </c>
      <c r="O12" s="15">
        <f t="shared" si="3"/>
        <v>28.65</v>
      </c>
      <c r="P12" s="15">
        <f t="shared" si="4"/>
        <v>33.424999999999997</v>
      </c>
      <c r="Q12" s="15">
        <f t="shared" si="5"/>
        <v>19.100000000000001</v>
      </c>
      <c r="R12" s="15">
        <f t="shared" si="6"/>
        <v>14.324999999999999</v>
      </c>
      <c r="S12" s="214">
        <v>95.5</v>
      </c>
      <c r="T12" s="220">
        <v>171718.65</v>
      </c>
      <c r="U12" s="220">
        <v>163991.31074999998</v>
      </c>
      <c r="V12" s="15"/>
      <c r="W12" s="15"/>
      <c r="X12" s="15" t="s">
        <v>661</v>
      </c>
      <c r="Y12" s="15">
        <v>500235</v>
      </c>
      <c r="Z12" s="182" t="s">
        <v>651</v>
      </c>
      <c r="AA12" s="15" t="s">
        <v>126</v>
      </c>
      <c r="AB12" s="237">
        <v>2</v>
      </c>
      <c r="AC12" s="51"/>
      <c r="AD12" s="48"/>
      <c r="AE12" s="48"/>
      <c r="AF12" s="49"/>
      <c r="AG12" s="58"/>
      <c r="AH12" s="42"/>
      <c r="AI12" s="42"/>
      <c r="AJ12" s="59"/>
      <c r="AK12" s="58"/>
      <c r="AL12" s="42"/>
      <c r="AM12" s="42"/>
      <c r="AN12" s="59"/>
      <c r="AO12" s="242"/>
      <c r="AP12" s="242"/>
      <c r="AQ12" s="242"/>
      <c r="AR12" s="242"/>
      <c r="AS12" s="238">
        <v>2.9700499999999996</v>
      </c>
      <c r="AT12" s="221"/>
      <c r="AU12" s="30"/>
      <c r="AV12" s="20"/>
      <c r="AW12" s="229">
        <v>0.5</v>
      </c>
      <c r="AX12" s="230">
        <v>1</v>
      </c>
      <c r="AY12" s="231">
        <v>100</v>
      </c>
    </row>
    <row r="13" spans="1:58" ht="30" hidden="1" x14ac:dyDescent="0.25">
      <c r="A13" s="143">
        <v>10</v>
      </c>
      <c r="B13" s="15" t="s">
        <v>228</v>
      </c>
      <c r="C13" s="15" t="s">
        <v>647</v>
      </c>
      <c r="D13" s="15" t="s">
        <v>648</v>
      </c>
      <c r="E13" s="15"/>
      <c r="F13" s="15" t="str">
        <f t="shared" si="2"/>
        <v>Электроустановка</v>
      </c>
      <c r="G13" s="15"/>
      <c r="H13" s="15" t="s">
        <v>31</v>
      </c>
      <c r="I13" s="15"/>
      <c r="J13" s="15"/>
      <c r="K13" s="15">
        <v>13.054</v>
      </c>
      <c r="L13" s="15">
        <v>13.054</v>
      </c>
      <c r="M13" s="15">
        <v>1</v>
      </c>
      <c r="N13" s="15" t="s">
        <v>33</v>
      </c>
      <c r="O13" s="15">
        <f t="shared" si="3"/>
        <v>176.22900000000001</v>
      </c>
      <c r="P13" s="15">
        <f t="shared" si="4"/>
        <v>205.60050000000001</v>
      </c>
      <c r="Q13" s="15">
        <f t="shared" si="5"/>
        <v>117.48600000000002</v>
      </c>
      <c r="R13" s="15">
        <f t="shared" si="6"/>
        <v>88.114500000000007</v>
      </c>
      <c r="S13" s="214">
        <v>587.43000000000006</v>
      </c>
      <c r="T13" s="220">
        <v>171718.65</v>
      </c>
      <c r="U13" s="220">
        <v>2241615.2571</v>
      </c>
      <c r="V13" s="15"/>
      <c r="W13" s="15"/>
      <c r="X13" s="15" t="s">
        <v>664</v>
      </c>
      <c r="Y13" s="15">
        <v>500236</v>
      </c>
      <c r="Z13" s="182" t="s">
        <v>651</v>
      </c>
      <c r="AA13" s="15" t="s">
        <v>665</v>
      </c>
      <c r="AB13" s="237">
        <v>1</v>
      </c>
      <c r="AC13" s="51"/>
      <c r="AD13" s="48"/>
      <c r="AE13" s="48"/>
      <c r="AF13" s="49"/>
      <c r="AG13" s="58"/>
      <c r="AH13" s="42"/>
      <c r="AI13" s="42"/>
      <c r="AJ13" s="59"/>
      <c r="AK13" s="58"/>
      <c r="AL13" s="42"/>
      <c r="AM13" s="42"/>
      <c r="AN13" s="59"/>
      <c r="AO13" s="242"/>
      <c r="AP13" s="242"/>
      <c r="AQ13" s="242"/>
      <c r="AR13" s="242"/>
      <c r="AS13" s="238">
        <v>40.597940000000001</v>
      </c>
      <c r="AT13" s="221"/>
      <c r="AU13" s="30"/>
      <c r="AV13" s="20"/>
      <c r="AW13" s="229">
        <v>1</v>
      </c>
      <c r="AX13" s="230">
        <v>5</v>
      </c>
      <c r="AY13" s="231">
        <v>70</v>
      </c>
    </row>
    <row r="14" spans="1:58" ht="30.75" hidden="1" thickBot="1" x14ac:dyDescent="0.3">
      <c r="A14" s="143">
        <v>11</v>
      </c>
      <c r="B14" s="15" t="s">
        <v>228</v>
      </c>
      <c r="C14" s="15" t="s">
        <v>647</v>
      </c>
      <c r="D14" s="15" t="s">
        <v>648</v>
      </c>
      <c r="E14" s="15"/>
      <c r="F14" s="15" t="str">
        <f t="shared" si="2"/>
        <v>Направляющие колеса</v>
      </c>
      <c r="G14" s="15"/>
      <c r="H14" s="15" t="s">
        <v>31</v>
      </c>
      <c r="I14" s="15"/>
      <c r="J14" s="15"/>
      <c r="K14" s="15">
        <v>0.20499999999999999</v>
      </c>
      <c r="L14" s="15">
        <v>2.46</v>
      </c>
      <c r="M14" s="15">
        <v>12</v>
      </c>
      <c r="N14" s="15" t="s">
        <v>33</v>
      </c>
      <c r="O14" s="15">
        <f t="shared" si="3"/>
        <v>73.8</v>
      </c>
      <c r="P14" s="15">
        <f t="shared" si="4"/>
        <v>86.1</v>
      </c>
      <c r="Q14" s="15">
        <f t="shared" si="5"/>
        <v>49.2</v>
      </c>
      <c r="R14" s="15">
        <f t="shared" si="6"/>
        <v>36.9</v>
      </c>
      <c r="S14" s="214">
        <v>246</v>
      </c>
      <c r="T14" s="220">
        <v>171718.65</v>
      </c>
      <c r="U14" s="220">
        <v>422427.87899999996</v>
      </c>
      <c r="V14" s="15"/>
      <c r="W14" s="15"/>
      <c r="X14" s="15" t="s">
        <v>666</v>
      </c>
      <c r="Y14" s="15">
        <v>500236</v>
      </c>
      <c r="Z14" s="182" t="s">
        <v>651</v>
      </c>
      <c r="AA14" s="15" t="s">
        <v>667</v>
      </c>
      <c r="AB14" s="237">
        <v>2</v>
      </c>
      <c r="AC14" s="51"/>
      <c r="AD14" s="48"/>
      <c r="AE14" s="48"/>
      <c r="AF14" s="49"/>
      <c r="AG14" s="58"/>
      <c r="AH14" s="42"/>
      <c r="AI14" s="42"/>
      <c r="AJ14" s="59"/>
      <c r="AK14" s="58"/>
      <c r="AL14" s="42"/>
      <c r="AM14" s="42"/>
      <c r="AN14" s="59"/>
      <c r="AO14" s="242"/>
      <c r="AP14" s="242"/>
      <c r="AQ14" s="242"/>
      <c r="AR14" s="242"/>
      <c r="AS14" s="238">
        <v>7.6505999999999998</v>
      </c>
      <c r="AT14" s="221"/>
      <c r="AU14" s="30"/>
      <c r="AV14" s="190"/>
      <c r="AW14" s="229">
        <v>5</v>
      </c>
      <c r="AX14" s="230">
        <v>10</v>
      </c>
      <c r="AY14" s="231">
        <v>50</v>
      </c>
    </row>
    <row r="15" spans="1:58" ht="30.75" hidden="1" thickBot="1" x14ac:dyDescent="0.3">
      <c r="A15" s="143">
        <v>12</v>
      </c>
      <c r="B15" s="15" t="s">
        <v>228</v>
      </c>
      <c r="C15" s="15" t="s">
        <v>647</v>
      </c>
      <c r="D15" s="15" t="s">
        <v>648</v>
      </c>
      <c r="E15" s="15"/>
      <c r="F15" s="15" t="str">
        <f t="shared" si="2"/>
        <v>Направляющие колеса</v>
      </c>
      <c r="G15" s="15"/>
      <c r="H15" s="15" t="s">
        <v>31</v>
      </c>
      <c r="I15" s="15"/>
      <c r="J15" s="15"/>
      <c r="K15" s="15">
        <v>0.20499999999999999</v>
      </c>
      <c r="L15" s="15">
        <v>2.46</v>
      </c>
      <c r="M15" s="15">
        <v>12</v>
      </c>
      <c r="N15" s="15" t="s">
        <v>33</v>
      </c>
      <c r="O15" s="15">
        <f t="shared" si="3"/>
        <v>73.8</v>
      </c>
      <c r="P15" s="15">
        <f t="shared" si="4"/>
        <v>86.1</v>
      </c>
      <c r="Q15" s="15">
        <f t="shared" si="5"/>
        <v>49.2</v>
      </c>
      <c r="R15" s="15">
        <f t="shared" si="6"/>
        <v>36.9</v>
      </c>
      <c r="S15" s="214">
        <v>246</v>
      </c>
      <c r="T15" s="220">
        <v>171718.65</v>
      </c>
      <c r="U15" s="220">
        <v>422427.87899999996</v>
      </c>
      <c r="V15" s="15"/>
      <c r="W15" s="15"/>
      <c r="X15" s="15" t="s">
        <v>668</v>
      </c>
      <c r="Y15" s="15">
        <v>500236</v>
      </c>
      <c r="Z15" s="182" t="s">
        <v>651</v>
      </c>
      <c r="AA15" s="15" t="s">
        <v>667</v>
      </c>
      <c r="AB15" s="237">
        <v>3</v>
      </c>
      <c r="AC15" s="51"/>
      <c r="AD15" s="48"/>
      <c r="AE15" s="48"/>
      <c r="AF15" s="49"/>
      <c r="AG15" s="58"/>
      <c r="AH15" s="42"/>
      <c r="AI15" s="42"/>
      <c r="AJ15" s="59"/>
      <c r="AK15" s="58"/>
      <c r="AL15" s="42"/>
      <c r="AM15" s="42"/>
      <c r="AN15" s="59"/>
      <c r="AO15" s="242"/>
      <c r="AP15" s="242"/>
      <c r="AQ15" s="242"/>
      <c r="AR15" s="242"/>
      <c r="AS15" s="238">
        <v>7.6505999999999998</v>
      </c>
      <c r="AT15" s="221"/>
      <c r="AU15" s="30"/>
      <c r="AW15" s="232" t="s">
        <v>669</v>
      </c>
      <c r="AX15" s="233">
        <v>10</v>
      </c>
      <c r="AY15" s="234">
        <v>45</v>
      </c>
    </row>
    <row r="16" spans="1:58" ht="30" hidden="1" x14ac:dyDescent="0.25">
      <c r="A16" s="143">
        <v>13</v>
      </c>
      <c r="B16" s="15" t="s">
        <v>228</v>
      </c>
      <c r="C16" s="15" t="s">
        <v>647</v>
      </c>
      <c r="D16" s="15" t="s">
        <v>648</v>
      </c>
      <c r="E16" s="15"/>
      <c r="F16" s="15" t="str">
        <f t="shared" si="2"/>
        <v>Система консист.смазки</v>
      </c>
      <c r="G16" s="15"/>
      <c r="H16" s="15" t="s">
        <v>31</v>
      </c>
      <c r="I16" s="15"/>
      <c r="J16" s="15"/>
      <c r="K16" s="15">
        <v>0.155</v>
      </c>
      <c r="L16" s="15">
        <v>0.31</v>
      </c>
      <c r="M16" s="15">
        <v>2</v>
      </c>
      <c r="N16" s="15" t="s">
        <v>33</v>
      </c>
      <c r="O16" s="15">
        <f t="shared" si="3"/>
        <v>9.2999999999999989</v>
      </c>
      <c r="P16" s="15">
        <f t="shared" si="4"/>
        <v>10.85</v>
      </c>
      <c r="Q16" s="15">
        <f t="shared" si="5"/>
        <v>6.2</v>
      </c>
      <c r="R16" s="15">
        <f t="shared" si="6"/>
        <v>4.6499999999999995</v>
      </c>
      <c r="S16" s="214">
        <v>31</v>
      </c>
      <c r="T16" s="220">
        <v>171718.65</v>
      </c>
      <c r="U16" s="220">
        <v>53232.781499999997</v>
      </c>
      <c r="V16" s="15"/>
      <c r="W16" s="15"/>
      <c r="X16" s="15" t="s">
        <v>670</v>
      </c>
      <c r="Y16" s="15">
        <v>500236</v>
      </c>
      <c r="Z16" s="182" t="s">
        <v>651</v>
      </c>
      <c r="AA16" s="15" t="s">
        <v>671</v>
      </c>
      <c r="AB16" s="237">
        <v>4</v>
      </c>
      <c r="AC16" s="51"/>
      <c r="AD16" s="48"/>
      <c r="AE16" s="48"/>
      <c r="AF16" s="49"/>
      <c r="AG16" s="58"/>
      <c r="AH16" s="42"/>
      <c r="AI16" s="42"/>
      <c r="AJ16" s="59"/>
      <c r="AK16" s="58"/>
      <c r="AL16" s="42"/>
      <c r="AM16" s="42"/>
      <c r="AN16" s="59"/>
      <c r="AO16" s="242"/>
      <c r="AP16" s="242"/>
      <c r="AQ16" s="242"/>
      <c r="AR16" s="242"/>
      <c r="AS16" s="238">
        <v>0.96409999999999996</v>
      </c>
      <c r="AT16" s="221"/>
      <c r="AU16" s="30"/>
    </row>
    <row r="17" spans="1:47" ht="30" hidden="1" x14ac:dyDescent="0.25">
      <c r="A17" s="143">
        <v>14</v>
      </c>
      <c r="B17" s="15" t="s">
        <v>228</v>
      </c>
      <c r="C17" s="15" t="s">
        <v>647</v>
      </c>
      <c r="D17" s="15" t="s">
        <v>648</v>
      </c>
      <c r="E17" s="15"/>
      <c r="F17" s="15" t="str">
        <f t="shared" si="2"/>
        <v>Дверцы</v>
      </c>
      <c r="G17" s="15"/>
      <c r="H17" s="15" t="s">
        <v>31</v>
      </c>
      <c r="I17" s="15"/>
      <c r="J17" s="15"/>
      <c r="K17" s="15">
        <v>0.13300000000000001</v>
      </c>
      <c r="L17" s="15">
        <v>0.26600000000000001</v>
      </c>
      <c r="M17" s="15">
        <v>2</v>
      </c>
      <c r="N17" s="15" t="s">
        <v>33</v>
      </c>
      <c r="O17" s="15">
        <f t="shared" si="3"/>
        <v>7.98</v>
      </c>
      <c r="P17" s="15">
        <f t="shared" si="4"/>
        <v>9.31</v>
      </c>
      <c r="Q17" s="15">
        <f t="shared" si="5"/>
        <v>5.32</v>
      </c>
      <c r="R17" s="15">
        <f t="shared" si="6"/>
        <v>3.99</v>
      </c>
      <c r="S17" s="214">
        <v>26.6</v>
      </c>
      <c r="T17" s="220">
        <v>171718.65</v>
      </c>
      <c r="U17" s="220">
        <v>45677.160900000003</v>
      </c>
      <c r="V17" s="15"/>
      <c r="W17" s="15"/>
      <c r="X17" s="15" t="s">
        <v>672</v>
      </c>
      <c r="Y17" s="15">
        <v>500236</v>
      </c>
      <c r="Z17" s="182" t="s">
        <v>651</v>
      </c>
      <c r="AA17" s="15" t="s">
        <v>673</v>
      </c>
      <c r="AB17" s="237">
        <v>5</v>
      </c>
      <c r="AC17" s="51"/>
      <c r="AD17" s="48"/>
      <c r="AE17" s="48"/>
      <c r="AF17" s="49"/>
      <c r="AG17" s="58"/>
      <c r="AH17" s="42"/>
      <c r="AI17" s="42"/>
      <c r="AJ17" s="59"/>
      <c r="AK17" s="58"/>
      <c r="AL17" s="42"/>
      <c r="AM17" s="42"/>
      <c r="AN17" s="59"/>
      <c r="AO17" s="242"/>
      <c r="AP17" s="242"/>
      <c r="AQ17" s="242"/>
      <c r="AR17" s="242"/>
      <c r="AS17" s="238">
        <v>0.82726</v>
      </c>
      <c r="AT17" s="221"/>
      <c r="AU17" s="30"/>
    </row>
    <row r="18" spans="1:47" ht="30" hidden="1" x14ac:dyDescent="0.25">
      <c r="A18" s="143">
        <v>15</v>
      </c>
      <c r="B18" s="15" t="s">
        <v>228</v>
      </c>
      <c r="C18" s="15" t="s">
        <v>647</v>
      </c>
      <c r="D18" s="15" t="s">
        <v>648</v>
      </c>
      <c r="E18" s="15"/>
      <c r="F18" s="15" t="str">
        <f t="shared" si="2"/>
        <v>Ограничитель для колонн</v>
      </c>
      <c r="G18" s="15"/>
      <c r="H18" s="15" t="s">
        <v>31</v>
      </c>
      <c r="I18" s="15"/>
      <c r="J18" s="15"/>
      <c r="K18" s="15">
        <v>0.22500000000000001</v>
      </c>
      <c r="L18" s="15">
        <v>0.45</v>
      </c>
      <c r="M18" s="15">
        <v>2</v>
      </c>
      <c r="N18" s="15" t="s">
        <v>33</v>
      </c>
      <c r="O18" s="15">
        <f t="shared" si="3"/>
        <v>13.5</v>
      </c>
      <c r="P18" s="15">
        <f t="shared" si="4"/>
        <v>15.749999999999998</v>
      </c>
      <c r="Q18" s="15">
        <f t="shared" si="5"/>
        <v>9</v>
      </c>
      <c r="R18" s="15">
        <f t="shared" si="6"/>
        <v>6.75</v>
      </c>
      <c r="S18" s="214">
        <v>45</v>
      </c>
      <c r="T18" s="220">
        <v>171718.65</v>
      </c>
      <c r="U18" s="220">
        <v>77273.392500000002</v>
      </c>
      <c r="V18" s="15"/>
      <c r="W18" s="15"/>
      <c r="X18" s="15" t="s">
        <v>674</v>
      </c>
      <c r="Y18" s="15">
        <v>500236</v>
      </c>
      <c r="Z18" s="182" t="s">
        <v>651</v>
      </c>
      <c r="AA18" s="15" t="s">
        <v>675</v>
      </c>
      <c r="AB18" s="237">
        <v>6</v>
      </c>
      <c r="AC18" s="51"/>
      <c r="AD18" s="48"/>
      <c r="AE18" s="48"/>
      <c r="AF18" s="49"/>
      <c r="AG18" s="58"/>
      <c r="AH18" s="42"/>
      <c r="AI18" s="42"/>
      <c r="AJ18" s="59"/>
      <c r="AK18" s="58"/>
      <c r="AL18" s="42"/>
      <c r="AM18" s="42"/>
      <c r="AN18" s="59"/>
      <c r="AO18" s="242"/>
      <c r="AP18" s="242"/>
      <c r="AQ18" s="242"/>
      <c r="AR18" s="242"/>
      <c r="AS18" s="238">
        <v>1.3995</v>
      </c>
      <c r="AT18" s="221"/>
      <c r="AU18" s="30"/>
    </row>
    <row r="19" spans="1:47" ht="30" x14ac:dyDescent="0.25">
      <c r="A19" s="28">
        <v>16</v>
      </c>
      <c r="B19" s="28" t="s">
        <v>228</v>
      </c>
      <c r="C19" s="28" t="s">
        <v>647</v>
      </c>
      <c r="D19" s="28" t="s">
        <v>648</v>
      </c>
      <c r="E19" s="28"/>
      <c r="F19" s="28" t="str">
        <f t="shared" si="2"/>
        <v>Предохранительное реле для эл.подъемно-поворотного устройства</v>
      </c>
      <c r="G19" s="28"/>
      <c r="H19" s="28" t="s">
        <v>31</v>
      </c>
      <c r="I19" s="28"/>
      <c r="J19" s="28"/>
      <c r="K19" s="28">
        <v>0.03</v>
      </c>
      <c r="L19" s="28">
        <v>0.03</v>
      </c>
      <c r="M19" s="28">
        <v>1</v>
      </c>
      <c r="N19" s="28" t="s">
        <v>33</v>
      </c>
      <c r="O19" s="28">
        <f t="shared" si="3"/>
        <v>0.98999999999999988</v>
      </c>
      <c r="P19" s="28">
        <f t="shared" si="4"/>
        <v>1.1549999999999998</v>
      </c>
      <c r="Q19" s="28">
        <f t="shared" si="5"/>
        <v>0.66</v>
      </c>
      <c r="R19" s="28">
        <f t="shared" si="6"/>
        <v>0.49499999999999994</v>
      </c>
      <c r="S19" s="214">
        <v>3.3</v>
      </c>
      <c r="T19" s="220">
        <v>171718.65</v>
      </c>
      <c r="U19" s="220">
        <v>5151.5594999999994</v>
      </c>
      <c r="V19" s="15"/>
      <c r="W19" s="15"/>
      <c r="X19" s="28" t="s">
        <v>676</v>
      </c>
      <c r="Y19" s="28">
        <v>500238</v>
      </c>
      <c r="Z19" s="182" t="s">
        <v>651</v>
      </c>
      <c r="AA19" s="15" t="s">
        <v>677</v>
      </c>
      <c r="AB19" s="237">
        <v>1</v>
      </c>
      <c r="AC19" s="46">
        <f>L19*0.3</f>
        <v>8.9999999999999993E-3</v>
      </c>
      <c r="AD19" s="48"/>
      <c r="AE19" s="48"/>
      <c r="AF19" s="49"/>
      <c r="AG19" s="51"/>
      <c r="AH19" s="42"/>
      <c r="AI19" s="42"/>
      <c r="AJ19" s="59"/>
      <c r="AK19" s="58"/>
      <c r="AL19" s="42"/>
      <c r="AM19" s="42"/>
      <c r="AN19" s="59"/>
      <c r="AO19" s="242"/>
      <c r="AP19" s="242"/>
      <c r="AQ19" s="242"/>
      <c r="AR19" s="242"/>
      <c r="AS19" s="238">
        <v>9.3299999999999994E-2</v>
      </c>
      <c r="AT19" s="221"/>
      <c r="AU19" s="30"/>
    </row>
    <row r="20" spans="1:47" ht="30" x14ac:dyDescent="0.25">
      <c r="A20" s="28">
        <v>17</v>
      </c>
      <c r="B20" s="28" t="s">
        <v>228</v>
      </c>
      <c r="C20" s="28" t="s">
        <v>647</v>
      </c>
      <c r="D20" s="28" t="s">
        <v>648</v>
      </c>
      <c r="E20" s="28"/>
      <c r="F20" s="28" t="str">
        <f t="shared" si="2"/>
        <v>Предохранительное реле для эл.подъемно-поворотного устройства</v>
      </c>
      <c r="G20" s="28"/>
      <c r="H20" s="28" t="s">
        <v>31</v>
      </c>
      <c r="I20" s="28"/>
      <c r="J20" s="28"/>
      <c r="K20" s="28">
        <v>0.03</v>
      </c>
      <c r="L20" s="28">
        <v>0.03</v>
      </c>
      <c r="M20" s="28">
        <v>1</v>
      </c>
      <c r="N20" s="28" t="s">
        <v>33</v>
      </c>
      <c r="O20" s="28">
        <f t="shared" si="3"/>
        <v>0.98999999999999988</v>
      </c>
      <c r="P20" s="28">
        <f t="shared" si="4"/>
        <v>1.1549999999999998</v>
      </c>
      <c r="Q20" s="28">
        <f t="shared" si="5"/>
        <v>0.66</v>
      </c>
      <c r="R20" s="28">
        <f t="shared" si="6"/>
        <v>0.49499999999999994</v>
      </c>
      <c r="S20" s="214">
        <v>3.3</v>
      </c>
      <c r="T20" s="220">
        <v>171718.65</v>
      </c>
      <c r="U20" s="220">
        <v>5151.5594999999994</v>
      </c>
      <c r="V20" s="15"/>
      <c r="W20" s="15"/>
      <c r="X20" s="28" t="s">
        <v>676</v>
      </c>
      <c r="Y20" s="28">
        <v>500238</v>
      </c>
      <c r="Z20" s="182" t="s">
        <v>651</v>
      </c>
      <c r="AA20" s="15" t="s">
        <v>677</v>
      </c>
      <c r="AB20" s="237">
        <v>2</v>
      </c>
      <c r="AC20" s="46">
        <f t="shared" ref="AC20:AC31" si="7">L20*0.3</f>
        <v>8.9999999999999993E-3</v>
      </c>
      <c r="AD20" s="48"/>
      <c r="AE20" s="48"/>
      <c r="AF20" s="49"/>
      <c r="AG20" s="51"/>
      <c r="AH20" s="42"/>
      <c r="AI20" s="42"/>
      <c r="AJ20" s="59"/>
      <c r="AK20" s="58"/>
      <c r="AL20" s="42"/>
      <c r="AM20" s="42"/>
      <c r="AN20" s="59"/>
      <c r="AO20" s="242"/>
      <c r="AP20" s="242"/>
      <c r="AQ20" s="242"/>
      <c r="AR20" s="242"/>
      <c r="AS20" s="238">
        <v>9.3299999999999994E-2</v>
      </c>
      <c r="AT20" s="221"/>
      <c r="AU20" s="30"/>
    </row>
    <row r="21" spans="1:47" ht="30" x14ac:dyDescent="0.25">
      <c r="A21" s="28">
        <v>18</v>
      </c>
      <c r="B21" s="28" t="s">
        <v>228</v>
      </c>
      <c r="C21" s="28" t="s">
        <v>647</v>
      </c>
      <c r="D21" s="28" t="s">
        <v>648</v>
      </c>
      <c r="E21" s="28"/>
      <c r="F21" s="28" t="str">
        <f t="shared" si="2"/>
        <v>Плита основания</v>
      </c>
      <c r="G21" s="28"/>
      <c r="H21" s="28" t="s">
        <v>31</v>
      </c>
      <c r="I21" s="28"/>
      <c r="J21" s="28"/>
      <c r="K21" s="28">
        <v>5.6070200000000003</v>
      </c>
      <c r="L21" s="28">
        <v>5.6070200000000003</v>
      </c>
      <c r="M21" s="28">
        <v>1</v>
      </c>
      <c r="N21" s="28" t="s">
        <v>33</v>
      </c>
      <c r="O21" s="28">
        <f t="shared" si="3"/>
        <v>84.1053</v>
      </c>
      <c r="P21" s="28">
        <f t="shared" si="4"/>
        <v>98.12285</v>
      </c>
      <c r="Q21" s="28">
        <f t="shared" si="5"/>
        <v>56.0702</v>
      </c>
      <c r="R21" s="28">
        <f t="shared" si="6"/>
        <v>42.05265</v>
      </c>
      <c r="S21" s="214">
        <v>280.351</v>
      </c>
      <c r="T21" s="220">
        <v>171718.65</v>
      </c>
      <c r="U21" s="220">
        <v>962829.90492300002</v>
      </c>
      <c r="V21" s="15"/>
      <c r="W21" s="15"/>
      <c r="X21" s="28" t="s">
        <v>678</v>
      </c>
      <c r="Y21" s="28">
        <v>500238</v>
      </c>
      <c r="Z21" s="182" t="s">
        <v>651</v>
      </c>
      <c r="AA21" s="15" t="s">
        <v>679</v>
      </c>
      <c r="AB21" s="237">
        <v>3</v>
      </c>
      <c r="AC21" s="46">
        <f t="shared" si="7"/>
        <v>1.6821060000000001</v>
      </c>
      <c r="AD21" s="48"/>
      <c r="AE21" s="48"/>
      <c r="AF21" s="49"/>
      <c r="AG21" s="51"/>
      <c r="AH21" s="42"/>
      <c r="AI21" s="42"/>
      <c r="AJ21" s="59"/>
      <c r="AK21" s="58"/>
      <c r="AL21" s="42"/>
      <c r="AM21" s="42"/>
      <c r="AN21" s="59"/>
      <c r="AO21" s="242"/>
      <c r="AP21" s="242"/>
      <c r="AQ21" s="242"/>
      <c r="AR21" s="242"/>
      <c r="AS21" s="238">
        <v>17.437832199999999</v>
      </c>
      <c r="AT21" s="221"/>
      <c r="AU21" s="30"/>
    </row>
    <row r="22" spans="1:47" ht="30" x14ac:dyDescent="0.25">
      <c r="A22" s="28">
        <v>19</v>
      </c>
      <c r="B22" s="28" t="s">
        <v>228</v>
      </c>
      <c r="C22" s="28" t="s">
        <v>647</v>
      </c>
      <c r="D22" s="28" t="s">
        <v>648</v>
      </c>
      <c r="E22" s="28"/>
      <c r="F22" s="28" t="str">
        <f t="shared" si="2"/>
        <v>Предохр.останов вращения</v>
      </c>
      <c r="G22" s="28"/>
      <c r="H22" s="28" t="s">
        <v>31</v>
      </c>
      <c r="I22" s="28"/>
      <c r="J22" s="28"/>
      <c r="K22" s="28">
        <v>0.185</v>
      </c>
      <c r="L22" s="28">
        <v>0.185</v>
      </c>
      <c r="M22" s="28">
        <v>1</v>
      </c>
      <c r="N22" s="28" t="s">
        <v>33</v>
      </c>
      <c r="O22" s="28">
        <f t="shared" si="3"/>
        <v>5.55</v>
      </c>
      <c r="P22" s="28">
        <f t="shared" si="4"/>
        <v>6.4749999999999996</v>
      </c>
      <c r="Q22" s="28">
        <f t="shared" si="5"/>
        <v>3.7</v>
      </c>
      <c r="R22" s="28">
        <f t="shared" si="6"/>
        <v>2.7749999999999999</v>
      </c>
      <c r="S22" s="214">
        <v>18.5</v>
      </c>
      <c r="T22" s="220">
        <v>171718.65</v>
      </c>
      <c r="U22" s="220">
        <v>31767.950249999998</v>
      </c>
      <c r="V22" s="15"/>
      <c r="W22" s="15"/>
      <c r="X22" s="28" t="s">
        <v>680</v>
      </c>
      <c r="Y22" s="28">
        <v>500238</v>
      </c>
      <c r="Z22" s="182" t="s">
        <v>651</v>
      </c>
      <c r="AA22" s="15" t="s">
        <v>681</v>
      </c>
      <c r="AB22" s="237">
        <v>4</v>
      </c>
      <c r="AC22" s="46">
        <f t="shared" si="7"/>
        <v>5.5500000000000001E-2</v>
      </c>
      <c r="AD22" s="48"/>
      <c r="AE22" s="48"/>
      <c r="AF22" s="49"/>
      <c r="AG22" s="51"/>
      <c r="AH22" s="42"/>
      <c r="AI22" s="42"/>
      <c r="AJ22" s="59"/>
      <c r="AK22" s="58"/>
      <c r="AL22" s="42"/>
      <c r="AM22" s="42"/>
      <c r="AN22" s="59"/>
      <c r="AO22" s="242"/>
      <c r="AP22" s="242"/>
      <c r="AQ22" s="242"/>
      <c r="AR22" s="242"/>
      <c r="AS22" s="238">
        <v>0.57534999999999992</v>
      </c>
      <c r="AT22" s="221"/>
      <c r="AU22" s="30"/>
    </row>
    <row r="23" spans="1:47" ht="30" x14ac:dyDescent="0.25">
      <c r="A23" s="28">
        <v>20</v>
      </c>
      <c r="B23" s="28" t="s">
        <v>228</v>
      </c>
      <c r="C23" s="28" t="s">
        <v>647</v>
      </c>
      <c r="D23" s="28" t="s">
        <v>648</v>
      </c>
      <c r="E23" s="28"/>
      <c r="F23" s="28" t="str">
        <f t="shared" si="2"/>
        <v>Шайба обычная ISO 7089-30−200 HV−STEEL−PHOSPHATED MNPH ISO 9717</v>
      </c>
      <c r="G23" s="28"/>
      <c r="H23" s="28" t="s">
        <v>31</v>
      </c>
      <c r="I23" s="28"/>
      <c r="J23" s="28"/>
      <c r="K23" s="28">
        <v>5.0000000000000002E-5</v>
      </c>
      <c r="L23" s="28">
        <v>1.9200000000000002E-2</v>
      </c>
      <c r="M23" s="28">
        <v>384</v>
      </c>
      <c r="N23" s="28" t="s">
        <v>33</v>
      </c>
      <c r="O23" s="28">
        <f t="shared" si="3"/>
        <v>0.63360000000000005</v>
      </c>
      <c r="P23" s="28">
        <f t="shared" si="4"/>
        <v>0.73919999999999997</v>
      </c>
      <c r="Q23" s="28">
        <f t="shared" si="5"/>
        <v>0.42240000000000005</v>
      </c>
      <c r="R23" s="28">
        <f t="shared" si="6"/>
        <v>0.31680000000000003</v>
      </c>
      <c r="S23" s="214">
        <v>2.1120000000000001</v>
      </c>
      <c r="T23" s="220">
        <v>171718.65</v>
      </c>
      <c r="U23" s="220">
        <v>3296.9980800000003</v>
      </c>
      <c r="V23" s="15"/>
      <c r="W23" s="15"/>
      <c r="X23" s="28" t="s">
        <v>682</v>
      </c>
      <c r="Y23" s="28">
        <v>500238</v>
      </c>
      <c r="Z23" s="182" t="s">
        <v>651</v>
      </c>
      <c r="AA23" s="15" t="s">
        <v>683</v>
      </c>
      <c r="AB23" s="237">
        <v>5</v>
      </c>
      <c r="AC23" s="46">
        <f t="shared" si="7"/>
        <v>5.7600000000000004E-3</v>
      </c>
      <c r="AD23" s="48"/>
      <c r="AE23" s="48"/>
      <c r="AF23" s="49"/>
      <c r="AG23" s="51"/>
      <c r="AH23" s="42"/>
      <c r="AI23" s="42"/>
      <c r="AJ23" s="59"/>
      <c r="AK23" s="58"/>
      <c r="AL23" s="42"/>
      <c r="AM23" s="42"/>
      <c r="AN23" s="59"/>
      <c r="AO23" s="242"/>
      <c r="AP23" s="242"/>
      <c r="AQ23" s="242"/>
      <c r="AR23" s="242"/>
      <c r="AS23" s="238">
        <v>5.9712000000000001E-2</v>
      </c>
      <c r="AT23" s="221"/>
      <c r="AU23" s="30"/>
    </row>
    <row r="24" spans="1:47" ht="30" x14ac:dyDescent="0.25">
      <c r="A24" s="28">
        <v>21</v>
      </c>
      <c r="B24" s="28" t="s">
        <v>228</v>
      </c>
      <c r="C24" s="28" t="s">
        <v>647</v>
      </c>
      <c r="D24" s="28" t="s">
        <v>648</v>
      </c>
      <c r="E24" s="28"/>
      <c r="F24" s="28" t="str">
        <f t="shared" si="2"/>
        <v>Штанга</v>
      </c>
      <c r="G24" s="28"/>
      <c r="H24" s="28" t="s">
        <v>31</v>
      </c>
      <c r="I24" s="28"/>
      <c r="J24" s="28"/>
      <c r="K24" s="28">
        <v>2.2000000000000001E-3</v>
      </c>
      <c r="L24" s="28">
        <v>0.42240000000000005</v>
      </c>
      <c r="M24" s="28">
        <v>192</v>
      </c>
      <c r="N24" s="28" t="s">
        <v>33</v>
      </c>
      <c r="O24" s="28">
        <f t="shared" si="3"/>
        <v>13.939200000000001</v>
      </c>
      <c r="P24" s="28">
        <f t="shared" si="4"/>
        <v>16.2624</v>
      </c>
      <c r="Q24" s="28">
        <f t="shared" si="5"/>
        <v>9.2928000000000015</v>
      </c>
      <c r="R24" s="28">
        <f t="shared" si="6"/>
        <v>6.9696000000000007</v>
      </c>
      <c r="S24" s="214">
        <v>46.464000000000006</v>
      </c>
      <c r="T24" s="220">
        <v>171718.65</v>
      </c>
      <c r="U24" s="220">
        <v>72533.957760000005</v>
      </c>
      <c r="V24" s="15"/>
      <c r="W24" s="15"/>
      <c r="X24" s="28" t="s">
        <v>684</v>
      </c>
      <c r="Y24" s="28">
        <v>500238</v>
      </c>
      <c r="Z24" s="182" t="s">
        <v>651</v>
      </c>
      <c r="AA24" s="15" t="s">
        <v>286</v>
      </c>
      <c r="AB24" s="237">
        <v>6</v>
      </c>
      <c r="AC24" s="46">
        <f t="shared" si="7"/>
        <v>0.12672</v>
      </c>
      <c r="AD24" s="48"/>
      <c r="AE24" s="48"/>
      <c r="AF24" s="49"/>
      <c r="AG24" s="51"/>
      <c r="AH24" s="42"/>
      <c r="AI24" s="42"/>
      <c r="AJ24" s="59"/>
      <c r="AK24" s="58"/>
      <c r="AL24" s="42"/>
      <c r="AM24" s="42"/>
      <c r="AN24" s="59"/>
      <c r="AO24" s="242"/>
      <c r="AP24" s="242"/>
      <c r="AQ24" s="242"/>
      <c r="AR24" s="242"/>
      <c r="AS24" s="238">
        <v>1.3136640000000002</v>
      </c>
      <c r="AT24" s="221"/>
      <c r="AU24" s="30"/>
    </row>
    <row r="25" spans="1:47" ht="30" x14ac:dyDescent="0.25">
      <c r="A25" s="28">
        <v>22</v>
      </c>
      <c r="B25" s="28" t="s">
        <v>228</v>
      </c>
      <c r="C25" s="28" t="s">
        <v>647</v>
      </c>
      <c r="D25" s="28" t="s">
        <v>648</v>
      </c>
      <c r="E25" s="28"/>
      <c r="F25" s="28" t="str">
        <f t="shared" si="2"/>
        <v>Динамометрический ключ TIPO DKS 2.0 COD. 52.10004</v>
      </c>
      <c r="G25" s="28"/>
      <c r="H25" s="28" t="s">
        <v>31</v>
      </c>
      <c r="I25" s="28"/>
      <c r="J25" s="28"/>
      <c r="K25" s="28">
        <v>1.8E-3</v>
      </c>
      <c r="L25" s="28">
        <v>3.5999999999999999E-3</v>
      </c>
      <c r="M25" s="28">
        <v>2</v>
      </c>
      <c r="N25" s="28" t="s">
        <v>33</v>
      </c>
      <c r="O25" s="28">
        <f t="shared" si="3"/>
        <v>0.11879999999999999</v>
      </c>
      <c r="P25" s="28">
        <f t="shared" si="4"/>
        <v>0.13859999999999997</v>
      </c>
      <c r="Q25" s="28">
        <f t="shared" si="5"/>
        <v>7.9199999999999993E-2</v>
      </c>
      <c r="R25" s="28">
        <f t="shared" si="6"/>
        <v>5.9399999999999994E-2</v>
      </c>
      <c r="S25" s="214">
        <v>0.39599999999999996</v>
      </c>
      <c r="T25" s="220">
        <v>171718.65</v>
      </c>
      <c r="U25" s="220">
        <v>618.18714</v>
      </c>
      <c r="V25" s="15"/>
      <c r="W25" s="15"/>
      <c r="X25" s="28" t="s">
        <v>685</v>
      </c>
      <c r="Y25" s="28">
        <v>500238</v>
      </c>
      <c r="Z25" s="182" t="s">
        <v>651</v>
      </c>
      <c r="AA25" s="15" t="s">
        <v>686</v>
      </c>
      <c r="AB25" s="237">
        <v>7</v>
      </c>
      <c r="AC25" s="46">
        <f t="shared" si="7"/>
        <v>1.08E-3</v>
      </c>
      <c r="AD25" s="48"/>
      <c r="AE25" s="48"/>
      <c r="AF25" s="49"/>
      <c r="AG25" s="51"/>
      <c r="AH25" s="42"/>
      <c r="AI25" s="42"/>
      <c r="AJ25" s="59"/>
      <c r="AK25" s="58"/>
      <c r="AL25" s="42"/>
      <c r="AM25" s="42"/>
      <c r="AN25" s="59"/>
      <c r="AO25" s="242"/>
      <c r="AP25" s="242"/>
      <c r="AQ25" s="242"/>
      <c r="AR25" s="242"/>
      <c r="AS25" s="238">
        <v>1.1195999999999999E-2</v>
      </c>
      <c r="AT25" s="221"/>
      <c r="AU25" s="30"/>
    </row>
    <row r="26" spans="1:47" ht="60" x14ac:dyDescent="0.25">
      <c r="A26" s="28">
        <v>23</v>
      </c>
      <c r="B26" s="28" t="s">
        <v>228</v>
      </c>
      <c r="C26" s="28" t="s">
        <v>647</v>
      </c>
      <c r="D26" s="28" t="s">
        <v>648</v>
      </c>
      <c r="E26" s="28"/>
      <c r="F26" s="28" t="str">
        <f t="shared" si="2"/>
        <v xml:space="preserve">Ручной насос TIPO DA 16 CODE 50.01016 ( EX 6 COD.50.01006 ) "ITH"
</v>
      </c>
      <c r="G26" s="28"/>
      <c r="H26" s="28" t="s">
        <v>31</v>
      </c>
      <c r="I26" s="28"/>
      <c r="J26" s="28"/>
      <c r="K26" s="28">
        <v>1.3259999999999999E-2</v>
      </c>
      <c r="L26" s="28">
        <v>2.6519999999999998E-2</v>
      </c>
      <c r="M26" s="28">
        <v>2</v>
      </c>
      <c r="N26" s="28" t="s">
        <v>33</v>
      </c>
      <c r="O26" s="28">
        <f t="shared" si="3"/>
        <v>0.87515999999999994</v>
      </c>
      <c r="P26" s="28">
        <f t="shared" si="4"/>
        <v>1.0210199999999998</v>
      </c>
      <c r="Q26" s="28">
        <f t="shared" si="5"/>
        <v>0.58343999999999996</v>
      </c>
      <c r="R26" s="28">
        <f t="shared" si="6"/>
        <v>0.43757999999999997</v>
      </c>
      <c r="S26" s="214">
        <v>2.9171999999999998</v>
      </c>
      <c r="T26" s="220">
        <v>171718.65</v>
      </c>
      <c r="U26" s="220">
        <v>4553.9785979999997</v>
      </c>
      <c r="V26" s="15"/>
      <c r="W26" s="15"/>
      <c r="X26" s="28" t="s">
        <v>687</v>
      </c>
      <c r="Y26" s="28">
        <v>500238</v>
      </c>
      <c r="Z26" s="182" t="s">
        <v>651</v>
      </c>
      <c r="AA26" s="15" t="s">
        <v>688</v>
      </c>
      <c r="AB26" s="237">
        <v>8</v>
      </c>
      <c r="AC26" s="46">
        <f t="shared" si="7"/>
        <v>7.9559999999999995E-3</v>
      </c>
      <c r="AD26" s="48"/>
      <c r="AE26" s="48"/>
      <c r="AF26" s="49"/>
      <c r="AG26" s="51"/>
      <c r="AH26" s="42"/>
      <c r="AI26" s="42"/>
      <c r="AJ26" s="59"/>
      <c r="AK26" s="58"/>
      <c r="AL26" s="42"/>
      <c r="AM26" s="42"/>
      <c r="AN26" s="59"/>
      <c r="AO26" s="242"/>
      <c r="AP26" s="242"/>
      <c r="AQ26" s="242"/>
      <c r="AR26" s="242"/>
      <c r="AS26" s="238">
        <v>8.2477199999999987E-2</v>
      </c>
      <c r="AT26" s="221"/>
      <c r="AU26" s="30"/>
    </row>
    <row r="27" spans="1:47" ht="45" x14ac:dyDescent="0.25">
      <c r="A27" s="28">
        <v>24</v>
      </c>
      <c r="B27" s="28" t="s">
        <v>228</v>
      </c>
      <c r="C27" s="28" t="s">
        <v>647</v>
      </c>
      <c r="D27" s="28" t="s">
        <v>648</v>
      </c>
      <c r="E27" s="28"/>
      <c r="F27" s="28" t="str">
        <f t="shared" si="2"/>
        <v xml:space="preserve">Гибкий шланг COD.34.10033−0040 L=4MT MAX. PRESSURE 1500 BAR_"ITH"
</v>
      </c>
      <c r="G27" s="28"/>
      <c r="H27" s="28" t="s">
        <v>31</v>
      </c>
      <c r="I27" s="28"/>
      <c r="J27" s="28"/>
      <c r="K27" s="28">
        <v>3.16E-3</v>
      </c>
      <c r="L27" s="28">
        <v>6.3200000000000001E-3</v>
      </c>
      <c r="M27" s="28">
        <v>2</v>
      </c>
      <c r="N27" s="28" t="s">
        <v>33</v>
      </c>
      <c r="O27" s="28">
        <f t="shared" si="3"/>
        <v>0.20856</v>
      </c>
      <c r="P27" s="28">
        <f t="shared" si="4"/>
        <v>0.24332000000000001</v>
      </c>
      <c r="Q27" s="28">
        <f t="shared" si="5"/>
        <v>0.13904000000000002</v>
      </c>
      <c r="R27" s="28">
        <f t="shared" si="6"/>
        <v>0.10428</v>
      </c>
      <c r="S27" s="214">
        <v>0.69520000000000004</v>
      </c>
      <c r="T27" s="220">
        <v>171718.65</v>
      </c>
      <c r="U27" s="220">
        <v>1085.261868</v>
      </c>
      <c r="V27" s="15"/>
      <c r="W27" s="15"/>
      <c r="X27" s="28" t="s">
        <v>689</v>
      </c>
      <c r="Y27" s="28">
        <v>500238</v>
      </c>
      <c r="Z27" s="182" t="s">
        <v>651</v>
      </c>
      <c r="AA27" s="15" t="s">
        <v>690</v>
      </c>
      <c r="AB27" s="237">
        <v>9</v>
      </c>
      <c r="AC27" s="46">
        <f t="shared" si="7"/>
        <v>1.8959999999999999E-3</v>
      </c>
      <c r="AD27" s="48"/>
      <c r="AE27" s="48"/>
      <c r="AF27" s="49"/>
      <c r="AG27" s="51"/>
      <c r="AH27" s="42"/>
      <c r="AI27" s="42"/>
      <c r="AJ27" s="59"/>
      <c r="AK27" s="58"/>
      <c r="AL27" s="42"/>
      <c r="AM27" s="42"/>
      <c r="AN27" s="59"/>
      <c r="AO27" s="242"/>
      <c r="AP27" s="242"/>
      <c r="AQ27" s="242"/>
      <c r="AR27" s="242"/>
      <c r="AS27" s="238">
        <v>1.9655200000000001E-2</v>
      </c>
      <c r="AT27" s="221"/>
      <c r="AU27" s="30"/>
    </row>
    <row r="28" spans="1:47" ht="45" x14ac:dyDescent="0.25">
      <c r="A28" s="28">
        <v>25</v>
      </c>
      <c r="B28" s="28" t="s">
        <v>228</v>
      </c>
      <c r="C28" s="28" t="s">
        <v>647</v>
      </c>
      <c r="D28" s="28" t="s">
        <v>648</v>
      </c>
      <c r="E28" s="28"/>
      <c r="F28" s="28" t="str">
        <f t="shared" si="2"/>
        <v>Хомут разъемного фланца +винт ISO 6162−1 DN 15−350 бар CARBON STEEL−ZINC COATED ACCORDING TO STD DAN 2.131.302</v>
      </c>
      <c r="G28" s="28"/>
      <c r="H28" s="28" t="s">
        <v>31</v>
      </c>
      <c r="I28" s="28"/>
      <c r="J28" s="28"/>
      <c r="K28" s="28">
        <v>2.0000000000000001E-4</v>
      </c>
      <c r="L28" s="28">
        <v>4.0000000000000002E-4</v>
      </c>
      <c r="M28" s="28">
        <v>2</v>
      </c>
      <c r="N28" s="28" t="s">
        <v>33</v>
      </c>
      <c r="O28" s="28">
        <f t="shared" si="3"/>
        <v>1.3200000000000002E-2</v>
      </c>
      <c r="P28" s="28">
        <f t="shared" si="4"/>
        <v>1.54E-2</v>
      </c>
      <c r="Q28" s="28">
        <f t="shared" si="5"/>
        <v>8.8000000000000005E-3</v>
      </c>
      <c r="R28" s="28">
        <f t="shared" si="6"/>
        <v>6.6000000000000008E-3</v>
      </c>
      <c r="S28" s="214">
        <v>4.4000000000000004E-2</v>
      </c>
      <c r="T28" s="220">
        <v>171718.65</v>
      </c>
      <c r="U28" s="220">
        <v>68.687460000000002</v>
      </c>
      <c r="V28" s="15"/>
      <c r="W28" s="15"/>
      <c r="X28" s="28" t="s">
        <v>691</v>
      </c>
      <c r="Y28" s="28">
        <v>500238</v>
      </c>
      <c r="Z28" s="182" t="s">
        <v>651</v>
      </c>
      <c r="AA28" s="15" t="s">
        <v>692</v>
      </c>
      <c r="AB28" s="237">
        <v>10</v>
      </c>
      <c r="AC28" s="46">
        <f t="shared" si="7"/>
        <v>1.2E-4</v>
      </c>
      <c r="AD28" s="48"/>
      <c r="AE28" s="48"/>
      <c r="AF28" s="49"/>
      <c r="AG28" s="51"/>
      <c r="AH28" s="42"/>
      <c r="AI28" s="42"/>
      <c r="AJ28" s="59"/>
      <c r="AK28" s="58"/>
      <c r="AL28" s="42"/>
      <c r="AM28" s="42"/>
      <c r="AN28" s="59"/>
      <c r="AO28" s="242"/>
      <c r="AP28" s="242"/>
      <c r="AQ28" s="242"/>
      <c r="AR28" s="242"/>
      <c r="AS28" s="238">
        <v>1.2440000000000001E-3</v>
      </c>
      <c r="AT28" s="221"/>
      <c r="AU28" s="30"/>
    </row>
    <row r="29" spans="1:47" ht="30" x14ac:dyDescent="0.25">
      <c r="A29" s="28">
        <v>26</v>
      </c>
      <c r="B29" s="28" t="s">
        <v>228</v>
      </c>
      <c r="C29" s="28" t="s">
        <v>647</v>
      </c>
      <c r="D29" s="28" t="s">
        <v>648</v>
      </c>
      <c r="E29" s="28"/>
      <c r="F29" s="28" t="str">
        <f t="shared" si="2"/>
        <v>Гибкий шланг</v>
      </c>
      <c r="G29" s="28"/>
      <c r="H29" s="28" t="s">
        <v>31</v>
      </c>
      <c r="I29" s="28"/>
      <c r="J29" s="28"/>
      <c r="K29" s="28">
        <v>1.6E-2</v>
      </c>
      <c r="L29" s="28">
        <v>0.128</v>
      </c>
      <c r="M29" s="28">
        <v>8</v>
      </c>
      <c r="N29" s="28" t="s">
        <v>33</v>
      </c>
      <c r="O29" s="28">
        <f t="shared" si="3"/>
        <v>4.2240000000000002</v>
      </c>
      <c r="P29" s="28">
        <f t="shared" si="4"/>
        <v>4.9279999999999999</v>
      </c>
      <c r="Q29" s="28">
        <f t="shared" si="5"/>
        <v>2.8160000000000003</v>
      </c>
      <c r="R29" s="28">
        <f t="shared" si="6"/>
        <v>2.1120000000000001</v>
      </c>
      <c r="S29" s="214">
        <v>14.08</v>
      </c>
      <c r="T29" s="220">
        <v>171718.65</v>
      </c>
      <c r="U29" s="220">
        <v>21979.9872</v>
      </c>
      <c r="V29" s="15"/>
      <c r="W29" s="15"/>
      <c r="X29" s="28" t="s">
        <v>693</v>
      </c>
      <c r="Y29" s="28">
        <v>500238</v>
      </c>
      <c r="Z29" s="182" t="s">
        <v>651</v>
      </c>
      <c r="AA29" s="15" t="s">
        <v>694</v>
      </c>
      <c r="AB29" s="237">
        <v>11</v>
      </c>
      <c r="AC29" s="46">
        <f t="shared" si="7"/>
        <v>3.8399999999999997E-2</v>
      </c>
      <c r="AD29" s="48"/>
      <c r="AE29" s="48"/>
      <c r="AF29" s="49"/>
      <c r="AG29" s="51"/>
      <c r="AH29" s="42"/>
      <c r="AI29" s="42"/>
      <c r="AJ29" s="59"/>
      <c r="AK29" s="58"/>
      <c r="AL29" s="42"/>
      <c r="AM29" s="42"/>
      <c r="AN29" s="59"/>
      <c r="AO29" s="242"/>
      <c r="AP29" s="242"/>
      <c r="AQ29" s="242"/>
      <c r="AR29" s="242"/>
      <c r="AS29" s="238">
        <v>0.39807999999999999</v>
      </c>
      <c r="AT29" s="221"/>
      <c r="AU29" s="30"/>
    </row>
    <row r="30" spans="1:47" ht="30" x14ac:dyDescent="0.25">
      <c r="A30" s="28">
        <v>27</v>
      </c>
      <c r="B30" s="28" t="s">
        <v>228</v>
      </c>
      <c r="C30" s="28" t="s">
        <v>647</v>
      </c>
      <c r="D30" s="28" t="s">
        <v>648</v>
      </c>
      <c r="E30" s="28"/>
      <c r="F30" s="28" t="str">
        <f t="shared" si="2"/>
        <v>Гибкий шланг</v>
      </c>
      <c r="G30" s="28"/>
      <c r="H30" s="28" t="s">
        <v>31</v>
      </c>
      <c r="I30" s="28"/>
      <c r="J30" s="28"/>
      <c r="K30" s="28">
        <v>9.6999999999999986E-3</v>
      </c>
      <c r="L30" s="28">
        <v>3.8799999999999994E-2</v>
      </c>
      <c r="M30" s="28">
        <v>4</v>
      </c>
      <c r="N30" s="28" t="s">
        <v>33</v>
      </c>
      <c r="O30" s="28">
        <f t="shared" si="3"/>
        <v>1.2804</v>
      </c>
      <c r="P30" s="28">
        <f t="shared" si="4"/>
        <v>1.4937999999999998</v>
      </c>
      <c r="Q30" s="28">
        <f t="shared" si="5"/>
        <v>0.85360000000000003</v>
      </c>
      <c r="R30" s="28">
        <f t="shared" si="6"/>
        <v>0.64019999999999999</v>
      </c>
      <c r="S30" s="214">
        <v>4.2679999999999998</v>
      </c>
      <c r="T30" s="220">
        <v>171718.65</v>
      </c>
      <c r="U30" s="220">
        <v>6662.6836199999989</v>
      </c>
      <c r="V30" s="15"/>
      <c r="W30" s="15"/>
      <c r="X30" s="28" t="s">
        <v>695</v>
      </c>
      <c r="Y30" s="28">
        <v>500238</v>
      </c>
      <c r="Z30" s="182" t="s">
        <v>651</v>
      </c>
      <c r="AA30" s="15" t="s">
        <v>694</v>
      </c>
      <c r="AB30" s="237">
        <v>12</v>
      </c>
      <c r="AC30" s="46">
        <f t="shared" si="7"/>
        <v>1.1639999999999998E-2</v>
      </c>
      <c r="AD30" s="48"/>
      <c r="AE30" s="48"/>
      <c r="AF30" s="49"/>
      <c r="AG30" s="51"/>
      <c r="AH30" s="42"/>
      <c r="AI30" s="42"/>
      <c r="AJ30" s="59"/>
      <c r="AK30" s="58"/>
      <c r="AL30" s="42"/>
      <c r="AM30" s="42"/>
      <c r="AN30" s="59"/>
      <c r="AO30" s="242"/>
      <c r="AP30" s="242"/>
      <c r="AQ30" s="242"/>
      <c r="AR30" s="242"/>
      <c r="AS30" s="238">
        <v>0.12066799999999998</v>
      </c>
      <c r="AT30" s="221"/>
      <c r="AU30" s="30"/>
    </row>
    <row r="31" spans="1:47" ht="30" x14ac:dyDescent="0.25">
      <c r="A31" s="28">
        <v>28</v>
      </c>
      <c r="B31" s="28" t="s">
        <v>228</v>
      </c>
      <c r="C31" s="28" t="s">
        <v>647</v>
      </c>
      <c r="D31" s="28" t="s">
        <v>648</v>
      </c>
      <c r="E31" s="28"/>
      <c r="F31" s="28" t="str">
        <f t="shared" si="2"/>
        <v>Гибкий шланг</v>
      </c>
      <c r="G31" s="28"/>
      <c r="H31" s="28" t="s">
        <v>31</v>
      </c>
      <c r="I31" s="28"/>
      <c r="J31" s="28"/>
      <c r="K31" s="28">
        <v>1.3700000000000001E-3</v>
      </c>
      <c r="L31" s="28">
        <v>2.7400000000000002E-3</v>
      </c>
      <c r="M31" s="28">
        <v>2</v>
      </c>
      <c r="N31" s="28" t="s">
        <v>33</v>
      </c>
      <c r="O31" s="28">
        <f t="shared" si="3"/>
        <v>9.042E-2</v>
      </c>
      <c r="P31" s="28">
        <f t="shared" si="4"/>
        <v>0.10549</v>
      </c>
      <c r="Q31" s="28">
        <f t="shared" si="5"/>
        <v>6.028E-2</v>
      </c>
      <c r="R31" s="28">
        <f t="shared" si="6"/>
        <v>4.521E-2</v>
      </c>
      <c r="S31" s="214">
        <v>0.3014</v>
      </c>
      <c r="T31" s="220">
        <v>171718.65</v>
      </c>
      <c r="U31" s="220">
        <v>470.50910100000004</v>
      </c>
      <c r="V31" s="15"/>
      <c r="W31" s="15"/>
      <c r="X31" s="28" t="s">
        <v>696</v>
      </c>
      <c r="Y31" s="28">
        <v>500238</v>
      </c>
      <c r="Z31" s="182" t="s">
        <v>651</v>
      </c>
      <c r="AA31" s="15" t="s">
        <v>694</v>
      </c>
      <c r="AB31" s="237">
        <v>13</v>
      </c>
      <c r="AC31" s="46">
        <f t="shared" si="7"/>
        <v>8.2200000000000003E-4</v>
      </c>
      <c r="AD31" s="48"/>
      <c r="AE31" s="48"/>
      <c r="AF31" s="49"/>
      <c r="AG31" s="51"/>
      <c r="AH31" s="42"/>
      <c r="AI31" s="42"/>
      <c r="AJ31" s="59"/>
      <c r="AK31" s="58"/>
      <c r="AL31" s="42"/>
      <c r="AM31" s="42"/>
      <c r="AN31" s="59"/>
      <c r="AO31" s="242"/>
      <c r="AP31" s="242"/>
      <c r="AQ31" s="242"/>
      <c r="AR31" s="242"/>
      <c r="AS31" s="238">
        <v>8.5214000000000002E-3</v>
      </c>
      <c r="AT31" s="221"/>
      <c r="AU31" s="30"/>
    </row>
    <row r="32" spans="1:47" ht="30" hidden="1" x14ac:dyDescent="0.25">
      <c r="A32" s="143">
        <v>29</v>
      </c>
      <c r="B32" s="15" t="s">
        <v>228</v>
      </c>
      <c r="C32" s="15" t="s">
        <v>647</v>
      </c>
      <c r="D32" s="15" t="s">
        <v>648</v>
      </c>
      <c r="E32" s="15"/>
      <c r="F32" s="15" t="str">
        <f t="shared" si="2"/>
        <v>Концевой выключатель</v>
      </c>
      <c r="G32" s="15"/>
      <c r="H32" s="15" t="s">
        <v>31</v>
      </c>
      <c r="I32" s="15"/>
      <c r="J32" s="15"/>
      <c r="K32" s="15">
        <v>0.04</v>
      </c>
      <c r="L32" s="15">
        <v>0.04</v>
      </c>
      <c r="M32" s="15">
        <v>1</v>
      </c>
      <c r="N32" s="15" t="s">
        <v>33</v>
      </c>
      <c r="O32" s="15">
        <f t="shared" si="3"/>
        <v>1.32</v>
      </c>
      <c r="P32" s="15">
        <f t="shared" si="4"/>
        <v>1.54</v>
      </c>
      <c r="Q32" s="15">
        <f t="shared" si="5"/>
        <v>0.88000000000000012</v>
      </c>
      <c r="R32" s="15">
        <f t="shared" si="6"/>
        <v>0.66</v>
      </c>
      <c r="S32" s="214">
        <v>4.4000000000000004</v>
      </c>
      <c r="T32" s="368">
        <v>171718.65</v>
      </c>
      <c r="U32" s="368">
        <v>6868.7460000000001</v>
      </c>
      <c r="V32" s="28"/>
      <c r="W32" s="28"/>
      <c r="X32" s="15" t="s">
        <v>697</v>
      </c>
      <c r="Y32" s="15">
        <v>500239</v>
      </c>
      <c r="Z32" s="182" t="s">
        <v>651</v>
      </c>
      <c r="AA32" s="15" t="s">
        <v>698</v>
      </c>
      <c r="AB32" s="237">
        <v>1</v>
      </c>
      <c r="AC32" s="51"/>
      <c r="AD32" s="48"/>
      <c r="AE32" s="48"/>
      <c r="AF32" s="49"/>
      <c r="AG32" s="58"/>
      <c r="AH32" s="42"/>
      <c r="AI32" s="42"/>
      <c r="AJ32" s="59"/>
      <c r="AK32" s="58"/>
      <c r="AL32" s="42"/>
      <c r="AM32" s="42"/>
      <c r="AN32" s="59"/>
      <c r="AO32" s="242"/>
      <c r="AP32" s="242"/>
      <c r="AQ32" s="242"/>
      <c r="AR32" s="242"/>
      <c r="AS32" s="238">
        <v>0.1244</v>
      </c>
      <c r="AT32" s="221"/>
      <c r="AU32" s="30"/>
    </row>
    <row r="33" spans="1:47" ht="30" hidden="1" x14ac:dyDescent="0.25">
      <c r="A33" s="143">
        <v>30</v>
      </c>
      <c r="B33" s="15" t="s">
        <v>228</v>
      </c>
      <c r="C33" s="15" t="s">
        <v>647</v>
      </c>
      <c r="D33" s="15" t="s">
        <v>648</v>
      </c>
      <c r="E33" s="15"/>
      <c r="F33" s="15" t="str">
        <f t="shared" si="2"/>
        <v>Концевой выключатель</v>
      </c>
      <c r="G33" s="15"/>
      <c r="H33" s="15" t="s">
        <v>31</v>
      </c>
      <c r="I33" s="15"/>
      <c r="J33" s="15"/>
      <c r="K33" s="15">
        <v>0.04</v>
      </c>
      <c r="L33" s="15">
        <v>0.04</v>
      </c>
      <c r="M33" s="15">
        <v>1</v>
      </c>
      <c r="N33" s="15" t="s">
        <v>33</v>
      </c>
      <c r="O33" s="15">
        <f t="shared" si="3"/>
        <v>1.32</v>
      </c>
      <c r="P33" s="15">
        <f t="shared" si="4"/>
        <v>1.54</v>
      </c>
      <c r="Q33" s="15">
        <f t="shared" si="5"/>
        <v>0.88000000000000012</v>
      </c>
      <c r="R33" s="15">
        <f t="shared" si="6"/>
        <v>0.66</v>
      </c>
      <c r="S33" s="214">
        <v>4.4000000000000004</v>
      </c>
      <c r="T33" s="368">
        <v>171718.65</v>
      </c>
      <c r="U33" s="368">
        <v>6868.7460000000001</v>
      </c>
      <c r="V33" s="28"/>
      <c r="W33" s="28"/>
      <c r="X33" s="15" t="s">
        <v>697</v>
      </c>
      <c r="Y33" s="15">
        <v>500239</v>
      </c>
      <c r="Z33" s="182" t="s">
        <v>651</v>
      </c>
      <c r="AA33" s="15" t="s">
        <v>698</v>
      </c>
      <c r="AB33" s="237">
        <v>2</v>
      </c>
      <c r="AC33" s="51"/>
      <c r="AD33" s="48"/>
      <c r="AE33" s="48"/>
      <c r="AF33" s="49"/>
      <c r="AG33" s="58"/>
      <c r="AH33" s="42"/>
      <c r="AI33" s="42"/>
      <c r="AJ33" s="59"/>
      <c r="AK33" s="58"/>
      <c r="AL33" s="42"/>
      <c r="AM33" s="42"/>
      <c r="AN33" s="59"/>
      <c r="AO33" s="242"/>
      <c r="AP33" s="242"/>
      <c r="AQ33" s="242"/>
      <c r="AR33" s="242"/>
      <c r="AS33" s="238">
        <v>0.1244</v>
      </c>
      <c r="AT33" s="221"/>
      <c r="AU33" s="30"/>
    </row>
    <row r="34" spans="1:47" ht="30" hidden="1" x14ac:dyDescent="0.25">
      <c r="A34" s="143">
        <v>31</v>
      </c>
      <c r="B34" s="15" t="s">
        <v>228</v>
      </c>
      <c r="C34" s="15" t="s">
        <v>647</v>
      </c>
      <c r="D34" s="15" t="s">
        <v>648</v>
      </c>
      <c r="E34" s="15"/>
      <c r="F34" s="15" t="str">
        <f t="shared" si="2"/>
        <v>Плита основания</v>
      </c>
      <c r="G34" s="15"/>
      <c r="H34" s="15" t="s">
        <v>31</v>
      </c>
      <c r="I34" s="15"/>
      <c r="J34" s="15"/>
      <c r="K34" s="15">
        <v>6.2350000000000003</v>
      </c>
      <c r="L34" s="15">
        <v>6.2350000000000003</v>
      </c>
      <c r="M34" s="15">
        <v>1</v>
      </c>
      <c r="N34" s="15" t="s">
        <v>33</v>
      </c>
      <c r="O34" s="15">
        <f t="shared" si="3"/>
        <v>93.524999999999991</v>
      </c>
      <c r="P34" s="15">
        <f t="shared" si="4"/>
        <v>109.1125</v>
      </c>
      <c r="Q34" s="15">
        <f t="shared" si="5"/>
        <v>62.35</v>
      </c>
      <c r="R34" s="15">
        <f t="shared" si="6"/>
        <v>46.762499999999996</v>
      </c>
      <c r="S34" s="214">
        <v>311.75</v>
      </c>
      <c r="T34" s="368">
        <v>171718.65</v>
      </c>
      <c r="U34" s="368">
        <v>1070665.78275</v>
      </c>
      <c r="V34" s="28"/>
      <c r="W34" s="28"/>
      <c r="X34" s="15" t="s">
        <v>678</v>
      </c>
      <c r="Y34" s="15">
        <v>500239</v>
      </c>
      <c r="Z34" s="182" t="s">
        <v>651</v>
      </c>
      <c r="AA34" s="15" t="s">
        <v>679</v>
      </c>
      <c r="AB34" s="237">
        <v>3</v>
      </c>
      <c r="AC34" s="51"/>
      <c r="AD34" s="48"/>
      <c r="AE34" s="48"/>
      <c r="AF34" s="49"/>
      <c r="AG34" s="58"/>
      <c r="AH34" s="42"/>
      <c r="AI34" s="42"/>
      <c r="AJ34" s="59"/>
      <c r="AK34" s="58"/>
      <c r="AL34" s="42"/>
      <c r="AM34" s="42"/>
      <c r="AN34" s="59"/>
      <c r="AO34" s="242"/>
      <c r="AP34" s="242"/>
      <c r="AQ34" s="242"/>
      <c r="AR34" s="242"/>
      <c r="AS34" s="238">
        <v>19.39085</v>
      </c>
      <c r="AT34" s="221"/>
      <c r="AU34" s="30"/>
    </row>
    <row r="35" spans="1:47" ht="30" hidden="1" x14ac:dyDescent="0.25">
      <c r="A35" s="143">
        <v>32</v>
      </c>
      <c r="B35" s="15" t="s">
        <v>228</v>
      </c>
      <c r="C35" s="15" t="s">
        <v>647</v>
      </c>
      <c r="D35" s="15" t="s">
        <v>648</v>
      </c>
      <c r="E35" s="15"/>
      <c r="F35" s="15" t="str">
        <f t="shared" si="2"/>
        <v>Предохр.останов вращения</v>
      </c>
      <c r="G35" s="15"/>
      <c r="H35" s="15" t="s">
        <v>31</v>
      </c>
      <c r="I35" s="15"/>
      <c r="J35" s="15"/>
      <c r="K35" s="15">
        <v>0.185</v>
      </c>
      <c r="L35" s="15">
        <v>0.185</v>
      </c>
      <c r="M35" s="15">
        <v>1</v>
      </c>
      <c r="N35" s="15" t="s">
        <v>33</v>
      </c>
      <c r="O35" s="15">
        <f t="shared" si="3"/>
        <v>5.55</v>
      </c>
      <c r="P35" s="15">
        <f t="shared" si="4"/>
        <v>6.4749999999999996</v>
      </c>
      <c r="Q35" s="15">
        <f t="shared" si="5"/>
        <v>3.7</v>
      </c>
      <c r="R35" s="15">
        <f t="shared" si="6"/>
        <v>2.7749999999999999</v>
      </c>
      <c r="S35" s="214">
        <v>18.5</v>
      </c>
      <c r="T35" s="368">
        <v>171718.65</v>
      </c>
      <c r="U35" s="368">
        <v>31767.950249999998</v>
      </c>
      <c r="V35" s="28"/>
      <c r="W35" s="28"/>
      <c r="X35" s="15" t="s">
        <v>680</v>
      </c>
      <c r="Y35" s="15">
        <v>500239</v>
      </c>
      <c r="Z35" s="182" t="s">
        <v>651</v>
      </c>
      <c r="AA35" s="15" t="s">
        <v>681</v>
      </c>
      <c r="AB35" s="237">
        <v>4</v>
      </c>
      <c r="AC35" s="51"/>
      <c r="AD35" s="48"/>
      <c r="AE35" s="48"/>
      <c r="AF35" s="49"/>
      <c r="AG35" s="58"/>
      <c r="AH35" s="42"/>
      <c r="AI35" s="42"/>
      <c r="AJ35" s="59"/>
      <c r="AK35" s="58"/>
      <c r="AL35" s="42"/>
      <c r="AM35" s="42"/>
      <c r="AN35" s="59"/>
      <c r="AO35" s="242"/>
      <c r="AP35" s="242"/>
      <c r="AQ35" s="242"/>
      <c r="AR35" s="242"/>
      <c r="AS35" s="238">
        <v>0.57534999999999992</v>
      </c>
      <c r="AT35" s="221"/>
      <c r="AU35" s="30"/>
    </row>
    <row r="36" spans="1:47" ht="30" hidden="1" x14ac:dyDescent="0.25">
      <c r="A36" s="143">
        <v>33</v>
      </c>
      <c r="B36" s="15" t="s">
        <v>228</v>
      </c>
      <c r="C36" s="15" t="s">
        <v>647</v>
      </c>
      <c r="D36" s="15" t="s">
        <v>648</v>
      </c>
      <c r="E36" s="15"/>
      <c r="F36" s="15" t="str">
        <f t="shared" si="2"/>
        <v>Электроустановка D=32MM 1" 29 PG</v>
      </c>
      <c r="G36" s="15"/>
      <c r="H36" s="15" t="s">
        <v>31</v>
      </c>
      <c r="I36" s="15"/>
      <c r="J36" s="15"/>
      <c r="K36" s="15">
        <v>0.25900000000000001</v>
      </c>
      <c r="L36" s="15">
        <v>0.25900000000000001</v>
      </c>
      <c r="M36" s="15">
        <v>1</v>
      </c>
      <c r="N36" s="15" t="s">
        <v>33</v>
      </c>
      <c r="O36" s="15">
        <f t="shared" si="3"/>
        <v>7.7700000000000005</v>
      </c>
      <c r="P36" s="15">
        <f t="shared" si="4"/>
        <v>9.0649999999999995</v>
      </c>
      <c r="Q36" s="15">
        <f t="shared" si="5"/>
        <v>5.1800000000000006</v>
      </c>
      <c r="R36" s="15">
        <f t="shared" si="6"/>
        <v>3.8850000000000002</v>
      </c>
      <c r="S36" s="214">
        <v>25.900000000000002</v>
      </c>
      <c r="T36" s="220">
        <v>171718.65</v>
      </c>
      <c r="U36" s="220">
        <v>44475.130349999999</v>
      </c>
      <c r="V36" s="15"/>
      <c r="W36" s="15"/>
      <c r="X36" s="15" t="s">
        <v>664</v>
      </c>
      <c r="Y36" s="15">
        <v>500241</v>
      </c>
      <c r="Z36" s="182" t="s">
        <v>651</v>
      </c>
      <c r="AA36" s="15" t="s">
        <v>699</v>
      </c>
      <c r="AB36" s="237">
        <v>1</v>
      </c>
      <c r="AC36" s="51"/>
      <c r="AD36" s="48"/>
      <c r="AE36" s="48"/>
      <c r="AF36" s="49"/>
      <c r="AG36" s="58"/>
      <c r="AH36" s="42"/>
      <c r="AI36" s="42"/>
      <c r="AJ36" s="59"/>
      <c r="AK36" s="58"/>
      <c r="AL36" s="42"/>
      <c r="AM36" s="42"/>
      <c r="AN36" s="59"/>
      <c r="AO36" s="242"/>
      <c r="AP36" s="242"/>
      <c r="AQ36" s="242"/>
      <c r="AR36" s="242"/>
      <c r="AS36" s="238">
        <v>0.80549000000000004</v>
      </c>
      <c r="AT36" s="221"/>
      <c r="AU36" s="30"/>
    </row>
    <row r="37" spans="1:47" ht="30" hidden="1" x14ac:dyDescent="0.25">
      <c r="A37" s="143">
        <v>34</v>
      </c>
      <c r="B37" s="15" t="s">
        <v>228</v>
      </c>
      <c r="C37" s="15" t="s">
        <v>647</v>
      </c>
      <c r="D37" s="15" t="s">
        <v>648</v>
      </c>
      <c r="E37" s="15"/>
      <c r="F37" s="15" t="str">
        <f t="shared" si="2"/>
        <v>Распредкоробка 200x300x120 IEC STD</v>
      </c>
      <c r="G37" s="15"/>
      <c r="H37" s="15" t="s">
        <v>31</v>
      </c>
      <c r="I37" s="15"/>
      <c r="J37" s="15"/>
      <c r="K37" s="15">
        <v>5.0000000000000001E-3</v>
      </c>
      <c r="L37" s="15">
        <v>0.03</v>
      </c>
      <c r="M37" s="15">
        <v>6</v>
      </c>
      <c r="N37" s="15" t="s">
        <v>33</v>
      </c>
      <c r="O37" s="15">
        <f t="shared" si="3"/>
        <v>0.98999999999999988</v>
      </c>
      <c r="P37" s="15">
        <f t="shared" si="4"/>
        <v>1.1549999999999998</v>
      </c>
      <c r="Q37" s="15">
        <f t="shared" si="5"/>
        <v>0.66</v>
      </c>
      <c r="R37" s="15">
        <f t="shared" si="6"/>
        <v>0.49499999999999994</v>
      </c>
      <c r="S37" s="214">
        <v>3.3</v>
      </c>
      <c r="T37" s="220">
        <v>171718.65</v>
      </c>
      <c r="U37" s="220">
        <v>5151.5594999999994</v>
      </c>
      <c r="V37" s="15"/>
      <c r="W37" s="15"/>
      <c r="X37" s="15" t="s">
        <v>700</v>
      </c>
      <c r="Y37" s="15">
        <v>500241</v>
      </c>
      <c r="Z37" s="182" t="s">
        <v>651</v>
      </c>
      <c r="AA37" s="15" t="s">
        <v>701</v>
      </c>
      <c r="AB37" s="237">
        <v>2</v>
      </c>
      <c r="AC37" s="51"/>
      <c r="AD37" s="48"/>
      <c r="AE37" s="48"/>
      <c r="AF37" s="49"/>
      <c r="AG37" s="58"/>
      <c r="AH37" s="42"/>
      <c r="AI37" s="42"/>
      <c r="AJ37" s="59"/>
      <c r="AK37" s="58"/>
      <c r="AL37" s="42"/>
      <c r="AM37" s="42"/>
      <c r="AN37" s="59"/>
      <c r="AO37" s="242"/>
      <c r="AP37" s="242"/>
      <c r="AQ37" s="242"/>
      <c r="AR37" s="242"/>
      <c r="AS37" s="238">
        <v>9.3299999999999994E-2</v>
      </c>
      <c r="AT37" s="221"/>
      <c r="AU37" s="30"/>
    </row>
    <row r="38" spans="1:47" ht="30" hidden="1" x14ac:dyDescent="0.25">
      <c r="A38" s="143">
        <v>35</v>
      </c>
      <c r="B38" s="15" t="s">
        <v>228</v>
      </c>
      <c r="C38" s="15" t="s">
        <v>647</v>
      </c>
      <c r="D38" s="15" t="s">
        <v>648</v>
      </c>
      <c r="E38" s="15"/>
      <c r="F38" s="15" t="str">
        <f t="shared" si="2"/>
        <v xml:space="preserve">Подъем и поворот электродов </v>
      </c>
      <c r="G38" s="15"/>
      <c r="H38" s="15" t="s">
        <v>31</v>
      </c>
      <c r="I38" s="15"/>
      <c r="J38" s="15"/>
      <c r="K38" s="15">
        <v>8.8895</v>
      </c>
      <c r="L38" s="15">
        <v>17.779</v>
      </c>
      <c r="M38" s="15">
        <v>2</v>
      </c>
      <c r="N38" s="15" t="s">
        <v>33</v>
      </c>
      <c r="O38" s="15">
        <f t="shared" si="3"/>
        <v>266.685</v>
      </c>
      <c r="P38" s="15">
        <f t="shared" si="4"/>
        <v>311.13249999999999</v>
      </c>
      <c r="Q38" s="15">
        <f t="shared" si="5"/>
        <v>177.79000000000002</v>
      </c>
      <c r="R38" s="15">
        <f t="shared" si="6"/>
        <v>133.3425</v>
      </c>
      <c r="S38" s="214">
        <v>888.95</v>
      </c>
      <c r="T38" s="220">
        <v>171718.65</v>
      </c>
      <c r="U38" s="220">
        <v>3052985.8783499999</v>
      </c>
      <c r="V38" s="15"/>
      <c r="W38" s="15"/>
      <c r="X38" s="15" t="s">
        <v>702</v>
      </c>
      <c r="Y38" s="15">
        <v>500241</v>
      </c>
      <c r="Z38" s="182" t="s">
        <v>651</v>
      </c>
      <c r="AA38" s="15" t="s">
        <v>703</v>
      </c>
      <c r="AB38" s="237">
        <v>3</v>
      </c>
      <c r="AC38" s="141"/>
      <c r="AD38" s="163"/>
      <c r="AE38" s="163"/>
      <c r="AF38" s="164"/>
      <c r="AG38" s="126"/>
      <c r="AH38" s="72"/>
      <c r="AI38" s="72"/>
      <c r="AJ38" s="127"/>
      <c r="AK38" s="126"/>
      <c r="AL38" s="72"/>
      <c r="AM38" s="72"/>
      <c r="AN38" s="127"/>
      <c r="AO38" s="243"/>
      <c r="AP38" s="243"/>
      <c r="AQ38" s="243"/>
      <c r="AR38" s="243"/>
      <c r="AS38" s="238">
        <v>55.29269</v>
      </c>
      <c r="AT38" s="221"/>
      <c r="AU38" s="30"/>
    </row>
    <row r="39" spans="1:47" ht="30" hidden="1" x14ac:dyDescent="0.25">
      <c r="A39" s="143">
        <v>36</v>
      </c>
      <c r="B39" s="15" t="s">
        <v>228</v>
      </c>
      <c r="C39" s="15" t="s">
        <v>647</v>
      </c>
      <c r="D39" s="15" t="s">
        <v>648</v>
      </c>
      <c r="E39" s="15"/>
      <c r="F39" s="15" t="str">
        <f t="shared" si="2"/>
        <v>Стоп</v>
      </c>
      <c r="G39" s="15"/>
      <c r="H39" s="15" t="s">
        <v>31</v>
      </c>
      <c r="I39" s="15"/>
      <c r="J39" s="15"/>
      <c r="K39" s="15">
        <v>0.11</v>
      </c>
      <c r="L39" s="15">
        <v>0.44</v>
      </c>
      <c r="M39" s="15">
        <v>4</v>
      </c>
      <c r="N39" s="15" t="s">
        <v>33</v>
      </c>
      <c r="O39" s="15">
        <f t="shared" si="3"/>
        <v>13.2</v>
      </c>
      <c r="P39" s="15">
        <f t="shared" si="4"/>
        <v>15.399999999999999</v>
      </c>
      <c r="Q39" s="15">
        <f t="shared" si="5"/>
        <v>8.8000000000000007</v>
      </c>
      <c r="R39" s="15">
        <f t="shared" si="6"/>
        <v>6.6</v>
      </c>
      <c r="S39" s="214">
        <v>44</v>
      </c>
      <c r="T39" s="220">
        <v>171718.65</v>
      </c>
      <c r="U39" s="220">
        <v>75556.205999999991</v>
      </c>
      <c r="V39" s="15"/>
      <c r="W39" s="15"/>
      <c r="X39" s="15" t="s">
        <v>704</v>
      </c>
      <c r="Y39" s="15">
        <v>500241</v>
      </c>
      <c r="Z39" s="182" t="s">
        <v>651</v>
      </c>
      <c r="AA39" s="15" t="s">
        <v>705</v>
      </c>
      <c r="AB39" s="237">
        <v>4</v>
      </c>
      <c r="AC39" s="141"/>
      <c r="AD39" s="163"/>
      <c r="AE39" s="163"/>
      <c r="AF39" s="164"/>
      <c r="AG39" s="126"/>
      <c r="AH39" s="72"/>
      <c r="AI39" s="72"/>
      <c r="AJ39" s="127"/>
      <c r="AK39" s="126"/>
      <c r="AL39" s="72"/>
      <c r="AM39" s="72"/>
      <c r="AN39" s="127"/>
      <c r="AO39" s="243"/>
      <c r="AP39" s="243"/>
      <c r="AQ39" s="243"/>
      <c r="AR39" s="243"/>
      <c r="AS39" s="238">
        <v>1.3684000000000001</v>
      </c>
      <c r="AT39" s="221"/>
      <c r="AU39" s="30"/>
    </row>
    <row r="40" spans="1:47" ht="30" hidden="1" x14ac:dyDescent="0.25">
      <c r="A40" s="143">
        <v>37</v>
      </c>
      <c r="B40" s="15" t="s">
        <v>228</v>
      </c>
      <c r="C40" s="15" t="s">
        <v>647</v>
      </c>
      <c r="D40" s="15" t="s">
        <v>648</v>
      </c>
      <c r="E40" s="15"/>
      <c r="F40" s="15" t="str">
        <f t="shared" si="2"/>
        <v>Цилиндр подъема электродов</v>
      </c>
      <c r="G40" s="15"/>
      <c r="H40" s="15" t="s">
        <v>31</v>
      </c>
      <c r="I40" s="15"/>
      <c r="J40" s="15"/>
      <c r="K40" s="15">
        <v>8.2000000000000003E-2</v>
      </c>
      <c r="L40" s="15">
        <v>0.49199999999999999</v>
      </c>
      <c r="M40" s="15">
        <v>6</v>
      </c>
      <c r="N40" s="15" t="s">
        <v>33</v>
      </c>
      <c r="O40" s="15">
        <f t="shared" si="3"/>
        <v>15.497999999999998</v>
      </c>
      <c r="P40" s="15">
        <f t="shared" si="4"/>
        <v>18.080999999999996</v>
      </c>
      <c r="Q40" s="15">
        <f t="shared" si="5"/>
        <v>10.332000000000001</v>
      </c>
      <c r="R40" s="15">
        <f t="shared" si="6"/>
        <v>7.7489999999999988</v>
      </c>
      <c r="S40" s="214">
        <v>51.66</v>
      </c>
      <c r="T40" s="220">
        <v>171718.65</v>
      </c>
      <c r="U40" s="220">
        <v>84485.575799999991</v>
      </c>
      <c r="V40" s="15"/>
      <c r="W40" s="15"/>
      <c r="X40" s="15" t="s">
        <v>706</v>
      </c>
      <c r="Y40" s="15">
        <v>500241</v>
      </c>
      <c r="Z40" s="182" t="s">
        <v>651</v>
      </c>
      <c r="AA40" s="15" t="s">
        <v>707</v>
      </c>
      <c r="AB40" s="237">
        <v>5</v>
      </c>
      <c r="AC40" s="141"/>
      <c r="AD40" s="163"/>
      <c r="AE40" s="163"/>
      <c r="AF40" s="164"/>
      <c r="AG40" s="126"/>
      <c r="AH40" s="72"/>
      <c r="AI40" s="72"/>
      <c r="AJ40" s="127"/>
      <c r="AK40" s="126"/>
      <c r="AL40" s="72"/>
      <c r="AM40" s="72"/>
      <c r="AN40" s="127"/>
      <c r="AO40" s="243"/>
      <c r="AP40" s="243"/>
      <c r="AQ40" s="243"/>
      <c r="AR40" s="243"/>
      <c r="AS40" s="238">
        <v>1.5301199999999999</v>
      </c>
      <c r="AT40" s="221"/>
      <c r="AU40" s="30"/>
    </row>
    <row r="41" spans="1:47" ht="30" hidden="1" x14ac:dyDescent="0.25">
      <c r="A41" s="143">
        <v>38</v>
      </c>
      <c r="B41" s="15" t="s">
        <v>228</v>
      </c>
      <c r="C41" s="15" t="s">
        <v>647</v>
      </c>
      <c r="D41" s="15" t="s">
        <v>648</v>
      </c>
      <c r="E41" s="15"/>
      <c r="F41" s="15" t="str">
        <f t="shared" si="2"/>
        <v>Гибкая защита промышл.исполне D=32MM 1" 29 PG EXTERNAL STEEL COATING</v>
      </c>
      <c r="G41" s="15"/>
      <c r="H41" s="15" t="s">
        <v>31</v>
      </c>
      <c r="I41" s="15"/>
      <c r="J41" s="15"/>
      <c r="K41" s="15">
        <v>7.3999999999999988E-4</v>
      </c>
      <c r="L41" s="15">
        <v>8.879999999999999E-3</v>
      </c>
      <c r="M41" s="15">
        <v>12</v>
      </c>
      <c r="N41" s="15" t="s">
        <v>33</v>
      </c>
      <c r="O41" s="15">
        <f t="shared" si="3"/>
        <v>0.29303999999999997</v>
      </c>
      <c r="P41" s="15">
        <f t="shared" si="4"/>
        <v>0.34187999999999996</v>
      </c>
      <c r="Q41" s="15">
        <f t="shared" si="5"/>
        <v>0.19535999999999998</v>
      </c>
      <c r="R41" s="15">
        <f t="shared" si="6"/>
        <v>0.14651999999999998</v>
      </c>
      <c r="S41" s="214">
        <v>0.97679999999999989</v>
      </c>
      <c r="T41" s="220">
        <v>171718.65</v>
      </c>
      <c r="U41" s="220">
        <v>1524.8616119999997</v>
      </c>
      <c r="V41" s="15"/>
      <c r="W41" s="15"/>
      <c r="X41" s="15" t="s">
        <v>391</v>
      </c>
      <c r="Y41" s="15">
        <v>500243</v>
      </c>
      <c r="Z41" s="182" t="s">
        <v>651</v>
      </c>
      <c r="AA41" s="15" t="s">
        <v>708</v>
      </c>
      <c r="AB41" s="237">
        <v>1</v>
      </c>
      <c r="AC41" s="141"/>
      <c r="AD41" s="163"/>
      <c r="AE41" s="163"/>
      <c r="AF41" s="164"/>
      <c r="AG41" s="126"/>
      <c r="AH41" s="72"/>
      <c r="AI41" s="72"/>
      <c r="AJ41" s="127"/>
      <c r="AK41" s="126"/>
      <c r="AL41" s="72"/>
      <c r="AM41" s="72"/>
      <c r="AN41" s="127"/>
      <c r="AO41" s="243"/>
      <c r="AP41" s="243"/>
      <c r="AQ41" s="243"/>
      <c r="AR41" s="243"/>
      <c r="AS41" s="238">
        <v>2.7616799999999997E-2</v>
      </c>
      <c r="AT41" s="221"/>
      <c r="AU41" s="30"/>
    </row>
    <row r="42" spans="1:47" ht="60" hidden="1" x14ac:dyDescent="0.25">
      <c r="A42" s="143">
        <v>39</v>
      </c>
      <c r="B42" s="15" t="s">
        <v>228</v>
      </c>
      <c r="C42" s="15" t="s">
        <v>647</v>
      </c>
      <c r="D42" s="15" t="s">
        <v>648</v>
      </c>
      <c r="E42" s="15"/>
      <c r="F42" s="15" t="str">
        <f t="shared" si="2"/>
        <v xml:space="preserve">Сварная пластина хомута для D=1"−DIN3015−2 FOR.A−GR.3 ALLUMINIUM WITH SCREWS AND COVER PLATES TOP/BOTT.
</v>
      </c>
      <c r="G42" s="15"/>
      <c r="H42" s="15" t="s">
        <v>31</v>
      </c>
      <c r="I42" s="15"/>
      <c r="J42" s="15"/>
      <c r="K42" s="15">
        <v>5.6999999999999998E-4</v>
      </c>
      <c r="L42" s="15">
        <v>4.5599999999999998E-3</v>
      </c>
      <c r="M42" s="15">
        <v>8</v>
      </c>
      <c r="N42" s="15" t="s">
        <v>33</v>
      </c>
      <c r="O42" s="15">
        <f t="shared" si="3"/>
        <v>0.15047999999999997</v>
      </c>
      <c r="P42" s="15">
        <f t="shared" si="4"/>
        <v>0.17555999999999997</v>
      </c>
      <c r="Q42" s="15">
        <f t="shared" si="5"/>
        <v>0.10031999999999999</v>
      </c>
      <c r="R42" s="15">
        <f t="shared" si="6"/>
        <v>7.5239999999999987E-2</v>
      </c>
      <c r="S42" s="214">
        <v>0.50159999999999993</v>
      </c>
      <c r="T42" s="220">
        <v>171718.65</v>
      </c>
      <c r="U42" s="220">
        <v>783.03704399999992</v>
      </c>
      <c r="V42" s="15"/>
      <c r="W42" s="15"/>
      <c r="X42" s="15" t="s">
        <v>709</v>
      </c>
      <c r="Y42" s="15">
        <v>500243</v>
      </c>
      <c r="Z42" s="182" t="s">
        <v>651</v>
      </c>
      <c r="AA42" s="15" t="s">
        <v>710</v>
      </c>
      <c r="AB42" s="237">
        <v>2</v>
      </c>
      <c r="AC42" s="141"/>
      <c r="AD42" s="163"/>
      <c r="AE42" s="163"/>
      <c r="AF42" s="164"/>
      <c r="AG42" s="126"/>
      <c r="AH42" s="72"/>
      <c r="AI42" s="72"/>
      <c r="AJ42" s="127"/>
      <c r="AK42" s="126"/>
      <c r="AL42" s="72"/>
      <c r="AM42" s="72"/>
      <c r="AN42" s="127"/>
      <c r="AO42" s="243"/>
      <c r="AP42" s="243"/>
      <c r="AQ42" s="243"/>
      <c r="AR42" s="243"/>
      <c r="AS42" s="238">
        <v>1.4181599999999999E-2</v>
      </c>
      <c r="AT42" s="221"/>
      <c r="AU42" s="30"/>
    </row>
    <row r="43" spans="1:47" ht="30" hidden="1" x14ac:dyDescent="0.25">
      <c r="A43" s="143">
        <v>40</v>
      </c>
      <c r="B43" s="15" t="s">
        <v>228</v>
      </c>
      <c r="C43" s="15" t="s">
        <v>647</v>
      </c>
      <c r="D43" s="15" t="s">
        <v>648</v>
      </c>
      <c r="E43" s="15"/>
      <c r="F43" s="15" t="str">
        <f t="shared" si="2"/>
        <v>Контргайка для соединителей 1" − ISO 228/1 LIGHT SERIES − STEEL</v>
      </c>
      <c r="G43" s="15"/>
      <c r="H43" s="15" t="s">
        <v>31</v>
      </c>
      <c r="I43" s="15"/>
      <c r="J43" s="15"/>
      <c r="K43" s="15">
        <v>2.9999999999999997E-5</v>
      </c>
      <c r="L43" s="15">
        <v>2.3999999999999998E-4</v>
      </c>
      <c r="M43" s="15">
        <v>8</v>
      </c>
      <c r="N43" s="15" t="s">
        <v>33</v>
      </c>
      <c r="O43" s="15">
        <f t="shared" si="3"/>
        <v>7.9199999999999982E-3</v>
      </c>
      <c r="P43" s="15">
        <f t="shared" si="4"/>
        <v>9.2399999999999982E-3</v>
      </c>
      <c r="Q43" s="15">
        <f t="shared" si="5"/>
        <v>5.28E-3</v>
      </c>
      <c r="R43" s="15">
        <f t="shared" si="6"/>
        <v>3.9599999999999991E-3</v>
      </c>
      <c r="S43" s="214">
        <v>2.6399999999999996E-2</v>
      </c>
      <c r="T43" s="220">
        <v>171718.65</v>
      </c>
      <c r="U43" s="220">
        <v>41.212475999999995</v>
      </c>
      <c r="V43" s="15"/>
      <c r="W43" s="15"/>
      <c r="X43" s="15" t="s">
        <v>349</v>
      </c>
      <c r="Y43" s="15">
        <v>500243</v>
      </c>
      <c r="Z43" s="182" t="s">
        <v>651</v>
      </c>
      <c r="AA43" s="15" t="s">
        <v>711</v>
      </c>
      <c r="AB43" s="237">
        <v>3</v>
      </c>
      <c r="AC43" s="141"/>
      <c r="AD43" s="163"/>
      <c r="AE43" s="163"/>
      <c r="AF43" s="164"/>
      <c r="AG43" s="126"/>
      <c r="AH43" s="72"/>
      <c r="AI43" s="72"/>
      <c r="AJ43" s="127"/>
      <c r="AK43" s="126"/>
      <c r="AL43" s="72"/>
      <c r="AM43" s="72"/>
      <c r="AN43" s="127"/>
      <c r="AO43" s="243"/>
      <c r="AP43" s="243"/>
      <c r="AQ43" s="243"/>
      <c r="AR43" s="243"/>
      <c r="AS43" s="238">
        <v>7.4639999999999993E-4</v>
      </c>
      <c r="AT43" s="221"/>
      <c r="AU43" s="30"/>
    </row>
    <row r="44" spans="1:47" ht="30" hidden="1" x14ac:dyDescent="0.25">
      <c r="A44" s="143">
        <v>41</v>
      </c>
      <c r="B44" s="15" t="s">
        <v>228</v>
      </c>
      <c r="C44" s="15" t="s">
        <v>647</v>
      </c>
      <c r="D44" s="15" t="s">
        <v>648</v>
      </c>
      <c r="E44" s="15"/>
      <c r="F44" s="15" t="str">
        <f t="shared" si="2"/>
        <v>Прокладки медные плоские 1" − 41 X33,4X1,5 МЕДЬ</v>
      </c>
      <c r="G44" s="15"/>
      <c r="H44" s="15" t="s">
        <v>31</v>
      </c>
      <c r="I44" s="15"/>
      <c r="J44" s="15"/>
      <c r="K44" s="15">
        <v>5.0000000000000004E-6</v>
      </c>
      <c r="L44" s="15">
        <v>4.0000000000000003E-5</v>
      </c>
      <c r="M44" s="15">
        <v>8</v>
      </c>
      <c r="N44" s="15" t="s">
        <v>33</v>
      </c>
      <c r="O44" s="15">
        <f t="shared" si="3"/>
        <v>1.32E-3</v>
      </c>
      <c r="P44" s="15">
        <f t="shared" si="4"/>
        <v>1.5399999999999999E-3</v>
      </c>
      <c r="Q44" s="15">
        <f t="shared" si="5"/>
        <v>8.8000000000000014E-4</v>
      </c>
      <c r="R44" s="15">
        <f t="shared" si="6"/>
        <v>6.6E-4</v>
      </c>
      <c r="S44" s="214">
        <v>4.4000000000000003E-3</v>
      </c>
      <c r="T44" s="220">
        <v>171718.65</v>
      </c>
      <c r="U44" s="220">
        <v>6.8687460000000007</v>
      </c>
      <c r="V44" s="15"/>
      <c r="W44" s="15"/>
      <c r="X44" s="15" t="s">
        <v>385</v>
      </c>
      <c r="Y44" s="15">
        <v>500243</v>
      </c>
      <c r="Z44" s="182" t="s">
        <v>651</v>
      </c>
      <c r="AA44" s="15" t="s">
        <v>712</v>
      </c>
      <c r="AB44" s="237">
        <v>4</v>
      </c>
      <c r="AC44" s="141"/>
      <c r="AD44" s="163"/>
      <c r="AE44" s="163"/>
      <c r="AF44" s="164"/>
      <c r="AG44" s="126"/>
      <c r="AH44" s="72"/>
      <c r="AI44" s="72"/>
      <c r="AJ44" s="127"/>
      <c r="AK44" s="126"/>
      <c r="AL44" s="72"/>
      <c r="AM44" s="72"/>
      <c r="AN44" s="127"/>
      <c r="AO44" s="243"/>
      <c r="AP44" s="243"/>
      <c r="AQ44" s="243"/>
      <c r="AR44" s="243"/>
      <c r="AS44" s="238">
        <v>1.2440000000000002E-4</v>
      </c>
      <c r="AT44" s="221"/>
      <c r="AU44" s="30"/>
    </row>
    <row r="45" spans="1:47" ht="30" hidden="1" x14ac:dyDescent="0.25">
      <c r="A45" s="143">
        <v>42</v>
      </c>
      <c r="B45" s="15" t="s">
        <v>228</v>
      </c>
      <c r="C45" s="15" t="s">
        <v>647</v>
      </c>
      <c r="D45" s="15" t="s">
        <v>648</v>
      </c>
      <c r="E45" s="15"/>
      <c r="F45" s="15" t="str">
        <f t="shared" si="2"/>
        <v>Соединитель прямой с наружной 1" ISO228/1 − DI=27 HEAVY SERIES FLEX SHEATH</v>
      </c>
      <c r="G45" s="15"/>
      <c r="H45" s="15" t="s">
        <v>31</v>
      </c>
      <c r="I45" s="15"/>
      <c r="J45" s="15"/>
      <c r="K45" s="15">
        <v>1.6000000000000001E-4</v>
      </c>
      <c r="L45" s="15">
        <v>6.4000000000000005E-4</v>
      </c>
      <c r="M45" s="15">
        <v>4</v>
      </c>
      <c r="N45" s="15" t="s">
        <v>33</v>
      </c>
      <c r="O45" s="15">
        <f t="shared" si="3"/>
        <v>2.112E-2</v>
      </c>
      <c r="P45" s="15">
        <f t="shared" si="4"/>
        <v>2.4639999999999999E-2</v>
      </c>
      <c r="Q45" s="15">
        <f t="shared" si="5"/>
        <v>1.4080000000000002E-2</v>
      </c>
      <c r="R45" s="15">
        <f t="shared" si="6"/>
        <v>1.056E-2</v>
      </c>
      <c r="S45" s="214">
        <v>7.0400000000000004E-2</v>
      </c>
      <c r="T45" s="220">
        <v>171718.65</v>
      </c>
      <c r="U45" s="220">
        <v>109.89993600000001</v>
      </c>
      <c r="V45" s="15"/>
      <c r="W45" s="15"/>
      <c r="X45" s="15" t="s">
        <v>341</v>
      </c>
      <c r="Y45" s="15">
        <v>500243</v>
      </c>
      <c r="Z45" s="182" t="s">
        <v>651</v>
      </c>
      <c r="AA45" s="15" t="s">
        <v>713</v>
      </c>
      <c r="AB45" s="237">
        <v>5</v>
      </c>
      <c r="AC45" s="141"/>
      <c r="AD45" s="163"/>
      <c r="AE45" s="163"/>
      <c r="AF45" s="164"/>
      <c r="AG45" s="126"/>
      <c r="AH45" s="72"/>
      <c r="AI45" s="72"/>
      <c r="AJ45" s="127"/>
      <c r="AK45" s="126"/>
      <c r="AL45" s="72"/>
      <c r="AM45" s="72"/>
      <c r="AN45" s="127"/>
      <c r="AO45" s="243"/>
      <c r="AP45" s="243"/>
      <c r="AQ45" s="243"/>
      <c r="AR45" s="243"/>
      <c r="AS45" s="238">
        <v>1.9904000000000002E-3</v>
      </c>
      <c r="AT45" s="221"/>
      <c r="AU45" s="30"/>
    </row>
    <row r="46" spans="1:47" ht="30" hidden="1" x14ac:dyDescent="0.25">
      <c r="A46" s="143">
        <v>43</v>
      </c>
      <c r="B46" s="15" t="s">
        <v>228</v>
      </c>
      <c r="C46" s="15" t="s">
        <v>647</v>
      </c>
      <c r="D46" s="15" t="s">
        <v>648</v>
      </c>
      <c r="E46" s="15"/>
      <c r="F46" s="15" t="str">
        <f t="shared" si="2"/>
        <v>Гибкая защита промышл.исполне D=20MM 1/2" 16 PG EXTERNAL STEEL COATING</v>
      </c>
      <c r="G46" s="15"/>
      <c r="H46" s="15" t="s">
        <v>31</v>
      </c>
      <c r="I46" s="15"/>
      <c r="J46" s="15"/>
      <c r="K46" s="15">
        <v>3.8000000000000002E-4</v>
      </c>
      <c r="L46" s="15">
        <v>1.9E-3</v>
      </c>
      <c r="M46" s="15">
        <v>5</v>
      </c>
      <c r="N46" s="15" t="s">
        <v>33</v>
      </c>
      <c r="O46" s="15">
        <f t="shared" si="3"/>
        <v>6.2699999999999992E-2</v>
      </c>
      <c r="P46" s="15">
        <f t="shared" si="4"/>
        <v>7.3149999999999993E-2</v>
      </c>
      <c r="Q46" s="15">
        <f t="shared" si="5"/>
        <v>4.1800000000000004E-2</v>
      </c>
      <c r="R46" s="15">
        <f t="shared" si="6"/>
        <v>3.1349999999999996E-2</v>
      </c>
      <c r="S46" s="214">
        <v>0.20899999999999999</v>
      </c>
      <c r="T46" s="220">
        <v>171718.65</v>
      </c>
      <c r="U46" s="220">
        <v>326.26543499999997</v>
      </c>
      <c r="V46" s="15"/>
      <c r="W46" s="15"/>
      <c r="X46" s="15" t="s">
        <v>395</v>
      </c>
      <c r="Y46" s="15">
        <v>500243</v>
      </c>
      <c r="Z46" s="182" t="s">
        <v>651</v>
      </c>
      <c r="AA46" s="15" t="s">
        <v>714</v>
      </c>
      <c r="AB46" s="237">
        <v>6</v>
      </c>
      <c r="AC46" s="141"/>
      <c r="AD46" s="163"/>
      <c r="AE46" s="163"/>
      <c r="AF46" s="164"/>
      <c r="AG46" s="126"/>
      <c r="AH46" s="72"/>
      <c r="AI46" s="72"/>
      <c r="AJ46" s="127"/>
      <c r="AK46" s="126"/>
      <c r="AL46" s="72"/>
      <c r="AM46" s="72"/>
      <c r="AN46" s="127"/>
      <c r="AO46" s="243"/>
      <c r="AP46" s="243"/>
      <c r="AQ46" s="243"/>
      <c r="AR46" s="243"/>
      <c r="AS46" s="238">
        <v>5.9089999999999993E-3</v>
      </c>
      <c r="AT46" s="221"/>
      <c r="AU46" s="30"/>
    </row>
    <row r="47" spans="1:47" ht="60" hidden="1" x14ac:dyDescent="0.25">
      <c r="A47" s="143">
        <v>44</v>
      </c>
      <c r="B47" s="15" t="s">
        <v>228</v>
      </c>
      <c r="C47" s="15" t="s">
        <v>647</v>
      </c>
      <c r="D47" s="15" t="s">
        <v>648</v>
      </c>
      <c r="E47" s="15"/>
      <c r="F47" s="15" t="str">
        <f t="shared" si="2"/>
        <v xml:space="preserve">Сварная пластина хомута для D=1/2"−DIN3015−2 FOR.A−GR.2 ALLUMINIUM WITH SCREWS AND COVER PLATES TOP/BOTT.
</v>
      </c>
      <c r="G47" s="15"/>
      <c r="H47" s="15" t="s">
        <v>31</v>
      </c>
      <c r="I47" s="15"/>
      <c r="J47" s="15"/>
      <c r="K47" s="15">
        <v>4.4000000000000002E-4</v>
      </c>
      <c r="L47" s="15">
        <v>8.8000000000000003E-4</v>
      </c>
      <c r="M47" s="15">
        <v>2</v>
      </c>
      <c r="N47" s="15" t="s">
        <v>33</v>
      </c>
      <c r="O47" s="15">
        <f t="shared" si="3"/>
        <v>2.9039999999999996E-2</v>
      </c>
      <c r="P47" s="15">
        <f t="shared" si="4"/>
        <v>3.3879999999999993E-2</v>
      </c>
      <c r="Q47" s="15">
        <f t="shared" si="5"/>
        <v>1.9360000000000002E-2</v>
      </c>
      <c r="R47" s="15">
        <f t="shared" si="6"/>
        <v>1.4519999999999998E-2</v>
      </c>
      <c r="S47" s="214">
        <v>9.6799999999999997E-2</v>
      </c>
      <c r="T47" s="220">
        <v>171718.65</v>
      </c>
      <c r="U47" s="220">
        <v>151.11241200000001</v>
      </c>
      <c r="V47" s="15"/>
      <c r="W47" s="15"/>
      <c r="X47" s="15" t="s">
        <v>353</v>
      </c>
      <c r="Y47" s="15">
        <v>500243</v>
      </c>
      <c r="Z47" s="182" t="s">
        <v>651</v>
      </c>
      <c r="AA47" s="15" t="s">
        <v>715</v>
      </c>
      <c r="AB47" s="237">
        <v>7</v>
      </c>
      <c r="AC47" s="141"/>
      <c r="AD47" s="163"/>
      <c r="AE47" s="163"/>
      <c r="AF47" s="164"/>
      <c r="AG47" s="126"/>
      <c r="AH47" s="72"/>
      <c r="AI47" s="72"/>
      <c r="AJ47" s="127"/>
      <c r="AK47" s="126"/>
      <c r="AL47" s="72"/>
      <c r="AM47" s="72"/>
      <c r="AN47" s="127"/>
      <c r="AO47" s="243"/>
      <c r="AP47" s="243"/>
      <c r="AQ47" s="243"/>
      <c r="AR47" s="243"/>
      <c r="AS47" s="238">
        <v>2.7368000000000002E-3</v>
      </c>
      <c r="AT47" s="221"/>
      <c r="AU47" s="30"/>
    </row>
    <row r="48" spans="1:47" ht="30" hidden="1" x14ac:dyDescent="0.25">
      <c r="A48" s="143">
        <v>45</v>
      </c>
      <c r="B48" s="15" t="s">
        <v>228</v>
      </c>
      <c r="C48" s="15" t="s">
        <v>647</v>
      </c>
      <c r="D48" s="15" t="s">
        <v>648</v>
      </c>
      <c r="E48" s="15"/>
      <c r="F48" s="15" t="str">
        <f t="shared" si="2"/>
        <v>Контргайка для соединителей 1/2" − ISO 228/1 LIGHT SERIES − STEEL</v>
      </c>
      <c r="G48" s="15"/>
      <c r="H48" s="15" t="s">
        <v>31</v>
      </c>
      <c r="I48" s="15"/>
      <c r="J48" s="15"/>
      <c r="K48" s="15">
        <v>5.0000000000000004E-6</v>
      </c>
      <c r="L48" s="15">
        <v>1E-4</v>
      </c>
      <c r="M48" s="15">
        <v>20</v>
      </c>
      <c r="N48" s="15" t="s">
        <v>33</v>
      </c>
      <c r="O48" s="15">
        <f t="shared" si="3"/>
        <v>3.3000000000000004E-3</v>
      </c>
      <c r="P48" s="15">
        <f t="shared" si="4"/>
        <v>3.8500000000000001E-3</v>
      </c>
      <c r="Q48" s="15">
        <f t="shared" si="5"/>
        <v>2.2000000000000001E-3</v>
      </c>
      <c r="R48" s="15">
        <f t="shared" si="6"/>
        <v>1.6500000000000002E-3</v>
      </c>
      <c r="S48" s="214">
        <v>1.1000000000000001E-2</v>
      </c>
      <c r="T48" s="220">
        <v>171718.65</v>
      </c>
      <c r="U48" s="220">
        <v>17.171865</v>
      </c>
      <c r="V48" s="15"/>
      <c r="W48" s="15"/>
      <c r="X48" s="15" t="s">
        <v>347</v>
      </c>
      <c r="Y48" s="15">
        <v>500243</v>
      </c>
      <c r="Z48" s="182" t="s">
        <v>651</v>
      </c>
      <c r="AA48" s="15" t="s">
        <v>716</v>
      </c>
      <c r="AB48" s="237">
        <v>8</v>
      </c>
      <c r="AC48" s="141"/>
      <c r="AD48" s="163"/>
      <c r="AE48" s="163"/>
      <c r="AF48" s="164"/>
      <c r="AG48" s="126"/>
      <c r="AH48" s="72"/>
      <c r="AI48" s="72"/>
      <c r="AJ48" s="127"/>
      <c r="AK48" s="126"/>
      <c r="AL48" s="72"/>
      <c r="AM48" s="72"/>
      <c r="AN48" s="127"/>
      <c r="AO48" s="243"/>
      <c r="AP48" s="243"/>
      <c r="AQ48" s="243"/>
      <c r="AR48" s="243"/>
      <c r="AS48" s="238">
        <v>3.1100000000000002E-4</v>
      </c>
      <c r="AT48" s="221"/>
      <c r="AU48" s="30"/>
    </row>
    <row r="49" spans="1:47" ht="30" hidden="1" x14ac:dyDescent="0.25">
      <c r="A49" s="143">
        <v>46</v>
      </c>
      <c r="B49" s="15" t="s">
        <v>228</v>
      </c>
      <c r="C49" s="15" t="s">
        <v>647</v>
      </c>
      <c r="D49" s="15" t="s">
        <v>648</v>
      </c>
      <c r="E49" s="15"/>
      <c r="F49" s="15" t="str">
        <f t="shared" si="2"/>
        <v>Прокладки медные плоские 1/2" − 28,5X21 X1,5</v>
      </c>
      <c r="G49" s="15"/>
      <c r="H49" s="15" t="s">
        <v>31</v>
      </c>
      <c r="I49" s="15"/>
      <c r="J49" s="15"/>
      <c r="K49" s="15">
        <v>4.9999999999999998E-7</v>
      </c>
      <c r="L49" s="15">
        <v>5.0000000000000002E-5</v>
      </c>
      <c r="M49" s="15">
        <v>100</v>
      </c>
      <c r="N49" s="15" t="s">
        <v>33</v>
      </c>
      <c r="O49" s="15">
        <f t="shared" si="3"/>
        <v>1.6500000000000002E-3</v>
      </c>
      <c r="P49" s="15">
        <f t="shared" si="4"/>
        <v>1.9250000000000001E-3</v>
      </c>
      <c r="Q49" s="15">
        <f t="shared" si="5"/>
        <v>1.1000000000000001E-3</v>
      </c>
      <c r="R49" s="15">
        <f t="shared" si="6"/>
        <v>8.250000000000001E-4</v>
      </c>
      <c r="S49" s="214">
        <v>5.5000000000000005E-3</v>
      </c>
      <c r="T49" s="220">
        <v>171718.65</v>
      </c>
      <c r="U49" s="220">
        <v>8.5859325000000002</v>
      </c>
      <c r="V49" s="15"/>
      <c r="W49" s="15"/>
      <c r="X49" s="15" t="s">
        <v>717</v>
      </c>
      <c r="Y49" s="15">
        <v>500243</v>
      </c>
      <c r="Z49" s="182" t="s">
        <v>651</v>
      </c>
      <c r="AA49" s="15" t="s">
        <v>718</v>
      </c>
      <c r="AB49" s="237">
        <v>9</v>
      </c>
      <c r="AC49" s="141"/>
      <c r="AD49" s="163"/>
      <c r="AE49" s="163"/>
      <c r="AF49" s="164"/>
      <c r="AG49" s="126"/>
      <c r="AH49" s="72"/>
      <c r="AI49" s="72"/>
      <c r="AJ49" s="127"/>
      <c r="AK49" s="126"/>
      <c r="AL49" s="72"/>
      <c r="AM49" s="72"/>
      <c r="AN49" s="127"/>
      <c r="AO49" s="243"/>
      <c r="AP49" s="243"/>
      <c r="AQ49" s="243"/>
      <c r="AR49" s="243"/>
      <c r="AS49" s="238">
        <v>1.5550000000000001E-4</v>
      </c>
      <c r="AT49" s="221"/>
      <c r="AU49" s="30"/>
    </row>
    <row r="50" spans="1:47" ht="30" hidden="1" x14ac:dyDescent="0.25">
      <c r="A50" s="143">
        <v>47</v>
      </c>
      <c r="B50" s="15" t="s">
        <v>228</v>
      </c>
      <c r="C50" s="15" t="s">
        <v>647</v>
      </c>
      <c r="D50" s="15" t="s">
        <v>648</v>
      </c>
      <c r="E50" s="15"/>
      <c r="F50" s="15" t="str">
        <f t="shared" si="2"/>
        <v>Соединитель прямой с наружной 1/2" ISO228/1 − DI=15 HEAVY SERIES FLEX SHEATH</v>
      </c>
      <c r="G50" s="15"/>
      <c r="H50" s="15" t="s">
        <v>31</v>
      </c>
      <c r="I50" s="15"/>
      <c r="J50" s="15"/>
      <c r="K50" s="15">
        <v>7.0000000000000007E-5</v>
      </c>
      <c r="L50" s="15">
        <v>7.000000000000001E-4</v>
      </c>
      <c r="M50" s="15">
        <v>10</v>
      </c>
      <c r="N50" s="15" t="s">
        <v>33</v>
      </c>
      <c r="O50" s="15">
        <f t="shared" si="3"/>
        <v>2.3100000000000002E-2</v>
      </c>
      <c r="P50" s="15">
        <f t="shared" si="4"/>
        <v>2.6950000000000002E-2</v>
      </c>
      <c r="Q50" s="15">
        <f t="shared" si="5"/>
        <v>1.5400000000000004E-2</v>
      </c>
      <c r="R50" s="15">
        <f t="shared" si="6"/>
        <v>1.1550000000000001E-2</v>
      </c>
      <c r="S50" s="214">
        <v>7.7000000000000013E-2</v>
      </c>
      <c r="T50" s="220">
        <v>171718.65</v>
      </c>
      <c r="U50" s="220">
        <v>120.20305500000002</v>
      </c>
      <c r="V50" s="15"/>
      <c r="W50" s="15"/>
      <c r="X50" s="15" t="s">
        <v>333</v>
      </c>
      <c r="Y50" s="15">
        <v>500243</v>
      </c>
      <c r="Z50" s="182" t="s">
        <v>651</v>
      </c>
      <c r="AA50" s="15" t="s">
        <v>719</v>
      </c>
      <c r="AB50" s="237">
        <v>10</v>
      </c>
      <c r="AC50" s="141"/>
      <c r="AD50" s="163"/>
      <c r="AE50" s="163"/>
      <c r="AF50" s="164"/>
      <c r="AG50" s="126"/>
      <c r="AH50" s="72"/>
      <c r="AI50" s="72"/>
      <c r="AJ50" s="127"/>
      <c r="AK50" s="126"/>
      <c r="AL50" s="72"/>
      <c r="AM50" s="72"/>
      <c r="AN50" s="127"/>
      <c r="AO50" s="243"/>
      <c r="AP50" s="243"/>
      <c r="AQ50" s="243"/>
      <c r="AR50" s="243"/>
      <c r="AS50" s="238">
        <v>2.1770000000000001E-3</v>
      </c>
      <c r="AT50" s="221"/>
      <c r="AU50" s="30"/>
    </row>
    <row r="51" spans="1:47" ht="45" hidden="1" x14ac:dyDescent="0.25">
      <c r="A51" s="143">
        <v>48</v>
      </c>
      <c r="B51" s="15" t="s">
        <v>228</v>
      </c>
      <c r="C51" s="15" t="s">
        <v>647</v>
      </c>
      <c r="D51" s="15" t="s">
        <v>648</v>
      </c>
      <c r="E51" s="15"/>
      <c r="F51" s="15" t="str">
        <f t="shared" si="2"/>
        <v xml:space="preserve">Кабель экранированный H05VC4V−F+S 6 X 0,5 − BLACK SHEATH
</v>
      </c>
      <c r="G51" s="15"/>
      <c r="H51" s="15" t="s">
        <v>31</v>
      </c>
      <c r="I51" s="15"/>
      <c r="J51" s="15"/>
      <c r="K51" s="15">
        <v>2.9999999999999994E-5</v>
      </c>
      <c r="L51" s="15">
        <v>8.9999999999999987E-4</v>
      </c>
      <c r="M51" s="15">
        <v>30</v>
      </c>
      <c r="N51" s="15" t="s">
        <v>33</v>
      </c>
      <c r="O51" s="15">
        <f t="shared" si="3"/>
        <v>2.9699999999999997E-2</v>
      </c>
      <c r="P51" s="15">
        <f t="shared" si="4"/>
        <v>3.4649999999999993E-2</v>
      </c>
      <c r="Q51" s="15">
        <f t="shared" si="5"/>
        <v>1.9799999999999998E-2</v>
      </c>
      <c r="R51" s="15">
        <f t="shared" si="6"/>
        <v>1.4849999999999999E-2</v>
      </c>
      <c r="S51" s="214">
        <v>9.8999999999999991E-2</v>
      </c>
      <c r="T51" s="220">
        <v>171718.65</v>
      </c>
      <c r="U51" s="220">
        <v>154.54678499999997</v>
      </c>
      <c r="V51" s="15"/>
      <c r="W51" s="15"/>
      <c r="X51" s="15" t="s">
        <v>720</v>
      </c>
      <c r="Y51" s="15">
        <v>500243</v>
      </c>
      <c r="Z51" s="182" t="s">
        <v>651</v>
      </c>
      <c r="AA51" s="15" t="s">
        <v>721</v>
      </c>
      <c r="AB51" s="237">
        <v>11</v>
      </c>
      <c r="AC51" s="141"/>
      <c r="AD51" s="163"/>
      <c r="AE51" s="163"/>
      <c r="AF51" s="164"/>
      <c r="AG51" s="126"/>
      <c r="AH51" s="72"/>
      <c r="AI51" s="72"/>
      <c r="AJ51" s="127"/>
      <c r="AK51" s="126"/>
      <c r="AL51" s="72"/>
      <c r="AM51" s="72"/>
      <c r="AN51" s="127"/>
      <c r="AO51" s="243"/>
      <c r="AP51" s="243"/>
      <c r="AQ51" s="243"/>
      <c r="AR51" s="243"/>
      <c r="AS51" s="238">
        <v>2.7989999999999994E-3</v>
      </c>
      <c r="AT51" s="221"/>
      <c r="AU51" s="30"/>
    </row>
    <row r="52" spans="1:47" ht="60" hidden="1" x14ac:dyDescent="0.25">
      <c r="A52" s="143">
        <v>49</v>
      </c>
      <c r="B52" s="15" t="s">
        <v>228</v>
      </c>
      <c r="C52" s="15" t="s">
        <v>647</v>
      </c>
      <c r="D52" s="15" t="s">
        <v>648</v>
      </c>
      <c r="E52" s="15"/>
      <c r="F52" s="15" t="str">
        <f t="shared" si="2"/>
        <v xml:space="preserve">ВТ-кабель гибкий однополярный CTSE3000 1X1,5MM2 D.E3,2 MM FIBRA VETRO+250°C 300
/500V 000.194"SEVIKABEL"
</v>
      </c>
      <c r="G52" s="15"/>
      <c r="H52" s="15" t="s">
        <v>31</v>
      </c>
      <c r="I52" s="15"/>
      <c r="J52" s="15"/>
      <c r="K52" s="15">
        <v>5.0000000000000008E-7</v>
      </c>
      <c r="L52" s="15">
        <v>6.5000000000000008E-5</v>
      </c>
      <c r="M52" s="15">
        <v>130</v>
      </c>
      <c r="N52" s="15" t="s">
        <v>33</v>
      </c>
      <c r="O52" s="15">
        <f t="shared" si="3"/>
        <v>2.1450000000000002E-3</v>
      </c>
      <c r="P52" s="15">
        <f t="shared" si="4"/>
        <v>2.5025000000000004E-3</v>
      </c>
      <c r="Q52" s="15">
        <f t="shared" si="5"/>
        <v>1.4300000000000003E-3</v>
      </c>
      <c r="R52" s="15">
        <f t="shared" si="6"/>
        <v>1.0725000000000001E-3</v>
      </c>
      <c r="S52" s="214">
        <v>7.150000000000001E-3</v>
      </c>
      <c r="T52" s="220">
        <v>171718.65</v>
      </c>
      <c r="U52" s="220">
        <v>11.161712250000001</v>
      </c>
      <c r="V52" s="15"/>
      <c r="W52" s="15"/>
      <c r="X52" s="15" t="s">
        <v>722</v>
      </c>
      <c r="Y52" s="15">
        <v>500243</v>
      </c>
      <c r="Z52" s="182" t="s">
        <v>651</v>
      </c>
      <c r="AA52" s="15" t="s">
        <v>723</v>
      </c>
      <c r="AB52" s="237">
        <v>12</v>
      </c>
      <c r="AC52" s="141"/>
      <c r="AD52" s="163"/>
      <c r="AE52" s="163"/>
      <c r="AF52" s="164"/>
      <c r="AG52" s="126"/>
      <c r="AH52" s="72"/>
      <c r="AI52" s="72"/>
      <c r="AJ52" s="127"/>
      <c r="AK52" s="126"/>
      <c r="AL52" s="72"/>
      <c r="AM52" s="72"/>
      <c r="AN52" s="127"/>
      <c r="AO52" s="243"/>
      <c r="AP52" s="243"/>
      <c r="AQ52" s="243"/>
      <c r="AR52" s="243"/>
      <c r="AS52" s="238">
        <v>2.0215000000000001E-4</v>
      </c>
      <c r="AT52" s="221"/>
      <c r="AU52" s="30"/>
    </row>
    <row r="53" spans="1:47" ht="45" hidden="1" x14ac:dyDescent="0.25">
      <c r="A53" s="143">
        <v>50</v>
      </c>
      <c r="B53" s="15" t="s">
        <v>228</v>
      </c>
      <c r="C53" s="15" t="s">
        <v>647</v>
      </c>
      <c r="D53" s="15" t="s">
        <v>648</v>
      </c>
      <c r="E53" s="15"/>
      <c r="F53" s="15" t="str">
        <f t="shared" si="2"/>
        <v>Контргайка для соединителей 1" − ISO 228/1 LIGHT SERIES − STEEL MM FIBRA VETRO +250°C 300 /500V 000.194 "SEVIKABEL"</v>
      </c>
      <c r="G53" s="15"/>
      <c r="H53" s="15" t="s">
        <v>31</v>
      </c>
      <c r="I53" s="15"/>
      <c r="J53" s="15"/>
      <c r="K53" s="15">
        <v>4.9999999999999998E-7</v>
      </c>
      <c r="L53" s="15">
        <v>5.9999999999999995E-5</v>
      </c>
      <c r="M53" s="15">
        <v>120</v>
      </c>
      <c r="N53" s="15" t="s">
        <v>33</v>
      </c>
      <c r="O53" s="15">
        <f t="shared" si="3"/>
        <v>1.9799999999999996E-3</v>
      </c>
      <c r="P53" s="15">
        <f t="shared" si="4"/>
        <v>2.3099999999999996E-3</v>
      </c>
      <c r="Q53" s="15">
        <f t="shared" si="5"/>
        <v>1.32E-3</v>
      </c>
      <c r="R53" s="15">
        <f t="shared" si="6"/>
        <v>9.8999999999999978E-4</v>
      </c>
      <c r="S53" s="214">
        <v>6.5999999999999991E-3</v>
      </c>
      <c r="T53" s="220">
        <v>171718.65</v>
      </c>
      <c r="U53" s="220">
        <v>10.303118999999999</v>
      </c>
      <c r="V53" s="15"/>
      <c r="W53" s="15"/>
      <c r="X53" s="15" t="s">
        <v>724</v>
      </c>
      <c r="Y53" s="15">
        <v>500243</v>
      </c>
      <c r="Z53" s="182" t="s">
        <v>651</v>
      </c>
      <c r="AA53" s="15" t="s">
        <v>725</v>
      </c>
      <c r="AB53" s="237">
        <v>13</v>
      </c>
      <c r="AC53" s="141"/>
      <c r="AD53" s="163"/>
      <c r="AE53" s="163"/>
      <c r="AF53" s="164"/>
      <c r="AG53" s="126"/>
      <c r="AH53" s="72"/>
      <c r="AI53" s="72"/>
      <c r="AJ53" s="127"/>
      <c r="AK53" s="126"/>
      <c r="AL53" s="72"/>
      <c r="AM53" s="72"/>
      <c r="AN53" s="127"/>
      <c r="AO53" s="243"/>
      <c r="AP53" s="243"/>
      <c r="AQ53" s="243"/>
      <c r="AR53" s="243"/>
      <c r="AS53" s="238">
        <v>1.8659999999999998E-4</v>
      </c>
      <c r="AT53" s="221"/>
      <c r="AU53" s="30"/>
    </row>
    <row r="54" spans="1:47" ht="30" hidden="1" x14ac:dyDescent="0.25">
      <c r="A54" s="143">
        <v>51</v>
      </c>
      <c r="B54" s="15" t="s">
        <v>228</v>
      </c>
      <c r="C54" s="15" t="s">
        <v>647</v>
      </c>
      <c r="D54" s="15" t="s">
        <v>648</v>
      </c>
      <c r="E54" s="15"/>
      <c r="F54" s="15" t="str">
        <f t="shared" si="2"/>
        <v>Прокладки медные плоские 1" − 41 X33,4X1,5 медь SECT.1X2,5 MM2 DARK GREY COLOUR</v>
      </c>
      <c r="G54" s="15"/>
      <c r="H54" s="15" t="s">
        <v>31</v>
      </c>
      <c r="I54" s="15"/>
      <c r="J54" s="15"/>
      <c r="K54" s="15">
        <v>1.9999999999999998E-5</v>
      </c>
      <c r="L54" s="15">
        <v>1.1999999999999999E-3</v>
      </c>
      <c r="M54" s="15">
        <v>60</v>
      </c>
      <c r="N54" s="15" t="s">
        <v>33</v>
      </c>
      <c r="O54" s="15">
        <f t="shared" si="3"/>
        <v>3.9599999999999989E-2</v>
      </c>
      <c r="P54" s="15">
        <f t="shared" si="4"/>
        <v>4.6199999999999991E-2</v>
      </c>
      <c r="Q54" s="15">
        <f t="shared" si="5"/>
        <v>2.6399999999999996E-2</v>
      </c>
      <c r="R54" s="15">
        <f t="shared" si="6"/>
        <v>1.9799999999999995E-2</v>
      </c>
      <c r="S54" s="214">
        <v>0.13199999999999998</v>
      </c>
      <c r="T54" s="220">
        <v>171718.65</v>
      </c>
      <c r="U54" s="220">
        <v>206.06237999999996</v>
      </c>
      <c r="V54" s="15"/>
      <c r="W54" s="15"/>
      <c r="X54" s="15" t="s">
        <v>726</v>
      </c>
      <c r="Y54" s="15">
        <v>500243</v>
      </c>
      <c r="Z54" s="182" t="s">
        <v>651</v>
      </c>
      <c r="AA54" s="15" t="s">
        <v>727</v>
      </c>
      <c r="AB54" s="237">
        <v>14</v>
      </c>
      <c r="AC54" s="141"/>
      <c r="AD54" s="163"/>
      <c r="AE54" s="163"/>
      <c r="AF54" s="164"/>
      <c r="AG54" s="126"/>
      <c r="AH54" s="72"/>
      <c r="AI54" s="72"/>
      <c r="AJ54" s="127"/>
      <c r="AK54" s="126"/>
      <c r="AL54" s="72"/>
      <c r="AM54" s="72"/>
      <c r="AN54" s="127"/>
      <c r="AO54" s="243"/>
      <c r="AP54" s="243"/>
      <c r="AQ54" s="243"/>
      <c r="AR54" s="243"/>
      <c r="AS54" s="238">
        <v>3.7319999999999996E-3</v>
      </c>
      <c r="AT54" s="221"/>
      <c r="AU54" s="30"/>
    </row>
    <row r="55" spans="1:47" ht="60" hidden="1" x14ac:dyDescent="0.25">
      <c r="A55" s="143">
        <v>52</v>
      </c>
      <c r="B55" s="15" t="s">
        <v>228</v>
      </c>
      <c r="C55" s="15" t="s">
        <v>647</v>
      </c>
      <c r="D55" s="15" t="s">
        <v>648</v>
      </c>
      <c r="E55" s="15"/>
      <c r="F55" s="15" t="str">
        <f t="shared" si="2"/>
        <v xml:space="preserve">ВТ-кабель гибкий однополярный CTSE3000 1X1,5MM2D.E.3,2 SECT.1X2,5 MM2 DARK GREY COLOUR
</v>
      </c>
      <c r="G55" s="15"/>
      <c r="H55" s="15" t="s">
        <v>31</v>
      </c>
      <c r="I55" s="15"/>
      <c r="J55" s="15"/>
      <c r="K55" s="15">
        <v>2.9999999999999997E-5</v>
      </c>
      <c r="L55" s="15">
        <v>5.9999999999999995E-4</v>
      </c>
      <c r="M55" s="15">
        <v>20</v>
      </c>
      <c r="N55" s="15" t="s">
        <v>33</v>
      </c>
      <c r="O55" s="15">
        <f t="shared" si="3"/>
        <v>1.9799999999999995E-2</v>
      </c>
      <c r="P55" s="15">
        <f t="shared" si="4"/>
        <v>2.3099999999999996E-2</v>
      </c>
      <c r="Q55" s="15">
        <f t="shared" si="5"/>
        <v>1.3199999999999998E-2</v>
      </c>
      <c r="R55" s="15">
        <f t="shared" si="6"/>
        <v>9.8999999999999973E-3</v>
      </c>
      <c r="S55" s="214">
        <v>6.5999999999999989E-2</v>
      </c>
      <c r="T55" s="220">
        <v>171718.65</v>
      </c>
      <c r="U55" s="220">
        <v>103.03118999999998</v>
      </c>
      <c r="V55" s="15"/>
      <c r="W55" s="15"/>
      <c r="X55" s="15" t="s">
        <v>726</v>
      </c>
      <c r="Y55" s="15">
        <v>500243</v>
      </c>
      <c r="Z55" s="182" t="s">
        <v>651</v>
      </c>
      <c r="AA55" s="15" t="s">
        <v>728</v>
      </c>
      <c r="AB55" s="237">
        <v>15</v>
      </c>
      <c r="AC55" s="141"/>
      <c r="AD55" s="163"/>
      <c r="AE55" s="163"/>
      <c r="AF55" s="164"/>
      <c r="AG55" s="126"/>
      <c r="AH55" s="72"/>
      <c r="AI55" s="72"/>
      <c r="AJ55" s="127"/>
      <c r="AK55" s="126"/>
      <c r="AL55" s="72"/>
      <c r="AM55" s="72"/>
      <c r="AN55" s="127"/>
      <c r="AO55" s="243"/>
      <c r="AP55" s="243"/>
      <c r="AQ55" s="243"/>
      <c r="AR55" s="243"/>
      <c r="AS55" s="238">
        <v>1.8659999999999998E-3</v>
      </c>
      <c r="AT55" s="221"/>
      <c r="AU55" s="30"/>
    </row>
    <row r="56" spans="1:47" ht="30" hidden="1" x14ac:dyDescent="0.25">
      <c r="A56" s="143">
        <v>53</v>
      </c>
      <c r="B56" s="15" t="s">
        <v>228</v>
      </c>
      <c r="C56" s="15" t="s">
        <v>647</v>
      </c>
      <c r="D56" s="15" t="s">
        <v>648</v>
      </c>
      <c r="E56" s="15"/>
      <c r="F56" s="15" t="str">
        <f t="shared" si="2"/>
        <v>Распредкоробка 200x300x120 IEC STD</v>
      </c>
      <c r="G56" s="15"/>
      <c r="H56" s="15" t="s">
        <v>31</v>
      </c>
      <c r="I56" s="15"/>
      <c r="J56" s="15"/>
      <c r="K56" s="15">
        <v>4.2950000000000002E-3</v>
      </c>
      <c r="L56" s="15">
        <v>8.5900000000000004E-3</v>
      </c>
      <c r="M56" s="15">
        <v>2</v>
      </c>
      <c r="N56" s="15" t="s">
        <v>33</v>
      </c>
      <c r="O56" s="15">
        <f t="shared" si="3"/>
        <v>0.28347</v>
      </c>
      <c r="P56" s="15">
        <f t="shared" si="4"/>
        <v>0.33071499999999998</v>
      </c>
      <c r="Q56" s="15">
        <f t="shared" si="5"/>
        <v>0.18898000000000004</v>
      </c>
      <c r="R56" s="15">
        <f t="shared" si="6"/>
        <v>0.141735</v>
      </c>
      <c r="S56" s="214">
        <v>0.94490000000000007</v>
      </c>
      <c r="T56" s="220">
        <v>171718.65</v>
      </c>
      <c r="U56" s="220">
        <v>1475.0632035000001</v>
      </c>
      <c r="V56" s="15"/>
      <c r="W56" s="15"/>
      <c r="X56" s="15" t="s">
        <v>700</v>
      </c>
      <c r="Y56" s="15">
        <v>500243</v>
      </c>
      <c r="Z56" s="182" t="s">
        <v>651</v>
      </c>
      <c r="AA56" s="15" t="s">
        <v>701</v>
      </c>
      <c r="AB56" s="237">
        <v>16</v>
      </c>
      <c r="AC56" s="141"/>
      <c r="AD56" s="163"/>
      <c r="AE56" s="163"/>
      <c r="AF56" s="164"/>
      <c r="AG56" s="126"/>
      <c r="AH56" s="72"/>
      <c r="AI56" s="72"/>
      <c r="AJ56" s="127"/>
      <c r="AK56" s="126"/>
      <c r="AL56" s="72"/>
      <c r="AM56" s="72"/>
      <c r="AN56" s="127"/>
      <c r="AO56" s="243"/>
      <c r="AP56" s="243"/>
      <c r="AQ56" s="243"/>
      <c r="AR56" s="243"/>
      <c r="AS56" s="238">
        <v>2.67149E-2</v>
      </c>
      <c r="AT56" s="221"/>
      <c r="AU56" s="30"/>
    </row>
    <row r="57" spans="1:47" ht="45" hidden="1" x14ac:dyDescent="0.25">
      <c r="A57" s="143">
        <v>54</v>
      </c>
      <c r="B57" s="15" t="s">
        <v>228</v>
      </c>
      <c r="C57" s="15" t="s">
        <v>647</v>
      </c>
      <c r="D57" s="15" t="s">
        <v>648</v>
      </c>
      <c r="E57" s="15"/>
      <c r="F57" s="15" t="str">
        <f t="shared" si="2"/>
        <v xml:space="preserve">Сборка по ведомости материала распредкоробка 200x300x120 IEC STD
</v>
      </c>
      <c r="G57" s="15"/>
      <c r="H57" s="15" t="s">
        <v>31</v>
      </c>
      <c r="I57" s="15"/>
      <c r="J57" s="15"/>
      <c r="K57" s="15">
        <v>4.2950000000000002E-3</v>
      </c>
      <c r="L57" s="15">
        <v>8.5900000000000004E-3</v>
      </c>
      <c r="M57" s="15">
        <v>2</v>
      </c>
      <c r="N57" s="15" t="s">
        <v>33</v>
      </c>
      <c r="O57" s="15">
        <f t="shared" si="3"/>
        <v>0.28347</v>
      </c>
      <c r="P57" s="15">
        <f t="shared" si="4"/>
        <v>0.33071499999999998</v>
      </c>
      <c r="Q57" s="15">
        <f t="shared" si="5"/>
        <v>0.18898000000000004</v>
      </c>
      <c r="R57" s="15">
        <f t="shared" si="6"/>
        <v>0.141735</v>
      </c>
      <c r="S57" s="214">
        <v>0.94490000000000007</v>
      </c>
      <c r="T57" s="220">
        <v>171718.65</v>
      </c>
      <c r="U57" s="220">
        <v>1475.0632035000001</v>
      </c>
      <c r="V57" s="15"/>
      <c r="W57" s="15"/>
      <c r="X57" s="15" t="s">
        <v>729</v>
      </c>
      <c r="Y57" s="15">
        <v>500243</v>
      </c>
      <c r="Z57" s="182" t="s">
        <v>651</v>
      </c>
      <c r="AA57" s="15" t="s">
        <v>730</v>
      </c>
      <c r="AB57" s="237">
        <v>17</v>
      </c>
      <c r="AC57" s="141"/>
      <c r="AD57" s="163"/>
      <c r="AE57" s="163"/>
      <c r="AF57" s="164"/>
      <c r="AG57" s="126"/>
      <c r="AH57" s="72"/>
      <c r="AI57" s="72"/>
      <c r="AJ57" s="127"/>
      <c r="AK57" s="126"/>
      <c r="AL57" s="72"/>
      <c r="AM57" s="72"/>
      <c r="AN57" s="127"/>
      <c r="AO57" s="243"/>
      <c r="AP57" s="243"/>
      <c r="AQ57" s="243"/>
      <c r="AR57" s="243"/>
      <c r="AS57" s="238">
        <v>2.67149E-2</v>
      </c>
      <c r="AT57" s="221"/>
      <c r="AU57" s="30"/>
    </row>
    <row r="58" spans="1:47" ht="30" hidden="1" x14ac:dyDescent="0.25">
      <c r="A58" s="143">
        <v>55</v>
      </c>
      <c r="B58" s="15" t="s">
        <v>228</v>
      </c>
      <c r="C58" s="15" t="s">
        <v>647</v>
      </c>
      <c r="D58" s="15" t="s">
        <v>648</v>
      </c>
      <c r="E58" s="15"/>
      <c r="F58" s="15" t="str">
        <f t="shared" si="2"/>
        <v>ВИНТ С ШЕСТИГРАННОЙ ГОЛОВКОЙ</v>
      </c>
      <c r="G58" s="15"/>
      <c r="H58" s="15" t="s">
        <v>31</v>
      </c>
      <c r="I58" s="15"/>
      <c r="J58" s="15"/>
      <c r="K58" s="15">
        <v>3.0000000000000003E-4</v>
      </c>
      <c r="L58" s="15">
        <v>3.0000000000000001E-3</v>
      </c>
      <c r="M58" s="15">
        <v>10</v>
      </c>
      <c r="N58" s="15" t="s">
        <v>33</v>
      </c>
      <c r="O58" s="15">
        <f t="shared" si="3"/>
        <v>9.9000000000000005E-2</v>
      </c>
      <c r="P58" s="15">
        <f t="shared" si="4"/>
        <v>0.11549999999999999</v>
      </c>
      <c r="Q58" s="15">
        <f t="shared" si="5"/>
        <v>6.6000000000000003E-2</v>
      </c>
      <c r="R58" s="15">
        <f t="shared" si="6"/>
        <v>4.9500000000000002E-2</v>
      </c>
      <c r="S58" s="214">
        <v>0.33</v>
      </c>
      <c r="T58" s="220">
        <v>171718.65</v>
      </c>
      <c r="U58" s="220">
        <v>515.15594999999996</v>
      </c>
      <c r="V58" s="15"/>
      <c r="W58" s="15"/>
      <c r="X58" s="15" t="s">
        <v>731</v>
      </c>
      <c r="Y58" s="15">
        <v>500243</v>
      </c>
      <c r="Z58" s="182" t="s">
        <v>651</v>
      </c>
      <c r="AA58" s="15" t="s">
        <v>732</v>
      </c>
      <c r="AB58" s="237">
        <v>18</v>
      </c>
      <c r="AC58" s="141"/>
      <c r="AD58" s="163"/>
      <c r="AE58" s="163"/>
      <c r="AF58" s="164"/>
      <c r="AG58" s="126"/>
      <c r="AH58" s="72"/>
      <c r="AI58" s="72"/>
      <c r="AJ58" s="127"/>
      <c r="AK58" s="126"/>
      <c r="AL58" s="72"/>
      <c r="AM58" s="72"/>
      <c r="AN58" s="127"/>
      <c r="AO58" s="243"/>
      <c r="AP58" s="243"/>
      <c r="AQ58" s="243"/>
      <c r="AR58" s="243"/>
      <c r="AS58" s="238">
        <v>9.3299999999999998E-3</v>
      </c>
      <c r="AT58" s="221"/>
      <c r="AU58" s="30"/>
    </row>
    <row r="59" spans="1:47" ht="30" hidden="1" x14ac:dyDescent="0.25">
      <c r="A59" s="143">
        <v>56</v>
      </c>
      <c r="B59" s="15" t="s">
        <v>228</v>
      </c>
      <c r="C59" s="15" t="s">
        <v>647</v>
      </c>
      <c r="D59" s="15" t="s">
        <v>648</v>
      </c>
      <c r="E59" s="15"/>
      <c r="F59" s="15" t="str">
        <f t="shared" si="2"/>
        <v>ШАЙБА ПРЕДОХР. SCHNORR MILLER</v>
      </c>
      <c r="G59" s="15"/>
      <c r="H59" s="15" t="s">
        <v>31</v>
      </c>
      <c r="I59" s="15"/>
      <c r="J59" s="15"/>
      <c r="K59" s="15">
        <v>5.0000000000000008E-7</v>
      </c>
      <c r="L59" s="15">
        <v>5.0000000000000004E-6</v>
      </c>
      <c r="M59" s="15">
        <v>10</v>
      </c>
      <c r="N59" s="15" t="s">
        <v>33</v>
      </c>
      <c r="O59" s="15">
        <f t="shared" si="3"/>
        <v>1.65E-4</v>
      </c>
      <c r="P59" s="15">
        <f t="shared" si="4"/>
        <v>1.9249999999999999E-4</v>
      </c>
      <c r="Q59" s="15">
        <f t="shared" si="5"/>
        <v>1.1000000000000002E-4</v>
      </c>
      <c r="R59" s="15">
        <f t="shared" si="6"/>
        <v>8.25E-5</v>
      </c>
      <c r="S59" s="214">
        <v>5.5000000000000003E-4</v>
      </c>
      <c r="T59" s="220">
        <v>171718.65</v>
      </c>
      <c r="U59" s="220">
        <v>0.85859325000000009</v>
      </c>
      <c r="V59" s="15"/>
      <c r="W59" s="15"/>
      <c r="X59" s="15" t="s">
        <v>733</v>
      </c>
      <c r="Y59" s="15">
        <v>500243</v>
      </c>
      <c r="Z59" s="182" t="s">
        <v>651</v>
      </c>
      <c r="AA59" s="15" t="s">
        <v>734</v>
      </c>
      <c r="AB59" s="237">
        <v>19</v>
      </c>
      <c r="AC59" s="141"/>
      <c r="AD59" s="163"/>
      <c r="AE59" s="163"/>
      <c r="AF59" s="164"/>
      <c r="AG59" s="126"/>
      <c r="AH59" s="72"/>
      <c r="AI59" s="72"/>
      <c r="AJ59" s="127"/>
      <c r="AK59" s="126"/>
      <c r="AL59" s="72"/>
      <c r="AM59" s="72"/>
      <c r="AN59" s="127"/>
      <c r="AO59" s="243"/>
      <c r="AP59" s="243"/>
      <c r="AQ59" s="243"/>
      <c r="AR59" s="243"/>
      <c r="AS59" s="238">
        <v>1.5550000000000002E-5</v>
      </c>
      <c r="AT59" s="221"/>
      <c r="AU59" s="30"/>
    </row>
    <row r="60" spans="1:47" ht="30" hidden="1" x14ac:dyDescent="0.25">
      <c r="A60" s="143">
        <v>57</v>
      </c>
      <c r="B60" s="15" t="s">
        <v>228</v>
      </c>
      <c r="C60" s="15" t="s">
        <v>647</v>
      </c>
      <c r="D60" s="15" t="s">
        <v>648</v>
      </c>
      <c r="E60" s="15"/>
      <c r="F60" s="15" t="str">
        <f t="shared" si="2"/>
        <v xml:space="preserve">СОЕДИНИТЕЛЬНЫЙ БЛОК </v>
      </c>
      <c r="G60" s="15"/>
      <c r="H60" s="15" t="s">
        <v>31</v>
      </c>
      <c r="I60" s="15"/>
      <c r="J60" s="15"/>
      <c r="K60" s="15">
        <v>8.9999999999999998E-4</v>
      </c>
      <c r="L60" s="15">
        <v>8.9999999999999993E-3</v>
      </c>
      <c r="M60" s="15">
        <v>10</v>
      </c>
      <c r="N60" s="15" t="s">
        <v>33</v>
      </c>
      <c r="O60" s="15">
        <f t="shared" si="3"/>
        <v>0.29699999999999993</v>
      </c>
      <c r="P60" s="15">
        <f t="shared" si="4"/>
        <v>0.34649999999999992</v>
      </c>
      <c r="Q60" s="15">
        <f t="shared" si="5"/>
        <v>0.19799999999999998</v>
      </c>
      <c r="R60" s="15">
        <f t="shared" si="6"/>
        <v>0.14849999999999997</v>
      </c>
      <c r="S60" s="214">
        <v>0.98999999999999988</v>
      </c>
      <c r="T60" s="220">
        <v>171718.65</v>
      </c>
      <c r="U60" s="220">
        <v>1545.4678499999998</v>
      </c>
      <c r="V60" s="15"/>
      <c r="W60" s="15"/>
      <c r="X60" s="15" t="s">
        <v>735</v>
      </c>
      <c r="Y60" s="15">
        <v>500243</v>
      </c>
      <c r="Z60" s="182" t="s">
        <v>651</v>
      </c>
      <c r="AA60" s="15" t="s">
        <v>736</v>
      </c>
      <c r="AB60" s="237">
        <v>20</v>
      </c>
      <c r="AC60" s="141"/>
      <c r="AD60" s="163"/>
      <c r="AE60" s="163"/>
      <c r="AF60" s="164"/>
      <c r="AG60" s="126"/>
      <c r="AH60" s="72"/>
      <c r="AI60" s="72"/>
      <c r="AJ60" s="127"/>
      <c r="AK60" s="126"/>
      <c r="AL60" s="72"/>
      <c r="AM60" s="72"/>
      <c r="AN60" s="127"/>
      <c r="AO60" s="243"/>
      <c r="AP60" s="243"/>
      <c r="AQ60" s="243"/>
      <c r="AR60" s="243"/>
      <c r="AS60" s="238">
        <v>2.7989999999999998E-2</v>
      </c>
      <c r="AT60" s="221"/>
      <c r="AU60" s="30"/>
    </row>
    <row r="61" spans="1:47" ht="30" hidden="1" x14ac:dyDescent="0.25">
      <c r="A61" s="143">
        <v>58</v>
      </c>
      <c r="B61" s="15" t="s">
        <v>228</v>
      </c>
      <c r="C61" s="15" t="s">
        <v>647</v>
      </c>
      <c r="D61" s="15" t="s">
        <v>648</v>
      </c>
      <c r="E61" s="15"/>
      <c r="F61" s="15" t="str">
        <f t="shared" si="2"/>
        <v>ГИБКАЯ МЕДНАЯ ПЛАСТИНА</v>
      </c>
      <c r="G61" s="15"/>
      <c r="H61" s="15" t="s">
        <v>31</v>
      </c>
      <c r="I61" s="15"/>
      <c r="J61" s="15"/>
      <c r="K61" s="15">
        <v>1.7999999999999999E-2</v>
      </c>
      <c r="L61" s="15">
        <v>7.1999999999999995E-2</v>
      </c>
      <c r="M61" s="15">
        <v>4</v>
      </c>
      <c r="N61" s="15" t="s">
        <v>33</v>
      </c>
      <c r="O61" s="15">
        <f t="shared" si="3"/>
        <v>2.3759999999999994</v>
      </c>
      <c r="P61" s="15">
        <f t="shared" si="4"/>
        <v>2.7719999999999994</v>
      </c>
      <c r="Q61" s="15">
        <f t="shared" si="5"/>
        <v>1.5839999999999999</v>
      </c>
      <c r="R61" s="15">
        <f t="shared" si="6"/>
        <v>1.1879999999999997</v>
      </c>
      <c r="S61" s="214">
        <v>7.919999999999999</v>
      </c>
      <c r="T61" s="220">
        <v>171718.65</v>
      </c>
      <c r="U61" s="220">
        <v>12363.742799999998</v>
      </c>
      <c r="V61" s="15"/>
      <c r="W61" s="15"/>
      <c r="X61" s="15" t="s">
        <v>737</v>
      </c>
      <c r="Y61" s="15">
        <v>500243</v>
      </c>
      <c r="Z61" s="182" t="s">
        <v>651</v>
      </c>
      <c r="AA61" s="15" t="s">
        <v>738</v>
      </c>
      <c r="AB61" s="237">
        <v>21</v>
      </c>
      <c r="AC61" s="141"/>
      <c r="AD61" s="163"/>
      <c r="AE61" s="163"/>
      <c r="AF61" s="164"/>
      <c r="AG61" s="126"/>
      <c r="AH61" s="72"/>
      <c r="AI61" s="72"/>
      <c r="AJ61" s="127"/>
      <c r="AK61" s="126"/>
      <c r="AL61" s="72"/>
      <c r="AM61" s="72"/>
      <c r="AN61" s="127"/>
      <c r="AO61" s="243"/>
      <c r="AP61" s="243"/>
      <c r="AQ61" s="243"/>
      <c r="AR61" s="243"/>
      <c r="AS61" s="238">
        <v>0.22391999999999998</v>
      </c>
      <c r="AT61" s="221"/>
      <c r="AU61" s="30"/>
    </row>
    <row r="62" spans="1:47" ht="30" hidden="1" x14ac:dyDescent="0.25">
      <c r="A62" s="143">
        <v>59</v>
      </c>
      <c r="B62" s="15" t="s">
        <v>228</v>
      </c>
      <c r="C62" s="15" t="s">
        <v>647</v>
      </c>
      <c r="D62" s="15" t="s">
        <v>648</v>
      </c>
      <c r="E62" s="15"/>
      <c r="F62" s="15" t="str">
        <f t="shared" si="2"/>
        <v xml:space="preserve">ЭКСЦЕНТРИК </v>
      </c>
      <c r="G62" s="15"/>
      <c r="H62" s="15" t="s">
        <v>31</v>
      </c>
      <c r="I62" s="15"/>
      <c r="J62" s="15"/>
      <c r="K62" s="15">
        <v>5.0000000000000001E-4</v>
      </c>
      <c r="L62" s="15">
        <v>1E-3</v>
      </c>
      <c r="M62" s="15">
        <v>2</v>
      </c>
      <c r="N62" s="15" t="s">
        <v>33</v>
      </c>
      <c r="O62" s="15">
        <f t="shared" si="3"/>
        <v>3.3000000000000002E-2</v>
      </c>
      <c r="P62" s="15">
        <f t="shared" si="4"/>
        <v>3.85E-2</v>
      </c>
      <c r="Q62" s="15">
        <f t="shared" si="5"/>
        <v>2.2000000000000002E-2</v>
      </c>
      <c r="R62" s="15">
        <f t="shared" si="6"/>
        <v>1.6500000000000001E-2</v>
      </c>
      <c r="S62" s="214">
        <v>0.11</v>
      </c>
      <c r="T62" s="220">
        <v>171718.65</v>
      </c>
      <c r="U62" s="220">
        <v>171.71865</v>
      </c>
      <c r="V62" s="15"/>
      <c r="W62" s="15"/>
      <c r="X62" s="15" t="s">
        <v>739</v>
      </c>
      <c r="Y62" s="15">
        <v>500243</v>
      </c>
      <c r="Z62" s="182" t="s">
        <v>651</v>
      </c>
      <c r="AA62" s="15" t="s">
        <v>740</v>
      </c>
      <c r="AB62" s="237">
        <v>22</v>
      </c>
      <c r="AC62" s="141"/>
      <c r="AD62" s="163"/>
      <c r="AE62" s="163"/>
      <c r="AF62" s="164"/>
      <c r="AG62" s="126"/>
      <c r="AH62" s="72"/>
      <c r="AI62" s="72"/>
      <c r="AJ62" s="127"/>
      <c r="AK62" s="126"/>
      <c r="AL62" s="72"/>
      <c r="AM62" s="72"/>
      <c r="AN62" s="127"/>
      <c r="AO62" s="243"/>
      <c r="AP62" s="243"/>
      <c r="AQ62" s="243"/>
      <c r="AR62" s="243"/>
      <c r="AS62" s="238">
        <v>3.1099999999999999E-3</v>
      </c>
      <c r="AT62" s="221"/>
      <c r="AU62" s="30"/>
    </row>
    <row r="63" spans="1:47" ht="30" hidden="1" x14ac:dyDescent="0.25">
      <c r="A63" s="143">
        <v>60</v>
      </c>
      <c r="B63" s="15" t="s">
        <v>228</v>
      </c>
      <c r="C63" s="15" t="s">
        <v>647</v>
      </c>
      <c r="D63" s="15" t="s">
        <v>648</v>
      </c>
      <c r="E63" s="15"/>
      <c r="F63" s="15" t="str">
        <f t="shared" si="2"/>
        <v xml:space="preserve">ЭКСЦЕНТРИК </v>
      </c>
      <c r="G63" s="15"/>
      <c r="H63" s="15" t="s">
        <v>31</v>
      </c>
      <c r="I63" s="15"/>
      <c r="J63" s="15"/>
      <c r="K63" s="15">
        <v>2.5000000000000001E-3</v>
      </c>
      <c r="L63" s="15">
        <v>5.0000000000000001E-3</v>
      </c>
      <c r="M63" s="15">
        <v>2</v>
      </c>
      <c r="N63" s="15" t="s">
        <v>33</v>
      </c>
      <c r="O63" s="15">
        <f t="shared" si="3"/>
        <v>0.16500000000000001</v>
      </c>
      <c r="P63" s="15">
        <f t="shared" si="4"/>
        <v>0.1925</v>
      </c>
      <c r="Q63" s="15">
        <f t="shared" si="5"/>
        <v>0.11000000000000001</v>
      </c>
      <c r="R63" s="15">
        <f t="shared" si="6"/>
        <v>8.2500000000000004E-2</v>
      </c>
      <c r="S63" s="214">
        <v>0.55000000000000004</v>
      </c>
      <c r="T63" s="220">
        <v>171718.65</v>
      </c>
      <c r="U63" s="220">
        <v>858.59325000000001</v>
      </c>
      <c r="V63" s="15"/>
      <c r="W63" s="15"/>
      <c r="X63" s="15" t="s">
        <v>741</v>
      </c>
      <c r="Y63" s="15">
        <v>500243</v>
      </c>
      <c r="Z63" s="182" t="s">
        <v>651</v>
      </c>
      <c r="AA63" s="15" t="s">
        <v>740</v>
      </c>
      <c r="AB63" s="237">
        <v>23</v>
      </c>
      <c r="AC63" s="141"/>
      <c r="AD63" s="163"/>
      <c r="AE63" s="163"/>
      <c r="AF63" s="164"/>
      <c r="AG63" s="126"/>
      <c r="AH63" s="72"/>
      <c r="AI63" s="72"/>
      <c r="AJ63" s="127"/>
      <c r="AK63" s="126"/>
      <c r="AL63" s="72"/>
      <c r="AM63" s="72"/>
      <c r="AN63" s="127"/>
      <c r="AO63" s="243"/>
      <c r="AP63" s="243"/>
      <c r="AQ63" s="243"/>
      <c r="AR63" s="243"/>
      <c r="AS63" s="238">
        <v>1.555E-2</v>
      </c>
      <c r="AT63" s="221"/>
      <c r="AU63" s="30"/>
    </row>
    <row r="64" spans="1:47" ht="30" hidden="1" x14ac:dyDescent="0.25">
      <c r="A64" s="143">
        <v>61</v>
      </c>
      <c r="B64" s="15" t="s">
        <v>228</v>
      </c>
      <c r="C64" s="15" t="s">
        <v>647</v>
      </c>
      <c r="D64" s="15" t="s">
        <v>648</v>
      </c>
      <c r="E64" s="15"/>
      <c r="F64" s="15" t="str">
        <f t="shared" si="2"/>
        <v>ЗАЩИТНОЕ ОГРАЖДЕНИЕ</v>
      </c>
      <c r="G64" s="15"/>
      <c r="H64" s="15" t="s">
        <v>31</v>
      </c>
      <c r="I64" s="15"/>
      <c r="J64" s="15"/>
      <c r="K64" s="15">
        <v>1.7999999999999999E-2</v>
      </c>
      <c r="L64" s="15">
        <v>7.1999999999999995E-2</v>
      </c>
      <c r="M64" s="15">
        <v>4</v>
      </c>
      <c r="N64" s="15" t="s">
        <v>33</v>
      </c>
      <c r="O64" s="15">
        <f t="shared" si="3"/>
        <v>2.3759999999999994</v>
      </c>
      <c r="P64" s="15">
        <f t="shared" si="4"/>
        <v>2.7719999999999994</v>
      </c>
      <c r="Q64" s="15">
        <f t="shared" si="5"/>
        <v>1.5839999999999999</v>
      </c>
      <c r="R64" s="15">
        <f t="shared" si="6"/>
        <v>1.1879999999999997</v>
      </c>
      <c r="S64" s="214">
        <v>7.919999999999999</v>
      </c>
      <c r="T64" s="220">
        <v>171718.65</v>
      </c>
      <c r="U64" s="220">
        <v>12363.742799999998</v>
      </c>
      <c r="V64" s="15"/>
      <c r="W64" s="15"/>
      <c r="X64" s="15" t="s">
        <v>742</v>
      </c>
      <c r="Y64" s="15">
        <v>500243</v>
      </c>
      <c r="Z64" s="182" t="s">
        <v>651</v>
      </c>
      <c r="AA64" s="15" t="s">
        <v>743</v>
      </c>
      <c r="AB64" s="237">
        <v>24</v>
      </c>
      <c r="AC64" s="141"/>
      <c r="AD64" s="163"/>
      <c r="AE64" s="163"/>
      <c r="AF64" s="164"/>
      <c r="AG64" s="126"/>
      <c r="AH64" s="72"/>
      <c r="AI64" s="72"/>
      <c r="AJ64" s="127"/>
      <c r="AK64" s="126"/>
      <c r="AL64" s="72"/>
      <c r="AM64" s="72"/>
      <c r="AN64" s="127"/>
      <c r="AO64" s="243"/>
      <c r="AP64" s="243"/>
      <c r="AQ64" s="243"/>
      <c r="AR64" s="243"/>
      <c r="AS64" s="238">
        <v>0.22391999999999998</v>
      </c>
      <c r="AT64" s="221"/>
      <c r="AU64" s="30"/>
    </row>
    <row r="65" spans="1:47" ht="30" hidden="1" x14ac:dyDescent="0.25">
      <c r="A65" s="143">
        <v>62</v>
      </c>
      <c r="B65" s="15" t="s">
        <v>228</v>
      </c>
      <c r="C65" s="15" t="s">
        <v>647</v>
      </c>
      <c r="D65" s="15" t="s">
        <v>648</v>
      </c>
      <c r="E65" s="15"/>
      <c r="F65" s="15" t="str">
        <f t="shared" si="2"/>
        <v xml:space="preserve">КОЛОННА </v>
      </c>
      <c r="G65" s="15"/>
      <c r="H65" s="15" t="s">
        <v>31</v>
      </c>
      <c r="I65" s="15"/>
      <c r="J65" s="15"/>
      <c r="K65" s="15">
        <v>6.0119999999999996</v>
      </c>
      <c r="L65" s="15">
        <v>6.0119999999999996</v>
      </c>
      <c r="M65" s="15">
        <v>1</v>
      </c>
      <c r="N65" s="15" t="s">
        <v>33</v>
      </c>
      <c r="O65" s="15">
        <f t="shared" si="3"/>
        <v>90.179999999999993</v>
      </c>
      <c r="P65" s="15">
        <f t="shared" si="4"/>
        <v>105.20999999999998</v>
      </c>
      <c r="Q65" s="15">
        <f t="shared" si="5"/>
        <v>60.12</v>
      </c>
      <c r="R65" s="15">
        <f t="shared" si="6"/>
        <v>45.089999999999996</v>
      </c>
      <c r="S65" s="214">
        <v>300.59999999999997</v>
      </c>
      <c r="T65" s="220">
        <v>171718.65</v>
      </c>
      <c r="U65" s="220">
        <v>1032372.5237999998</v>
      </c>
      <c r="V65" s="15"/>
      <c r="W65" s="15"/>
      <c r="X65" s="15" t="s">
        <v>744</v>
      </c>
      <c r="Y65" s="15">
        <v>500274</v>
      </c>
      <c r="Z65" s="182" t="s">
        <v>651</v>
      </c>
      <c r="AA65" s="15" t="s">
        <v>745</v>
      </c>
      <c r="AB65" s="237">
        <v>1</v>
      </c>
      <c r="AC65" s="113"/>
      <c r="AD65" s="109"/>
      <c r="AE65" s="109"/>
      <c r="AF65" s="110"/>
      <c r="AG65" s="20"/>
      <c r="AH65" s="8"/>
      <c r="AI65" s="8"/>
      <c r="AJ65" s="21"/>
      <c r="AK65" s="20"/>
      <c r="AL65" s="8"/>
      <c r="AM65" s="8"/>
      <c r="AN65" s="21"/>
      <c r="AO65" s="244"/>
      <c r="AP65" s="244"/>
      <c r="AQ65" s="244"/>
      <c r="AR65" s="244"/>
      <c r="AS65" s="238">
        <v>18.697319999999998</v>
      </c>
      <c r="AT65" s="221"/>
      <c r="AU65" s="30"/>
    </row>
    <row r="66" spans="1:47" ht="30" hidden="1" x14ac:dyDescent="0.25">
      <c r="A66" s="143">
        <v>63</v>
      </c>
      <c r="B66" s="15" t="s">
        <v>228</v>
      </c>
      <c r="C66" s="15" t="s">
        <v>647</v>
      </c>
      <c r="D66" s="15" t="s">
        <v>648</v>
      </c>
      <c r="E66" s="15"/>
      <c r="F66" s="15" t="str">
        <f t="shared" si="2"/>
        <v>ЗАГЛУШКА</v>
      </c>
      <c r="G66" s="15"/>
      <c r="H66" s="15" t="s">
        <v>31</v>
      </c>
      <c r="I66" s="15"/>
      <c r="J66" s="15"/>
      <c r="K66" s="15">
        <v>7.0000000000000007E-5</v>
      </c>
      <c r="L66" s="15">
        <v>7.0000000000000007E-5</v>
      </c>
      <c r="M66" s="15">
        <v>1</v>
      </c>
      <c r="N66" s="15" t="s">
        <v>33</v>
      </c>
      <c r="O66" s="15">
        <f t="shared" si="3"/>
        <v>2.3100000000000004E-3</v>
      </c>
      <c r="P66" s="15">
        <f t="shared" si="4"/>
        <v>2.6950000000000003E-3</v>
      </c>
      <c r="Q66" s="15">
        <f t="shared" si="5"/>
        <v>1.5400000000000004E-3</v>
      </c>
      <c r="R66" s="15">
        <f t="shared" si="6"/>
        <v>1.1550000000000002E-3</v>
      </c>
      <c r="S66" s="214">
        <v>7.7000000000000011E-3</v>
      </c>
      <c r="T66" s="220">
        <v>171718.65</v>
      </c>
      <c r="U66" s="220">
        <v>12.020305500000001</v>
      </c>
      <c r="V66" s="15"/>
      <c r="W66" s="15"/>
      <c r="X66" s="15" t="s">
        <v>746</v>
      </c>
      <c r="Y66" s="15">
        <v>500275</v>
      </c>
      <c r="Z66" s="182" t="s">
        <v>651</v>
      </c>
      <c r="AA66" s="15" t="s">
        <v>747</v>
      </c>
      <c r="AB66" s="237">
        <v>1</v>
      </c>
      <c r="AC66" s="113"/>
      <c r="AD66" s="109"/>
      <c r="AE66" s="109"/>
      <c r="AF66" s="110"/>
      <c r="AG66" s="20"/>
      <c r="AH66" s="8"/>
      <c r="AI66" s="8"/>
      <c r="AJ66" s="21"/>
      <c r="AK66" s="20"/>
      <c r="AL66" s="8"/>
      <c r="AM66" s="8"/>
      <c r="AN66" s="21"/>
      <c r="AO66" s="244"/>
      <c r="AP66" s="244"/>
      <c r="AQ66" s="244"/>
      <c r="AR66" s="244"/>
      <c r="AS66" s="238">
        <v>2.1770000000000001E-4</v>
      </c>
      <c r="AT66" s="221"/>
      <c r="AU66" s="30"/>
    </row>
    <row r="67" spans="1:47" ht="30" hidden="1" x14ac:dyDescent="0.25">
      <c r="A67" s="143">
        <v>64</v>
      </c>
      <c r="B67" s="15" t="s">
        <v>228</v>
      </c>
      <c r="C67" s="15" t="s">
        <v>647</v>
      </c>
      <c r="D67" s="15" t="s">
        <v>648</v>
      </c>
      <c r="E67" s="15"/>
      <c r="F67" s="15" t="str">
        <f t="shared" si="2"/>
        <v>КОЛОННА</v>
      </c>
      <c r="G67" s="15"/>
      <c r="H67" s="15" t="s">
        <v>31</v>
      </c>
      <c r="I67" s="15"/>
      <c r="J67" s="15"/>
      <c r="K67" s="15">
        <v>3.0059650000000002</v>
      </c>
      <c r="L67" s="15">
        <v>6.0119300000000004</v>
      </c>
      <c r="M67" s="15">
        <v>2</v>
      </c>
      <c r="N67" s="15" t="s">
        <v>33</v>
      </c>
      <c r="O67" s="15">
        <f t="shared" si="3"/>
        <v>126.25053</v>
      </c>
      <c r="P67" s="15">
        <f t="shared" si="4"/>
        <v>147.29228499999999</v>
      </c>
      <c r="Q67" s="15">
        <f t="shared" si="5"/>
        <v>84.167020000000008</v>
      </c>
      <c r="R67" s="15">
        <f t="shared" si="6"/>
        <v>63.125264999999999</v>
      </c>
      <c r="S67" s="214">
        <v>420.83510000000001</v>
      </c>
      <c r="T67" s="220">
        <v>171718.65</v>
      </c>
      <c r="U67" s="220">
        <v>1032360.5034945001</v>
      </c>
      <c r="V67" s="15"/>
      <c r="W67" s="15"/>
      <c r="X67" s="15" t="s">
        <v>744</v>
      </c>
      <c r="Y67" s="15">
        <v>500275</v>
      </c>
      <c r="Z67" s="182" t="s">
        <v>651</v>
      </c>
      <c r="AA67" s="15" t="s">
        <v>748</v>
      </c>
      <c r="AB67" s="237">
        <v>2</v>
      </c>
      <c r="AC67" s="113"/>
      <c r="AD67" s="109"/>
      <c r="AE67" s="109"/>
      <c r="AF67" s="110"/>
      <c r="AG67" s="20"/>
      <c r="AH67" s="8"/>
      <c r="AI67" s="8"/>
      <c r="AJ67" s="21"/>
      <c r="AK67" s="20"/>
      <c r="AL67" s="8"/>
      <c r="AM67" s="8"/>
      <c r="AN67" s="21"/>
      <c r="AO67" s="244"/>
      <c r="AP67" s="244"/>
      <c r="AQ67" s="244"/>
      <c r="AR67" s="244"/>
      <c r="AS67" s="238">
        <v>18.697102300000001</v>
      </c>
      <c r="AT67" s="221"/>
      <c r="AU67" s="30"/>
    </row>
    <row r="68" spans="1:47" ht="30" hidden="1" x14ac:dyDescent="0.25">
      <c r="A68" s="143">
        <v>65</v>
      </c>
      <c r="B68" s="15" t="s">
        <v>228</v>
      </c>
      <c r="C68" s="15" t="s">
        <v>647</v>
      </c>
      <c r="D68" s="15" t="s">
        <v>648</v>
      </c>
      <c r="E68" s="15"/>
      <c r="F68" s="15" t="str">
        <f t="shared" si="2"/>
        <v>КОЛОННА</v>
      </c>
      <c r="G68" s="15"/>
      <c r="H68" s="15" t="s">
        <v>31</v>
      </c>
      <c r="I68" s="15"/>
      <c r="J68" s="15"/>
      <c r="K68" s="15">
        <v>6.8120000000000003</v>
      </c>
      <c r="L68" s="15">
        <v>6.8120000000000003</v>
      </c>
      <c r="M68" s="15">
        <v>1</v>
      </c>
      <c r="N68" s="15" t="s">
        <v>33</v>
      </c>
      <c r="O68" s="15">
        <f t="shared" si="3"/>
        <v>102.18</v>
      </c>
      <c r="P68" s="15">
        <f t="shared" si="4"/>
        <v>119.21</v>
      </c>
      <c r="Q68" s="15">
        <f t="shared" si="5"/>
        <v>68.12</v>
      </c>
      <c r="R68" s="15">
        <f t="shared" si="6"/>
        <v>51.09</v>
      </c>
      <c r="S68" s="214">
        <v>340.6</v>
      </c>
      <c r="T68" s="220">
        <v>171718.65</v>
      </c>
      <c r="U68" s="220">
        <v>1169747.4438</v>
      </c>
      <c r="V68" s="15"/>
      <c r="W68" s="15"/>
      <c r="X68" s="15" t="s">
        <v>749</v>
      </c>
      <c r="Y68" s="15">
        <v>500276</v>
      </c>
      <c r="Z68" s="182" t="s">
        <v>651</v>
      </c>
      <c r="AA68" s="15" t="s">
        <v>748</v>
      </c>
      <c r="AB68" s="237">
        <v>1</v>
      </c>
      <c r="AC68" s="113"/>
      <c r="AD68" s="109"/>
      <c r="AE68" s="109"/>
      <c r="AF68" s="110"/>
      <c r="AG68" s="20"/>
      <c r="AH68" s="8"/>
      <c r="AI68" s="8"/>
      <c r="AJ68" s="21"/>
      <c r="AK68" s="20"/>
      <c r="AL68" s="8"/>
      <c r="AM68" s="8"/>
      <c r="AN68" s="21"/>
      <c r="AO68" s="244"/>
      <c r="AP68" s="244"/>
      <c r="AQ68" s="244"/>
      <c r="AR68" s="244"/>
      <c r="AS68" s="238">
        <v>21.185320000000001</v>
      </c>
      <c r="AT68" s="221"/>
      <c r="AU68" s="30"/>
    </row>
    <row r="69" spans="1:47" ht="30" hidden="1" x14ac:dyDescent="0.25">
      <c r="A69" s="143">
        <v>66</v>
      </c>
      <c r="B69" s="15" t="s">
        <v>228</v>
      </c>
      <c r="C69" s="15" t="s">
        <v>647</v>
      </c>
      <c r="D69" s="15" t="s">
        <v>648</v>
      </c>
      <c r="E69" s="15"/>
      <c r="F69" s="15" t="str">
        <f t="shared" si="2"/>
        <v>КОЛОННА</v>
      </c>
      <c r="G69" s="15"/>
      <c r="H69" s="15" t="s">
        <v>31</v>
      </c>
      <c r="I69" s="15"/>
      <c r="J69" s="15"/>
      <c r="K69" s="15">
        <v>6.0119999999999996</v>
      </c>
      <c r="L69" s="15">
        <v>6.0119999999999996</v>
      </c>
      <c r="M69" s="15">
        <v>1</v>
      </c>
      <c r="N69" s="15" t="s">
        <v>33</v>
      </c>
      <c r="O69" s="15">
        <f t="shared" si="3"/>
        <v>90.179999999999993</v>
      </c>
      <c r="P69" s="15">
        <f t="shared" si="4"/>
        <v>105.20999999999998</v>
      </c>
      <c r="Q69" s="15">
        <f t="shared" si="5"/>
        <v>60.12</v>
      </c>
      <c r="R69" s="15">
        <f t="shared" si="6"/>
        <v>45.089999999999996</v>
      </c>
      <c r="S69" s="214">
        <v>300.59999999999997</v>
      </c>
      <c r="T69" s="220">
        <v>171718.65</v>
      </c>
      <c r="U69" s="220">
        <v>1032372.5237999998</v>
      </c>
      <c r="V69" s="15"/>
      <c r="W69" s="15"/>
      <c r="X69" s="15" t="s">
        <v>744</v>
      </c>
      <c r="Y69" s="15">
        <v>500277</v>
      </c>
      <c r="Z69" s="182" t="s">
        <v>651</v>
      </c>
      <c r="AA69" s="15" t="s">
        <v>748</v>
      </c>
      <c r="AB69" s="237">
        <v>1</v>
      </c>
      <c r="AC69" s="113"/>
      <c r="AD69" s="109"/>
      <c r="AE69" s="109"/>
      <c r="AF69" s="110"/>
      <c r="AG69" s="20"/>
      <c r="AH69" s="8"/>
      <c r="AI69" s="8"/>
      <c r="AJ69" s="21"/>
      <c r="AK69" s="20"/>
      <c r="AL69" s="8"/>
      <c r="AM69" s="8"/>
      <c r="AN69" s="21"/>
      <c r="AO69" s="244"/>
      <c r="AP69" s="244"/>
      <c r="AQ69" s="244"/>
      <c r="AR69" s="244"/>
      <c r="AS69" s="238">
        <v>18.697319999999998</v>
      </c>
      <c r="AT69" s="221"/>
      <c r="AU69" s="30"/>
    </row>
    <row r="70" spans="1:47" ht="30" hidden="1" x14ac:dyDescent="0.25">
      <c r="A70" s="143">
        <v>67</v>
      </c>
      <c r="B70" s="15" t="s">
        <v>228</v>
      </c>
      <c r="C70" s="15" t="s">
        <v>647</v>
      </c>
      <c r="D70" s="15" t="s">
        <v>648</v>
      </c>
      <c r="E70" s="15"/>
      <c r="F70" s="15" t="str">
        <f t="shared" ref="F70:F71" si="8">AA70</f>
        <v>КОЛОННА</v>
      </c>
      <c r="G70" s="15"/>
      <c r="H70" s="15" t="s">
        <v>31</v>
      </c>
      <c r="I70" s="15"/>
      <c r="J70" s="15"/>
      <c r="K70" s="15">
        <v>6.0119999999999996</v>
      </c>
      <c r="L70" s="15">
        <v>6.0119999999999996</v>
      </c>
      <c r="M70" s="15">
        <v>1</v>
      </c>
      <c r="N70" s="15" t="s">
        <v>33</v>
      </c>
      <c r="O70" s="15">
        <f t="shared" ref="O70:O71" si="9">S70*0.3</f>
        <v>90.179999999999993</v>
      </c>
      <c r="P70" s="15">
        <f t="shared" ref="P70:P71" si="10">S70*0.35</f>
        <v>105.20999999999998</v>
      </c>
      <c r="Q70" s="15">
        <f t="shared" ref="Q70:Q71" si="11">S70*0.2</f>
        <v>60.12</v>
      </c>
      <c r="R70" s="15">
        <f t="shared" ref="R70:R71" si="12">S70*0.15</f>
        <v>45.089999999999996</v>
      </c>
      <c r="S70" s="214">
        <v>300.59999999999997</v>
      </c>
      <c r="T70" s="220">
        <v>171718.65</v>
      </c>
      <c r="U70" s="220">
        <v>1032372.5237999998</v>
      </c>
      <c r="V70" s="15"/>
      <c r="W70" s="15"/>
      <c r="X70" s="15" t="s">
        <v>744</v>
      </c>
      <c r="Y70" s="15">
        <v>500278</v>
      </c>
      <c r="Z70" s="182" t="s">
        <v>651</v>
      </c>
      <c r="AA70" s="15" t="s">
        <v>748</v>
      </c>
      <c r="AB70" s="237">
        <v>1</v>
      </c>
      <c r="AC70" s="113"/>
      <c r="AD70" s="109"/>
      <c r="AE70" s="109"/>
      <c r="AF70" s="110"/>
      <c r="AG70" s="20"/>
      <c r="AH70" s="8"/>
      <c r="AI70" s="8"/>
      <c r="AJ70" s="21"/>
      <c r="AK70" s="20"/>
      <c r="AL70" s="8"/>
      <c r="AM70" s="8"/>
      <c r="AN70" s="21"/>
      <c r="AO70" s="244"/>
      <c r="AP70" s="244"/>
      <c r="AQ70" s="244"/>
      <c r="AR70" s="244"/>
      <c r="AS70" s="238">
        <v>18.697319999999998</v>
      </c>
      <c r="AT70" s="221"/>
      <c r="AU70" s="30"/>
    </row>
    <row r="71" spans="1:47" ht="30.75" hidden="1" thickBot="1" x14ac:dyDescent="0.3">
      <c r="A71" s="143">
        <v>68</v>
      </c>
      <c r="B71" s="15" t="s">
        <v>228</v>
      </c>
      <c r="C71" s="15" t="s">
        <v>647</v>
      </c>
      <c r="D71" s="15" t="s">
        <v>648</v>
      </c>
      <c r="E71" s="15"/>
      <c r="F71" s="15" t="str">
        <f t="shared" si="8"/>
        <v>КОЛОННА</v>
      </c>
      <c r="G71" s="15"/>
      <c r="H71" s="15" t="s">
        <v>31</v>
      </c>
      <c r="I71" s="15"/>
      <c r="J71" s="15"/>
      <c r="K71" s="15">
        <v>6.8120000000000003</v>
      </c>
      <c r="L71" s="15">
        <v>6.8120000000000003</v>
      </c>
      <c r="M71" s="15">
        <v>1</v>
      </c>
      <c r="N71" s="15" t="s">
        <v>33</v>
      </c>
      <c r="O71" s="15">
        <f t="shared" si="9"/>
        <v>102.18</v>
      </c>
      <c r="P71" s="15">
        <f t="shared" si="10"/>
        <v>119.21</v>
      </c>
      <c r="Q71" s="15">
        <f t="shared" si="11"/>
        <v>68.12</v>
      </c>
      <c r="R71" s="15">
        <f t="shared" si="12"/>
        <v>51.09</v>
      </c>
      <c r="S71" s="214">
        <v>340.6</v>
      </c>
      <c r="T71" s="220">
        <v>171718.65</v>
      </c>
      <c r="U71" s="220">
        <v>1169747.4438</v>
      </c>
      <c r="V71" s="15"/>
      <c r="W71" s="15"/>
      <c r="X71" s="15" t="s">
        <v>749</v>
      </c>
      <c r="Y71" s="15">
        <v>500279</v>
      </c>
      <c r="Z71" s="182" t="s">
        <v>651</v>
      </c>
      <c r="AA71" s="15" t="s">
        <v>748</v>
      </c>
      <c r="AB71" s="237">
        <v>1</v>
      </c>
      <c r="AC71" s="114"/>
      <c r="AD71" s="115"/>
      <c r="AE71" s="115"/>
      <c r="AF71" s="116"/>
      <c r="AG71" s="190"/>
      <c r="AH71" s="96"/>
      <c r="AI71" s="96"/>
      <c r="AJ71" s="22"/>
      <c r="AK71" s="190"/>
      <c r="AL71" s="96"/>
      <c r="AM71" s="96"/>
      <c r="AN71" s="22"/>
      <c r="AO71" s="245"/>
      <c r="AP71" s="245"/>
      <c r="AQ71" s="245"/>
      <c r="AR71" s="245"/>
      <c r="AS71" s="238">
        <v>21.185320000000001</v>
      </c>
      <c r="AT71" s="221"/>
      <c r="AU71" s="30"/>
    </row>
    <row r="72" spans="1:47" x14ac:dyDescent="0.25"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</row>
    <row r="73" spans="1:47" x14ac:dyDescent="0.25"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</row>
    <row r="74" spans="1:47" x14ac:dyDescent="0.25"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</row>
    <row r="75" spans="1:47" x14ac:dyDescent="0.25"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</row>
    <row r="76" spans="1:47" x14ac:dyDescent="0.25"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</row>
    <row r="77" spans="1:47" x14ac:dyDescent="0.25"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</row>
    <row r="78" spans="1:47" x14ac:dyDescent="0.25"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</row>
    <row r="79" spans="1:47" x14ac:dyDescent="0.25"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</row>
    <row r="80" spans="1:47" x14ac:dyDescent="0.25"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</row>
    <row r="81" spans="29:44" x14ac:dyDescent="0.25"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</row>
    <row r="82" spans="29:44" x14ac:dyDescent="0.25"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</row>
    <row r="83" spans="29:44" x14ac:dyDescent="0.25"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</row>
    <row r="84" spans="29:44" x14ac:dyDescent="0.25"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</row>
    <row r="85" spans="29:44" x14ac:dyDescent="0.25"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</row>
    <row r="86" spans="29:44" x14ac:dyDescent="0.25"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</row>
    <row r="87" spans="29:44" x14ac:dyDescent="0.25"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</row>
    <row r="88" spans="29:44" x14ac:dyDescent="0.25"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</row>
    <row r="89" spans="29:44" x14ac:dyDescent="0.25"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</row>
    <row r="90" spans="29:44" x14ac:dyDescent="0.25"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</row>
    <row r="91" spans="29:44" x14ac:dyDescent="0.25"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</row>
    <row r="92" spans="29:44" x14ac:dyDescent="0.25"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</row>
    <row r="93" spans="29:44" x14ac:dyDescent="0.25"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</row>
    <row r="94" spans="29:44" x14ac:dyDescent="0.25"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</row>
    <row r="95" spans="29:44" x14ac:dyDescent="0.25"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</row>
    <row r="96" spans="29:44" x14ac:dyDescent="0.25"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</row>
    <row r="97" spans="29:44" x14ac:dyDescent="0.25"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</row>
    <row r="98" spans="29:44" x14ac:dyDescent="0.25"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</row>
    <row r="99" spans="29:44" x14ac:dyDescent="0.25"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</row>
    <row r="100" spans="29:44" x14ac:dyDescent="0.25"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</row>
    <row r="101" spans="29:44" x14ac:dyDescent="0.25"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</row>
    <row r="102" spans="29:44" x14ac:dyDescent="0.25"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</row>
    <row r="103" spans="29:44" x14ac:dyDescent="0.25"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</row>
    <row r="104" spans="29:44" x14ac:dyDescent="0.25"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</row>
    <row r="105" spans="29:44" x14ac:dyDescent="0.25"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</row>
    <row r="106" spans="29:44" x14ac:dyDescent="0.25"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</row>
    <row r="107" spans="29:44" x14ac:dyDescent="0.25"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</row>
    <row r="108" spans="29:44" x14ac:dyDescent="0.25"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</row>
    <row r="109" spans="29:44" x14ac:dyDescent="0.25"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</row>
    <row r="110" spans="29:44" x14ac:dyDescent="0.25"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</row>
    <row r="111" spans="29:44" x14ac:dyDescent="0.25"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</row>
    <row r="112" spans="29:44" x14ac:dyDescent="0.25"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</row>
    <row r="113" spans="29:44" x14ac:dyDescent="0.25"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</row>
    <row r="114" spans="29:44" x14ac:dyDescent="0.25"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</row>
    <row r="115" spans="29:44" x14ac:dyDescent="0.25"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</row>
    <row r="116" spans="29:44" x14ac:dyDescent="0.25"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</row>
    <row r="117" spans="29:44" x14ac:dyDescent="0.25"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</row>
    <row r="118" spans="29:44" x14ac:dyDescent="0.25"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</row>
    <row r="119" spans="29:44" x14ac:dyDescent="0.25"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</row>
    <row r="120" spans="29:44" x14ac:dyDescent="0.25"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</row>
    <row r="121" spans="29:44" x14ac:dyDescent="0.25"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</row>
    <row r="122" spans="29:44" x14ac:dyDescent="0.25"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</row>
    <row r="123" spans="29:44" x14ac:dyDescent="0.25"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</row>
    <row r="124" spans="29:44" x14ac:dyDescent="0.25"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</row>
    <row r="125" spans="29:44" x14ac:dyDescent="0.25"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</row>
    <row r="126" spans="29:44" x14ac:dyDescent="0.25"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</row>
    <row r="127" spans="29:44" x14ac:dyDescent="0.25"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</row>
    <row r="128" spans="29:44" x14ac:dyDescent="0.25"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</row>
    <row r="129" spans="29:44" x14ac:dyDescent="0.25"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</row>
    <row r="130" spans="29:44" x14ac:dyDescent="0.25"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</row>
    <row r="131" spans="29:44" x14ac:dyDescent="0.25"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</row>
    <row r="132" spans="29:44" x14ac:dyDescent="0.25"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</row>
    <row r="133" spans="29:44" x14ac:dyDescent="0.25"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</row>
    <row r="134" spans="29:44" x14ac:dyDescent="0.25"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</row>
    <row r="135" spans="29:44" x14ac:dyDescent="0.25"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</row>
    <row r="136" spans="29:44" x14ac:dyDescent="0.25"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</row>
    <row r="137" spans="29:44" x14ac:dyDescent="0.25"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</row>
    <row r="138" spans="29:44" x14ac:dyDescent="0.25"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</row>
    <row r="139" spans="29:44" x14ac:dyDescent="0.25"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</row>
    <row r="140" spans="29:44" x14ac:dyDescent="0.25"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</row>
    <row r="141" spans="29:44" x14ac:dyDescent="0.25"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</row>
    <row r="142" spans="29:44" x14ac:dyDescent="0.25"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</row>
    <row r="143" spans="29:44" x14ac:dyDescent="0.25"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</row>
    <row r="144" spans="29:44" x14ac:dyDescent="0.25"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</row>
    <row r="145" spans="29:44" x14ac:dyDescent="0.25"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</row>
    <row r="146" spans="29:44" x14ac:dyDescent="0.25"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</row>
    <row r="147" spans="29:44" x14ac:dyDescent="0.25"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</row>
    <row r="148" spans="29:44" x14ac:dyDescent="0.25"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</row>
    <row r="149" spans="29:44" x14ac:dyDescent="0.25"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</row>
    <row r="150" spans="29:44" x14ac:dyDescent="0.25"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</row>
    <row r="151" spans="29:44" x14ac:dyDescent="0.25"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</row>
    <row r="152" spans="29:44" x14ac:dyDescent="0.25"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</row>
    <row r="153" spans="29:44" x14ac:dyDescent="0.25"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</row>
    <row r="154" spans="29:44" x14ac:dyDescent="0.25"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</row>
    <row r="155" spans="29:44" x14ac:dyDescent="0.25"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</row>
    <row r="156" spans="29:44" x14ac:dyDescent="0.25"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</row>
    <row r="157" spans="29:44" x14ac:dyDescent="0.25"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</row>
    <row r="158" spans="29:44" x14ac:dyDescent="0.25"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</row>
    <row r="159" spans="29:44" x14ac:dyDescent="0.25"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</row>
    <row r="160" spans="29:44" x14ac:dyDescent="0.25"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</row>
    <row r="161" spans="29:44" x14ac:dyDescent="0.25"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</row>
    <row r="162" spans="29:44" x14ac:dyDescent="0.25"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</row>
    <row r="163" spans="29:44" x14ac:dyDescent="0.25"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</row>
    <row r="164" spans="29:44" x14ac:dyDescent="0.25"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</row>
    <row r="165" spans="29:44" x14ac:dyDescent="0.25"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</row>
    <row r="166" spans="29:44" x14ac:dyDescent="0.25"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</row>
    <row r="167" spans="29:44" x14ac:dyDescent="0.25"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</row>
    <row r="168" spans="29:44" x14ac:dyDescent="0.25"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</row>
    <row r="169" spans="29:44" x14ac:dyDescent="0.25"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</row>
    <row r="170" spans="29:44" x14ac:dyDescent="0.25"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</row>
    <row r="171" spans="29:44" x14ac:dyDescent="0.25"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</row>
    <row r="172" spans="29:44" x14ac:dyDescent="0.25"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</row>
    <row r="173" spans="29:44" x14ac:dyDescent="0.25"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</row>
    <row r="174" spans="29:44" x14ac:dyDescent="0.25"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</row>
    <row r="175" spans="29:44" x14ac:dyDescent="0.25"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</row>
    <row r="176" spans="29:44" x14ac:dyDescent="0.25"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</row>
    <row r="177" spans="29:44" x14ac:dyDescent="0.25"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</row>
    <row r="178" spans="29:44" x14ac:dyDescent="0.25"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</row>
    <row r="179" spans="29:44" x14ac:dyDescent="0.25"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</row>
    <row r="180" spans="29:44" x14ac:dyDescent="0.25"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</row>
    <row r="181" spans="29:44" x14ac:dyDescent="0.25"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</row>
    <row r="182" spans="29:44" x14ac:dyDescent="0.25"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</row>
    <row r="183" spans="29:44" x14ac:dyDescent="0.25"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</row>
    <row r="184" spans="29:44" x14ac:dyDescent="0.25"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</row>
    <row r="185" spans="29:44" x14ac:dyDescent="0.25"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</row>
    <row r="186" spans="29:44" x14ac:dyDescent="0.25"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</row>
    <row r="187" spans="29:44" x14ac:dyDescent="0.25"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</row>
    <row r="188" spans="29:44" x14ac:dyDescent="0.25"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</row>
    <row r="189" spans="29:44" x14ac:dyDescent="0.25"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</row>
    <row r="190" spans="29:44" x14ac:dyDescent="0.25"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</row>
    <row r="191" spans="29:44" x14ac:dyDescent="0.25"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</row>
    <row r="192" spans="29:44" x14ac:dyDescent="0.25"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</row>
    <row r="193" spans="29:44" x14ac:dyDescent="0.25"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</row>
    <row r="194" spans="29:44" x14ac:dyDescent="0.25"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</row>
    <row r="195" spans="29:44" x14ac:dyDescent="0.25"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</row>
  </sheetData>
  <autoFilter ref="A3:Z71" xr:uid="{00000000-0009-0000-0000-000010000000}">
    <filterColumn colId="24">
      <colorFilter dxfId="2"/>
    </filterColumn>
  </autoFilter>
  <mergeCells count="4">
    <mergeCell ref="AW8:AX8"/>
    <mergeCell ref="AC1:AF1"/>
    <mergeCell ref="AG1:AJ1"/>
    <mergeCell ref="AK1:AN1"/>
  </mergeCells>
  <conditionalFormatting sqref="E1:E3">
    <cfRule type="duplicateValues" dxfId="17" priority="2"/>
  </conditionalFormatting>
  <conditionalFormatting sqref="F1:F3">
    <cfRule type="duplicateValues" dxfId="16" priority="1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filterMode="1"/>
  <dimension ref="A1:AL195"/>
  <sheetViews>
    <sheetView tabSelected="1" zoomScale="70" zoomScaleNormal="70" workbookViewId="0">
      <pane ySplit="3" topLeftCell="A14" activePane="bottomLeft" state="frozen"/>
      <selection pane="bottomLeft" activeCell="Y31" sqref="Y31"/>
    </sheetView>
  </sheetViews>
  <sheetFormatPr defaultRowHeight="15" x14ac:dyDescent="0.25"/>
  <cols>
    <col min="1" max="1" width="4" style="219" bestFit="1" customWidth="1"/>
    <col min="2" max="2" width="7.140625" style="219" hidden="1" customWidth="1"/>
    <col min="3" max="3" width="32.42578125" style="219" hidden="1" customWidth="1"/>
    <col min="4" max="4" width="40.5703125" style="219" customWidth="1"/>
    <col min="5" max="5" width="20.7109375" style="219" hidden="1" customWidth="1"/>
    <col min="6" max="6" width="58" style="219" bestFit="1" customWidth="1"/>
    <col min="7" max="7" width="0" style="219" hidden="1" customWidth="1"/>
    <col min="8" max="8" width="14.28515625" style="219" hidden="1" customWidth="1"/>
    <col min="9" max="9" width="8.7109375" style="219" hidden="1" customWidth="1"/>
    <col min="10" max="10" width="0" style="219" hidden="1" customWidth="1"/>
    <col min="11" max="11" width="11.7109375" style="219" bestFit="1" customWidth="1"/>
    <col min="12" max="12" width="8.5703125" style="219" bestFit="1" customWidth="1"/>
    <col min="13" max="13" width="7.140625" style="219" bestFit="1" customWidth="1"/>
    <col min="14" max="14" width="7.28515625" style="219" hidden="1" customWidth="1"/>
    <col min="15" max="18" width="7.28515625" style="219" customWidth="1"/>
    <col min="19" max="19" width="7.28515625" style="219" bestFit="1" customWidth="1"/>
    <col min="20" max="20" width="13.42578125" style="219" hidden="1" customWidth="1"/>
    <col min="21" max="21" width="13.85546875" style="219" hidden="1" customWidth="1"/>
    <col min="22" max="22" width="8.28515625" style="219" hidden="1" customWidth="1"/>
    <col min="23" max="23" width="8.42578125" style="219" hidden="1" customWidth="1"/>
    <col min="24" max="24" width="14.7109375" style="219" bestFit="1" customWidth="1"/>
    <col min="25" max="25" width="13.28515625" style="219" customWidth="1"/>
    <col min="26" max="26" width="0" style="219" hidden="1" customWidth="1"/>
    <col min="27" max="27" width="44.7109375" style="219" hidden="1" customWidth="1"/>
    <col min="28" max="28" width="7.85546875" style="219" hidden="1" customWidth="1"/>
    <col min="29" max="29" width="10.5703125" style="219" hidden="1" customWidth="1"/>
    <col min="30" max="37" width="7.5703125" style="32" customWidth="1"/>
    <col min="38" max="38" width="4.85546875" style="219" bestFit="1" customWidth="1"/>
  </cols>
  <sheetData>
    <row r="1" spans="1:38" ht="12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 t="s">
        <v>9</v>
      </c>
      <c r="L1" s="1" t="s">
        <v>10</v>
      </c>
      <c r="M1" s="1" t="s">
        <v>11</v>
      </c>
      <c r="N1" s="1" t="s">
        <v>12</v>
      </c>
      <c r="O1" s="1" t="s">
        <v>259</v>
      </c>
      <c r="P1" s="1" t="s">
        <v>259</v>
      </c>
      <c r="Q1" s="1" t="s">
        <v>259</v>
      </c>
      <c r="R1" s="1" t="s">
        <v>259</v>
      </c>
      <c r="S1" s="247" t="s">
        <v>13</v>
      </c>
      <c r="T1" s="1" t="s">
        <v>14</v>
      </c>
      <c r="U1" s="1" t="s">
        <v>15</v>
      </c>
      <c r="V1" s="2" t="s">
        <v>16</v>
      </c>
      <c r="W1" s="2" t="s">
        <v>17</v>
      </c>
      <c r="X1" s="3" t="s">
        <v>18</v>
      </c>
      <c r="Y1" s="1" t="s">
        <v>19</v>
      </c>
      <c r="Z1" s="1" t="s">
        <v>20</v>
      </c>
      <c r="AA1" s="4" t="s">
        <v>21</v>
      </c>
      <c r="AB1" s="3" t="s">
        <v>22</v>
      </c>
      <c r="AC1" s="236" t="s">
        <v>23</v>
      </c>
      <c r="AD1" s="452" t="s">
        <v>979</v>
      </c>
      <c r="AE1" s="453"/>
      <c r="AF1" s="453"/>
      <c r="AG1" s="454"/>
      <c r="AH1" s="452" t="s">
        <v>1145</v>
      </c>
      <c r="AI1" s="453"/>
      <c r="AJ1" s="453"/>
      <c r="AK1" s="454"/>
      <c r="AL1" s="248" t="s">
        <v>24</v>
      </c>
    </row>
    <row r="2" spans="1:38" x14ac:dyDescent="0.25">
      <c r="A2" s="1"/>
      <c r="B2" s="1"/>
      <c r="C2" s="1"/>
      <c r="D2" s="1"/>
      <c r="E2" s="2"/>
      <c r="F2" s="1"/>
      <c r="G2" s="1"/>
      <c r="H2" s="1"/>
      <c r="I2" s="1"/>
      <c r="J2" s="1"/>
      <c r="K2" s="1"/>
      <c r="L2" s="1"/>
      <c r="M2" s="1"/>
      <c r="N2" s="1"/>
      <c r="O2" s="133">
        <v>0.3</v>
      </c>
      <c r="P2" s="133">
        <v>0.35</v>
      </c>
      <c r="Q2" s="133">
        <v>0.2</v>
      </c>
      <c r="R2" s="133">
        <v>0.15</v>
      </c>
      <c r="S2" s="247"/>
      <c r="T2" s="1"/>
      <c r="U2" s="1"/>
      <c r="V2" s="2"/>
      <c r="W2" s="2"/>
      <c r="X2" s="3"/>
      <c r="Y2" s="1"/>
      <c r="Z2" s="1"/>
      <c r="AA2" s="4"/>
      <c r="AB2" s="3"/>
      <c r="AC2" s="236"/>
      <c r="AD2" s="36">
        <v>0.3</v>
      </c>
      <c r="AE2" s="36">
        <v>0.35</v>
      </c>
      <c r="AF2" s="36">
        <v>0.2</v>
      </c>
      <c r="AG2" s="36">
        <v>0.15</v>
      </c>
      <c r="AH2" s="36">
        <v>0.3</v>
      </c>
      <c r="AI2" s="36">
        <v>0.35</v>
      </c>
      <c r="AJ2" s="36">
        <v>0.2</v>
      </c>
      <c r="AK2" s="36">
        <v>0.15</v>
      </c>
      <c r="AL2" s="248"/>
    </row>
    <row r="3" spans="1:38" x14ac:dyDescent="0.25">
      <c r="A3" s="1"/>
      <c r="B3" s="1"/>
      <c r="C3" s="1"/>
      <c r="D3" s="1"/>
      <c r="E3" s="2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247"/>
      <c r="T3" s="1"/>
      <c r="U3" s="1"/>
      <c r="V3" s="2"/>
      <c r="W3" s="2"/>
      <c r="X3" s="3"/>
      <c r="Y3" s="1"/>
      <c r="Z3" s="1"/>
      <c r="AA3" s="4"/>
      <c r="AB3" s="3"/>
      <c r="AC3" s="236"/>
      <c r="AD3" s="91">
        <f>SUM(AD4:AD48)</f>
        <v>3.3299999999999996</v>
      </c>
      <c r="AE3" s="91">
        <f t="shared" ref="AE3:AG3" si="0">SUM(AE4:AE48)</f>
        <v>0</v>
      </c>
      <c r="AF3" s="91">
        <f t="shared" si="0"/>
        <v>0</v>
      </c>
      <c r="AG3" s="91">
        <f t="shared" si="0"/>
        <v>0</v>
      </c>
      <c r="AH3" s="91">
        <f>SUM(AH4:AH48)</f>
        <v>0</v>
      </c>
      <c r="AI3" s="91">
        <f t="shared" ref="AI3" si="1">SUM(AI4:AI48)</f>
        <v>0</v>
      </c>
      <c r="AJ3" s="91">
        <f t="shared" ref="AJ3" si="2">SUM(AJ4:AJ48)</f>
        <v>0</v>
      </c>
      <c r="AK3" s="91">
        <f t="shared" ref="AK3" si="3">SUM(AK4:AK48)</f>
        <v>0</v>
      </c>
      <c r="AL3" s="248"/>
    </row>
    <row r="4" spans="1:38" ht="30" hidden="1" x14ac:dyDescent="0.25">
      <c r="A4" s="143">
        <v>1</v>
      </c>
      <c r="B4" s="143" t="s">
        <v>1146</v>
      </c>
      <c r="C4" s="143" t="s">
        <v>1147</v>
      </c>
      <c r="D4" s="143" t="s">
        <v>1496</v>
      </c>
      <c r="E4" s="143"/>
      <c r="F4" s="143"/>
      <c r="G4" s="143"/>
      <c r="H4" s="143" t="s">
        <v>31</v>
      </c>
      <c r="I4" s="143"/>
      <c r="J4" s="143"/>
      <c r="K4" s="143"/>
      <c r="L4" s="214">
        <f>SUM(L5:L48)</f>
        <v>44.400000000000006</v>
      </c>
      <c r="M4" s="143"/>
      <c r="N4" s="143"/>
      <c r="O4" s="143"/>
      <c r="P4" s="143"/>
      <c r="Q4" s="143"/>
      <c r="R4" s="143"/>
      <c r="S4" s="214">
        <f>SUM(S5:S48)</f>
        <v>2542.14</v>
      </c>
      <c r="T4" s="143"/>
      <c r="U4" s="214">
        <f>SUM(U5:U48)</f>
        <v>7624308.0599999977</v>
      </c>
      <c r="V4" s="143"/>
      <c r="W4" s="143"/>
      <c r="X4" s="143"/>
      <c r="Y4" s="143"/>
      <c r="Z4" s="143"/>
      <c r="AA4" s="143"/>
      <c r="AB4" s="143"/>
      <c r="AC4" s="143"/>
      <c r="AD4" s="122"/>
      <c r="AE4" s="123"/>
      <c r="AF4" s="123"/>
      <c r="AG4" s="93"/>
      <c r="AH4" s="122"/>
      <c r="AI4" s="123"/>
      <c r="AJ4" s="123"/>
      <c r="AK4" s="93"/>
      <c r="AL4" s="215"/>
    </row>
    <row r="5" spans="1:38" ht="30" x14ac:dyDescent="0.25">
      <c r="A5" s="28">
        <v>2</v>
      </c>
      <c r="B5" s="28" t="s">
        <v>1146</v>
      </c>
      <c r="C5" s="28" t="s">
        <v>1147</v>
      </c>
      <c r="D5" s="28" t="s">
        <v>1495</v>
      </c>
      <c r="E5" s="28"/>
      <c r="F5" s="28" t="s">
        <v>1149</v>
      </c>
      <c r="G5" s="28"/>
      <c r="H5" s="28" t="s">
        <v>31</v>
      </c>
      <c r="I5" s="28"/>
      <c r="J5" s="28"/>
      <c r="K5" s="28">
        <v>0.56999999999999995</v>
      </c>
      <c r="L5" s="28">
        <v>0.56999999999999995</v>
      </c>
      <c r="M5" s="28">
        <v>1</v>
      </c>
      <c r="N5" s="28" t="s">
        <v>33</v>
      </c>
      <c r="O5" s="28">
        <f>S5*0.3</f>
        <v>11.456999999999999</v>
      </c>
      <c r="P5" s="28">
        <f>S5*0.35</f>
        <v>13.366499999999998</v>
      </c>
      <c r="Q5" s="28">
        <f>S5*0.2</f>
        <v>7.6379999999999999</v>
      </c>
      <c r="R5" s="28">
        <f>S5*0.15</f>
        <v>5.7284999999999995</v>
      </c>
      <c r="S5" s="214">
        <v>38.19</v>
      </c>
      <c r="T5" s="220">
        <v>171718.65</v>
      </c>
      <c r="U5" s="220">
        <v>97879.630499999985</v>
      </c>
      <c r="V5" s="15"/>
      <c r="W5" s="15"/>
      <c r="X5" s="28" t="s">
        <v>1150</v>
      </c>
      <c r="Y5" s="28">
        <v>76248</v>
      </c>
      <c r="Z5" s="182" t="s">
        <v>1151</v>
      </c>
      <c r="AA5" s="15" t="s">
        <v>1149</v>
      </c>
      <c r="AB5" s="15">
        <v>1</v>
      </c>
      <c r="AC5" s="143">
        <v>1631</v>
      </c>
      <c r="AD5" s="197">
        <f>L5*0.3</f>
        <v>0.17099999999999999</v>
      </c>
      <c r="AE5" s="266"/>
      <c r="AF5" s="34"/>
      <c r="AG5" s="95"/>
      <c r="AH5" s="94"/>
      <c r="AI5" s="34"/>
      <c r="AJ5" s="34"/>
      <c r="AK5" s="95"/>
      <c r="AL5" s="221"/>
    </row>
    <row r="6" spans="1:38" ht="30" x14ac:dyDescent="0.25">
      <c r="A6" s="28">
        <v>3</v>
      </c>
      <c r="B6" s="28" t="s">
        <v>1146</v>
      </c>
      <c r="C6" s="28" t="s">
        <v>1147</v>
      </c>
      <c r="D6" s="28" t="s">
        <v>1495</v>
      </c>
      <c r="E6" s="28"/>
      <c r="F6" s="28" t="s">
        <v>1152</v>
      </c>
      <c r="G6" s="28"/>
      <c r="H6" s="28" t="s">
        <v>31</v>
      </c>
      <c r="I6" s="28"/>
      <c r="J6" s="28"/>
      <c r="K6" s="28">
        <v>1.83</v>
      </c>
      <c r="L6" s="28">
        <v>1.83</v>
      </c>
      <c r="M6" s="28">
        <v>1</v>
      </c>
      <c r="N6" s="28" t="s">
        <v>33</v>
      </c>
      <c r="O6" s="28">
        <f t="shared" ref="O6:O48" si="4">S6*0.3</f>
        <v>27.45</v>
      </c>
      <c r="P6" s="28">
        <f t="shared" ref="P6:P48" si="5">S6*0.35</f>
        <v>32.024999999999999</v>
      </c>
      <c r="Q6" s="28">
        <f t="shared" ref="Q6:Q48" si="6">S6*0.2</f>
        <v>18.3</v>
      </c>
      <c r="R6" s="28">
        <f t="shared" ref="R6:R48" si="7">S6*0.15</f>
        <v>13.725</v>
      </c>
      <c r="S6" s="214">
        <v>91.5</v>
      </c>
      <c r="T6" s="220">
        <v>171718.65</v>
      </c>
      <c r="U6" s="220">
        <v>314245.12949999998</v>
      </c>
      <c r="V6" s="15"/>
      <c r="W6" s="15"/>
      <c r="X6" s="28" t="s">
        <v>1153</v>
      </c>
      <c r="Y6" s="28">
        <v>76248</v>
      </c>
      <c r="Z6" s="182" t="s">
        <v>1151</v>
      </c>
      <c r="AA6" s="15" t="s">
        <v>1152</v>
      </c>
      <c r="AB6" s="15">
        <v>2</v>
      </c>
      <c r="AC6" s="143">
        <v>1631</v>
      </c>
      <c r="AD6" s="197">
        <f t="shared" ref="AD6:AD10" si="8">L6*0.3</f>
        <v>0.54900000000000004</v>
      </c>
      <c r="AE6" s="263"/>
      <c r="AF6" s="42"/>
      <c r="AG6" s="59"/>
      <c r="AH6" s="51"/>
      <c r="AI6" s="42"/>
      <c r="AJ6" s="42"/>
      <c r="AK6" s="59"/>
      <c r="AL6" s="221"/>
    </row>
    <row r="7" spans="1:38" ht="30" x14ac:dyDescent="0.25">
      <c r="A7" s="28">
        <v>4</v>
      </c>
      <c r="B7" s="28" t="s">
        <v>1146</v>
      </c>
      <c r="C7" s="28" t="s">
        <v>1147</v>
      </c>
      <c r="D7" s="28" t="s">
        <v>1495</v>
      </c>
      <c r="E7" s="28"/>
      <c r="F7" s="28" t="s">
        <v>1154</v>
      </c>
      <c r="G7" s="28"/>
      <c r="H7" s="28" t="s">
        <v>31</v>
      </c>
      <c r="I7" s="28"/>
      <c r="J7" s="28"/>
      <c r="K7" s="28">
        <v>0.9</v>
      </c>
      <c r="L7" s="28">
        <v>0.9</v>
      </c>
      <c r="M7" s="28">
        <v>1</v>
      </c>
      <c r="N7" s="28" t="s">
        <v>33</v>
      </c>
      <c r="O7" s="28">
        <f t="shared" si="4"/>
        <v>18.09</v>
      </c>
      <c r="P7" s="28">
        <f t="shared" si="5"/>
        <v>21.105</v>
      </c>
      <c r="Q7" s="28">
        <f t="shared" si="6"/>
        <v>12.060000000000002</v>
      </c>
      <c r="R7" s="28">
        <f t="shared" si="7"/>
        <v>9.0449999999999999</v>
      </c>
      <c r="S7" s="214">
        <v>60.300000000000004</v>
      </c>
      <c r="T7" s="220">
        <v>171718.65</v>
      </c>
      <c r="U7" s="220">
        <v>154546.785</v>
      </c>
      <c r="V7" s="15"/>
      <c r="W7" s="15"/>
      <c r="X7" s="28" t="s">
        <v>1155</v>
      </c>
      <c r="Y7" s="28">
        <v>76248</v>
      </c>
      <c r="Z7" s="182" t="s">
        <v>1151</v>
      </c>
      <c r="AA7" s="15" t="s">
        <v>1154</v>
      </c>
      <c r="AB7" s="15">
        <v>3</v>
      </c>
      <c r="AC7" s="143">
        <v>1631</v>
      </c>
      <c r="AD7" s="197">
        <f t="shared" si="8"/>
        <v>0.27</v>
      </c>
      <c r="AE7" s="263"/>
      <c r="AF7" s="42"/>
      <c r="AG7" s="59"/>
      <c r="AH7" s="51"/>
      <c r="AI7" s="42"/>
      <c r="AJ7" s="42"/>
      <c r="AK7" s="59"/>
      <c r="AL7" s="221"/>
    </row>
    <row r="8" spans="1:38" ht="30" x14ac:dyDescent="0.25">
      <c r="A8" s="28">
        <v>5</v>
      </c>
      <c r="B8" s="28" t="s">
        <v>1146</v>
      </c>
      <c r="C8" s="28" t="s">
        <v>1147</v>
      </c>
      <c r="D8" s="28" t="s">
        <v>1495</v>
      </c>
      <c r="E8" s="28"/>
      <c r="F8" s="28" t="s">
        <v>1156</v>
      </c>
      <c r="G8" s="28"/>
      <c r="H8" s="28" t="s">
        <v>31</v>
      </c>
      <c r="I8" s="28"/>
      <c r="J8" s="28"/>
      <c r="K8" s="28">
        <v>0.8</v>
      </c>
      <c r="L8" s="28">
        <v>0.8</v>
      </c>
      <c r="M8" s="28">
        <v>1</v>
      </c>
      <c r="N8" s="28" t="s">
        <v>33</v>
      </c>
      <c r="O8" s="28">
        <f t="shared" si="4"/>
        <v>16.079999999999998</v>
      </c>
      <c r="P8" s="28">
        <f t="shared" si="5"/>
        <v>18.759999999999998</v>
      </c>
      <c r="Q8" s="28">
        <f t="shared" si="6"/>
        <v>10.72</v>
      </c>
      <c r="R8" s="28">
        <f t="shared" si="7"/>
        <v>8.0399999999999991</v>
      </c>
      <c r="S8" s="214">
        <v>53.6</v>
      </c>
      <c r="T8" s="220">
        <v>171718.65</v>
      </c>
      <c r="U8" s="220">
        <v>137374.92000000001</v>
      </c>
      <c r="V8" s="15"/>
      <c r="W8" s="15"/>
      <c r="X8" s="28" t="s">
        <v>1157</v>
      </c>
      <c r="Y8" s="28">
        <v>76248</v>
      </c>
      <c r="Z8" s="182" t="s">
        <v>1151</v>
      </c>
      <c r="AA8" s="15" t="s">
        <v>1156</v>
      </c>
      <c r="AB8" s="15">
        <v>4</v>
      </c>
      <c r="AC8" s="143">
        <v>1631</v>
      </c>
      <c r="AD8" s="197">
        <f t="shared" si="8"/>
        <v>0.24</v>
      </c>
      <c r="AE8" s="263"/>
      <c r="AF8" s="42"/>
      <c r="AG8" s="59"/>
      <c r="AH8" s="51"/>
      <c r="AI8" s="42"/>
      <c r="AJ8" s="42"/>
      <c r="AK8" s="59"/>
      <c r="AL8" s="221"/>
    </row>
    <row r="9" spans="1:38" ht="30" x14ac:dyDescent="0.25">
      <c r="A9" s="28">
        <v>6</v>
      </c>
      <c r="B9" s="28" t="s">
        <v>1146</v>
      </c>
      <c r="C9" s="28" t="s">
        <v>1147</v>
      </c>
      <c r="D9" s="28" t="s">
        <v>1495</v>
      </c>
      <c r="E9" s="28"/>
      <c r="F9" s="28" t="s">
        <v>1158</v>
      </c>
      <c r="G9" s="28"/>
      <c r="H9" s="28" t="s">
        <v>31</v>
      </c>
      <c r="I9" s="28"/>
      <c r="J9" s="28"/>
      <c r="K9" s="28">
        <v>0.5</v>
      </c>
      <c r="L9" s="28">
        <v>0.5</v>
      </c>
      <c r="M9" s="28">
        <v>1</v>
      </c>
      <c r="N9" s="28" t="s">
        <v>33</v>
      </c>
      <c r="O9" s="28">
        <f t="shared" si="4"/>
        <v>10.5</v>
      </c>
      <c r="P9" s="28">
        <f t="shared" si="5"/>
        <v>12.25</v>
      </c>
      <c r="Q9" s="28">
        <f t="shared" si="6"/>
        <v>7</v>
      </c>
      <c r="R9" s="28">
        <f t="shared" si="7"/>
        <v>5.25</v>
      </c>
      <c r="S9" s="214">
        <v>35</v>
      </c>
      <c r="T9" s="220">
        <v>171718.65</v>
      </c>
      <c r="U9" s="220">
        <v>85859.324999999997</v>
      </c>
      <c r="V9" s="15"/>
      <c r="W9" s="15"/>
      <c r="X9" s="28" t="s">
        <v>1159</v>
      </c>
      <c r="Y9" s="28">
        <v>76248</v>
      </c>
      <c r="Z9" s="182" t="s">
        <v>1151</v>
      </c>
      <c r="AA9" s="15" t="s">
        <v>1158</v>
      </c>
      <c r="AB9" s="15">
        <v>5</v>
      </c>
      <c r="AC9" s="143">
        <v>1631</v>
      </c>
      <c r="AD9" s="197">
        <f t="shared" si="8"/>
        <v>0.15</v>
      </c>
      <c r="AE9" s="263"/>
      <c r="AF9" s="42"/>
      <c r="AG9" s="59"/>
      <c r="AH9" s="51"/>
      <c r="AI9" s="42"/>
      <c r="AJ9" s="42"/>
      <c r="AK9" s="59"/>
      <c r="AL9" s="221"/>
    </row>
    <row r="10" spans="1:38" ht="30" x14ac:dyDescent="0.25">
      <c r="A10" s="28">
        <v>7</v>
      </c>
      <c r="B10" s="28" t="s">
        <v>1146</v>
      </c>
      <c r="C10" s="28" t="s">
        <v>1147</v>
      </c>
      <c r="D10" s="28" t="s">
        <v>1495</v>
      </c>
      <c r="E10" s="28"/>
      <c r="F10" s="28" t="s">
        <v>1160</v>
      </c>
      <c r="G10" s="28"/>
      <c r="H10" s="28" t="s">
        <v>31</v>
      </c>
      <c r="I10" s="28"/>
      <c r="J10" s="28"/>
      <c r="K10" s="28">
        <v>0.6</v>
      </c>
      <c r="L10" s="28">
        <v>0.6</v>
      </c>
      <c r="M10" s="28">
        <v>1</v>
      </c>
      <c r="N10" s="28" t="s">
        <v>33</v>
      </c>
      <c r="O10" s="28">
        <f t="shared" si="4"/>
        <v>12.059999999999999</v>
      </c>
      <c r="P10" s="28">
        <f t="shared" si="5"/>
        <v>14.069999999999997</v>
      </c>
      <c r="Q10" s="28">
        <f t="shared" si="6"/>
        <v>8.0399999999999991</v>
      </c>
      <c r="R10" s="28">
        <f t="shared" si="7"/>
        <v>6.0299999999999994</v>
      </c>
      <c r="S10" s="214">
        <v>40.199999999999996</v>
      </c>
      <c r="T10" s="220">
        <v>171718.65</v>
      </c>
      <c r="U10" s="220">
        <v>103031.18999999999</v>
      </c>
      <c r="V10" s="15"/>
      <c r="W10" s="15"/>
      <c r="X10" s="28" t="s">
        <v>1161</v>
      </c>
      <c r="Y10" s="28">
        <v>76248</v>
      </c>
      <c r="Z10" s="182" t="s">
        <v>1151</v>
      </c>
      <c r="AA10" s="15" t="s">
        <v>1160</v>
      </c>
      <c r="AB10" s="15">
        <v>6</v>
      </c>
      <c r="AC10" s="143">
        <v>1631</v>
      </c>
      <c r="AD10" s="197">
        <f t="shared" si="8"/>
        <v>0.18</v>
      </c>
      <c r="AE10" s="263"/>
      <c r="AF10" s="42"/>
      <c r="AG10" s="59"/>
      <c r="AH10" s="51"/>
      <c r="AI10" s="42"/>
      <c r="AJ10" s="42"/>
      <c r="AK10" s="59"/>
      <c r="AL10" s="221"/>
    </row>
    <row r="11" spans="1:38" ht="30" x14ac:dyDescent="0.25">
      <c r="A11" s="28">
        <v>8</v>
      </c>
      <c r="B11" s="15" t="s">
        <v>1146</v>
      </c>
      <c r="C11" s="15" t="s">
        <v>1147</v>
      </c>
      <c r="D11" s="28" t="s">
        <v>1148</v>
      </c>
      <c r="E11" s="15"/>
      <c r="F11" s="28" t="s">
        <v>1149</v>
      </c>
      <c r="G11" s="15"/>
      <c r="H11" s="15" t="s">
        <v>31</v>
      </c>
      <c r="I11" s="15"/>
      <c r="J11" s="15"/>
      <c r="K11" s="28">
        <v>0.56999999999999995</v>
      </c>
      <c r="L11" s="28">
        <v>0.56999999999999995</v>
      </c>
      <c r="M11" s="28">
        <v>1</v>
      </c>
      <c r="N11" s="15" t="s">
        <v>33</v>
      </c>
      <c r="O11" s="28">
        <f t="shared" si="4"/>
        <v>11.456999999999999</v>
      </c>
      <c r="P11" s="28">
        <f t="shared" si="5"/>
        <v>13.366499999999998</v>
      </c>
      <c r="Q11" s="28">
        <f t="shared" si="6"/>
        <v>7.6379999999999999</v>
      </c>
      <c r="R11" s="28">
        <f t="shared" si="7"/>
        <v>5.7284999999999995</v>
      </c>
      <c r="S11" s="214">
        <v>38.19</v>
      </c>
      <c r="T11" s="220">
        <v>171718.65</v>
      </c>
      <c r="U11" s="220">
        <v>97879.630499999985</v>
      </c>
      <c r="V11" s="15"/>
      <c r="W11" s="15"/>
      <c r="X11" s="28" t="s">
        <v>1150</v>
      </c>
      <c r="Y11" s="28">
        <v>76247</v>
      </c>
      <c r="Z11" s="182" t="s">
        <v>1151</v>
      </c>
      <c r="AA11" s="15" t="s">
        <v>1149</v>
      </c>
      <c r="AB11" s="15">
        <v>1</v>
      </c>
      <c r="AC11" s="143">
        <v>1631</v>
      </c>
      <c r="AD11" s="58"/>
      <c r="AE11" s="42"/>
      <c r="AF11" s="42"/>
      <c r="AG11" s="59"/>
      <c r="AH11" s="58"/>
      <c r="AI11" s="42"/>
      <c r="AJ11" s="42"/>
      <c r="AK11" s="59"/>
      <c r="AL11" s="221"/>
    </row>
    <row r="12" spans="1:38" ht="30" x14ac:dyDescent="0.25">
      <c r="A12" s="28">
        <v>9</v>
      </c>
      <c r="B12" s="15" t="s">
        <v>1146</v>
      </c>
      <c r="C12" s="15" t="s">
        <v>1147</v>
      </c>
      <c r="D12" s="28" t="s">
        <v>1148</v>
      </c>
      <c r="E12" s="15"/>
      <c r="F12" s="28" t="s">
        <v>1152</v>
      </c>
      <c r="G12" s="15"/>
      <c r="H12" s="15" t="s">
        <v>31</v>
      </c>
      <c r="I12" s="15"/>
      <c r="J12" s="15"/>
      <c r="K12" s="28">
        <v>1.83</v>
      </c>
      <c r="L12" s="28">
        <v>1.83</v>
      </c>
      <c r="M12" s="28">
        <v>1</v>
      </c>
      <c r="N12" s="15" t="s">
        <v>33</v>
      </c>
      <c r="O12" s="28">
        <f t="shared" si="4"/>
        <v>27.45</v>
      </c>
      <c r="P12" s="28">
        <f t="shared" si="5"/>
        <v>32.024999999999999</v>
      </c>
      <c r="Q12" s="28">
        <f t="shared" si="6"/>
        <v>18.3</v>
      </c>
      <c r="R12" s="28">
        <f t="shared" si="7"/>
        <v>13.725</v>
      </c>
      <c r="S12" s="214">
        <v>91.5</v>
      </c>
      <c r="T12" s="220">
        <v>171718.65</v>
      </c>
      <c r="U12" s="220">
        <v>314245.12949999998</v>
      </c>
      <c r="V12" s="15"/>
      <c r="W12" s="15"/>
      <c r="X12" s="28" t="s">
        <v>1153</v>
      </c>
      <c r="Y12" s="28">
        <v>76247</v>
      </c>
      <c r="Z12" s="182" t="s">
        <v>1151</v>
      </c>
      <c r="AA12" s="15" t="s">
        <v>1152</v>
      </c>
      <c r="AB12" s="15">
        <v>2</v>
      </c>
      <c r="AC12" s="143">
        <v>1631</v>
      </c>
      <c r="AD12" s="58"/>
      <c r="AE12" s="42"/>
      <c r="AF12" s="42"/>
      <c r="AG12" s="59"/>
      <c r="AH12" s="58"/>
      <c r="AI12" s="42"/>
      <c r="AJ12" s="42"/>
      <c r="AK12" s="59"/>
      <c r="AL12" s="221"/>
    </row>
    <row r="13" spans="1:38" ht="30" x14ac:dyDescent="0.25">
      <c r="A13" s="28">
        <v>10</v>
      </c>
      <c r="B13" s="15" t="s">
        <v>1146</v>
      </c>
      <c r="C13" s="15" t="s">
        <v>1147</v>
      </c>
      <c r="D13" s="28" t="s">
        <v>1148</v>
      </c>
      <c r="E13" s="15"/>
      <c r="F13" s="28" t="s">
        <v>1154</v>
      </c>
      <c r="G13" s="15"/>
      <c r="H13" s="15" t="s">
        <v>31</v>
      </c>
      <c r="I13" s="15"/>
      <c r="J13" s="15"/>
      <c r="K13" s="28">
        <v>0.9</v>
      </c>
      <c r="L13" s="28">
        <v>0.9</v>
      </c>
      <c r="M13" s="28">
        <v>1</v>
      </c>
      <c r="N13" s="15" t="s">
        <v>33</v>
      </c>
      <c r="O13" s="28">
        <f t="shared" si="4"/>
        <v>18.09</v>
      </c>
      <c r="P13" s="28">
        <f t="shared" si="5"/>
        <v>21.105</v>
      </c>
      <c r="Q13" s="28">
        <f t="shared" si="6"/>
        <v>12.060000000000002</v>
      </c>
      <c r="R13" s="28">
        <f t="shared" si="7"/>
        <v>9.0449999999999999</v>
      </c>
      <c r="S13" s="214">
        <v>60.300000000000004</v>
      </c>
      <c r="T13" s="220">
        <v>171718.65</v>
      </c>
      <c r="U13" s="220">
        <v>154546.785</v>
      </c>
      <c r="V13" s="15"/>
      <c r="W13" s="15"/>
      <c r="X13" s="28" t="s">
        <v>1155</v>
      </c>
      <c r="Y13" s="28">
        <v>76247</v>
      </c>
      <c r="Z13" s="182" t="s">
        <v>1151</v>
      </c>
      <c r="AA13" s="15" t="s">
        <v>1154</v>
      </c>
      <c r="AB13" s="15">
        <v>3</v>
      </c>
      <c r="AC13" s="143">
        <v>1631</v>
      </c>
      <c r="AD13" s="58"/>
      <c r="AE13" s="42"/>
      <c r="AF13" s="42"/>
      <c r="AG13" s="59"/>
      <c r="AH13" s="58"/>
      <c r="AI13" s="42"/>
      <c r="AJ13" s="42"/>
      <c r="AK13" s="59"/>
      <c r="AL13" s="221"/>
    </row>
    <row r="14" spans="1:38" ht="30" x14ac:dyDescent="0.25">
      <c r="A14" s="28">
        <v>11</v>
      </c>
      <c r="B14" s="15" t="s">
        <v>1146</v>
      </c>
      <c r="C14" s="15" t="s">
        <v>1147</v>
      </c>
      <c r="D14" s="28" t="s">
        <v>1148</v>
      </c>
      <c r="E14" s="15"/>
      <c r="F14" s="28" t="s">
        <v>1156</v>
      </c>
      <c r="G14" s="15"/>
      <c r="H14" s="15" t="s">
        <v>31</v>
      </c>
      <c r="I14" s="15"/>
      <c r="J14" s="15"/>
      <c r="K14" s="28">
        <v>0.8</v>
      </c>
      <c r="L14" s="28">
        <v>0.8</v>
      </c>
      <c r="M14" s="28">
        <v>1</v>
      </c>
      <c r="N14" s="15" t="s">
        <v>33</v>
      </c>
      <c r="O14" s="28">
        <f t="shared" si="4"/>
        <v>16.079999999999998</v>
      </c>
      <c r="P14" s="28">
        <f t="shared" si="5"/>
        <v>18.759999999999998</v>
      </c>
      <c r="Q14" s="28">
        <f t="shared" si="6"/>
        <v>10.72</v>
      </c>
      <c r="R14" s="28">
        <f t="shared" si="7"/>
        <v>8.0399999999999991</v>
      </c>
      <c r="S14" s="214">
        <v>53.6</v>
      </c>
      <c r="T14" s="220">
        <v>171718.65</v>
      </c>
      <c r="U14" s="220">
        <v>137374.92000000001</v>
      </c>
      <c r="V14" s="15"/>
      <c r="W14" s="15"/>
      <c r="X14" s="28" t="s">
        <v>1157</v>
      </c>
      <c r="Y14" s="28">
        <v>76247</v>
      </c>
      <c r="Z14" s="182" t="s">
        <v>1151</v>
      </c>
      <c r="AA14" s="15" t="s">
        <v>1156</v>
      </c>
      <c r="AB14" s="15">
        <v>4</v>
      </c>
      <c r="AC14" s="143">
        <v>1631</v>
      </c>
      <c r="AD14" s="58"/>
      <c r="AE14" s="42"/>
      <c r="AF14" s="42"/>
      <c r="AG14" s="59"/>
      <c r="AH14" s="58"/>
      <c r="AI14" s="42"/>
      <c r="AJ14" s="42"/>
      <c r="AK14" s="59"/>
      <c r="AL14" s="221"/>
    </row>
    <row r="15" spans="1:38" ht="30" x14ac:dyDescent="0.25">
      <c r="A15" s="28">
        <v>12</v>
      </c>
      <c r="B15" s="15" t="s">
        <v>1146</v>
      </c>
      <c r="C15" s="15" t="s">
        <v>1147</v>
      </c>
      <c r="D15" s="28" t="s">
        <v>1148</v>
      </c>
      <c r="E15" s="15"/>
      <c r="F15" s="28" t="s">
        <v>1158</v>
      </c>
      <c r="G15" s="15"/>
      <c r="H15" s="15" t="s">
        <v>31</v>
      </c>
      <c r="I15" s="15"/>
      <c r="J15" s="15"/>
      <c r="K15" s="28">
        <v>0.5</v>
      </c>
      <c r="L15" s="28">
        <v>0.5</v>
      </c>
      <c r="M15" s="28">
        <v>1</v>
      </c>
      <c r="N15" s="15" t="s">
        <v>33</v>
      </c>
      <c r="O15" s="28">
        <f t="shared" si="4"/>
        <v>10.5</v>
      </c>
      <c r="P15" s="28">
        <f t="shared" si="5"/>
        <v>12.25</v>
      </c>
      <c r="Q15" s="28">
        <f t="shared" si="6"/>
        <v>7</v>
      </c>
      <c r="R15" s="28">
        <f t="shared" si="7"/>
        <v>5.25</v>
      </c>
      <c r="S15" s="214">
        <v>35</v>
      </c>
      <c r="T15" s="220">
        <v>171718.65</v>
      </c>
      <c r="U15" s="220">
        <v>85859.324999999997</v>
      </c>
      <c r="V15" s="15"/>
      <c r="W15" s="15"/>
      <c r="X15" s="28" t="s">
        <v>1159</v>
      </c>
      <c r="Y15" s="28">
        <v>76247</v>
      </c>
      <c r="Z15" s="182" t="s">
        <v>1151</v>
      </c>
      <c r="AA15" s="15" t="s">
        <v>1158</v>
      </c>
      <c r="AB15" s="15">
        <v>5</v>
      </c>
      <c r="AC15" s="143">
        <v>1631</v>
      </c>
      <c r="AD15" s="58"/>
      <c r="AE15" s="42"/>
      <c r="AF15" s="42"/>
      <c r="AG15" s="59"/>
      <c r="AH15" s="58"/>
      <c r="AI15" s="42"/>
      <c r="AJ15" s="42"/>
      <c r="AK15" s="59"/>
      <c r="AL15" s="221"/>
    </row>
    <row r="16" spans="1:38" ht="30" x14ac:dyDescent="0.25">
      <c r="A16" s="28">
        <v>13</v>
      </c>
      <c r="B16" s="15" t="s">
        <v>1146</v>
      </c>
      <c r="C16" s="15" t="s">
        <v>1147</v>
      </c>
      <c r="D16" s="28" t="s">
        <v>1148</v>
      </c>
      <c r="E16" s="15"/>
      <c r="F16" s="28" t="s">
        <v>1160</v>
      </c>
      <c r="G16" s="15"/>
      <c r="H16" s="15" t="s">
        <v>31</v>
      </c>
      <c r="I16" s="15"/>
      <c r="J16" s="15"/>
      <c r="K16" s="28">
        <v>0.6</v>
      </c>
      <c r="L16" s="28">
        <v>0.6</v>
      </c>
      <c r="M16" s="28">
        <v>1</v>
      </c>
      <c r="N16" s="15" t="s">
        <v>33</v>
      </c>
      <c r="O16" s="28">
        <f t="shared" si="4"/>
        <v>12.059999999999999</v>
      </c>
      <c r="P16" s="28">
        <f t="shared" si="5"/>
        <v>14.069999999999997</v>
      </c>
      <c r="Q16" s="28">
        <f t="shared" si="6"/>
        <v>8.0399999999999991</v>
      </c>
      <c r="R16" s="28">
        <f t="shared" si="7"/>
        <v>6.0299999999999994</v>
      </c>
      <c r="S16" s="214">
        <v>40.199999999999996</v>
      </c>
      <c r="T16" s="220">
        <v>171718.65</v>
      </c>
      <c r="U16" s="220">
        <v>103031.18999999999</v>
      </c>
      <c r="V16" s="15"/>
      <c r="W16" s="15"/>
      <c r="X16" s="28" t="s">
        <v>1161</v>
      </c>
      <c r="Y16" s="28">
        <v>76247</v>
      </c>
      <c r="Z16" s="182" t="s">
        <v>1151</v>
      </c>
      <c r="AA16" s="15" t="s">
        <v>1160</v>
      </c>
      <c r="AB16" s="15">
        <v>6</v>
      </c>
      <c r="AC16" s="143">
        <v>1631</v>
      </c>
      <c r="AD16" s="58"/>
      <c r="AE16" s="42"/>
      <c r="AF16" s="42"/>
      <c r="AG16" s="59"/>
      <c r="AH16" s="58"/>
      <c r="AI16" s="42"/>
      <c r="AJ16" s="42"/>
      <c r="AK16" s="59"/>
      <c r="AL16" s="221"/>
    </row>
    <row r="17" spans="1:38" ht="30" x14ac:dyDescent="0.25">
      <c r="A17" s="28">
        <v>14</v>
      </c>
      <c r="B17" s="28" t="s">
        <v>1146</v>
      </c>
      <c r="C17" s="28" t="s">
        <v>1147</v>
      </c>
      <c r="D17" s="28" t="s">
        <v>1495</v>
      </c>
      <c r="E17" s="28"/>
      <c r="F17" s="28" t="s">
        <v>1149</v>
      </c>
      <c r="G17" s="28"/>
      <c r="H17" s="28" t="s">
        <v>31</v>
      </c>
      <c r="I17" s="28"/>
      <c r="J17" s="28"/>
      <c r="K17" s="28">
        <v>0.9</v>
      </c>
      <c r="L17" s="28">
        <v>0.9</v>
      </c>
      <c r="M17" s="28">
        <v>1</v>
      </c>
      <c r="N17" s="28" t="s">
        <v>33</v>
      </c>
      <c r="O17" s="28">
        <f t="shared" si="4"/>
        <v>18.09</v>
      </c>
      <c r="P17" s="28">
        <f t="shared" si="5"/>
        <v>21.105</v>
      </c>
      <c r="Q17" s="28">
        <f t="shared" si="6"/>
        <v>12.060000000000002</v>
      </c>
      <c r="R17" s="28">
        <f t="shared" si="7"/>
        <v>9.0449999999999999</v>
      </c>
      <c r="S17" s="214">
        <v>60.300000000000004</v>
      </c>
      <c r="T17" s="220">
        <v>171718.65</v>
      </c>
      <c r="U17" s="220">
        <v>154546.785</v>
      </c>
      <c r="V17" s="15"/>
      <c r="W17" s="15"/>
      <c r="X17" s="28" t="s">
        <v>1162</v>
      </c>
      <c r="Y17" s="28">
        <v>76246</v>
      </c>
      <c r="Z17" s="182" t="s">
        <v>1151</v>
      </c>
      <c r="AA17" s="15" t="s">
        <v>1149</v>
      </c>
      <c r="AB17" s="15">
        <v>1</v>
      </c>
      <c r="AC17" s="143">
        <v>1631</v>
      </c>
      <c r="AD17" s="197">
        <f t="shared" ref="AD17:AD21" si="9">L17*0.3</f>
        <v>0.27</v>
      </c>
      <c r="AE17" s="263"/>
      <c r="AF17" s="42"/>
      <c r="AG17" s="59"/>
      <c r="AH17" s="51"/>
      <c r="AI17" s="42"/>
      <c r="AJ17" s="42"/>
      <c r="AK17" s="59"/>
      <c r="AL17" s="221"/>
    </row>
    <row r="18" spans="1:38" ht="30" x14ac:dyDescent="0.25">
      <c r="A18" s="28">
        <v>15</v>
      </c>
      <c r="B18" s="28" t="s">
        <v>1146</v>
      </c>
      <c r="C18" s="28" t="s">
        <v>1147</v>
      </c>
      <c r="D18" s="28" t="s">
        <v>1495</v>
      </c>
      <c r="E18" s="28"/>
      <c r="F18" s="28" t="s">
        <v>1163</v>
      </c>
      <c r="G18" s="28"/>
      <c r="H18" s="28" t="s">
        <v>31</v>
      </c>
      <c r="I18" s="28"/>
      <c r="J18" s="28"/>
      <c r="K18" s="28">
        <v>1.9</v>
      </c>
      <c r="L18" s="28">
        <v>1.9</v>
      </c>
      <c r="M18" s="28">
        <v>1</v>
      </c>
      <c r="N18" s="28" t="s">
        <v>33</v>
      </c>
      <c r="O18" s="28">
        <f t="shared" si="4"/>
        <v>28.5</v>
      </c>
      <c r="P18" s="28">
        <f t="shared" si="5"/>
        <v>33.25</v>
      </c>
      <c r="Q18" s="28">
        <f t="shared" si="6"/>
        <v>19</v>
      </c>
      <c r="R18" s="28">
        <f t="shared" si="7"/>
        <v>14.25</v>
      </c>
      <c r="S18" s="214">
        <v>95</v>
      </c>
      <c r="T18" s="220">
        <v>171718.65</v>
      </c>
      <c r="U18" s="220">
        <v>326265.435</v>
      </c>
      <c r="V18" s="15"/>
      <c r="W18" s="15"/>
      <c r="X18" s="28" t="s">
        <v>1164</v>
      </c>
      <c r="Y18" s="28">
        <v>76246</v>
      </c>
      <c r="Z18" s="182" t="s">
        <v>1151</v>
      </c>
      <c r="AA18" s="15" t="s">
        <v>1163</v>
      </c>
      <c r="AB18" s="15">
        <v>2</v>
      </c>
      <c r="AC18" s="143">
        <v>1631</v>
      </c>
      <c r="AD18" s="197">
        <f t="shared" si="9"/>
        <v>0.56999999999999995</v>
      </c>
      <c r="AE18" s="263"/>
      <c r="AF18" s="42"/>
      <c r="AG18" s="59"/>
      <c r="AH18" s="51"/>
      <c r="AI18" s="42"/>
      <c r="AJ18" s="42"/>
      <c r="AK18" s="59"/>
      <c r="AL18" s="221"/>
    </row>
    <row r="19" spans="1:38" ht="30" x14ac:dyDescent="0.25">
      <c r="A19" s="28">
        <v>16</v>
      </c>
      <c r="B19" s="28" t="s">
        <v>1146</v>
      </c>
      <c r="C19" s="28" t="s">
        <v>1147</v>
      </c>
      <c r="D19" s="28" t="s">
        <v>1495</v>
      </c>
      <c r="E19" s="28"/>
      <c r="F19" s="28" t="s">
        <v>1165</v>
      </c>
      <c r="G19" s="28"/>
      <c r="H19" s="28" t="s">
        <v>31</v>
      </c>
      <c r="I19" s="28"/>
      <c r="J19" s="28"/>
      <c r="K19" s="28">
        <v>1.05</v>
      </c>
      <c r="L19" s="28">
        <v>1.05</v>
      </c>
      <c r="M19" s="28">
        <v>1</v>
      </c>
      <c r="N19" s="28" t="s">
        <v>33</v>
      </c>
      <c r="O19" s="28">
        <f t="shared" si="4"/>
        <v>15.75</v>
      </c>
      <c r="P19" s="28">
        <f t="shared" si="5"/>
        <v>18.375</v>
      </c>
      <c r="Q19" s="28">
        <f t="shared" si="6"/>
        <v>10.5</v>
      </c>
      <c r="R19" s="28">
        <f t="shared" si="7"/>
        <v>7.875</v>
      </c>
      <c r="S19" s="214">
        <v>52.5</v>
      </c>
      <c r="T19" s="220">
        <v>171718.65</v>
      </c>
      <c r="U19" s="220">
        <v>180304.58249999999</v>
      </c>
      <c r="V19" s="15"/>
      <c r="W19" s="15"/>
      <c r="X19" s="28" t="s">
        <v>1166</v>
      </c>
      <c r="Y19" s="28">
        <v>76246</v>
      </c>
      <c r="Z19" s="182" t="s">
        <v>1151</v>
      </c>
      <c r="AA19" s="15" t="s">
        <v>1165</v>
      </c>
      <c r="AB19" s="15">
        <v>3</v>
      </c>
      <c r="AC19" s="143">
        <v>1631</v>
      </c>
      <c r="AD19" s="197">
        <f t="shared" si="9"/>
        <v>0.315</v>
      </c>
      <c r="AE19" s="263"/>
      <c r="AF19" s="42"/>
      <c r="AG19" s="59"/>
      <c r="AH19" s="51"/>
      <c r="AI19" s="42"/>
      <c r="AJ19" s="42"/>
      <c r="AK19" s="59"/>
      <c r="AL19" s="221"/>
    </row>
    <row r="20" spans="1:38" ht="30" x14ac:dyDescent="0.25">
      <c r="A20" s="28">
        <v>17</v>
      </c>
      <c r="B20" s="28" t="s">
        <v>1146</v>
      </c>
      <c r="C20" s="28" t="s">
        <v>1147</v>
      </c>
      <c r="D20" s="28" t="s">
        <v>1495</v>
      </c>
      <c r="E20" s="28"/>
      <c r="F20" s="28" t="s">
        <v>1167</v>
      </c>
      <c r="G20" s="28"/>
      <c r="H20" s="28" t="s">
        <v>31</v>
      </c>
      <c r="I20" s="28"/>
      <c r="J20" s="28"/>
      <c r="K20" s="28">
        <v>1.05</v>
      </c>
      <c r="L20" s="28">
        <v>1.05</v>
      </c>
      <c r="M20" s="28">
        <v>1</v>
      </c>
      <c r="N20" s="28" t="s">
        <v>33</v>
      </c>
      <c r="O20" s="28">
        <f t="shared" si="4"/>
        <v>15.75</v>
      </c>
      <c r="P20" s="28">
        <f t="shared" si="5"/>
        <v>18.375</v>
      </c>
      <c r="Q20" s="28">
        <f t="shared" si="6"/>
        <v>10.5</v>
      </c>
      <c r="R20" s="28">
        <f t="shared" si="7"/>
        <v>7.875</v>
      </c>
      <c r="S20" s="214">
        <v>52.5</v>
      </c>
      <c r="T20" s="220">
        <v>171718.65</v>
      </c>
      <c r="U20" s="220">
        <v>180304.58249999999</v>
      </c>
      <c r="V20" s="15"/>
      <c r="W20" s="15"/>
      <c r="X20" s="28" t="s">
        <v>1168</v>
      </c>
      <c r="Y20" s="28">
        <v>76246</v>
      </c>
      <c r="Z20" s="182" t="s">
        <v>1151</v>
      </c>
      <c r="AA20" s="15" t="s">
        <v>1167</v>
      </c>
      <c r="AB20" s="15">
        <v>4</v>
      </c>
      <c r="AC20" s="143">
        <v>1631</v>
      </c>
      <c r="AD20" s="197">
        <f t="shared" si="9"/>
        <v>0.315</v>
      </c>
      <c r="AE20" s="263"/>
      <c r="AF20" s="42"/>
      <c r="AG20" s="59"/>
      <c r="AH20" s="51"/>
      <c r="AI20" s="42"/>
      <c r="AJ20" s="42"/>
      <c r="AK20" s="59"/>
      <c r="AL20" s="221"/>
    </row>
    <row r="21" spans="1:38" ht="30" x14ac:dyDescent="0.25">
      <c r="A21" s="28">
        <v>18</v>
      </c>
      <c r="B21" s="28" t="s">
        <v>1146</v>
      </c>
      <c r="C21" s="28" t="s">
        <v>1147</v>
      </c>
      <c r="D21" s="28" t="s">
        <v>1495</v>
      </c>
      <c r="E21" s="28"/>
      <c r="F21" s="28" t="s">
        <v>1169</v>
      </c>
      <c r="G21" s="28"/>
      <c r="H21" s="28" t="s">
        <v>31</v>
      </c>
      <c r="I21" s="28"/>
      <c r="J21" s="28"/>
      <c r="K21" s="28">
        <v>1</v>
      </c>
      <c r="L21" s="28">
        <v>1</v>
      </c>
      <c r="M21" s="28">
        <v>1</v>
      </c>
      <c r="N21" s="28" t="s">
        <v>33</v>
      </c>
      <c r="O21" s="28">
        <f t="shared" si="4"/>
        <v>20.099999999999998</v>
      </c>
      <c r="P21" s="28">
        <f t="shared" si="5"/>
        <v>23.45</v>
      </c>
      <c r="Q21" s="28">
        <f t="shared" si="6"/>
        <v>13.4</v>
      </c>
      <c r="R21" s="28">
        <f t="shared" si="7"/>
        <v>10.049999999999999</v>
      </c>
      <c r="S21" s="214">
        <v>67</v>
      </c>
      <c r="T21" s="220">
        <v>171718.65</v>
      </c>
      <c r="U21" s="220">
        <v>171718.65</v>
      </c>
      <c r="V21" s="15"/>
      <c r="W21" s="15"/>
      <c r="X21" s="28" t="s">
        <v>1170</v>
      </c>
      <c r="Y21" s="28">
        <v>76246</v>
      </c>
      <c r="Z21" s="182" t="s">
        <v>1151</v>
      </c>
      <c r="AA21" s="15" t="s">
        <v>1169</v>
      </c>
      <c r="AB21" s="15">
        <v>5</v>
      </c>
      <c r="AC21" s="143">
        <v>1631</v>
      </c>
      <c r="AD21" s="197">
        <f t="shared" si="9"/>
        <v>0.3</v>
      </c>
      <c r="AE21" s="263"/>
      <c r="AF21" s="42"/>
      <c r="AG21" s="59"/>
      <c r="AH21" s="51"/>
      <c r="AI21" s="42"/>
      <c r="AJ21" s="42"/>
      <c r="AK21" s="59"/>
      <c r="AL21" s="221"/>
    </row>
    <row r="22" spans="1:38" ht="30" hidden="1" x14ac:dyDescent="0.25">
      <c r="A22" s="15">
        <v>19</v>
      </c>
      <c r="B22" s="15" t="s">
        <v>1146</v>
      </c>
      <c r="C22" s="15" t="s">
        <v>1147</v>
      </c>
      <c r="D22" s="15" t="s">
        <v>1148</v>
      </c>
      <c r="E22" s="15"/>
      <c r="F22" s="15" t="s">
        <v>1149</v>
      </c>
      <c r="G22" s="15"/>
      <c r="H22" s="15" t="s">
        <v>31</v>
      </c>
      <c r="I22" s="15"/>
      <c r="J22" s="15"/>
      <c r="K22" s="15">
        <v>0.9</v>
      </c>
      <c r="L22" s="15">
        <v>0.9</v>
      </c>
      <c r="M22" s="15">
        <v>1</v>
      </c>
      <c r="N22" s="15" t="s">
        <v>33</v>
      </c>
      <c r="O22" s="15">
        <f t="shared" si="4"/>
        <v>18.09</v>
      </c>
      <c r="P22" s="15">
        <f t="shared" si="5"/>
        <v>21.105</v>
      </c>
      <c r="Q22" s="15">
        <f t="shared" si="6"/>
        <v>12.060000000000002</v>
      </c>
      <c r="R22" s="15">
        <f t="shared" si="7"/>
        <v>9.0449999999999999</v>
      </c>
      <c r="S22" s="214">
        <v>60.300000000000004</v>
      </c>
      <c r="T22" s="220">
        <v>171718.65</v>
      </c>
      <c r="U22" s="220">
        <v>154546.785</v>
      </c>
      <c r="V22" s="15"/>
      <c r="W22" s="15"/>
      <c r="X22" s="15" t="s">
        <v>1162</v>
      </c>
      <c r="Y22" s="15">
        <v>76245</v>
      </c>
      <c r="Z22" s="182" t="s">
        <v>1151</v>
      </c>
      <c r="AA22" s="15" t="s">
        <v>1149</v>
      </c>
      <c r="AB22" s="15">
        <v>1</v>
      </c>
      <c r="AC22" s="143">
        <v>1631</v>
      </c>
      <c r="AD22" s="58"/>
      <c r="AE22" s="42"/>
      <c r="AF22" s="42"/>
      <c r="AG22" s="59"/>
      <c r="AH22" s="58"/>
      <c r="AI22" s="42"/>
      <c r="AJ22" s="42"/>
      <c r="AK22" s="59"/>
      <c r="AL22" s="221"/>
    </row>
    <row r="23" spans="1:38" ht="30" hidden="1" x14ac:dyDescent="0.25">
      <c r="A23" s="15">
        <v>20</v>
      </c>
      <c r="B23" s="15" t="s">
        <v>1146</v>
      </c>
      <c r="C23" s="15" t="s">
        <v>1147</v>
      </c>
      <c r="D23" s="15" t="s">
        <v>1148</v>
      </c>
      <c r="E23" s="15"/>
      <c r="F23" s="15" t="s">
        <v>1163</v>
      </c>
      <c r="G23" s="15"/>
      <c r="H23" s="15" t="s">
        <v>31</v>
      </c>
      <c r="I23" s="15"/>
      <c r="J23" s="15"/>
      <c r="K23" s="15">
        <v>1.9</v>
      </c>
      <c r="L23" s="15">
        <v>1.9</v>
      </c>
      <c r="M23" s="15">
        <v>1</v>
      </c>
      <c r="N23" s="15" t="s">
        <v>33</v>
      </c>
      <c r="O23" s="15">
        <f t="shared" si="4"/>
        <v>28.5</v>
      </c>
      <c r="P23" s="15">
        <f t="shared" si="5"/>
        <v>33.25</v>
      </c>
      <c r="Q23" s="15">
        <f t="shared" si="6"/>
        <v>19</v>
      </c>
      <c r="R23" s="15">
        <f t="shared" si="7"/>
        <v>14.25</v>
      </c>
      <c r="S23" s="214">
        <v>95</v>
      </c>
      <c r="T23" s="220">
        <v>171718.65</v>
      </c>
      <c r="U23" s="220">
        <v>326265.435</v>
      </c>
      <c r="V23" s="15"/>
      <c r="W23" s="15"/>
      <c r="X23" s="15" t="s">
        <v>1164</v>
      </c>
      <c r="Y23" s="15">
        <v>76245</v>
      </c>
      <c r="Z23" s="182" t="s">
        <v>1151</v>
      </c>
      <c r="AA23" s="15" t="s">
        <v>1163</v>
      </c>
      <c r="AB23" s="15">
        <v>2</v>
      </c>
      <c r="AC23" s="143">
        <v>1631</v>
      </c>
      <c r="AD23" s="58"/>
      <c r="AE23" s="42"/>
      <c r="AF23" s="42"/>
      <c r="AG23" s="59"/>
      <c r="AH23" s="58"/>
      <c r="AI23" s="42"/>
      <c r="AJ23" s="42"/>
      <c r="AK23" s="59"/>
      <c r="AL23" s="221"/>
    </row>
    <row r="24" spans="1:38" ht="30" hidden="1" x14ac:dyDescent="0.25">
      <c r="A24" s="15">
        <v>21</v>
      </c>
      <c r="B24" s="15" t="s">
        <v>1146</v>
      </c>
      <c r="C24" s="15" t="s">
        <v>1147</v>
      </c>
      <c r="D24" s="15" t="s">
        <v>1148</v>
      </c>
      <c r="E24" s="15"/>
      <c r="F24" s="15" t="s">
        <v>1165</v>
      </c>
      <c r="G24" s="15"/>
      <c r="H24" s="15" t="s">
        <v>31</v>
      </c>
      <c r="I24" s="15"/>
      <c r="J24" s="15"/>
      <c r="K24" s="15">
        <v>1.05</v>
      </c>
      <c r="L24" s="15">
        <v>1.05</v>
      </c>
      <c r="M24" s="15">
        <v>1</v>
      </c>
      <c r="N24" s="15" t="s">
        <v>33</v>
      </c>
      <c r="O24" s="15">
        <f t="shared" si="4"/>
        <v>15.75</v>
      </c>
      <c r="P24" s="15">
        <f t="shared" si="5"/>
        <v>18.375</v>
      </c>
      <c r="Q24" s="15">
        <f t="shared" si="6"/>
        <v>10.5</v>
      </c>
      <c r="R24" s="15">
        <f t="shared" si="7"/>
        <v>7.875</v>
      </c>
      <c r="S24" s="214">
        <v>52.5</v>
      </c>
      <c r="T24" s="220">
        <v>171718.65</v>
      </c>
      <c r="U24" s="220">
        <v>180304.58249999999</v>
      </c>
      <c r="V24" s="15"/>
      <c r="W24" s="15"/>
      <c r="X24" s="15" t="s">
        <v>1166</v>
      </c>
      <c r="Y24" s="15">
        <v>76245</v>
      </c>
      <c r="Z24" s="182" t="s">
        <v>1151</v>
      </c>
      <c r="AA24" s="15" t="s">
        <v>1165</v>
      </c>
      <c r="AB24" s="15">
        <v>3</v>
      </c>
      <c r="AC24" s="143">
        <v>1631</v>
      </c>
      <c r="AD24" s="58"/>
      <c r="AE24" s="42"/>
      <c r="AF24" s="42"/>
      <c r="AG24" s="59"/>
      <c r="AH24" s="58"/>
      <c r="AI24" s="42"/>
      <c r="AJ24" s="42"/>
      <c r="AK24" s="59"/>
      <c r="AL24" s="221"/>
    </row>
    <row r="25" spans="1:38" ht="30" hidden="1" x14ac:dyDescent="0.25">
      <c r="A25" s="15">
        <v>22</v>
      </c>
      <c r="B25" s="15" t="s">
        <v>1146</v>
      </c>
      <c r="C25" s="15" t="s">
        <v>1147</v>
      </c>
      <c r="D25" s="15" t="s">
        <v>1148</v>
      </c>
      <c r="E25" s="15"/>
      <c r="F25" s="15" t="s">
        <v>1167</v>
      </c>
      <c r="G25" s="15"/>
      <c r="H25" s="15" t="s">
        <v>31</v>
      </c>
      <c r="I25" s="15"/>
      <c r="J25" s="15"/>
      <c r="K25" s="15">
        <v>1.05</v>
      </c>
      <c r="L25" s="15">
        <v>1.05</v>
      </c>
      <c r="M25" s="15">
        <v>1</v>
      </c>
      <c r="N25" s="15" t="s">
        <v>33</v>
      </c>
      <c r="O25" s="15">
        <f t="shared" si="4"/>
        <v>15.75</v>
      </c>
      <c r="P25" s="15">
        <f t="shared" si="5"/>
        <v>18.375</v>
      </c>
      <c r="Q25" s="15">
        <f t="shared" si="6"/>
        <v>10.5</v>
      </c>
      <c r="R25" s="15">
        <f t="shared" si="7"/>
        <v>7.875</v>
      </c>
      <c r="S25" s="214">
        <v>52.5</v>
      </c>
      <c r="T25" s="220">
        <v>171718.65</v>
      </c>
      <c r="U25" s="220">
        <v>180304.58249999999</v>
      </c>
      <c r="V25" s="15"/>
      <c r="W25" s="15"/>
      <c r="X25" s="15" t="s">
        <v>1168</v>
      </c>
      <c r="Y25" s="15">
        <v>76245</v>
      </c>
      <c r="Z25" s="182" t="s">
        <v>1151</v>
      </c>
      <c r="AA25" s="15" t="s">
        <v>1167</v>
      </c>
      <c r="AB25" s="15">
        <v>4</v>
      </c>
      <c r="AC25" s="143">
        <v>1631</v>
      </c>
      <c r="AD25" s="58"/>
      <c r="AE25" s="42"/>
      <c r="AF25" s="42"/>
      <c r="AG25" s="59"/>
      <c r="AH25" s="58"/>
      <c r="AI25" s="42"/>
      <c r="AJ25" s="42"/>
      <c r="AK25" s="59"/>
      <c r="AL25" s="221"/>
    </row>
    <row r="26" spans="1:38" ht="30" hidden="1" x14ac:dyDescent="0.25">
      <c r="A26" s="15">
        <v>23</v>
      </c>
      <c r="B26" s="15" t="s">
        <v>1146</v>
      </c>
      <c r="C26" s="15" t="s">
        <v>1147</v>
      </c>
      <c r="D26" s="15" t="s">
        <v>1148</v>
      </c>
      <c r="E26" s="15"/>
      <c r="F26" s="15" t="s">
        <v>1169</v>
      </c>
      <c r="G26" s="15"/>
      <c r="H26" s="15" t="s">
        <v>31</v>
      </c>
      <c r="I26" s="15"/>
      <c r="J26" s="15"/>
      <c r="K26" s="15">
        <v>1</v>
      </c>
      <c r="L26" s="15">
        <v>1</v>
      </c>
      <c r="M26" s="15">
        <v>1</v>
      </c>
      <c r="N26" s="15" t="s">
        <v>33</v>
      </c>
      <c r="O26" s="15">
        <f t="shared" si="4"/>
        <v>20.099999999999998</v>
      </c>
      <c r="P26" s="15">
        <f t="shared" si="5"/>
        <v>23.45</v>
      </c>
      <c r="Q26" s="15">
        <f t="shared" si="6"/>
        <v>13.4</v>
      </c>
      <c r="R26" s="15">
        <f t="shared" si="7"/>
        <v>10.049999999999999</v>
      </c>
      <c r="S26" s="214">
        <v>67</v>
      </c>
      <c r="T26" s="220">
        <v>171718.65</v>
      </c>
      <c r="U26" s="220">
        <v>171718.65</v>
      </c>
      <c r="V26" s="15"/>
      <c r="W26" s="15"/>
      <c r="X26" s="15" t="s">
        <v>1170</v>
      </c>
      <c r="Y26" s="15">
        <v>76245</v>
      </c>
      <c r="Z26" s="182" t="s">
        <v>1151</v>
      </c>
      <c r="AA26" s="15" t="s">
        <v>1169</v>
      </c>
      <c r="AB26" s="15">
        <v>5</v>
      </c>
      <c r="AC26" s="143">
        <v>1631</v>
      </c>
      <c r="AD26" s="58"/>
      <c r="AE26" s="42"/>
      <c r="AF26" s="42"/>
      <c r="AG26" s="59"/>
      <c r="AH26" s="58"/>
      <c r="AI26" s="42"/>
      <c r="AJ26" s="42"/>
      <c r="AK26" s="59"/>
      <c r="AL26" s="221"/>
    </row>
    <row r="27" spans="1:38" ht="30" hidden="1" x14ac:dyDescent="0.25">
      <c r="A27" s="15">
        <v>24</v>
      </c>
      <c r="B27" s="15" t="s">
        <v>1146</v>
      </c>
      <c r="C27" s="15" t="s">
        <v>1147</v>
      </c>
      <c r="D27" s="15" t="s">
        <v>1148</v>
      </c>
      <c r="E27" s="15"/>
      <c r="F27" s="15" t="s">
        <v>1149</v>
      </c>
      <c r="G27" s="15"/>
      <c r="H27" s="15" t="s">
        <v>31</v>
      </c>
      <c r="I27" s="15"/>
      <c r="J27" s="15"/>
      <c r="K27" s="15">
        <v>1.1000000000000001</v>
      </c>
      <c r="L27" s="15">
        <v>1.1000000000000001</v>
      </c>
      <c r="M27" s="15">
        <v>1</v>
      </c>
      <c r="N27" s="15" t="s">
        <v>33</v>
      </c>
      <c r="O27" s="15">
        <f t="shared" si="4"/>
        <v>16.5</v>
      </c>
      <c r="P27" s="15">
        <f t="shared" si="5"/>
        <v>19.25</v>
      </c>
      <c r="Q27" s="15">
        <f t="shared" si="6"/>
        <v>11.000000000000002</v>
      </c>
      <c r="R27" s="15">
        <f t="shared" si="7"/>
        <v>8.25</v>
      </c>
      <c r="S27" s="214">
        <v>55.000000000000007</v>
      </c>
      <c r="T27" s="220">
        <v>171718.65</v>
      </c>
      <c r="U27" s="220">
        <v>188890.51500000001</v>
      </c>
      <c r="V27" s="15"/>
      <c r="W27" s="15"/>
      <c r="X27" s="15" t="s">
        <v>1150</v>
      </c>
      <c r="Y27" s="15">
        <v>76244</v>
      </c>
      <c r="Z27" s="182" t="s">
        <v>1151</v>
      </c>
      <c r="AA27" s="15" t="s">
        <v>1149</v>
      </c>
      <c r="AB27" s="15">
        <v>1</v>
      </c>
      <c r="AC27" s="143">
        <v>1631</v>
      </c>
      <c r="AD27" s="58"/>
      <c r="AE27" s="42"/>
      <c r="AF27" s="42"/>
      <c r="AG27" s="59"/>
      <c r="AH27" s="58"/>
      <c r="AI27" s="42"/>
      <c r="AJ27" s="42"/>
      <c r="AK27" s="59"/>
      <c r="AL27" s="221"/>
    </row>
    <row r="28" spans="1:38" ht="30" hidden="1" x14ac:dyDescent="0.25">
      <c r="A28" s="15">
        <v>25</v>
      </c>
      <c r="B28" s="15" t="s">
        <v>1146</v>
      </c>
      <c r="C28" s="15" t="s">
        <v>1147</v>
      </c>
      <c r="D28" s="15" t="s">
        <v>1148</v>
      </c>
      <c r="E28" s="15"/>
      <c r="F28" s="15" t="s">
        <v>1163</v>
      </c>
      <c r="G28" s="15"/>
      <c r="H28" s="15" t="s">
        <v>31</v>
      </c>
      <c r="I28" s="15"/>
      <c r="J28" s="15"/>
      <c r="K28" s="15">
        <v>1.9</v>
      </c>
      <c r="L28" s="15">
        <v>1.9</v>
      </c>
      <c r="M28" s="15">
        <v>1</v>
      </c>
      <c r="N28" s="15" t="s">
        <v>33</v>
      </c>
      <c r="O28" s="15">
        <f t="shared" si="4"/>
        <v>28.5</v>
      </c>
      <c r="P28" s="15" t="s">
        <v>472</v>
      </c>
      <c r="Q28" s="15">
        <f t="shared" si="6"/>
        <v>19</v>
      </c>
      <c r="R28" s="15">
        <f t="shared" si="7"/>
        <v>14.25</v>
      </c>
      <c r="S28" s="214">
        <v>95</v>
      </c>
      <c r="T28" s="220">
        <v>171718.65</v>
      </c>
      <c r="U28" s="220">
        <v>326265.435</v>
      </c>
      <c r="V28" s="15"/>
      <c r="W28" s="15"/>
      <c r="X28" s="15" t="s">
        <v>1171</v>
      </c>
      <c r="Y28" s="15">
        <v>76244</v>
      </c>
      <c r="Z28" s="182" t="s">
        <v>1151</v>
      </c>
      <c r="AA28" s="15" t="s">
        <v>1163</v>
      </c>
      <c r="AB28" s="15">
        <v>2</v>
      </c>
      <c r="AC28" s="143">
        <v>1631</v>
      </c>
      <c r="AD28" s="58"/>
      <c r="AE28" s="42"/>
      <c r="AF28" s="42"/>
      <c r="AG28" s="59"/>
      <c r="AH28" s="58"/>
      <c r="AI28" s="42"/>
      <c r="AJ28" s="42"/>
      <c r="AK28" s="59"/>
      <c r="AL28" s="221"/>
    </row>
    <row r="29" spans="1:38" ht="30" hidden="1" x14ac:dyDescent="0.25">
      <c r="A29" s="15">
        <v>26</v>
      </c>
      <c r="B29" s="15" t="s">
        <v>1146</v>
      </c>
      <c r="C29" s="15" t="s">
        <v>1147</v>
      </c>
      <c r="D29" s="15" t="s">
        <v>1148</v>
      </c>
      <c r="E29" s="15"/>
      <c r="F29" s="15" t="s">
        <v>1165</v>
      </c>
      <c r="G29" s="15"/>
      <c r="H29" s="15" t="s">
        <v>31</v>
      </c>
      <c r="I29" s="15"/>
      <c r="J29" s="15"/>
      <c r="K29" s="15">
        <v>1.1000000000000001</v>
      </c>
      <c r="L29" s="15">
        <v>1.1000000000000001</v>
      </c>
      <c r="M29" s="15">
        <v>1</v>
      </c>
      <c r="N29" s="15" t="s">
        <v>33</v>
      </c>
      <c r="O29" s="15">
        <f t="shared" si="4"/>
        <v>16.5</v>
      </c>
      <c r="P29" s="15">
        <f t="shared" si="5"/>
        <v>19.25</v>
      </c>
      <c r="Q29" s="15">
        <f t="shared" si="6"/>
        <v>11.000000000000002</v>
      </c>
      <c r="R29" s="15">
        <f t="shared" si="7"/>
        <v>8.25</v>
      </c>
      <c r="S29" s="214">
        <v>55.000000000000007</v>
      </c>
      <c r="T29" s="220">
        <v>171718.65</v>
      </c>
      <c r="U29" s="220">
        <v>188890.51500000001</v>
      </c>
      <c r="V29" s="15"/>
      <c r="W29" s="15"/>
      <c r="X29" s="15" t="s">
        <v>1172</v>
      </c>
      <c r="Y29" s="15">
        <v>76244</v>
      </c>
      <c r="Z29" s="182" t="s">
        <v>1151</v>
      </c>
      <c r="AA29" s="15" t="s">
        <v>1165</v>
      </c>
      <c r="AB29" s="15">
        <v>3</v>
      </c>
      <c r="AC29" s="143">
        <v>1631</v>
      </c>
      <c r="AD29" s="58"/>
      <c r="AE29" s="42"/>
      <c r="AF29" s="42"/>
      <c r="AG29" s="59"/>
      <c r="AH29" s="58"/>
      <c r="AI29" s="42"/>
      <c r="AJ29" s="42"/>
      <c r="AK29" s="59"/>
      <c r="AL29" s="221"/>
    </row>
    <row r="30" spans="1:38" ht="30" hidden="1" x14ac:dyDescent="0.25">
      <c r="A30" s="15">
        <v>27</v>
      </c>
      <c r="B30" s="15" t="s">
        <v>1146</v>
      </c>
      <c r="C30" s="15" t="s">
        <v>1147</v>
      </c>
      <c r="D30" s="15" t="s">
        <v>1148</v>
      </c>
      <c r="E30" s="15"/>
      <c r="F30" s="15" t="s">
        <v>1173</v>
      </c>
      <c r="G30" s="15"/>
      <c r="H30" s="15" t="s">
        <v>31</v>
      </c>
      <c r="I30" s="15"/>
      <c r="J30" s="15"/>
      <c r="K30" s="15">
        <v>1.1000000000000001</v>
      </c>
      <c r="L30" s="15">
        <v>1.1000000000000001</v>
      </c>
      <c r="M30" s="15">
        <v>1</v>
      </c>
      <c r="N30" s="15" t="s">
        <v>33</v>
      </c>
      <c r="O30" s="15">
        <f t="shared" si="4"/>
        <v>16.5</v>
      </c>
      <c r="P30" s="15">
        <f t="shared" si="5"/>
        <v>19.25</v>
      </c>
      <c r="Q30" s="15">
        <f t="shared" si="6"/>
        <v>11.000000000000002</v>
      </c>
      <c r="R30" s="15">
        <f t="shared" si="7"/>
        <v>8.25</v>
      </c>
      <c r="S30" s="214">
        <v>55.000000000000007</v>
      </c>
      <c r="T30" s="220">
        <v>171718.65</v>
      </c>
      <c r="U30" s="220">
        <v>188890.51500000001</v>
      </c>
      <c r="V30" s="15"/>
      <c r="W30" s="15"/>
      <c r="X30" s="15" t="s">
        <v>1174</v>
      </c>
      <c r="Y30" s="15">
        <v>76244</v>
      </c>
      <c r="Z30" s="182" t="s">
        <v>1151</v>
      </c>
      <c r="AA30" s="15" t="s">
        <v>1173</v>
      </c>
      <c r="AB30" s="15">
        <v>4</v>
      </c>
      <c r="AC30" s="143">
        <v>1631</v>
      </c>
      <c r="AD30" s="58"/>
      <c r="AE30" s="42"/>
      <c r="AF30" s="42"/>
      <c r="AG30" s="59"/>
      <c r="AH30" s="58"/>
      <c r="AI30" s="42"/>
      <c r="AJ30" s="42"/>
      <c r="AK30" s="59"/>
      <c r="AL30" s="221"/>
    </row>
    <row r="31" spans="1:38" ht="30" x14ac:dyDescent="0.25">
      <c r="A31" s="28">
        <v>28</v>
      </c>
      <c r="B31" s="28" t="s">
        <v>1146</v>
      </c>
      <c r="C31" s="28" t="s">
        <v>1147</v>
      </c>
      <c r="D31" s="28" t="s">
        <v>1494</v>
      </c>
      <c r="E31" s="28"/>
      <c r="F31" s="28" t="s">
        <v>1149</v>
      </c>
      <c r="G31" s="28"/>
      <c r="H31" s="28" t="s">
        <v>31</v>
      </c>
      <c r="I31" s="28"/>
      <c r="J31" s="28"/>
      <c r="K31" s="28">
        <v>1.1000000000000001</v>
      </c>
      <c r="L31" s="28">
        <v>1.1000000000000001</v>
      </c>
      <c r="M31" s="28">
        <v>1</v>
      </c>
      <c r="N31" s="28" t="s">
        <v>33</v>
      </c>
      <c r="O31" s="28">
        <f t="shared" si="4"/>
        <v>16.5</v>
      </c>
      <c r="P31" s="28">
        <f t="shared" si="5"/>
        <v>19.25</v>
      </c>
      <c r="Q31" s="28">
        <f t="shared" si="6"/>
        <v>11.000000000000002</v>
      </c>
      <c r="R31" s="28">
        <f t="shared" si="7"/>
        <v>8.25</v>
      </c>
      <c r="S31" s="214">
        <v>55.000000000000007</v>
      </c>
      <c r="T31" s="220">
        <v>171718.65</v>
      </c>
      <c r="U31" s="220">
        <v>188890.51500000001</v>
      </c>
      <c r="V31" s="15"/>
      <c r="W31" s="15"/>
      <c r="X31" s="28" t="s">
        <v>1150</v>
      </c>
      <c r="Y31" s="28">
        <v>76243</v>
      </c>
      <c r="Z31" s="182" t="s">
        <v>1151</v>
      </c>
      <c r="AA31" s="15" t="s">
        <v>1149</v>
      </c>
      <c r="AB31" s="15">
        <v>1</v>
      </c>
      <c r="AC31" s="143">
        <v>1631</v>
      </c>
      <c r="AD31" s="261"/>
      <c r="AE31" s="263"/>
      <c r="AF31" s="42"/>
      <c r="AG31" s="59"/>
      <c r="AH31" s="58"/>
      <c r="AI31" s="42"/>
      <c r="AJ31" s="42"/>
      <c r="AK31" s="59"/>
      <c r="AL31" s="221"/>
    </row>
    <row r="32" spans="1:38" ht="30" x14ac:dyDescent="0.25">
      <c r="A32" s="28">
        <v>29</v>
      </c>
      <c r="B32" s="28" t="s">
        <v>1146</v>
      </c>
      <c r="C32" s="28" t="s">
        <v>1147</v>
      </c>
      <c r="D32" s="28" t="s">
        <v>1494</v>
      </c>
      <c r="E32" s="28"/>
      <c r="F32" s="28" t="s">
        <v>1163</v>
      </c>
      <c r="G32" s="28"/>
      <c r="H32" s="28" t="s">
        <v>31</v>
      </c>
      <c r="I32" s="28"/>
      <c r="J32" s="28"/>
      <c r="K32" s="28">
        <v>1.9</v>
      </c>
      <c r="L32" s="28">
        <v>1.9</v>
      </c>
      <c r="M32" s="28">
        <v>1</v>
      </c>
      <c r="N32" s="28" t="s">
        <v>33</v>
      </c>
      <c r="O32" s="28">
        <f t="shared" si="4"/>
        <v>28.5</v>
      </c>
      <c r="P32" s="28">
        <f t="shared" si="5"/>
        <v>33.25</v>
      </c>
      <c r="Q32" s="28">
        <f t="shared" si="6"/>
        <v>19</v>
      </c>
      <c r="R32" s="28">
        <f t="shared" si="7"/>
        <v>14.25</v>
      </c>
      <c r="S32" s="214">
        <v>95</v>
      </c>
      <c r="T32" s="220">
        <v>171718.65</v>
      </c>
      <c r="U32" s="220">
        <v>326265.435</v>
      </c>
      <c r="V32" s="15"/>
      <c r="W32" s="15"/>
      <c r="X32" s="28" t="s">
        <v>1171</v>
      </c>
      <c r="Y32" s="28">
        <v>76243</v>
      </c>
      <c r="Z32" s="182" t="s">
        <v>1151</v>
      </c>
      <c r="AA32" s="15" t="s">
        <v>1163</v>
      </c>
      <c r="AB32" s="15">
        <v>2</v>
      </c>
      <c r="AC32" s="143">
        <v>1631</v>
      </c>
      <c r="AD32" s="261"/>
      <c r="AE32" s="263"/>
      <c r="AF32" s="42"/>
      <c r="AG32" s="59"/>
      <c r="AH32" s="58"/>
      <c r="AI32" s="42"/>
      <c r="AJ32" s="42"/>
      <c r="AK32" s="59"/>
      <c r="AL32" s="221"/>
    </row>
    <row r="33" spans="1:38" ht="30" x14ac:dyDescent="0.25">
      <c r="A33" s="28">
        <v>30</v>
      </c>
      <c r="B33" s="28" t="s">
        <v>1146</v>
      </c>
      <c r="C33" s="28" t="s">
        <v>1147</v>
      </c>
      <c r="D33" s="28" t="s">
        <v>1494</v>
      </c>
      <c r="E33" s="28"/>
      <c r="F33" s="28" t="s">
        <v>1165</v>
      </c>
      <c r="G33" s="28"/>
      <c r="H33" s="28" t="s">
        <v>31</v>
      </c>
      <c r="I33" s="28"/>
      <c r="J33" s="28"/>
      <c r="K33" s="28">
        <v>1.1000000000000001</v>
      </c>
      <c r="L33" s="28">
        <v>1.1000000000000001</v>
      </c>
      <c r="M33" s="28">
        <v>1</v>
      </c>
      <c r="N33" s="28" t="s">
        <v>33</v>
      </c>
      <c r="O33" s="28">
        <f t="shared" si="4"/>
        <v>16.5</v>
      </c>
      <c r="P33" s="28">
        <f t="shared" si="5"/>
        <v>19.25</v>
      </c>
      <c r="Q33" s="28">
        <f t="shared" si="6"/>
        <v>11.000000000000002</v>
      </c>
      <c r="R33" s="28">
        <f t="shared" si="7"/>
        <v>8.25</v>
      </c>
      <c r="S33" s="214">
        <v>55.000000000000007</v>
      </c>
      <c r="T33" s="220">
        <v>171718.65</v>
      </c>
      <c r="U33" s="220">
        <v>188890.51500000001</v>
      </c>
      <c r="V33" s="15"/>
      <c r="W33" s="15"/>
      <c r="X33" s="28" t="s">
        <v>1172</v>
      </c>
      <c r="Y33" s="28">
        <v>76243</v>
      </c>
      <c r="Z33" s="182" t="s">
        <v>1151</v>
      </c>
      <c r="AA33" s="15" t="s">
        <v>1165</v>
      </c>
      <c r="AB33" s="15">
        <v>3</v>
      </c>
      <c r="AC33" s="143">
        <v>1631</v>
      </c>
      <c r="AD33" s="261"/>
      <c r="AE33" s="263"/>
      <c r="AF33" s="42"/>
      <c r="AG33" s="59"/>
      <c r="AH33" s="58"/>
      <c r="AI33" s="42"/>
      <c r="AJ33" s="42"/>
      <c r="AK33" s="59"/>
      <c r="AL33" s="221"/>
    </row>
    <row r="34" spans="1:38" ht="30" x14ac:dyDescent="0.25">
      <c r="A34" s="28">
        <v>31</v>
      </c>
      <c r="B34" s="28" t="s">
        <v>1146</v>
      </c>
      <c r="C34" s="28" t="s">
        <v>1147</v>
      </c>
      <c r="D34" s="28" t="s">
        <v>1494</v>
      </c>
      <c r="E34" s="28"/>
      <c r="F34" s="28" t="s">
        <v>1173</v>
      </c>
      <c r="G34" s="28"/>
      <c r="H34" s="28" t="s">
        <v>31</v>
      </c>
      <c r="I34" s="28"/>
      <c r="J34" s="28"/>
      <c r="K34" s="28">
        <v>1.1000000000000001</v>
      </c>
      <c r="L34" s="28">
        <v>1.1000000000000001</v>
      </c>
      <c r="M34" s="28">
        <v>1</v>
      </c>
      <c r="N34" s="28" t="s">
        <v>33</v>
      </c>
      <c r="O34" s="28">
        <f t="shared" si="4"/>
        <v>16.5</v>
      </c>
      <c r="P34" s="28">
        <f t="shared" si="5"/>
        <v>19.25</v>
      </c>
      <c r="Q34" s="28">
        <f t="shared" si="6"/>
        <v>11.000000000000002</v>
      </c>
      <c r="R34" s="28">
        <f t="shared" si="7"/>
        <v>8.25</v>
      </c>
      <c r="S34" s="214">
        <v>55.000000000000007</v>
      </c>
      <c r="T34" s="220">
        <v>171718.65</v>
      </c>
      <c r="U34" s="220">
        <v>188890.51500000001</v>
      </c>
      <c r="V34" s="15"/>
      <c r="W34" s="15"/>
      <c r="X34" s="28" t="s">
        <v>1174</v>
      </c>
      <c r="Y34" s="28">
        <v>76243</v>
      </c>
      <c r="Z34" s="182" t="s">
        <v>1151</v>
      </c>
      <c r="AA34" s="15" t="s">
        <v>1173</v>
      </c>
      <c r="AB34" s="15">
        <v>4</v>
      </c>
      <c r="AC34" s="143">
        <v>1631</v>
      </c>
      <c r="AD34" s="261"/>
      <c r="AE34" s="263"/>
      <c r="AF34" s="42"/>
      <c r="AG34" s="59"/>
      <c r="AH34" s="58"/>
      <c r="AI34" s="42"/>
      <c r="AJ34" s="42"/>
      <c r="AK34" s="59"/>
      <c r="AL34" s="221"/>
    </row>
    <row r="35" spans="1:38" ht="30" hidden="1" x14ac:dyDescent="0.25">
      <c r="A35" s="15">
        <v>32</v>
      </c>
      <c r="B35" s="15" t="s">
        <v>1146</v>
      </c>
      <c r="C35" s="15" t="s">
        <v>1147</v>
      </c>
      <c r="D35" s="15" t="s">
        <v>1148</v>
      </c>
      <c r="E35" s="15"/>
      <c r="F35" s="15" t="s">
        <v>1149</v>
      </c>
      <c r="G35" s="15"/>
      <c r="H35" s="15" t="s">
        <v>31</v>
      </c>
      <c r="I35" s="15"/>
      <c r="J35" s="15"/>
      <c r="K35" s="15">
        <v>0.9</v>
      </c>
      <c r="L35" s="15">
        <v>0.9</v>
      </c>
      <c r="M35" s="15">
        <v>1</v>
      </c>
      <c r="N35" s="15" t="s">
        <v>33</v>
      </c>
      <c r="O35" s="15">
        <f t="shared" si="4"/>
        <v>18.09</v>
      </c>
      <c r="P35" s="15">
        <f t="shared" si="5"/>
        <v>21.105</v>
      </c>
      <c r="Q35" s="15">
        <f t="shared" si="6"/>
        <v>12.060000000000002</v>
      </c>
      <c r="R35" s="15">
        <f t="shared" si="7"/>
        <v>9.0449999999999999</v>
      </c>
      <c r="S35" s="214">
        <v>60.300000000000004</v>
      </c>
      <c r="T35" s="220">
        <v>171718.65</v>
      </c>
      <c r="U35" s="220">
        <v>154546.785</v>
      </c>
      <c r="V35" s="15"/>
      <c r="W35" s="15"/>
      <c r="X35" s="381" t="s">
        <v>1162</v>
      </c>
      <c r="Y35" s="381">
        <v>76242</v>
      </c>
      <c r="Z35" s="182" t="s">
        <v>1151</v>
      </c>
      <c r="AA35" s="15" t="s">
        <v>1149</v>
      </c>
      <c r="AB35" s="15">
        <v>1</v>
      </c>
      <c r="AC35" s="143">
        <v>1631</v>
      </c>
      <c r="AD35" s="58"/>
      <c r="AE35" s="42"/>
      <c r="AF35" s="42"/>
      <c r="AG35" s="59"/>
      <c r="AH35" s="58"/>
      <c r="AI35" s="42"/>
      <c r="AJ35" s="42"/>
      <c r="AK35" s="59"/>
      <c r="AL35" s="221"/>
    </row>
    <row r="36" spans="1:38" ht="30" hidden="1" x14ac:dyDescent="0.25">
      <c r="A36" s="15">
        <v>33</v>
      </c>
      <c r="B36" s="15" t="s">
        <v>1146</v>
      </c>
      <c r="C36" s="15" t="s">
        <v>1147</v>
      </c>
      <c r="D36" s="15" t="s">
        <v>1148</v>
      </c>
      <c r="E36" s="15"/>
      <c r="F36" s="15" t="s">
        <v>1163</v>
      </c>
      <c r="G36" s="15"/>
      <c r="H36" s="15" t="s">
        <v>31</v>
      </c>
      <c r="I36" s="15"/>
      <c r="J36" s="15"/>
      <c r="K36" s="15">
        <v>1.9</v>
      </c>
      <c r="L36" s="15">
        <v>1.9</v>
      </c>
      <c r="M36" s="15">
        <v>1</v>
      </c>
      <c r="N36" s="15" t="s">
        <v>33</v>
      </c>
      <c r="O36" s="15">
        <f t="shared" si="4"/>
        <v>28.5</v>
      </c>
      <c r="P36" s="15">
        <f t="shared" si="5"/>
        <v>33.25</v>
      </c>
      <c r="Q36" s="15">
        <f t="shared" si="6"/>
        <v>19</v>
      </c>
      <c r="R36" s="15">
        <f t="shared" si="7"/>
        <v>14.25</v>
      </c>
      <c r="S36" s="214">
        <v>95</v>
      </c>
      <c r="T36" s="220">
        <v>171718.65</v>
      </c>
      <c r="U36" s="220">
        <v>326265.435</v>
      </c>
      <c r="V36" s="15"/>
      <c r="W36" s="15"/>
      <c r="X36" s="381" t="s">
        <v>1175</v>
      </c>
      <c r="Y36" s="381">
        <v>76242</v>
      </c>
      <c r="Z36" s="182" t="s">
        <v>1151</v>
      </c>
      <c r="AA36" s="15" t="s">
        <v>1163</v>
      </c>
      <c r="AB36" s="15">
        <v>2</v>
      </c>
      <c r="AC36" s="143">
        <v>1631</v>
      </c>
      <c r="AD36" s="58"/>
      <c r="AE36" s="42"/>
      <c r="AF36" s="42"/>
      <c r="AG36" s="59"/>
      <c r="AH36" s="58"/>
      <c r="AI36" s="42"/>
      <c r="AJ36" s="42"/>
      <c r="AK36" s="59"/>
      <c r="AL36" s="221"/>
    </row>
    <row r="37" spans="1:38" ht="30" hidden="1" x14ac:dyDescent="0.25">
      <c r="A37" s="15">
        <v>34</v>
      </c>
      <c r="B37" s="15" t="s">
        <v>1146</v>
      </c>
      <c r="C37" s="15" t="s">
        <v>1147</v>
      </c>
      <c r="D37" s="15" t="s">
        <v>1148</v>
      </c>
      <c r="E37" s="15"/>
      <c r="F37" s="15" t="s">
        <v>1165</v>
      </c>
      <c r="G37" s="15"/>
      <c r="H37" s="15" t="s">
        <v>31</v>
      </c>
      <c r="I37" s="15"/>
      <c r="J37" s="15"/>
      <c r="K37" s="15">
        <v>1</v>
      </c>
      <c r="L37" s="15">
        <v>1</v>
      </c>
      <c r="M37" s="15">
        <v>1</v>
      </c>
      <c r="N37" s="15" t="s">
        <v>33</v>
      </c>
      <c r="O37" s="15">
        <f t="shared" si="4"/>
        <v>20.099999999999998</v>
      </c>
      <c r="P37" s="15">
        <f t="shared" si="5"/>
        <v>23.45</v>
      </c>
      <c r="Q37" s="15">
        <f t="shared" si="6"/>
        <v>13.4</v>
      </c>
      <c r="R37" s="15">
        <f t="shared" si="7"/>
        <v>10.049999999999999</v>
      </c>
      <c r="S37" s="214">
        <v>67</v>
      </c>
      <c r="T37" s="220">
        <v>171718.65</v>
      </c>
      <c r="U37" s="220">
        <v>171718.65</v>
      </c>
      <c r="V37" s="15"/>
      <c r="W37" s="15"/>
      <c r="X37" s="381" t="s">
        <v>1176</v>
      </c>
      <c r="Y37" s="381">
        <v>76242</v>
      </c>
      <c r="Z37" s="182" t="s">
        <v>1151</v>
      </c>
      <c r="AA37" s="15" t="s">
        <v>1165</v>
      </c>
      <c r="AB37" s="15">
        <v>3</v>
      </c>
      <c r="AC37" s="143">
        <v>1631</v>
      </c>
      <c r="AD37" s="58"/>
      <c r="AE37" s="42"/>
      <c r="AF37" s="42"/>
      <c r="AG37" s="59"/>
      <c r="AH37" s="58"/>
      <c r="AI37" s="42"/>
      <c r="AJ37" s="42"/>
      <c r="AK37" s="59"/>
      <c r="AL37" s="221"/>
    </row>
    <row r="38" spans="1:38" ht="30" hidden="1" x14ac:dyDescent="0.25">
      <c r="A38" s="15">
        <v>35</v>
      </c>
      <c r="B38" s="15" t="s">
        <v>1146</v>
      </c>
      <c r="C38" s="15" t="s">
        <v>1147</v>
      </c>
      <c r="D38" s="15" t="s">
        <v>1148</v>
      </c>
      <c r="E38" s="15"/>
      <c r="F38" s="15" t="s">
        <v>1167</v>
      </c>
      <c r="G38" s="15"/>
      <c r="H38" s="15" t="s">
        <v>31</v>
      </c>
      <c r="I38" s="15"/>
      <c r="J38" s="15"/>
      <c r="K38" s="15">
        <v>0.8</v>
      </c>
      <c r="L38" s="15">
        <v>0.8</v>
      </c>
      <c r="M38" s="15">
        <v>1</v>
      </c>
      <c r="N38" s="15" t="s">
        <v>33</v>
      </c>
      <c r="O38" s="15">
        <f t="shared" si="4"/>
        <v>16.079999999999998</v>
      </c>
      <c r="P38" s="15">
        <f t="shared" si="5"/>
        <v>18.759999999999998</v>
      </c>
      <c r="Q38" s="15">
        <f t="shared" si="6"/>
        <v>10.72</v>
      </c>
      <c r="R38" s="15">
        <f t="shared" si="7"/>
        <v>8.0399999999999991</v>
      </c>
      <c r="S38" s="214">
        <v>53.6</v>
      </c>
      <c r="T38" s="220">
        <v>171718.65</v>
      </c>
      <c r="U38" s="220">
        <v>137374.92000000001</v>
      </c>
      <c r="V38" s="15"/>
      <c r="W38" s="15"/>
      <c r="X38" s="381" t="s">
        <v>1177</v>
      </c>
      <c r="Y38" s="381">
        <v>76242</v>
      </c>
      <c r="Z38" s="182" t="s">
        <v>1151</v>
      </c>
      <c r="AA38" s="15" t="s">
        <v>1167</v>
      </c>
      <c r="AB38" s="15">
        <v>4</v>
      </c>
      <c r="AC38" s="143">
        <v>1631</v>
      </c>
      <c r="AD38" s="126"/>
      <c r="AE38" s="72"/>
      <c r="AF38" s="72"/>
      <c r="AG38" s="127"/>
      <c r="AH38" s="126"/>
      <c r="AI38" s="72"/>
      <c r="AJ38" s="72"/>
      <c r="AK38" s="127"/>
      <c r="AL38" s="221"/>
    </row>
    <row r="39" spans="1:38" ht="30" hidden="1" x14ac:dyDescent="0.25">
      <c r="A39" s="15">
        <v>36</v>
      </c>
      <c r="B39" s="15" t="s">
        <v>1146</v>
      </c>
      <c r="C39" s="15" t="s">
        <v>1147</v>
      </c>
      <c r="D39" s="15" t="s">
        <v>1148</v>
      </c>
      <c r="E39" s="15"/>
      <c r="F39" s="15" t="s">
        <v>1158</v>
      </c>
      <c r="G39" s="15"/>
      <c r="H39" s="15" t="s">
        <v>31</v>
      </c>
      <c r="I39" s="15"/>
      <c r="J39" s="15"/>
      <c r="K39" s="15">
        <v>0.45</v>
      </c>
      <c r="L39" s="15">
        <v>0.45</v>
      </c>
      <c r="M39" s="15">
        <v>1</v>
      </c>
      <c r="N39" s="15" t="s">
        <v>33</v>
      </c>
      <c r="O39" s="15">
        <f t="shared" si="4"/>
        <v>9.4499999999999993</v>
      </c>
      <c r="P39" s="15">
        <f t="shared" si="5"/>
        <v>11.024999999999999</v>
      </c>
      <c r="Q39" s="15">
        <f t="shared" si="6"/>
        <v>6.3000000000000007</v>
      </c>
      <c r="R39" s="15">
        <f t="shared" si="7"/>
        <v>4.7249999999999996</v>
      </c>
      <c r="S39" s="214">
        <v>31.5</v>
      </c>
      <c r="T39" s="220">
        <v>171718.65</v>
      </c>
      <c r="U39" s="220">
        <v>77273.392500000002</v>
      </c>
      <c r="V39" s="15"/>
      <c r="W39" s="15"/>
      <c r="X39" s="381" t="s">
        <v>1178</v>
      </c>
      <c r="Y39" s="381">
        <v>76242</v>
      </c>
      <c r="Z39" s="182" t="s">
        <v>1151</v>
      </c>
      <c r="AA39" s="15" t="s">
        <v>1158</v>
      </c>
      <c r="AB39" s="15">
        <v>5</v>
      </c>
      <c r="AC39" s="143">
        <v>1631</v>
      </c>
      <c r="AD39" s="126"/>
      <c r="AE39" s="72"/>
      <c r="AF39" s="72"/>
      <c r="AG39" s="127"/>
      <c r="AH39" s="126"/>
      <c r="AI39" s="72"/>
      <c r="AJ39" s="72"/>
      <c r="AK39" s="127"/>
      <c r="AL39" s="221"/>
    </row>
    <row r="40" spans="1:38" ht="30" hidden="1" x14ac:dyDescent="0.25">
      <c r="A40" s="15">
        <v>37</v>
      </c>
      <c r="B40" s="15" t="s">
        <v>1146</v>
      </c>
      <c r="C40" s="15" t="s">
        <v>1147</v>
      </c>
      <c r="D40" s="15" t="s">
        <v>1148</v>
      </c>
      <c r="E40" s="15"/>
      <c r="F40" s="15" t="s">
        <v>1160</v>
      </c>
      <c r="G40" s="15"/>
      <c r="H40" s="15" t="s">
        <v>31</v>
      </c>
      <c r="I40" s="15"/>
      <c r="J40" s="15"/>
      <c r="K40" s="15">
        <v>0.21</v>
      </c>
      <c r="L40" s="15">
        <v>0.21</v>
      </c>
      <c r="M40" s="15">
        <v>1</v>
      </c>
      <c r="N40" s="15" t="s">
        <v>33</v>
      </c>
      <c r="O40" s="15">
        <f t="shared" si="4"/>
        <v>4.4099999999999993</v>
      </c>
      <c r="P40" s="15">
        <f t="shared" si="5"/>
        <v>5.1449999999999996</v>
      </c>
      <c r="Q40" s="15">
        <f t="shared" si="6"/>
        <v>2.94</v>
      </c>
      <c r="R40" s="15">
        <f t="shared" si="7"/>
        <v>2.2049999999999996</v>
      </c>
      <c r="S40" s="214">
        <v>14.7</v>
      </c>
      <c r="T40" s="220">
        <v>171718.65</v>
      </c>
      <c r="U40" s="220">
        <v>36060.916499999999</v>
      </c>
      <c r="V40" s="15"/>
      <c r="W40" s="15"/>
      <c r="X40" s="381" t="s">
        <v>1161</v>
      </c>
      <c r="Y40" s="381">
        <v>76242</v>
      </c>
      <c r="Z40" s="182" t="s">
        <v>1151</v>
      </c>
      <c r="AA40" s="15" t="s">
        <v>1160</v>
      </c>
      <c r="AB40" s="15">
        <v>6</v>
      </c>
      <c r="AC40" s="143">
        <v>1631</v>
      </c>
      <c r="AD40" s="126"/>
      <c r="AE40" s="72"/>
      <c r="AF40" s="72"/>
      <c r="AG40" s="127"/>
      <c r="AH40" s="126"/>
      <c r="AI40" s="72"/>
      <c r="AJ40" s="72"/>
      <c r="AK40" s="127"/>
      <c r="AL40" s="221"/>
    </row>
    <row r="41" spans="1:38" ht="30" hidden="1" x14ac:dyDescent="0.25">
      <c r="A41" s="15">
        <v>38</v>
      </c>
      <c r="B41" s="15" t="s">
        <v>1146</v>
      </c>
      <c r="C41" s="15" t="s">
        <v>1147</v>
      </c>
      <c r="D41" s="15" t="s">
        <v>1148</v>
      </c>
      <c r="E41" s="15"/>
      <c r="F41" s="15" t="s">
        <v>1169</v>
      </c>
      <c r="G41" s="15"/>
      <c r="H41" s="15" t="s">
        <v>31</v>
      </c>
      <c r="I41" s="15"/>
      <c r="J41" s="15"/>
      <c r="K41" s="15">
        <v>0.64</v>
      </c>
      <c r="L41" s="15">
        <v>0.64</v>
      </c>
      <c r="M41" s="15">
        <v>1</v>
      </c>
      <c r="N41" s="15" t="s">
        <v>33</v>
      </c>
      <c r="O41" s="15">
        <f t="shared" si="4"/>
        <v>12.864000000000001</v>
      </c>
      <c r="P41" s="15">
        <f t="shared" si="5"/>
        <v>15.007999999999999</v>
      </c>
      <c r="Q41" s="15">
        <f t="shared" si="6"/>
        <v>8.5760000000000005</v>
      </c>
      <c r="R41" s="15">
        <f t="shared" si="7"/>
        <v>6.4320000000000004</v>
      </c>
      <c r="S41" s="214">
        <v>42.88</v>
      </c>
      <c r="T41" s="220">
        <v>171718.65</v>
      </c>
      <c r="U41" s="220">
        <v>109899.936</v>
      </c>
      <c r="V41" s="15"/>
      <c r="W41" s="15"/>
      <c r="X41" s="381" t="s">
        <v>1170</v>
      </c>
      <c r="Y41" s="381">
        <v>76242</v>
      </c>
      <c r="Z41" s="182" t="s">
        <v>1151</v>
      </c>
      <c r="AA41" s="15" t="s">
        <v>1169</v>
      </c>
      <c r="AB41" s="15">
        <v>7</v>
      </c>
      <c r="AC41" s="143">
        <v>1631</v>
      </c>
      <c r="AD41" s="126"/>
      <c r="AE41" s="72"/>
      <c r="AF41" s="72"/>
      <c r="AG41" s="127"/>
      <c r="AH41" s="126"/>
      <c r="AI41" s="72"/>
      <c r="AJ41" s="72"/>
      <c r="AK41" s="127"/>
      <c r="AL41" s="221"/>
    </row>
    <row r="42" spans="1:38" ht="30" x14ac:dyDescent="0.25">
      <c r="A42" s="28">
        <v>39</v>
      </c>
      <c r="B42" s="28" t="s">
        <v>1146</v>
      </c>
      <c r="C42" s="28" t="s">
        <v>1147</v>
      </c>
      <c r="D42" s="28" t="s">
        <v>1494</v>
      </c>
      <c r="E42" s="28"/>
      <c r="F42" s="28" t="s">
        <v>1149</v>
      </c>
      <c r="G42" s="28"/>
      <c r="H42" s="28" t="s">
        <v>31</v>
      </c>
      <c r="I42" s="28"/>
      <c r="J42" s="28"/>
      <c r="K42" s="28">
        <v>0.9</v>
      </c>
      <c r="L42" s="28">
        <v>0.9</v>
      </c>
      <c r="M42" s="28">
        <v>1</v>
      </c>
      <c r="N42" s="28" t="s">
        <v>33</v>
      </c>
      <c r="O42" s="28">
        <f t="shared" si="4"/>
        <v>18.09</v>
      </c>
      <c r="P42" s="28">
        <f t="shared" si="5"/>
        <v>21.105</v>
      </c>
      <c r="Q42" s="28">
        <f t="shared" si="6"/>
        <v>12.060000000000002</v>
      </c>
      <c r="R42" s="28">
        <f t="shared" si="7"/>
        <v>9.0449999999999999</v>
      </c>
      <c r="S42" s="214">
        <v>60.300000000000004</v>
      </c>
      <c r="T42" s="220">
        <v>171718.65</v>
      </c>
      <c r="U42" s="220">
        <v>154546.785</v>
      </c>
      <c r="V42" s="15"/>
      <c r="W42" s="15"/>
      <c r="X42" s="28" t="s">
        <v>1162</v>
      </c>
      <c r="Y42" s="28">
        <v>76241</v>
      </c>
      <c r="Z42" s="373" t="s">
        <v>1151</v>
      </c>
      <c r="AA42" s="28" t="s">
        <v>1149</v>
      </c>
      <c r="AB42" s="28">
        <v>1</v>
      </c>
      <c r="AC42" s="28">
        <v>1631</v>
      </c>
      <c r="AD42" s="260"/>
      <c r="AE42" s="265"/>
      <c r="AF42" s="72"/>
      <c r="AG42" s="127"/>
      <c r="AH42" s="126"/>
      <c r="AI42" s="72"/>
      <c r="AJ42" s="72"/>
      <c r="AK42" s="127"/>
      <c r="AL42" s="221"/>
    </row>
    <row r="43" spans="1:38" ht="30" x14ac:dyDescent="0.25">
      <c r="A43" s="28">
        <v>40</v>
      </c>
      <c r="B43" s="28" t="s">
        <v>1146</v>
      </c>
      <c r="C43" s="28" t="s">
        <v>1147</v>
      </c>
      <c r="D43" s="28" t="s">
        <v>1494</v>
      </c>
      <c r="E43" s="28"/>
      <c r="F43" s="28" t="s">
        <v>1163</v>
      </c>
      <c r="G43" s="28"/>
      <c r="H43" s="28" t="s">
        <v>31</v>
      </c>
      <c r="I43" s="28"/>
      <c r="J43" s="28"/>
      <c r="K43" s="28">
        <v>1.9</v>
      </c>
      <c r="L43" s="28">
        <v>1.9</v>
      </c>
      <c r="M43" s="28">
        <v>1</v>
      </c>
      <c r="N43" s="28" t="s">
        <v>33</v>
      </c>
      <c r="O43" s="28">
        <f t="shared" si="4"/>
        <v>28.5</v>
      </c>
      <c r="P43" s="28">
        <f t="shared" si="5"/>
        <v>33.25</v>
      </c>
      <c r="Q43" s="28">
        <f t="shared" si="6"/>
        <v>19</v>
      </c>
      <c r="R43" s="28">
        <f t="shared" si="7"/>
        <v>14.25</v>
      </c>
      <c r="S43" s="214">
        <v>95</v>
      </c>
      <c r="T43" s="220">
        <v>171718.65</v>
      </c>
      <c r="U43" s="220">
        <v>326265.435</v>
      </c>
      <c r="V43" s="15"/>
      <c r="W43" s="15"/>
      <c r="X43" s="28" t="s">
        <v>1175</v>
      </c>
      <c r="Y43" s="28">
        <v>76241</v>
      </c>
      <c r="Z43" s="373" t="s">
        <v>1151</v>
      </c>
      <c r="AA43" s="28" t="s">
        <v>1163</v>
      </c>
      <c r="AB43" s="28">
        <v>2</v>
      </c>
      <c r="AC43" s="28">
        <v>1631</v>
      </c>
      <c r="AD43" s="260"/>
      <c r="AE43" s="265"/>
      <c r="AF43" s="72"/>
      <c r="AG43" s="127"/>
      <c r="AH43" s="126"/>
      <c r="AI43" s="72"/>
      <c r="AJ43" s="72"/>
      <c r="AK43" s="127"/>
      <c r="AL43" s="221"/>
    </row>
    <row r="44" spans="1:38" ht="30" x14ac:dyDescent="0.25">
      <c r="A44" s="28">
        <v>41</v>
      </c>
      <c r="B44" s="28" t="s">
        <v>1146</v>
      </c>
      <c r="C44" s="28" t="s">
        <v>1147</v>
      </c>
      <c r="D44" s="28" t="s">
        <v>1494</v>
      </c>
      <c r="E44" s="28"/>
      <c r="F44" s="28" t="s">
        <v>1165</v>
      </c>
      <c r="G44" s="28"/>
      <c r="H44" s="28" t="s">
        <v>31</v>
      </c>
      <c r="I44" s="28"/>
      <c r="J44" s="28"/>
      <c r="K44" s="28">
        <v>1</v>
      </c>
      <c r="L44" s="28">
        <v>1</v>
      </c>
      <c r="M44" s="28">
        <v>1</v>
      </c>
      <c r="N44" s="28" t="s">
        <v>33</v>
      </c>
      <c r="O44" s="28">
        <f t="shared" si="4"/>
        <v>20.099999999999998</v>
      </c>
      <c r="P44" s="28">
        <f t="shared" si="5"/>
        <v>23.45</v>
      </c>
      <c r="Q44" s="28">
        <f t="shared" si="6"/>
        <v>13.4</v>
      </c>
      <c r="R44" s="28">
        <f t="shared" si="7"/>
        <v>10.049999999999999</v>
      </c>
      <c r="S44" s="214">
        <v>67</v>
      </c>
      <c r="T44" s="220">
        <v>171718.65</v>
      </c>
      <c r="U44" s="220">
        <v>171718.65</v>
      </c>
      <c r="V44" s="15"/>
      <c r="W44" s="15"/>
      <c r="X44" s="28" t="s">
        <v>1176</v>
      </c>
      <c r="Y44" s="28">
        <v>76241</v>
      </c>
      <c r="Z44" s="373" t="s">
        <v>1151</v>
      </c>
      <c r="AA44" s="28" t="s">
        <v>1165</v>
      </c>
      <c r="AB44" s="28">
        <v>3</v>
      </c>
      <c r="AC44" s="28">
        <v>1631</v>
      </c>
      <c r="AD44" s="260"/>
      <c r="AE44" s="265"/>
      <c r="AF44" s="72"/>
      <c r="AG44" s="127"/>
      <c r="AH44" s="126"/>
      <c r="AI44" s="72"/>
      <c r="AJ44" s="72"/>
      <c r="AK44" s="127"/>
      <c r="AL44" s="221"/>
    </row>
    <row r="45" spans="1:38" ht="30" x14ac:dyDescent="0.25">
      <c r="A45" s="28">
        <v>42</v>
      </c>
      <c r="B45" s="28" t="s">
        <v>1146</v>
      </c>
      <c r="C45" s="28" t="s">
        <v>1147</v>
      </c>
      <c r="D45" s="28" t="s">
        <v>1494</v>
      </c>
      <c r="E45" s="28"/>
      <c r="F45" s="28" t="s">
        <v>1167</v>
      </c>
      <c r="G45" s="28"/>
      <c r="H45" s="28" t="s">
        <v>31</v>
      </c>
      <c r="I45" s="28"/>
      <c r="J45" s="28"/>
      <c r="K45" s="28">
        <v>0.8</v>
      </c>
      <c r="L45" s="28">
        <v>0.8</v>
      </c>
      <c r="M45" s="28">
        <v>1</v>
      </c>
      <c r="N45" s="28" t="s">
        <v>33</v>
      </c>
      <c r="O45" s="28">
        <f t="shared" si="4"/>
        <v>16.079999999999998</v>
      </c>
      <c r="P45" s="28">
        <f t="shared" si="5"/>
        <v>18.759999999999998</v>
      </c>
      <c r="Q45" s="28">
        <f t="shared" si="6"/>
        <v>10.72</v>
      </c>
      <c r="R45" s="28">
        <f t="shared" si="7"/>
        <v>8.0399999999999991</v>
      </c>
      <c r="S45" s="214">
        <v>53.6</v>
      </c>
      <c r="T45" s="220">
        <v>171718.65</v>
      </c>
      <c r="U45" s="220">
        <v>137374.92000000001</v>
      </c>
      <c r="V45" s="15"/>
      <c r="W45" s="15"/>
      <c r="X45" s="28" t="s">
        <v>1177</v>
      </c>
      <c r="Y45" s="28">
        <v>76241</v>
      </c>
      <c r="Z45" s="373" t="s">
        <v>1151</v>
      </c>
      <c r="AA45" s="28" t="s">
        <v>1167</v>
      </c>
      <c r="AB45" s="28">
        <v>4</v>
      </c>
      <c r="AC45" s="28">
        <v>1631</v>
      </c>
      <c r="AD45" s="260"/>
      <c r="AE45" s="265"/>
      <c r="AF45" s="72"/>
      <c r="AG45" s="127"/>
      <c r="AH45" s="126"/>
      <c r="AI45" s="72"/>
      <c r="AJ45" s="72"/>
      <c r="AK45" s="127"/>
      <c r="AL45" s="221"/>
    </row>
    <row r="46" spans="1:38" ht="30" x14ac:dyDescent="0.25">
      <c r="A46" s="28">
        <v>43</v>
      </c>
      <c r="B46" s="28" t="s">
        <v>1146</v>
      </c>
      <c r="C46" s="28" t="s">
        <v>1147</v>
      </c>
      <c r="D46" s="28" t="s">
        <v>1494</v>
      </c>
      <c r="E46" s="28"/>
      <c r="F46" s="28" t="s">
        <v>1158</v>
      </c>
      <c r="G46" s="28"/>
      <c r="H46" s="28" t="s">
        <v>31</v>
      </c>
      <c r="I46" s="28"/>
      <c r="J46" s="28"/>
      <c r="K46" s="28">
        <v>0.45</v>
      </c>
      <c r="L46" s="28">
        <v>0.45</v>
      </c>
      <c r="M46" s="28">
        <v>1</v>
      </c>
      <c r="N46" s="28" t="s">
        <v>33</v>
      </c>
      <c r="O46" s="28">
        <f t="shared" si="4"/>
        <v>9.4499999999999993</v>
      </c>
      <c r="P46" s="28">
        <f t="shared" si="5"/>
        <v>11.024999999999999</v>
      </c>
      <c r="Q46" s="28">
        <f t="shared" si="6"/>
        <v>6.3000000000000007</v>
      </c>
      <c r="R46" s="28">
        <f t="shared" si="7"/>
        <v>4.7249999999999996</v>
      </c>
      <c r="S46" s="214">
        <v>31.5</v>
      </c>
      <c r="T46" s="220">
        <v>171718.65</v>
      </c>
      <c r="U46" s="220">
        <v>77273.392500000002</v>
      </c>
      <c r="V46" s="15"/>
      <c r="W46" s="15"/>
      <c r="X46" s="28" t="s">
        <v>1178</v>
      </c>
      <c r="Y46" s="28">
        <v>76241</v>
      </c>
      <c r="Z46" s="373" t="s">
        <v>1151</v>
      </c>
      <c r="AA46" s="28" t="s">
        <v>1158</v>
      </c>
      <c r="AB46" s="28">
        <v>5</v>
      </c>
      <c r="AC46" s="28">
        <v>1631</v>
      </c>
      <c r="AD46" s="260"/>
      <c r="AE46" s="265"/>
      <c r="AF46" s="72"/>
      <c r="AG46" s="127"/>
      <c r="AH46" s="126"/>
      <c r="AI46" s="72"/>
      <c r="AJ46" s="72"/>
      <c r="AK46" s="127"/>
      <c r="AL46" s="221"/>
    </row>
    <row r="47" spans="1:38" ht="30" x14ac:dyDescent="0.25">
      <c r="A47" s="28">
        <v>44</v>
      </c>
      <c r="B47" s="28" t="s">
        <v>1146</v>
      </c>
      <c r="C47" s="28" t="s">
        <v>1147</v>
      </c>
      <c r="D47" s="28" t="s">
        <v>1494</v>
      </c>
      <c r="E47" s="28"/>
      <c r="F47" s="28" t="s">
        <v>1160</v>
      </c>
      <c r="G47" s="28"/>
      <c r="H47" s="28" t="s">
        <v>31</v>
      </c>
      <c r="I47" s="28"/>
      <c r="J47" s="28"/>
      <c r="K47" s="28">
        <v>0.21</v>
      </c>
      <c r="L47" s="28">
        <v>0.21</v>
      </c>
      <c r="M47" s="28">
        <v>1</v>
      </c>
      <c r="N47" s="28" t="s">
        <v>33</v>
      </c>
      <c r="O47" s="28">
        <f t="shared" si="4"/>
        <v>4.4099999999999993</v>
      </c>
      <c r="P47" s="28">
        <f t="shared" si="5"/>
        <v>5.1449999999999996</v>
      </c>
      <c r="Q47" s="28">
        <f t="shared" si="6"/>
        <v>2.94</v>
      </c>
      <c r="R47" s="28">
        <f t="shared" si="7"/>
        <v>2.2049999999999996</v>
      </c>
      <c r="S47" s="214">
        <v>14.7</v>
      </c>
      <c r="T47" s="220">
        <v>171718.65</v>
      </c>
      <c r="U47" s="220">
        <v>36060.916499999999</v>
      </c>
      <c r="V47" s="15"/>
      <c r="W47" s="15"/>
      <c r="X47" s="28" t="s">
        <v>1161</v>
      </c>
      <c r="Y47" s="28">
        <v>76241</v>
      </c>
      <c r="Z47" s="373" t="s">
        <v>1151</v>
      </c>
      <c r="AA47" s="28" t="s">
        <v>1160</v>
      </c>
      <c r="AB47" s="28">
        <v>6</v>
      </c>
      <c r="AC47" s="28">
        <v>1631</v>
      </c>
      <c r="AD47" s="260"/>
      <c r="AE47" s="265"/>
      <c r="AF47" s="72"/>
      <c r="AG47" s="127"/>
      <c r="AH47" s="126"/>
      <c r="AI47" s="72"/>
      <c r="AJ47" s="72"/>
      <c r="AK47" s="127"/>
      <c r="AL47" s="221"/>
    </row>
    <row r="48" spans="1:38" ht="30.75" thickBot="1" x14ac:dyDescent="0.3">
      <c r="A48" s="28">
        <v>45</v>
      </c>
      <c r="B48" s="28" t="s">
        <v>1146</v>
      </c>
      <c r="C48" s="28" t="s">
        <v>1147</v>
      </c>
      <c r="D48" s="28" t="s">
        <v>1494</v>
      </c>
      <c r="E48" s="28"/>
      <c r="F48" s="28" t="s">
        <v>1169</v>
      </c>
      <c r="G48" s="28"/>
      <c r="H48" s="28" t="s">
        <v>31</v>
      </c>
      <c r="I48" s="28"/>
      <c r="J48" s="28"/>
      <c r="K48" s="28">
        <v>0.64</v>
      </c>
      <c r="L48" s="28">
        <v>0.64</v>
      </c>
      <c r="M48" s="28">
        <v>1</v>
      </c>
      <c r="N48" s="28" t="s">
        <v>33</v>
      </c>
      <c r="O48" s="28">
        <f t="shared" si="4"/>
        <v>12.864000000000001</v>
      </c>
      <c r="P48" s="28">
        <f t="shared" si="5"/>
        <v>15.007999999999999</v>
      </c>
      <c r="Q48" s="28">
        <f t="shared" si="6"/>
        <v>8.5760000000000005</v>
      </c>
      <c r="R48" s="28">
        <f t="shared" si="7"/>
        <v>6.4320000000000004</v>
      </c>
      <c r="S48" s="214">
        <v>42.88</v>
      </c>
      <c r="T48" s="220">
        <v>171718.65</v>
      </c>
      <c r="U48" s="220">
        <v>109899.936</v>
      </c>
      <c r="V48" s="15"/>
      <c r="W48" s="15"/>
      <c r="X48" s="28" t="s">
        <v>1170</v>
      </c>
      <c r="Y48" s="28">
        <v>76241</v>
      </c>
      <c r="Z48" s="373" t="s">
        <v>1151</v>
      </c>
      <c r="AA48" s="28" t="s">
        <v>1169</v>
      </c>
      <c r="AB48" s="28">
        <v>7</v>
      </c>
      <c r="AC48" s="28">
        <v>1631</v>
      </c>
      <c r="AD48" s="383"/>
      <c r="AE48" s="384"/>
      <c r="AF48" s="128"/>
      <c r="AG48" s="129"/>
      <c r="AH48" s="258"/>
      <c r="AI48" s="128"/>
      <c r="AJ48" s="128"/>
      <c r="AK48" s="129"/>
      <c r="AL48" s="221"/>
    </row>
    <row r="49" spans="30:38" x14ac:dyDescent="0.25">
      <c r="AD49" s="219"/>
      <c r="AE49"/>
      <c r="AF49"/>
      <c r="AG49"/>
      <c r="AH49" s="219"/>
      <c r="AI49"/>
      <c r="AJ49"/>
      <c r="AK49"/>
      <c r="AL49"/>
    </row>
    <row r="50" spans="30:38" x14ac:dyDescent="0.25">
      <c r="AD50" s="219"/>
      <c r="AE50"/>
      <c r="AF50"/>
      <c r="AG50"/>
      <c r="AH50" s="219"/>
      <c r="AI50"/>
      <c r="AJ50"/>
      <c r="AK50"/>
      <c r="AL50"/>
    </row>
    <row r="51" spans="30:38" x14ac:dyDescent="0.25">
      <c r="AD51" s="219"/>
      <c r="AE51"/>
      <c r="AF51"/>
      <c r="AG51"/>
      <c r="AH51" s="219"/>
      <c r="AI51"/>
      <c r="AJ51"/>
      <c r="AK51"/>
      <c r="AL51"/>
    </row>
    <row r="52" spans="30:38" x14ac:dyDescent="0.25">
      <c r="AD52" s="219"/>
      <c r="AE52"/>
      <c r="AF52"/>
      <c r="AG52"/>
      <c r="AH52" s="219"/>
      <c r="AI52"/>
      <c r="AJ52"/>
      <c r="AK52"/>
      <c r="AL52"/>
    </row>
    <row r="53" spans="30:38" x14ac:dyDescent="0.25">
      <c r="AD53" s="219"/>
      <c r="AE53"/>
      <c r="AF53"/>
      <c r="AG53"/>
      <c r="AH53" s="219"/>
      <c r="AI53"/>
      <c r="AJ53"/>
      <c r="AK53"/>
      <c r="AL53"/>
    </row>
    <row r="54" spans="30:38" x14ac:dyDescent="0.25">
      <c r="AD54" s="219"/>
      <c r="AE54"/>
      <c r="AF54"/>
      <c r="AG54"/>
      <c r="AH54" s="219"/>
      <c r="AI54"/>
      <c r="AJ54"/>
      <c r="AK54"/>
      <c r="AL54"/>
    </row>
    <row r="55" spans="30:38" x14ac:dyDescent="0.25">
      <c r="AD55" s="219"/>
      <c r="AE55"/>
      <c r="AF55"/>
      <c r="AG55"/>
      <c r="AH55" s="219"/>
      <c r="AI55"/>
      <c r="AJ55"/>
      <c r="AK55"/>
      <c r="AL55"/>
    </row>
    <row r="56" spans="30:38" x14ac:dyDescent="0.25">
      <c r="AD56" s="219"/>
      <c r="AE56"/>
      <c r="AF56"/>
      <c r="AG56"/>
      <c r="AH56" s="219"/>
      <c r="AI56"/>
      <c r="AJ56"/>
      <c r="AK56"/>
      <c r="AL56"/>
    </row>
    <row r="57" spans="30:38" x14ac:dyDescent="0.25">
      <c r="AD57" s="219"/>
      <c r="AE57"/>
      <c r="AF57"/>
      <c r="AG57"/>
      <c r="AH57" s="219"/>
      <c r="AI57"/>
      <c r="AJ57"/>
      <c r="AK57"/>
      <c r="AL57"/>
    </row>
    <row r="58" spans="30:38" x14ac:dyDescent="0.25">
      <c r="AD58" s="219"/>
      <c r="AE58"/>
      <c r="AF58"/>
      <c r="AG58"/>
      <c r="AH58" s="219"/>
      <c r="AI58"/>
      <c r="AJ58"/>
      <c r="AK58"/>
      <c r="AL58"/>
    </row>
    <row r="59" spans="30:38" x14ac:dyDescent="0.25">
      <c r="AD59" s="219"/>
      <c r="AE59"/>
      <c r="AF59"/>
      <c r="AG59"/>
      <c r="AH59" s="219"/>
      <c r="AI59"/>
      <c r="AJ59"/>
      <c r="AK59"/>
      <c r="AL59"/>
    </row>
    <row r="60" spans="30:38" x14ac:dyDescent="0.25">
      <c r="AD60" s="219"/>
      <c r="AE60"/>
      <c r="AF60"/>
      <c r="AG60"/>
      <c r="AH60" s="219"/>
      <c r="AI60"/>
      <c r="AJ60"/>
      <c r="AK60"/>
      <c r="AL60"/>
    </row>
    <row r="61" spans="30:38" x14ac:dyDescent="0.25">
      <c r="AD61" s="219"/>
      <c r="AE61"/>
      <c r="AF61"/>
      <c r="AG61"/>
      <c r="AH61" s="219"/>
      <c r="AI61"/>
      <c r="AJ61"/>
      <c r="AK61"/>
      <c r="AL61"/>
    </row>
    <row r="62" spans="30:38" x14ac:dyDescent="0.25">
      <c r="AD62" s="219"/>
      <c r="AE62"/>
      <c r="AF62"/>
      <c r="AG62"/>
      <c r="AH62" s="219"/>
      <c r="AI62"/>
      <c r="AJ62"/>
      <c r="AK62"/>
      <c r="AL62"/>
    </row>
    <row r="63" spans="30:38" x14ac:dyDescent="0.25">
      <c r="AD63" s="219"/>
      <c r="AE63"/>
      <c r="AF63"/>
      <c r="AG63"/>
      <c r="AH63" s="219"/>
      <c r="AI63"/>
      <c r="AJ63"/>
      <c r="AK63"/>
      <c r="AL63"/>
    </row>
    <row r="64" spans="30:38" x14ac:dyDescent="0.25">
      <c r="AD64" s="219"/>
      <c r="AE64"/>
      <c r="AF64"/>
      <c r="AG64"/>
      <c r="AH64" s="219"/>
      <c r="AI64"/>
      <c r="AJ64"/>
      <c r="AK64"/>
      <c r="AL64"/>
    </row>
    <row r="65" spans="30:38" x14ac:dyDescent="0.25">
      <c r="AD65" s="219"/>
      <c r="AE65"/>
      <c r="AF65"/>
      <c r="AG65"/>
      <c r="AH65" s="219"/>
      <c r="AI65"/>
      <c r="AJ65"/>
      <c r="AK65"/>
      <c r="AL65"/>
    </row>
    <row r="66" spans="30:38" x14ac:dyDescent="0.25">
      <c r="AD66" s="219"/>
      <c r="AE66"/>
      <c r="AF66"/>
      <c r="AG66"/>
      <c r="AH66" s="219"/>
      <c r="AI66"/>
      <c r="AJ66"/>
      <c r="AK66"/>
      <c r="AL66"/>
    </row>
    <row r="67" spans="30:38" x14ac:dyDescent="0.25">
      <c r="AD67" s="219"/>
      <c r="AE67"/>
      <c r="AF67"/>
      <c r="AG67"/>
      <c r="AH67" s="219"/>
      <c r="AI67"/>
      <c r="AJ67"/>
      <c r="AK67"/>
      <c r="AL67"/>
    </row>
    <row r="68" spans="30:38" x14ac:dyDescent="0.25">
      <c r="AD68" s="219"/>
      <c r="AE68"/>
      <c r="AF68"/>
      <c r="AG68"/>
      <c r="AH68" s="219"/>
      <c r="AI68"/>
      <c r="AJ68"/>
      <c r="AK68"/>
      <c r="AL68"/>
    </row>
    <row r="69" spans="30:38" x14ac:dyDescent="0.25">
      <c r="AD69" s="219"/>
      <c r="AE69"/>
      <c r="AF69"/>
      <c r="AG69"/>
      <c r="AH69" s="219"/>
      <c r="AI69"/>
      <c r="AJ69"/>
      <c r="AK69"/>
      <c r="AL69"/>
    </row>
    <row r="70" spans="30:38" x14ac:dyDescent="0.25">
      <c r="AD70" s="219"/>
      <c r="AE70"/>
      <c r="AF70"/>
      <c r="AG70"/>
      <c r="AH70" s="219"/>
      <c r="AI70"/>
      <c r="AJ70"/>
      <c r="AK70"/>
      <c r="AL70"/>
    </row>
    <row r="71" spans="30:38" x14ac:dyDescent="0.25">
      <c r="AD71" s="219"/>
      <c r="AE71"/>
      <c r="AF71"/>
      <c r="AG71"/>
      <c r="AH71" s="219"/>
      <c r="AI71"/>
      <c r="AJ71"/>
      <c r="AK71"/>
      <c r="AL71"/>
    </row>
    <row r="72" spans="30:38" x14ac:dyDescent="0.25">
      <c r="AD72"/>
      <c r="AE72"/>
      <c r="AF72"/>
      <c r="AG72"/>
      <c r="AH72"/>
      <c r="AI72"/>
      <c r="AJ72"/>
      <c r="AK72"/>
    </row>
    <row r="73" spans="30:38" x14ac:dyDescent="0.25">
      <c r="AD73"/>
      <c r="AE73"/>
      <c r="AF73"/>
      <c r="AG73"/>
      <c r="AH73"/>
      <c r="AI73"/>
      <c r="AJ73"/>
      <c r="AK73"/>
    </row>
    <row r="74" spans="30:38" x14ac:dyDescent="0.25">
      <c r="AD74"/>
      <c r="AE74"/>
      <c r="AF74"/>
      <c r="AG74"/>
      <c r="AH74"/>
      <c r="AI74"/>
      <c r="AJ74"/>
      <c r="AK74"/>
    </row>
    <row r="75" spans="30:38" x14ac:dyDescent="0.25">
      <c r="AD75"/>
      <c r="AE75"/>
      <c r="AF75"/>
      <c r="AG75"/>
      <c r="AH75"/>
      <c r="AI75"/>
      <c r="AJ75"/>
      <c r="AK75"/>
    </row>
    <row r="76" spans="30:38" x14ac:dyDescent="0.25">
      <c r="AD76"/>
      <c r="AE76"/>
      <c r="AF76"/>
      <c r="AG76"/>
      <c r="AH76"/>
      <c r="AI76"/>
      <c r="AJ76"/>
      <c r="AK76"/>
    </row>
    <row r="77" spans="30:38" x14ac:dyDescent="0.25">
      <c r="AD77"/>
      <c r="AE77"/>
      <c r="AF77"/>
      <c r="AG77"/>
      <c r="AH77"/>
      <c r="AI77"/>
      <c r="AJ77"/>
      <c r="AK77"/>
    </row>
    <row r="78" spans="30:38" x14ac:dyDescent="0.25">
      <c r="AD78"/>
      <c r="AE78"/>
      <c r="AF78"/>
      <c r="AG78"/>
      <c r="AH78"/>
      <c r="AI78"/>
      <c r="AJ78"/>
      <c r="AK78"/>
    </row>
    <row r="79" spans="30:38" x14ac:dyDescent="0.25">
      <c r="AD79"/>
      <c r="AE79"/>
      <c r="AF79"/>
      <c r="AG79"/>
      <c r="AH79"/>
      <c r="AI79"/>
      <c r="AJ79"/>
      <c r="AK79"/>
    </row>
    <row r="80" spans="30:38" x14ac:dyDescent="0.25">
      <c r="AD80"/>
      <c r="AE80"/>
      <c r="AF80"/>
      <c r="AG80"/>
      <c r="AH80"/>
      <c r="AI80"/>
      <c r="AJ80"/>
      <c r="AK80"/>
    </row>
    <row r="81" spans="30:37" x14ac:dyDescent="0.25">
      <c r="AD81"/>
      <c r="AE81"/>
      <c r="AF81"/>
      <c r="AG81"/>
      <c r="AH81"/>
      <c r="AI81"/>
      <c r="AJ81"/>
      <c r="AK81"/>
    </row>
    <row r="82" spans="30:37" x14ac:dyDescent="0.25">
      <c r="AD82"/>
      <c r="AE82"/>
      <c r="AF82"/>
      <c r="AG82"/>
      <c r="AH82"/>
      <c r="AI82"/>
      <c r="AJ82"/>
      <c r="AK82"/>
    </row>
    <row r="83" spans="30:37" x14ac:dyDescent="0.25">
      <c r="AD83"/>
      <c r="AE83"/>
      <c r="AF83"/>
      <c r="AG83"/>
      <c r="AH83"/>
      <c r="AI83"/>
      <c r="AJ83"/>
      <c r="AK83"/>
    </row>
    <row r="84" spans="30:37" x14ac:dyDescent="0.25">
      <c r="AD84"/>
      <c r="AE84"/>
      <c r="AF84"/>
      <c r="AG84"/>
      <c r="AH84"/>
      <c r="AI84"/>
      <c r="AJ84"/>
      <c r="AK84"/>
    </row>
    <row r="85" spans="30:37" x14ac:dyDescent="0.25">
      <c r="AD85"/>
      <c r="AE85"/>
      <c r="AF85"/>
      <c r="AG85"/>
      <c r="AH85"/>
      <c r="AI85"/>
      <c r="AJ85"/>
      <c r="AK85"/>
    </row>
    <row r="86" spans="30:37" x14ac:dyDescent="0.25">
      <c r="AD86"/>
      <c r="AE86"/>
      <c r="AF86"/>
      <c r="AG86"/>
      <c r="AH86"/>
      <c r="AI86"/>
      <c r="AJ86"/>
      <c r="AK86"/>
    </row>
    <row r="87" spans="30:37" x14ac:dyDescent="0.25">
      <c r="AD87"/>
      <c r="AE87"/>
      <c r="AF87"/>
      <c r="AG87"/>
      <c r="AH87"/>
      <c r="AI87"/>
      <c r="AJ87"/>
      <c r="AK87"/>
    </row>
    <row r="88" spans="30:37" x14ac:dyDescent="0.25">
      <c r="AD88"/>
      <c r="AE88"/>
      <c r="AF88"/>
      <c r="AG88"/>
      <c r="AH88"/>
      <c r="AI88"/>
      <c r="AJ88"/>
      <c r="AK88"/>
    </row>
    <row r="89" spans="30:37" x14ac:dyDescent="0.25">
      <c r="AD89"/>
      <c r="AE89"/>
      <c r="AF89"/>
      <c r="AG89"/>
      <c r="AH89"/>
      <c r="AI89"/>
      <c r="AJ89"/>
      <c r="AK89"/>
    </row>
    <row r="90" spans="30:37" x14ac:dyDescent="0.25">
      <c r="AD90"/>
      <c r="AE90"/>
      <c r="AF90"/>
      <c r="AG90"/>
      <c r="AH90"/>
      <c r="AI90"/>
      <c r="AJ90"/>
      <c r="AK90"/>
    </row>
    <row r="91" spans="30:37" x14ac:dyDescent="0.25">
      <c r="AD91"/>
      <c r="AE91"/>
      <c r="AF91"/>
      <c r="AG91"/>
      <c r="AH91"/>
      <c r="AI91"/>
      <c r="AJ91"/>
      <c r="AK91"/>
    </row>
    <row r="92" spans="30:37" x14ac:dyDescent="0.25">
      <c r="AD92"/>
      <c r="AE92"/>
      <c r="AF92"/>
      <c r="AG92"/>
      <c r="AH92"/>
      <c r="AI92"/>
      <c r="AJ92"/>
      <c r="AK92"/>
    </row>
    <row r="93" spans="30:37" x14ac:dyDescent="0.25">
      <c r="AD93"/>
      <c r="AE93"/>
      <c r="AF93"/>
      <c r="AG93"/>
      <c r="AH93"/>
      <c r="AI93"/>
      <c r="AJ93"/>
      <c r="AK93"/>
    </row>
    <row r="94" spans="30:37" x14ac:dyDescent="0.25">
      <c r="AD94"/>
      <c r="AE94"/>
      <c r="AF94"/>
      <c r="AG94"/>
      <c r="AH94"/>
      <c r="AI94"/>
      <c r="AJ94"/>
      <c r="AK94"/>
    </row>
    <row r="95" spans="30:37" x14ac:dyDescent="0.25">
      <c r="AD95"/>
      <c r="AE95"/>
      <c r="AF95"/>
      <c r="AG95"/>
      <c r="AH95"/>
      <c r="AI95"/>
      <c r="AJ95"/>
      <c r="AK95"/>
    </row>
    <row r="96" spans="30:37" x14ac:dyDescent="0.25">
      <c r="AD96"/>
      <c r="AE96"/>
      <c r="AF96"/>
      <c r="AG96"/>
      <c r="AH96"/>
      <c r="AI96"/>
      <c r="AJ96"/>
      <c r="AK96"/>
    </row>
    <row r="97" spans="30:37" x14ac:dyDescent="0.25">
      <c r="AD97"/>
      <c r="AE97"/>
      <c r="AF97"/>
      <c r="AG97"/>
      <c r="AH97"/>
      <c r="AI97"/>
      <c r="AJ97"/>
      <c r="AK97"/>
    </row>
    <row r="98" spans="30:37" x14ac:dyDescent="0.25">
      <c r="AD98"/>
      <c r="AE98"/>
      <c r="AF98"/>
      <c r="AG98"/>
      <c r="AH98"/>
      <c r="AI98"/>
      <c r="AJ98"/>
      <c r="AK98"/>
    </row>
    <row r="99" spans="30:37" x14ac:dyDescent="0.25">
      <c r="AD99"/>
      <c r="AE99"/>
      <c r="AF99"/>
      <c r="AG99"/>
      <c r="AH99"/>
      <c r="AI99"/>
      <c r="AJ99"/>
      <c r="AK99"/>
    </row>
    <row r="100" spans="30:37" x14ac:dyDescent="0.25">
      <c r="AD100"/>
      <c r="AE100"/>
      <c r="AF100"/>
      <c r="AG100"/>
      <c r="AH100"/>
      <c r="AI100"/>
      <c r="AJ100"/>
      <c r="AK100"/>
    </row>
    <row r="101" spans="30:37" x14ac:dyDescent="0.25">
      <c r="AD101"/>
      <c r="AE101"/>
      <c r="AF101"/>
      <c r="AG101"/>
      <c r="AH101"/>
      <c r="AI101"/>
      <c r="AJ101"/>
      <c r="AK101"/>
    </row>
    <row r="102" spans="30:37" x14ac:dyDescent="0.25">
      <c r="AD102"/>
      <c r="AE102"/>
      <c r="AF102"/>
      <c r="AG102"/>
      <c r="AH102"/>
      <c r="AI102"/>
      <c r="AJ102"/>
      <c r="AK102"/>
    </row>
    <row r="103" spans="30:37" x14ac:dyDescent="0.25">
      <c r="AD103"/>
      <c r="AE103"/>
      <c r="AF103"/>
      <c r="AG103"/>
      <c r="AH103"/>
      <c r="AI103"/>
      <c r="AJ103"/>
      <c r="AK103"/>
    </row>
    <row r="104" spans="30:37" x14ac:dyDescent="0.25">
      <c r="AD104"/>
      <c r="AE104"/>
      <c r="AF104"/>
      <c r="AG104"/>
      <c r="AH104"/>
      <c r="AI104"/>
      <c r="AJ104"/>
      <c r="AK104"/>
    </row>
    <row r="105" spans="30:37" x14ac:dyDescent="0.25">
      <c r="AD105"/>
      <c r="AE105"/>
      <c r="AF105"/>
      <c r="AG105"/>
      <c r="AH105"/>
      <c r="AI105"/>
      <c r="AJ105"/>
      <c r="AK105"/>
    </row>
    <row r="106" spans="30:37" x14ac:dyDescent="0.25">
      <c r="AD106"/>
      <c r="AE106"/>
      <c r="AF106"/>
      <c r="AG106"/>
      <c r="AH106"/>
      <c r="AI106"/>
      <c r="AJ106"/>
      <c r="AK106"/>
    </row>
    <row r="107" spans="30:37" x14ac:dyDescent="0.25">
      <c r="AD107"/>
      <c r="AE107"/>
      <c r="AF107"/>
      <c r="AG107"/>
      <c r="AH107"/>
      <c r="AI107"/>
      <c r="AJ107"/>
      <c r="AK107"/>
    </row>
    <row r="108" spans="30:37" x14ac:dyDescent="0.25">
      <c r="AD108"/>
      <c r="AE108"/>
      <c r="AF108"/>
      <c r="AG108"/>
      <c r="AH108"/>
      <c r="AI108"/>
      <c r="AJ108"/>
      <c r="AK108"/>
    </row>
    <row r="109" spans="30:37" x14ac:dyDescent="0.25">
      <c r="AD109"/>
      <c r="AE109"/>
      <c r="AF109"/>
      <c r="AG109"/>
      <c r="AH109"/>
      <c r="AI109"/>
      <c r="AJ109"/>
      <c r="AK109"/>
    </row>
    <row r="110" spans="30:37" x14ac:dyDescent="0.25">
      <c r="AD110"/>
      <c r="AE110"/>
      <c r="AF110"/>
      <c r="AG110"/>
      <c r="AH110"/>
      <c r="AI110"/>
      <c r="AJ110"/>
      <c r="AK110"/>
    </row>
    <row r="111" spans="30:37" x14ac:dyDescent="0.25">
      <c r="AD111"/>
      <c r="AE111"/>
      <c r="AF111"/>
      <c r="AG111"/>
      <c r="AH111"/>
      <c r="AI111"/>
      <c r="AJ111"/>
      <c r="AK111"/>
    </row>
    <row r="112" spans="30:37" x14ac:dyDescent="0.25">
      <c r="AD112"/>
      <c r="AE112"/>
      <c r="AF112"/>
      <c r="AG112"/>
      <c r="AH112"/>
      <c r="AI112"/>
      <c r="AJ112"/>
      <c r="AK112"/>
    </row>
    <row r="113" spans="30:37" x14ac:dyDescent="0.25">
      <c r="AD113"/>
      <c r="AE113"/>
      <c r="AF113"/>
      <c r="AG113"/>
      <c r="AH113"/>
      <c r="AI113"/>
      <c r="AJ113"/>
      <c r="AK113"/>
    </row>
    <row r="114" spans="30:37" x14ac:dyDescent="0.25">
      <c r="AD114"/>
      <c r="AE114"/>
      <c r="AF114"/>
      <c r="AG114"/>
      <c r="AH114"/>
      <c r="AI114"/>
      <c r="AJ114"/>
      <c r="AK114"/>
    </row>
    <row r="115" spans="30:37" x14ac:dyDescent="0.25">
      <c r="AD115"/>
      <c r="AE115"/>
      <c r="AF115"/>
      <c r="AG115"/>
      <c r="AH115"/>
      <c r="AI115"/>
      <c r="AJ115"/>
      <c r="AK115"/>
    </row>
    <row r="116" spans="30:37" x14ac:dyDescent="0.25">
      <c r="AD116"/>
      <c r="AE116"/>
      <c r="AF116"/>
      <c r="AG116"/>
      <c r="AH116"/>
      <c r="AI116"/>
      <c r="AJ116"/>
      <c r="AK116"/>
    </row>
    <row r="117" spans="30:37" x14ac:dyDescent="0.25">
      <c r="AD117"/>
      <c r="AE117"/>
      <c r="AF117"/>
      <c r="AG117"/>
      <c r="AH117"/>
      <c r="AI117"/>
      <c r="AJ117"/>
      <c r="AK117"/>
    </row>
    <row r="118" spans="30:37" x14ac:dyDescent="0.25">
      <c r="AD118"/>
      <c r="AE118"/>
      <c r="AF118"/>
      <c r="AG118"/>
      <c r="AH118"/>
      <c r="AI118"/>
      <c r="AJ118"/>
      <c r="AK118"/>
    </row>
    <row r="119" spans="30:37" x14ac:dyDescent="0.25">
      <c r="AD119"/>
      <c r="AE119"/>
      <c r="AF119"/>
      <c r="AG119"/>
      <c r="AH119"/>
      <c r="AI119"/>
      <c r="AJ119"/>
      <c r="AK119"/>
    </row>
    <row r="120" spans="30:37" x14ac:dyDescent="0.25">
      <c r="AD120"/>
      <c r="AE120"/>
      <c r="AF120"/>
      <c r="AG120"/>
      <c r="AH120"/>
      <c r="AI120"/>
      <c r="AJ120"/>
      <c r="AK120"/>
    </row>
    <row r="121" spans="30:37" x14ac:dyDescent="0.25">
      <c r="AD121"/>
      <c r="AE121"/>
      <c r="AF121"/>
      <c r="AG121"/>
      <c r="AH121"/>
      <c r="AI121"/>
      <c r="AJ121"/>
      <c r="AK121"/>
    </row>
    <row r="122" spans="30:37" x14ac:dyDescent="0.25">
      <c r="AD122"/>
      <c r="AE122"/>
      <c r="AF122"/>
      <c r="AG122"/>
      <c r="AH122"/>
      <c r="AI122"/>
      <c r="AJ122"/>
      <c r="AK122"/>
    </row>
    <row r="123" spans="30:37" x14ac:dyDescent="0.25">
      <c r="AD123"/>
      <c r="AE123"/>
      <c r="AF123"/>
      <c r="AG123"/>
      <c r="AH123"/>
      <c r="AI123"/>
      <c r="AJ123"/>
      <c r="AK123"/>
    </row>
    <row r="124" spans="30:37" x14ac:dyDescent="0.25">
      <c r="AD124"/>
      <c r="AE124"/>
      <c r="AF124"/>
      <c r="AG124"/>
      <c r="AH124"/>
      <c r="AI124"/>
      <c r="AJ124"/>
      <c r="AK124"/>
    </row>
    <row r="125" spans="30:37" x14ac:dyDescent="0.25">
      <c r="AD125"/>
      <c r="AE125"/>
      <c r="AF125"/>
      <c r="AG125"/>
      <c r="AH125"/>
      <c r="AI125"/>
      <c r="AJ125"/>
      <c r="AK125"/>
    </row>
    <row r="126" spans="30:37" x14ac:dyDescent="0.25">
      <c r="AD126"/>
      <c r="AE126"/>
      <c r="AF126"/>
      <c r="AG126"/>
      <c r="AH126"/>
      <c r="AI126"/>
      <c r="AJ126"/>
      <c r="AK126"/>
    </row>
    <row r="127" spans="30:37" x14ac:dyDescent="0.25">
      <c r="AD127"/>
      <c r="AE127"/>
      <c r="AF127"/>
      <c r="AG127"/>
      <c r="AH127"/>
      <c r="AI127"/>
      <c r="AJ127"/>
      <c r="AK127"/>
    </row>
    <row r="128" spans="30:37" x14ac:dyDescent="0.25">
      <c r="AD128"/>
      <c r="AE128"/>
      <c r="AF128"/>
      <c r="AG128"/>
      <c r="AH128"/>
      <c r="AI128"/>
      <c r="AJ128"/>
      <c r="AK128"/>
    </row>
    <row r="129" spans="30:37" x14ac:dyDescent="0.25">
      <c r="AD129"/>
      <c r="AE129"/>
      <c r="AF129"/>
      <c r="AG129"/>
      <c r="AH129"/>
      <c r="AI129"/>
      <c r="AJ129"/>
      <c r="AK129"/>
    </row>
    <row r="130" spans="30:37" x14ac:dyDescent="0.25">
      <c r="AD130"/>
      <c r="AE130"/>
      <c r="AF130"/>
      <c r="AG130"/>
      <c r="AH130"/>
      <c r="AI130"/>
      <c r="AJ130"/>
      <c r="AK130"/>
    </row>
    <row r="131" spans="30:37" x14ac:dyDescent="0.25">
      <c r="AD131"/>
      <c r="AE131"/>
      <c r="AF131"/>
      <c r="AG131"/>
      <c r="AH131"/>
      <c r="AI131"/>
      <c r="AJ131"/>
      <c r="AK131"/>
    </row>
    <row r="132" spans="30:37" x14ac:dyDescent="0.25">
      <c r="AD132"/>
      <c r="AE132"/>
      <c r="AF132"/>
      <c r="AG132"/>
      <c r="AH132"/>
      <c r="AI132"/>
      <c r="AJ132"/>
      <c r="AK132"/>
    </row>
    <row r="133" spans="30:37" x14ac:dyDescent="0.25">
      <c r="AD133"/>
      <c r="AE133"/>
      <c r="AF133"/>
      <c r="AG133"/>
      <c r="AH133"/>
      <c r="AI133"/>
      <c r="AJ133"/>
      <c r="AK133"/>
    </row>
    <row r="134" spans="30:37" x14ac:dyDescent="0.25">
      <c r="AD134"/>
      <c r="AE134"/>
      <c r="AF134"/>
      <c r="AG134"/>
      <c r="AH134"/>
      <c r="AI134"/>
      <c r="AJ134"/>
      <c r="AK134"/>
    </row>
    <row r="135" spans="30:37" x14ac:dyDescent="0.25">
      <c r="AD135"/>
      <c r="AE135"/>
      <c r="AF135"/>
      <c r="AG135"/>
      <c r="AH135"/>
      <c r="AI135"/>
      <c r="AJ135"/>
      <c r="AK135"/>
    </row>
    <row r="136" spans="30:37" x14ac:dyDescent="0.25">
      <c r="AD136"/>
      <c r="AE136"/>
      <c r="AF136"/>
      <c r="AG136"/>
      <c r="AH136"/>
      <c r="AI136"/>
      <c r="AJ136"/>
      <c r="AK136"/>
    </row>
    <row r="137" spans="30:37" x14ac:dyDescent="0.25">
      <c r="AD137"/>
      <c r="AE137"/>
      <c r="AF137"/>
      <c r="AG137"/>
      <c r="AH137"/>
      <c r="AI137"/>
      <c r="AJ137"/>
      <c r="AK137"/>
    </row>
    <row r="138" spans="30:37" x14ac:dyDescent="0.25">
      <c r="AD138"/>
      <c r="AE138"/>
      <c r="AF138"/>
      <c r="AG138"/>
      <c r="AH138"/>
      <c r="AI138"/>
      <c r="AJ138"/>
      <c r="AK138"/>
    </row>
    <row r="139" spans="30:37" x14ac:dyDescent="0.25">
      <c r="AD139"/>
      <c r="AE139"/>
      <c r="AF139"/>
      <c r="AG139"/>
      <c r="AH139"/>
      <c r="AI139"/>
      <c r="AJ139"/>
      <c r="AK139"/>
    </row>
    <row r="140" spans="30:37" x14ac:dyDescent="0.25">
      <c r="AD140"/>
      <c r="AE140"/>
      <c r="AF140"/>
      <c r="AG140"/>
      <c r="AH140"/>
      <c r="AI140"/>
      <c r="AJ140"/>
      <c r="AK140"/>
    </row>
    <row r="141" spans="30:37" x14ac:dyDescent="0.25">
      <c r="AD141"/>
      <c r="AE141"/>
      <c r="AF141"/>
      <c r="AG141"/>
      <c r="AH141"/>
      <c r="AI141"/>
      <c r="AJ141"/>
      <c r="AK141"/>
    </row>
    <row r="142" spans="30:37" x14ac:dyDescent="0.25">
      <c r="AD142"/>
      <c r="AE142"/>
      <c r="AF142"/>
      <c r="AG142"/>
      <c r="AH142"/>
      <c r="AI142"/>
      <c r="AJ142"/>
      <c r="AK142"/>
    </row>
    <row r="143" spans="30:37" x14ac:dyDescent="0.25">
      <c r="AD143"/>
      <c r="AE143"/>
      <c r="AF143"/>
      <c r="AG143"/>
      <c r="AH143"/>
      <c r="AI143"/>
      <c r="AJ143"/>
      <c r="AK143"/>
    </row>
    <row r="144" spans="30:37" x14ac:dyDescent="0.25">
      <c r="AD144"/>
      <c r="AE144"/>
      <c r="AF144"/>
      <c r="AG144"/>
      <c r="AH144"/>
      <c r="AI144"/>
      <c r="AJ144"/>
      <c r="AK144"/>
    </row>
    <row r="145" spans="30:37" x14ac:dyDescent="0.25">
      <c r="AD145"/>
      <c r="AE145"/>
      <c r="AF145"/>
      <c r="AG145"/>
      <c r="AH145"/>
      <c r="AI145"/>
      <c r="AJ145"/>
      <c r="AK145"/>
    </row>
    <row r="146" spans="30:37" x14ac:dyDescent="0.25">
      <c r="AD146"/>
      <c r="AE146"/>
      <c r="AF146"/>
      <c r="AG146"/>
      <c r="AH146"/>
      <c r="AI146"/>
      <c r="AJ146"/>
      <c r="AK146"/>
    </row>
    <row r="147" spans="30:37" x14ac:dyDescent="0.25">
      <c r="AD147"/>
      <c r="AE147"/>
      <c r="AF147"/>
      <c r="AG147"/>
      <c r="AH147"/>
      <c r="AI147"/>
      <c r="AJ147"/>
      <c r="AK147"/>
    </row>
    <row r="148" spans="30:37" x14ac:dyDescent="0.25">
      <c r="AD148"/>
      <c r="AE148"/>
      <c r="AF148"/>
      <c r="AG148"/>
      <c r="AH148"/>
      <c r="AI148"/>
      <c r="AJ148"/>
      <c r="AK148"/>
    </row>
    <row r="149" spans="30:37" x14ac:dyDescent="0.25">
      <c r="AD149"/>
      <c r="AE149"/>
      <c r="AF149"/>
      <c r="AG149"/>
      <c r="AH149"/>
      <c r="AI149"/>
      <c r="AJ149"/>
      <c r="AK149"/>
    </row>
    <row r="150" spans="30:37" x14ac:dyDescent="0.25">
      <c r="AD150"/>
      <c r="AE150"/>
      <c r="AF150"/>
      <c r="AG150"/>
      <c r="AH150"/>
      <c r="AI150"/>
      <c r="AJ150"/>
      <c r="AK150"/>
    </row>
    <row r="151" spans="30:37" x14ac:dyDescent="0.25">
      <c r="AD151"/>
      <c r="AE151"/>
      <c r="AF151"/>
      <c r="AG151"/>
      <c r="AH151"/>
      <c r="AI151"/>
      <c r="AJ151"/>
      <c r="AK151"/>
    </row>
    <row r="152" spans="30:37" x14ac:dyDescent="0.25">
      <c r="AD152"/>
      <c r="AE152"/>
      <c r="AF152"/>
      <c r="AG152"/>
      <c r="AH152"/>
      <c r="AI152"/>
      <c r="AJ152"/>
      <c r="AK152"/>
    </row>
    <row r="153" spans="30:37" x14ac:dyDescent="0.25">
      <c r="AD153"/>
      <c r="AE153"/>
      <c r="AF153"/>
      <c r="AG153"/>
      <c r="AH153"/>
      <c r="AI153"/>
      <c r="AJ153"/>
      <c r="AK153"/>
    </row>
    <row r="154" spans="30:37" x14ac:dyDescent="0.25">
      <c r="AD154"/>
      <c r="AE154"/>
      <c r="AF154"/>
      <c r="AG154"/>
      <c r="AH154"/>
      <c r="AI154"/>
      <c r="AJ154"/>
      <c r="AK154"/>
    </row>
    <row r="155" spans="30:37" x14ac:dyDescent="0.25">
      <c r="AD155"/>
      <c r="AE155"/>
      <c r="AF155"/>
      <c r="AG155"/>
      <c r="AH155"/>
      <c r="AI155"/>
      <c r="AJ155"/>
      <c r="AK155"/>
    </row>
    <row r="156" spans="30:37" x14ac:dyDescent="0.25">
      <c r="AD156"/>
      <c r="AE156"/>
      <c r="AF156"/>
      <c r="AG156"/>
      <c r="AH156"/>
      <c r="AI156"/>
      <c r="AJ156"/>
      <c r="AK156"/>
    </row>
    <row r="157" spans="30:37" x14ac:dyDescent="0.25">
      <c r="AD157"/>
      <c r="AE157"/>
      <c r="AF157"/>
      <c r="AG157"/>
      <c r="AH157"/>
      <c r="AI157"/>
      <c r="AJ157"/>
      <c r="AK157"/>
    </row>
    <row r="158" spans="30:37" x14ac:dyDescent="0.25">
      <c r="AD158"/>
      <c r="AE158"/>
      <c r="AF158"/>
      <c r="AG158"/>
      <c r="AH158"/>
      <c r="AI158"/>
      <c r="AJ158"/>
      <c r="AK158"/>
    </row>
    <row r="159" spans="30:37" x14ac:dyDescent="0.25">
      <c r="AD159"/>
      <c r="AE159"/>
      <c r="AF159"/>
      <c r="AG159"/>
      <c r="AH159"/>
      <c r="AI159"/>
      <c r="AJ159"/>
      <c r="AK159"/>
    </row>
    <row r="160" spans="30:37" x14ac:dyDescent="0.25">
      <c r="AD160"/>
      <c r="AE160"/>
      <c r="AF160"/>
      <c r="AG160"/>
      <c r="AH160"/>
      <c r="AI160"/>
      <c r="AJ160"/>
      <c r="AK160"/>
    </row>
    <row r="161" spans="30:37" x14ac:dyDescent="0.25">
      <c r="AD161"/>
      <c r="AE161"/>
      <c r="AF161"/>
      <c r="AG161"/>
      <c r="AH161"/>
      <c r="AI161"/>
      <c r="AJ161"/>
      <c r="AK161"/>
    </row>
    <row r="162" spans="30:37" x14ac:dyDescent="0.25">
      <c r="AD162"/>
      <c r="AE162"/>
      <c r="AF162"/>
      <c r="AG162"/>
      <c r="AH162"/>
      <c r="AI162"/>
      <c r="AJ162"/>
      <c r="AK162"/>
    </row>
    <row r="163" spans="30:37" x14ac:dyDescent="0.25">
      <c r="AD163"/>
      <c r="AE163"/>
      <c r="AF163"/>
      <c r="AG163"/>
      <c r="AH163"/>
      <c r="AI163"/>
      <c r="AJ163"/>
      <c r="AK163"/>
    </row>
    <row r="164" spans="30:37" x14ac:dyDescent="0.25">
      <c r="AD164"/>
      <c r="AE164"/>
      <c r="AF164"/>
      <c r="AG164"/>
      <c r="AH164"/>
      <c r="AI164"/>
      <c r="AJ164"/>
      <c r="AK164"/>
    </row>
    <row r="165" spans="30:37" x14ac:dyDescent="0.25">
      <c r="AD165"/>
      <c r="AE165"/>
      <c r="AF165"/>
      <c r="AG165"/>
      <c r="AH165"/>
      <c r="AI165"/>
      <c r="AJ165"/>
      <c r="AK165"/>
    </row>
    <row r="166" spans="30:37" x14ac:dyDescent="0.25">
      <c r="AD166"/>
      <c r="AE166"/>
      <c r="AF166"/>
      <c r="AG166"/>
      <c r="AH166"/>
      <c r="AI166"/>
      <c r="AJ166"/>
      <c r="AK166"/>
    </row>
    <row r="167" spans="30:37" x14ac:dyDescent="0.25">
      <c r="AD167"/>
      <c r="AE167"/>
      <c r="AF167"/>
      <c r="AG167"/>
      <c r="AH167"/>
      <c r="AI167"/>
      <c r="AJ167"/>
      <c r="AK167"/>
    </row>
    <row r="168" spans="30:37" x14ac:dyDescent="0.25">
      <c r="AD168"/>
      <c r="AE168"/>
      <c r="AF168"/>
      <c r="AG168"/>
      <c r="AH168"/>
      <c r="AI168"/>
      <c r="AJ168"/>
      <c r="AK168"/>
    </row>
    <row r="169" spans="30:37" x14ac:dyDescent="0.25">
      <c r="AD169"/>
      <c r="AE169"/>
      <c r="AF169"/>
      <c r="AG169"/>
      <c r="AH169"/>
      <c r="AI169"/>
      <c r="AJ169"/>
      <c r="AK169"/>
    </row>
    <row r="170" spans="30:37" x14ac:dyDescent="0.25">
      <c r="AD170"/>
      <c r="AE170"/>
      <c r="AF170"/>
      <c r="AG170"/>
      <c r="AH170"/>
      <c r="AI170"/>
      <c r="AJ170"/>
      <c r="AK170"/>
    </row>
    <row r="171" spans="30:37" x14ac:dyDescent="0.25">
      <c r="AD171"/>
      <c r="AE171"/>
      <c r="AF171"/>
      <c r="AG171"/>
      <c r="AH171"/>
      <c r="AI171"/>
      <c r="AJ171"/>
      <c r="AK171"/>
    </row>
    <row r="172" spans="30:37" x14ac:dyDescent="0.25">
      <c r="AD172"/>
      <c r="AE172"/>
      <c r="AF172"/>
      <c r="AG172"/>
      <c r="AH172"/>
      <c r="AI172"/>
      <c r="AJ172"/>
      <c r="AK172"/>
    </row>
    <row r="173" spans="30:37" x14ac:dyDescent="0.25">
      <c r="AD173"/>
      <c r="AE173"/>
      <c r="AF173"/>
      <c r="AG173"/>
      <c r="AH173"/>
      <c r="AI173"/>
      <c r="AJ173"/>
      <c r="AK173"/>
    </row>
    <row r="174" spans="30:37" x14ac:dyDescent="0.25">
      <c r="AD174"/>
      <c r="AE174"/>
      <c r="AF174"/>
      <c r="AG174"/>
      <c r="AH174"/>
      <c r="AI174"/>
      <c r="AJ174"/>
      <c r="AK174"/>
    </row>
    <row r="175" spans="30:37" x14ac:dyDescent="0.25">
      <c r="AD175"/>
      <c r="AE175"/>
      <c r="AF175"/>
      <c r="AG175"/>
      <c r="AH175"/>
      <c r="AI175"/>
      <c r="AJ175"/>
      <c r="AK175"/>
    </row>
    <row r="176" spans="30:37" x14ac:dyDescent="0.25">
      <c r="AD176"/>
      <c r="AE176"/>
      <c r="AF176"/>
      <c r="AG176"/>
      <c r="AH176"/>
      <c r="AI176"/>
      <c r="AJ176"/>
      <c r="AK176"/>
    </row>
    <row r="177" spans="30:37" x14ac:dyDescent="0.25">
      <c r="AD177"/>
      <c r="AE177"/>
      <c r="AF177"/>
      <c r="AG177"/>
      <c r="AH177"/>
      <c r="AI177"/>
      <c r="AJ177"/>
      <c r="AK177"/>
    </row>
    <row r="178" spans="30:37" x14ac:dyDescent="0.25">
      <c r="AD178"/>
      <c r="AE178"/>
      <c r="AF178"/>
      <c r="AG178"/>
      <c r="AH178"/>
      <c r="AI178"/>
      <c r="AJ178"/>
      <c r="AK178"/>
    </row>
    <row r="179" spans="30:37" x14ac:dyDescent="0.25">
      <c r="AD179"/>
      <c r="AE179"/>
      <c r="AF179"/>
      <c r="AG179"/>
      <c r="AH179"/>
      <c r="AI179"/>
      <c r="AJ179"/>
      <c r="AK179"/>
    </row>
    <row r="180" spans="30:37" x14ac:dyDescent="0.25">
      <c r="AD180"/>
      <c r="AE180"/>
      <c r="AF180"/>
      <c r="AG180"/>
      <c r="AH180"/>
      <c r="AI180"/>
      <c r="AJ180"/>
      <c r="AK180"/>
    </row>
    <row r="181" spans="30:37" x14ac:dyDescent="0.25">
      <c r="AD181"/>
      <c r="AE181"/>
      <c r="AF181"/>
      <c r="AG181"/>
      <c r="AH181"/>
      <c r="AI181"/>
      <c r="AJ181"/>
      <c r="AK181"/>
    </row>
    <row r="182" spans="30:37" x14ac:dyDescent="0.25">
      <c r="AD182"/>
      <c r="AE182"/>
      <c r="AF182"/>
      <c r="AG182"/>
      <c r="AH182"/>
      <c r="AI182"/>
      <c r="AJ182"/>
      <c r="AK182"/>
    </row>
    <row r="183" spans="30:37" x14ac:dyDescent="0.25">
      <c r="AD183"/>
      <c r="AE183"/>
      <c r="AF183"/>
      <c r="AG183"/>
      <c r="AH183"/>
      <c r="AI183"/>
      <c r="AJ183"/>
      <c r="AK183"/>
    </row>
    <row r="184" spans="30:37" x14ac:dyDescent="0.25">
      <c r="AD184"/>
      <c r="AE184"/>
      <c r="AF184"/>
      <c r="AG184"/>
      <c r="AH184"/>
      <c r="AI184"/>
      <c r="AJ184"/>
      <c r="AK184"/>
    </row>
    <row r="185" spans="30:37" x14ac:dyDescent="0.25">
      <c r="AD185"/>
      <c r="AE185"/>
      <c r="AF185"/>
      <c r="AG185"/>
      <c r="AH185"/>
      <c r="AI185"/>
      <c r="AJ185"/>
      <c r="AK185"/>
    </row>
    <row r="186" spans="30:37" x14ac:dyDescent="0.25">
      <c r="AD186"/>
      <c r="AE186"/>
      <c r="AF186"/>
      <c r="AG186"/>
      <c r="AH186"/>
      <c r="AI186"/>
      <c r="AJ186"/>
      <c r="AK186"/>
    </row>
    <row r="187" spans="30:37" x14ac:dyDescent="0.25">
      <c r="AD187"/>
      <c r="AE187"/>
      <c r="AF187"/>
      <c r="AG187"/>
      <c r="AH187"/>
      <c r="AI187"/>
      <c r="AJ187"/>
      <c r="AK187"/>
    </row>
    <row r="188" spans="30:37" x14ac:dyDescent="0.25">
      <c r="AD188"/>
      <c r="AE188"/>
      <c r="AF188"/>
      <c r="AG188"/>
      <c r="AH188"/>
      <c r="AI188"/>
      <c r="AJ188"/>
      <c r="AK188"/>
    </row>
    <row r="189" spans="30:37" x14ac:dyDescent="0.25">
      <c r="AD189"/>
      <c r="AE189"/>
      <c r="AF189"/>
      <c r="AG189"/>
      <c r="AH189"/>
      <c r="AI189"/>
      <c r="AJ189"/>
      <c r="AK189"/>
    </row>
    <row r="190" spans="30:37" x14ac:dyDescent="0.25">
      <c r="AD190"/>
      <c r="AE190"/>
      <c r="AF190"/>
      <c r="AG190"/>
      <c r="AH190"/>
      <c r="AI190"/>
      <c r="AJ190"/>
      <c r="AK190"/>
    </row>
    <row r="191" spans="30:37" x14ac:dyDescent="0.25">
      <c r="AD191"/>
      <c r="AE191"/>
      <c r="AF191"/>
      <c r="AG191"/>
      <c r="AH191"/>
      <c r="AI191"/>
      <c r="AJ191"/>
      <c r="AK191"/>
    </row>
    <row r="192" spans="30:37" x14ac:dyDescent="0.25">
      <c r="AD192"/>
      <c r="AE192"/>
      <c r="AF192"/>
      <c r="AG192"/>
      <c r="AH192"/>
      <c r="AI192"/>
      <c r="AJ192"/>
      <c r="AK192"/>
    </row>
    <row r="193" spans="30:37" x14ac:dyDescent="0.25">
      <c r="AD193"/>
      <c r="AE193"/>
      <c r="AF193"/>
      <c r="AG193"/>
      <c r="AH193"/>
      <c r="AI193"/>
      <c r="AJ193"/>
      <c r="AK193"/>
    </row>
    <row r="194" spans="30:37" x14ac:dyDescent="0.25">
      <c r="AD194"/>
      <c r="AE194"/>
      <c r="AF194"/>
      <c r="AG194"/>
      <c r="AH194"/>
      <c r="AI194"/>
      <c r="AJ194"/>
      <c r="AK194"/>
    </row>
    <row r="195" spans="30:37" x14ac:dyDescent="0.25">
      <c r="AD195"/>
      <c r="AE195"/>
      <c r="AF195"/>
      <c r="AG195"/>
      <c r="AH195"/>
      <c r="AI195"/>
      <c r="AJ195"/>
      <c r="AK195"/>
    </row>
  </sheetData>
  <autoFilter ref="A3:AC48" xr:uid="{00000000-0009-0000-0000-000011000000}">
    <filterColumn colId="24">
      <colorFilter dxfId="1"/>
    </filterColumn>
  </autoFilter>
  <mergeCells count="2">
    <mergeCell ref="AD1:AG1"/>
    <mergeCell ref="AH1:AK1"/>
  </mergeCells>
  <conditionalFormatting sqref="E1:E3">
    <cfRule type="duplicateValues" dxfId="15" priority="2"/>
  </conditionalFormatting>
  <conditionalFormatting sqref="F1:F3">
    <cfRule type="duplicateValues" dxfId="14" priority="1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filterMode="1"/>
  <dimension ref="A1:AI225"/>
  <sheetViews>
    <sheetView zoomScale="70" zoomScaleNormal="70" workbookViewId="0">
      <pane ySplit="3" topLeftCell="A4" activePane="bottomLeft" state="frozen"/>
      <selection pane="bottomLeft" activeCell="O104" sqref="O104"/>
    </sheetView>
  </sheetViews>
  <sheetFormatPr defaultRowHeight="15" x14ac:dyDescent="0.25"/>
  <cols>
    <col min="2" max="2" width="12.7109375" customWidth="1"/>
    <col min="3" max="3" width="39.7109375" hidden="1" customWidth="1"/>
    <col min="4" max="4" width="55.7109375" customWidth="1"/>
    <col min="5" max="5" width="25.85546875" hidden="1" customWidth="1"/>
    <col min="6" max="6" width="38" style="17" customWidth="1"/>
    <col min="7" max="7" width="18.7109375" style="17" hidden="1" customWidth="1"/>
    <col min="8" max="9" width="21.28515625" style="17" hidden="1" customWidth="1"/>
    <col min="10" max="10" width="10.7109375" style="17" customWidth="1"/>
    <col min="11" max="11" width="10.28515625" style="17" customWidth="1"/>
    <col min="12" max="12" width="12.140625" style="17" customWidth="1"/>
    <col min="13" max="13" width="12.140625" style="17" hidden="1" customWidth="1"/>
    <col min="14" max="14" width="8.42578125" style="17" customWidth="1"/>
    <col min="15" max="15" width="7" style="17" customWidth="1"/>
    <col min="16" max="16" width="6.85546875" style="17" customWidth="1"/>
    <col min="17" max="17" width="6.140625" style="17" customWidth="1"/>
    <col min="18" max="18" width="9.5703125" style="156" customWidth="1"/>
    <col min="19" max="20" width="21.28515625" style="17" hidden="1" customWidth="1"/>
    <col min="21" max="21" width="12.28515625" style="17" hidden="1" customWidth="1"/>
    <col min="22" max="22" width="21.28515625" style="17" hidden="1" customWidth="1"/>
    <col min="23" max="23" width="15" style="17" customWidth="1"/>
    <col min="24" max="24" width="10" style="17" customWidth="1"/>
    <col min="25" max="25" width="10.28515625" style="17" hidden="1" customWidth="1"/>
    <col min="26" max="26" width="35.42578125" style="23" hidden="1" customWidth="1"/>
    <col min="27" max="27" width="11.7109375" hidden="1" customWidth="1"/>
    <col min="28" max="35" width="7.5703125" style="32" customWidth="1"/>
  </cols>
  <sheetData>
    <row r="1" spans="1:35" ht="7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259</v>
      </c>
      <c r="O1" s="1" t="s">
        <v>259</v>
      </c>
      <c r="P1" s="1" t="s">
        <v>259</v>
      </c>
      <c r="Q1" s="1" t="s">
        <v>259</v>
      </c>
      <c r="R1" s="379" t="s">
        <v>13</v>
      </c>
      <c r="S1" s="1" t="s">
        <v>14</v>
      </c>
      <c r="T1" s="1" t="s">
        <v>15</v>
      </c>
      <c r="U1" s="2" t="s">
        <v>16</v>
      </c>
      <c r="V1" s="2" t="s">
        <v>17</v>
      </c>
      <c r="W1" s="3" t="s">
        <v>18</v>
      </c>
      <c r="X1" s="1" t="s">
        <v>19</v>
      </c>
      <c r="Y1" s="1" t="s">
        <v>20</v>
      </c>
      <c r="Z1" s="4" t="s">
        <v>21</v>
      </c>
      <c r="AA1" s="5" t="s">
        <v>22</v>
      </c>
      <c r="AB1" s="452" t="s">
        <v>979</v>
      </c>
      <c r="AC1" s="453"/>
      <c r="AD1" s="453"/>
      <c r="AE1" s="454"/>
      <c r="AF1" s="452" t="s">
        <v>1145</v>
      </c>
      <c r="AG1" s="453"/>
      <c r="AH1" s="453"/>
      <c r="AI1" s="454"/>
    </row>
    <row r="2" spans="1:35" x14ac:dyDescent="0.25">
      <c r="A2" s="1"/>
      <c r="B2" s="1"/>
      <c r="C2" s="1"/>
      <c r="D2" s="1"/>
      <c r="E2" s="2"/>
      <c r="F2" s="1"/>
      <c r="G2" s="1"/>
      <c r="H2" s="1"/>
      <c r="I2" s="1"/>
      <c r="J2" s="1"/>
      <c r="K2" s="1"/>
      <c r="L2" s="1"/>
      <c r="M2" s="1"/>
      <c r="N2" s="133">
        <v>0.3</v>
      </c>
      <c r="O2" s="133">
        <v>0.35</v>
      </c>
      <c r="P2" s="133">
        <v>0.2</v>
      </c>
      <c r="Q2" s="133">
        <v>0.15</v>
      </c>
      <c r="R2" s="379"/>
      <c r="S2" s="1"/>
      <c r="T2" s="1"/>
      <c r="U2" s="2"/>
      <c r="V2" s="2"/>
      <c r="W2" s="3"/>
      <c r="X2" s="1"/>
      <c r="Y2" s="1"/>
      <c r="Z2" s="4"/>
      <c r="AA2" s="5"/>
      <c r="AB2" s="36">
        <v>0.3</v>
      </c>
      <c r="AC2" s="36">
        <v>0.35</v>
      </c>
      <c r="AD2" s="36">
        <v>0.2</v>
      </c>
      <c r="AE2" s="36">
        <v>0.15</v>
      </c>
      <c r="AF2" s="36">
        <v>0.3</v>
      </c>
      <c r="AG2" s="36">
        <v>0.35</v>
      </c>
      <c r="AH2" s="36">
        <v>0.2</v>
      </c>
      <c r="AI2" s="36">
        <v>0.15</v>
      </c>
    </row>
    <row r="3" spans="1:35" x14ac:dyDescent="0.25">
      <c r="A3" s="1"/>
      <c r="B3" s="1"/>
      <c r="C3" s="1"/>
      <c r="D3" s="1"/>
      <c r="E3" s="2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379"/>
      <c r="S3" s="1"/>
      <c r="T3" s="1"/>
      <c r="U3" s="2"/>
      <c r="V3" s="2"/>
      <c r="W3" s="3"/>
      <c r="X3" s="1"/>
      <c r="Y3" s="1"/>
      <c r="Z3" s="4"/>
      <c r="AA3" s="5"/>
      <c r="AB3" s="91">
        <f>SUM(AB4:AB225)</f>
        <v>7.35</v>
      </c>
      <c r="AC3" s="91">
        <f t="shared" ref="AC3:AI3" si="0">SUM(AC4:AC225)</f>
        <v>0</v>
      </c>
      <c r="AD3" s="91">
        <f t="shared" si="0"/>
        <v>0</v>
      </c>
      <c r="AE3" s="91">
        <f>SUM(AE4:AE225)</f>
        <v>0</v>
      </c>
      <c r="AF3" s="91">
        <f t="shared" si="0"/>
        <v>0</v>
      </c>
      <c r="AG3" s="91">
        <f t="shared" si="0"/>
        <v>0</v>
      </c>
      <c r="AH3" s="91">
        <f t="shared" si="0"/>
        <v>0</v>
      </c>
      <c r="AI3" s="91">
        <f t="shared" si="0"/>
        <v>0</v>
      </c>
    </row>
    <row r="4" spans="1:35" ht="30" hidden="1" x14ac:dyDescent="0.25">
      <c r="A4" s="143">
        <v>1818</v>
      </c>
      <c r="B4" s="38" t="s">
        <v>228</v>
      </c>
      <c r="C4" s="143" t="s">
        <v>1179</v>
      </c>
      <c r="D4" s="298" t="s">
        <v>1180</v>
      </c>
      <c r="E4" s="38"/>
      <c r="F4" s="38"/>
      <c r="G4" s="38"/>
      <c r="H4" s="143" t="s">
        <v>1179</v>
      </c>
      <c r="I4" s="38"/>
      <c r="J4" s="38"/>
      <c r="K4" s="38"/>
      <c r="L4" s="38"/>
      <c r="M4" s="38"/>
      <c r="N4" s="38"/>
      <c r="O4" s="38"/>
      <c r="P4" s="38"/>
      <c r="Q4" s="38"/>
      <c r="R4" s="138"/>
      <c r="S4" s="38"/>
      <c r="T4" s="38"/>
      <c r="U4" s="38"/>
      <c r="V4" s="38"/>
      <c r="W4" s="38"/>
      <c r="X4" s="38"/>
      <c r="Y4" s="38"/>
      <c r="Z4" s="143"/>
      <c r="AA4" s="185"/>
      <c r="AB4" s="122"/>
      <c r="AC4" s="123"/>
      <c r="AD4" s="123"/>
      <c r="AE4" s="93"/>
      <c r="AF4" s="122"/>
      <c r="AG4" s="123"/>
      <c r="AH4" s="123"/>
      <c r="AI4" s="93"/>
    </row>
    <row r="5" spans="1:35" ht="30" hidden="1" x14ac:dyDescent="0.25">
      <c r="A5" s="15">
        <v>1819</v>
      </c>
      <c r="B5" s="104" t="s">
        <v>228</v>
      </c>
      <c r="C5" s="377" t="s">
        <v>1179</v>
      </c>
      <c r="D5" s="9" t="s">
        <v>1180</v>
      </c>
      <c r="E5" s="9"/>
      <c r="F5" s="15" t="s">
        <v>1181</v>
      </c>
      <c r="G5" s="15"/>
      <c r="H5" s="15" t="s">
        <v>1179</v>
      </c>
      <c r="I5" s="9"/>
      <c r="J5" s="9">
        <v>0.16</v>
      </c>
      <c r="K5" s="9">
        <v>0.32</v>
      </c>
      <c r="L5" s="9">
        <v>2</v>
      </c>
      <c r="M5" s="9" t="s">
        <v>1182</v>
      </c>
      <c r="N5" s="34">
        <f>R5*0.3</f>
        <v>7.4879999999999995</v>
      </c>
      <c r="O5" s="34">
        <f>R5*0.35</f>
        <v>8.7359999999999989</v>
      </c>
      <c r="P5" s="34">
        <f>R5*0.2</f>
        <v>4.9920000000000009</v>
      </c>
      <c r="Q5" s="34">
        <f>R5*0.15</f>
        <v>3.7439999999999998</v>
      </c>
      <c r="R5" s="138">
        <v>24.96</v>
      </c>
      <c r="S5" s="9">
        <v>171718.65</v>
      </c>
      <c r="T5" s="9">
        <v>54949.968000000001</v>
      </c>
      <c r="U5" s="9"/>
      <c r="V5" s="9"/>
      <c r="W5" s="15" t="s">
        <v>1183</v>
      </c>
      <c r="X5" s="15">
        <v>174927</v>
      </c>
      <c r="Y5" s="9" t="s">
        <v>1184</v>
      </c>
      <c r="Z5" s="15" t="s">
        <v>1181</v>
      </c>
      <c r="AA5" s="142">
        <v>1</v>
      </c>
      <c r="AB5" s="124"/>
      <c r="AC5" s="34"/>
      <c r="AD5" s="34"/>
      <c r="AE5" s="95"/>
      <c r="AF5" s="124"/>
      <c r="AG5" s="34"/>
      <c r="AH5" s="34"/>
      <c r="AI5" s="95"/>
    </row>
    <row r="6" spans="1:35" ht="30" hidden="1" x14ac:dyDescent="0.25">
      <c r="A6" s="15">
        <v>1820</v>
      </c>
      <c r="B6" s="104" t="s">
        <v>228</v>
      </c>
      <c r="C6" s="377" t="s">
        <v>1179</v>
      </c>
      <c r="D6" s="9" t="s">
        <v>1180</v>
      </c>
      <c r="E6" s="9"/>
      <c r="F6" s="15" t="s">
        <v>1185</v>
      </c>
      <c r="G6" s="15"/>
      <c r="H6" s="15" t="s">
        <v>1179</v>
      </c>
      <c r="I6" s="9"/>
      <c r="J6" s="9">
        <v>5.5840000000000001E-2</v>
      </c>
      <c r="K6" s="9">
        <v>0.67008000000000001</v>
      </c>
      <c r="L6" s="9">
        <v>12</v>
      </c>
      <c r="M6" s="9" t="s">
        <v>1182</v>
      </c>
      <c r="N6" s="34">
        <f t="shared" ref="N6:N69" si="1">R6*0.3</f>
        <v>18.494208</v>
      </c>
      <c r="O6" s="34">
        <f t="shared" ref="O6:O69" si="2">R6*0.35</f>
        <v>21.576575999999999</v>
      </c>
      <c r="P6" s="34">
        <f t="shared" ref="P6:P69" si="3">R6*0.2</f>
        <v>12.329472000000001</v>
      </c>
      <c r="Q6" s="34">
        <f t="shared" ref="Q6:Q69" si="4">R6*0.15</f>
        <v>9.2471040000000002</v>
      </c>
      <c r="R6" s="138">
        <v>61.647359999999999</v>
      </c>
      <c r="S6" s="9">
        <v>171718.65</v>
      </c>
      <c r="T6" s="9">
        <v>115065.232992</v>
      </c>
      <c r="U6" s="9"/>
      <c r="V6" s="9"/>
      <c r="W6" s="15" t="s">
        <v>1186</v>
      </c>
      <c r="X6" s="15">
        <v>172536</v>
      </c>
      <c r="Y6" s="9" t="s">
        <v>1184</v>
      </c>
      <c r="Z6" s="15" t="s">
        <v>1185</v>
      </c>
      <c r="AA6" s="142">
        <v>1</v>
      </c>
      <c r="AB6" s="58"/>
      <c r="AC6" s="42"/>
      <c r="AD6" s="42"/>
      <c r="AE6" s="59"/>
      <c r="AF6" s="58"/>
      <c r="AG6" s="42"/>
      <c r="AH6" s="42"/>
      <c r="AI6" s="59"/>
    </row>
    <row r="7" spans="1:35" ht="45" hidden="1" x14ac:dyDescent="0.25">
      <c r="A7" s="15">
        <v>1821</v>
      </c>
      <c r="B7" s="104" t="s">
        <v>228</v>
      </c>
      <c r="C7" s="377" t="s">
        <v>1179</v>
      </c>
      <c r="D7" s="9" t="s">
        <v>1180</v>
      </c>
      <c r="E7" s="9"/>
      <c r="F7" s="15" t="s">
        <v>1187</v>
      </c>
      <c r="G7" s="15"/>
      <c r="H7" s="15" t="s">
        <v>1179</v>
      </c>
      <c r="I7" s="9"/>
      <c r="J7" s="9">
        <v>2.1999999999999999E-5</v>
      </c>
      <c r="K7" s="9">
        <v>7.9199999999999995E-4</v>
      </c>
      <c r="L7" s="9">
        <v>36</v>
      </c>
      <c r="M7" s="9" t="s">
        <v>1182</v>
      </c>
      <c r="N7" s="34">
        <f t="shared" si="1"/>
        <v>2.3522399999999995E-2</v>
      </c>
      <c r="O7" s="34">
        <f t="shared" si="2"/>
        <v>2.7442799999999996E-2</v>
      </c>
      <c r="P7" s="34">
        <f t="shared" si="3"/>
        <v>1.56816E-2</v>
      </c>
      <c r="Q7" s="34">
        <f t="shared" si="4"/>
        <v>1.1761199999999998E-2</v>
      </c>
      <c r="R7" s="138">
        <v>7.8407999999999992E-2</v>
      </c>
      <c r="S7" s="9">
        <v>171718.65</v>
      </c>
      <c r="T7" s="9">
        <v>136.00117079999998</v>
      </c>
      <c r="U7" s="9"/>
      <c r="V7" s="9"/>
      <c r="W7" s="15" t="s">
        <v>1188</v>
      </c>
      <c r="X7" s="15">
        <v>172517</v>
      </c>
      <c r="Y7" s="9" t="s">
        <v>1184</v>
      </c>
      <c r="Z7" s="15" t="s">
        <v>1187</v>
      </c>
      <c r="AA7" s="142">
        <v>1</v>
      </c>
      <c r="AB7" s="58"/>
      <c r="AC7" s="42"/>
      <c r="AD7" s="42"/>
      <c r="AE7" s="59"/>
      <c r="AF7" s="58"/>
      <c r="AG7" s="42"/>
      <c r="AH7" s="42"/>
      <c r="AI7" s="59"/>
    </row>
    <row r="8" spans="1:35" ht="60" hidden="1" x14ac:dyDescent="0.25">
      <c r="A8" s="15">
        <v>1822</v>
      </c>
      <c r="B8" s="104" t="s">
        <v>228</v>
      </c>
      <c r="C8" s="377" t="s">
        <v>1179</v>
      </c>
      <c r="D8" s="9" t="s">
        <v>1180</v>
      </c>
      <c r="E8" s="9"/>
      <c r="F8" s="15" t="s">
        <v>1189</v>
      </c>
      <c r="G8" s="15"/>
      <c r="H8" s="15" t="s">
        <v>1179</v>
      </c>
      <c r="I8" s="9"/>
      <c r="J8" s="9">
        <v>3.8000000000000002E-5</v>
      </c>
      <c r="K8" s="9">
        <v>9.1200000000000005E-4</v>
      </c>
      <c r="L8" s="9">
        <v>24</v>
      </c>
      <c r="M8" s="9" t="s">
        <v>1182</v>
      </c>
      <c r="N8" s="34">
        <f t="shared" si="1"/>
        <v>2.70864E-2</v>
      </c>
      <c r="O8" s="34">
        <f t="shared" si="2"/>
        <v>3.1600799999999998E-2</v>
      </c>
      <c r="P8" s="34">
        <f t="shared" si="3"/>
        <v>1.8057600000000004E-2</v>
      </c>
      <c r="Q8" s="34">
        <f t="shared" si="4"/>
        <v>1.35432E-2</v>
      </c>
      <c r="R8" s="138">
        <v>9.0288000000000007E-2</v>
      </c>
      <c r="S8" s="9">
        <v>171718.65</v>
      </c>
      <c r="T8" s="9">
        <v>156.6074088</v>
      </c>
      <c r="U8" s="9"/>
      <c r="V8" s="9"/>
      <c r="W8" s="15" t="s">
        <v>1190</v>
      </c>
      <c r="X8" s="15">
        <v>172517</v>
      </c>
      <c r="Y8" s="9" t="s">
        <v>1184</v>
      </c>
      <c r="Z8" s="15" t="s">
        <v>1189</v>
      </c>
      <c r="AA8" s="142">
        <v>2</v>
      </c>
      <c r="AB8" s="58"/>
      <c r="AC8" s="42"/>
      <c r="AD8" s="42"/>
      <c r="AE8" s="59"/>
      <c r="AF8" s="58"/>
      <c r="AG8" s="42"/>
      <c r="AH8" s="42"/>
      <c r="AI8" s="59"/>
    </row>
    <row r="9" spans="1:35" ht="60" hidden="1" x14ac:dyDescent="0.25">
      <c r="A9" s="15">
        <v>1823</v>
      </c>
      <c r="B9" s="104" t="s">
        <v>228</v>
      </c>
      <c r="C9" s="377" t="s">
        <v>1179</v>
      </c>
      <c r="D9" s="9" t="s">
        <v>1180</v>
      </c>
      <c r="E9" s="9"/>
      <c r="F9" s="15" t="s">
        <v>1191</v>
      </c>
      <c r="G9" s="15"/>
      <c r="H9" s="15" t="s">
        <v>1179</v>
      </c>
      <c r="I9" s="9"/>
      <c r="J9" s="9">
        <v>4.1E-5</v>
      </c>
      <c r="K9" s="9">
        <v>1.9680000000000001E-3</v>
      </c>
      <c r="L9" s="9">
        <v>48</v>
      </c>
      <c r="M9" s="9" t="s">
        <v>1182</v>
      </c>
      <c r="N9" s="34">
        <f t="shared" si="1"/>
        <v>5.8449599999999997E-2</v>
      </c>
      <c r="O9" s="34">
        <f t="shared" si="2"/>
        <v>6.8191199999999993E-2</v>
      </c>
      <c r="P9" s="34">
        <f t="shared" si="3"/>
        <v>3.8966400000000005E-2</v>
      </c>
      <c r="Q9" s="34">
        <f t="shared" si="4"/>
        <v>2.9224799999999999E-2</v>
      </c>
      <c r="R9" s="138">
        <v>0.19483200000000001</v>
      </c>
      <c r="S9" s="9">
        <v>171718.65</v>
      </c>
      <c r="T9" s="9">
        <v>337.94230320000003</v>
      </c>
      <c r="U9" s="9"/>
      <c r="V9" s="9"/>
      <c r="W9" s="15" t="s">
        <v>1192</v>
      </c>
      <c r="X9" s="15">
        <v>172517</v>
      </c>
      <c r="Y9" s="9" t="s">
        <v>1184</v>
      </c>
      <c r="Z9" s="15" t="s">
        <v>1191</v>
      </c>
      <c r="AA9" s="142">
        <v>3</v>
      </c>
      <c r="AB9" s="58"/>
      <c r="AC9" s="42"/>
      <c r="AD9" s="42"/>
      <c r="AE9" s="59"/>
      <c r="AF9" s="58"/>
      <c r="AG9" s="42"/>
      <c r="AH9" s="42"/>
      <c r="AI9" s="59"/>
    </row>
    <row r="10" spans="1:35" ht="60" hidden="1" x14ac:dyDescent="0.25">
      <c r="A10" s="15">
        <v>1824</v>
      </c>
      <c r="B10" s="104" t="s">
        <v>228</v>
      </c>
      <c r="C10" s="377" t="s">
        <v>1179</v>
      </c>
      <c r="D10" s="9" t="s">
        <v>1180</v>
      </c>
      <c r="E10" s="9"/>
      <c r="F10" s="15" t="s">
        <v>1193</v>
      </c>
      <c r="G10" s="15"/>
      <c r="H10" s="15" t="s">
        <v>1179</v>
      </c>
      <c r="I10" s="9"/>
      <c r="J10" s="9">
        <v>4.4999999999999996E-5</v>
      </c>
      <c r="K10" s="9">
        <v>5.399999999999999E-4</v>
      </c>
      <c r="L10" s="9">
        <v>12</v>
      </c>
      <c r="M10" s="9" t="s">
        <v>1182</v>
      </c>
      <c r="N10" s="34">
        <f t="shared" si="1"/>
        <v>1.6037999999999997E-2</v>
      </c>
      <c r="O10" s="34">
        <f t="shared" si="2"/>
        <v>1.8710999999999995E-2</v>
      </c>
      <c r="P10" s="34">
        <f t="shared" si="3"/>
        <v>1.0691999999999998E-2</v>
      </c>
      <c r="Q10" s="34">
        <f t="shared" si="4"/>
        <v>8.0189999999999984E-3</v>
      </c>
      <c r="R10" s="138">
        <v>5.3459999999999987E-2</v>
      </c>
      <c r="S10" s="9">
        <v>171718.65</v>
      </c>
      <c r="T10" s="9">
        <v>92.728070999999986</v>
      </c>
      <c r="U10" s="9"/>
      <c r="V10" s="9"/>
      <c r="W10" s="15" t="s">
        <v>1194</v>
      </c>
      <c r="X10" s="15">
        <v>172517</v>
      </c>
      <c r="Y10" s="9" t="s">
        <v>1184</v>
      </c>
      <c r="Z10" s="15" t="s">
        <v>1193</v>
      </c>
      <c r="AA10" s="142">
        <v>4</v>
      </c>
      <c r="AB10" s="58"/>
      <c r="AC10" s="42"/>
      <c r="AD10" s="42"/>
      <c r="AE10" s="59"/>
      <c r="AF10" s="58"/>
      <c r="AG10" s="42"/>
      <c r="AH10" s="42"/>
      <c r="AI10" s="59"/>
    </row>
    <row r="11" spans="1:35" ht="60" hidden="1" x14ac:dyDescent="0.25">
      <c r="A11" s="15">
        <v>1825</v>
      </c>
      <c r="B11" s="104" t="s">
        <v>228</v>
      </c>
      <c r="C11" s="377" t="s">
        <v>1179</v>
      </c>
      <c r="D11" s="9" t="s">
        <v>1180</v>
      </c>
      <c r="E11" s="9"/>
      <c r="F11" s="15" t="s">
        <v>1195</v>
      </c>
      <c r="G11" s="15"/>
      <c r="H11" s="15" t="s">
        <v>1179</v>
      </c>
      <c r="I11" s="9"/>
      <c r="J11" s="9">
        <v>4.5600000000000003E-4</v>
      </c>
      <c r="K11" s="9">
        <v>2.1888000000000001E-2</v>
      </c>
      <c r="L11" s="9">
        <v>48</v>
      </c>
      <c r="M11" s="9" t="s">
        <v>1182</v>
      </c>
      <c r="N11" s="34">
        <f t="shared" si="1"/>
        <v>0.65007359999999992</v>
      </c>
      <c r="O11" s="34">
        <f t="shared" si="2"/>
        <v>0.75841919999999996</v>
      </c>
      <c r="P11" s="34">
        <f t="shared" si="3"/>
        <v>0.4333824</v>
      </c>
      <c r="Q11" s="34">
        <f t="shared" si="4"/>
        <v>0.32503679999999996</v>
      </c>
      <c r="R11" s="138">
        <v>2.1669119999999999</v>
      </c>
      <c r="S11" s="9">
        <v>171718.65</v>
      </c>
      <c r="T11" s="9">
        <v>3758.5778112000003</v>
      </c>
      <c r="U11" s="9"/>
      <c r="V11" s="9"/>
      <c r="W11" s="15" t="s">
        <v>1196</v>
      </c>
      <c r="X11" s="15">
        <v>172517</v>
      </c>
      <c r="Y11" s="9" t="s">
        <v>1184</v>
      </c>
      <c r="Z11" s="15" t="s">
        <v>1195</v>
      </c>
      <c r="AA11" s="142">
        <v>5</v>
      </c>
      <c r="AB11" s="58"/>
      <c r="AC11" s="42"/>
      <c r="AD11" s="42"/>
      <c r="AE11" s="59"/>
      <c r="AF11" s="58"/>
      <c r="AG11" s="42"/>
      <c r="AH11" s="42"/>
      <c r="AI11" s="59"/>
    </row>
    <row r="12" spans="1:35" ht="45" hidden="1" x14ac:dyDescent="0.25">
      <c r="A12" s="15">
        <v>1826</v>
      </c>
      <c r="B12" s="104" t="s">
        <v>228</v>
      </c>
      <c r="C12" s="377" t="s">
        <v>1179</v>
      </c>
      <c r="D12" s="9" t="s">
        <v>1180</v>
      </c>
      <c r="E12" s="9"/>
      <c r="F12" s="15" t="s">
        <v>1197</v>
      </c>
      <c r="G12" s="15"/>
      <c r="H12" s="15" t="s">
        <v>1179</v>
      </c>
      <c r="I12" s="9"/>
      <c r="J12" s="9">
        <v>6.0000000000000002E-6</v>
      </c>
      <c r="K12" s="9">
        <v>2.1599999999999999E-4</v>
      </c>
      <c r="L12" s="9">
        <v>36</v>
      </c>
      <c r="M12" s="9" t="s">
        <v>1182</v>
      </c>
      <c r="N12" s="34">
        <f t="shared" si="1"/>
        <v>6.4152000000000002E-3</v>
      </c>
      <c r="O12" s="34">
        <f t="shared" si="2"/>
        <v>7.4843999999999996E-3</v>
      </c>
      <c r="P12" s="34">
        <f t="shared" si="3"/>
        <v>4.2767999999999999E-3</v>
      </c>
      <c r="Q12" s="34">
        <f t="shared" si="4"/>
        <v>3.2076000000000001E-3</v>
      </c>
      <c r="R12" s="138">
        <v>2.1384E-2</v>
      </c>
      <c r="S12" s="9">
        <v>171718.65</v>
      </c>
      <c r="T12" s="9">
        <v>37.091228399999999</v>
      </c>
      <c r="U12" s="9"/>
      <c r="V12" s="9"/>
      <c r="W12" s="15" t="s">
        <v>1198</v>
      </c>
      <c r="X12" s="15">
        <v>172517</v>
      </c>
      <c r="Y12" s="9" t="s">
        <v>1184</v>
      </c>
      <c r="Z12" s="15" t="s">
        <v>1197</v>
      </c>
      <c r="AA12" s="142">
        <v>6</v>
      </c>
      <c r="AB12" s="58"/>
      <c r="AC12" s="42"/>
      <c r="AD12" s="42"/>
      <c r="AE12" s="59"/>
      <c r="AF12" s="58"/>
      <c r="AG12" s="42"/>
      <c r="AH12" s="42"/>
      <c r="AI12" s="59"/>
    </row>
    <row r="13" spans="1:35" ht="45" hidden="1" x14ac:dyDescent="0.25">
      <c r="A13" s="15">
        <v>1827</v>
      </c>
      <c r="B13" s="104" t="s">
        <v>228</v>
      </c>
      <c r="C13" s="377" t="s">
        <v>1179</v>
      </c>
      <c r="D13" s="9" t="s">
        <v>1180</v>
      </c>
      <c r="E13" s="9"/>
      <c r="F13" s="15" t="s">
        <v>1199</v>
      </c>
      <c r="G13" s="15"/>
      <c r="H13" s="15" t="s">
        <v>1179</v>
      </c>
      <c r="I13" s="9"/>
      <c r="J13" s="9">
        <v>3.0000000000000001E-6</v>
      </c>
      <c r="K13" s="9">
        <v>1.8000000000000001E-4</v>
      </c>
      <c r="L13" s="9">
        <v>60</v>
      </c>
      <c r="M13" s="9" t="s">
        <v>1182</v>
      </c>
      <c r="N13" s="34">
        <f t="shared" si="1"/>
        <v>5.3460000000000009E-3</v>
      </c>
      <c r="O13" s="34">
        <f t="shared" si="2"/>
        <v>6.2370000000000004E-3</v>
      </c>
      <c r="P13" s="34">
        <f t="shared" si="3"/>
        <v>3.5640000000000008E-3</v>
      </c>
      <c r="Q13" s="34">
        <f t="shared" si="4"/>
        <v>2.6730000000000005E-3</v>
      </c>
      <c r="R13" s="138">
        <v>1.7820000000000003E-2</v>
      </c>
      <c r="S13" s="9">
        <v>171718.65</v>
      </c>
      <c r="T13" s="9">
        <v>30.909357</v>
      </c>
      <c r="U13" s="9"/>
      <c r="V13" s="9"/>
      <c r="W13" s="15" t="s">
        <v>1200</v>
      </c>
      <c r="X13" s="15">
        <v>172517</v>
      </c>
      <c r="Y13" s="9" t="s">
        <v>1184</v>
      </c>
      <c r="Z13" s="15" t="s">
        <v>1199</v>
      </c>
      <c r="AA13" s="142">
        <v>7</v>
      </c>
      <c r="AB13" s="58"/>
      <c r="AC13" s="42"/>
      <c r="AD13" s="42"/>
      <c r="AE13" s="59"/>
      <c r="AF13" s="58"/>
      <c r="AG13" s="42"/>
      <c r="AH13" s="42"/>
      <c r="AI13" s="59"/>
    </row>
    <row r="14" spans="1:35" ht="45" hidden="1" x14ac:dyDescent="0.25">
      <c r="A14" s="15">
        <v>1828</v>
      </c>
      <c r="B14" s="104" t="s">
        <v>228</v>
      </c>
      <c r="C14" s="377" t="s">
        <v>1179</v>
      </c>
      <c r="D14" s="9" t="s">
        <v>1180</v>
      </c>
      <c r="E14" s="9"/>
      <c r="F14" s="15" t="s">
        <v>1201</v>
      </c>
      <c r="G14" s="15"/>
      <c r="H14" s="15" t="s">
        <v>1179</v>
      </c>
      <c r="I14" s="9"/>
      <c r="J14" s="9">
        <v>5.0000000000000001E-4</v>
      </c>
      <c r="K14" s="9">
        <v>1.8000000000000002E-2</v>
      </c>
      <c r="L14" s="9">
        <v>36</v>
      </c>
      <c r="M14" s="9" t="s">
        <v>1182</v>
      </c>
      <c r="N14" s="34">
        <f t="shared" si="1"/>
        <v>0.53460000000000008</v>
      </c>
      <c r="O14" s="34">
        <f t="shared" si="2"/>
        <v>0.62370000000000003</v>
      </c>
      <c r="P14" s="34">
        <f t="shared" si="3"/>
        <v>0.35640000000000005</v>
      </c>
      <c r="Q14" s="34">
        <f t="shared" si="4"/>
        <v>0.26730000000000004</v>
      </c>
      <c r="R14" s="138">
        <v>1.7820000000000003</v>
      </c>
      <c r="S14" s="9">
        <v>171718.65</v>
      </c>
      <c r="T14" s="9">
        <v>3090.9357000000005</v>
      </c>
      <c r="U14" s="9"/>
      <c r="V14" s="9"/>
      <c r="W14" s="15" t="s">
        <v>1202</v>
      </c>
      <c r="X14" s="15">
        <v>172517</v>
      </c>
      <c r="Y14" s="9" t="s">
        <v>1184</v>
      </c>
      <c r="Z14" s="15" t="s">
        <v>1201</v>
      </c>
      <c r="AA14" s="142">
        <v>8</v>
      </c>
      <c r="AB14" s="58"/>
      <c r="AC14" s="42"/>
      <c r="AD14" s="42"/>
      <c r="AE14" s="59"/>
      <c r="AF14" s="58"/>
      <c r="AG14" s="42"/>
      <c r="AH14" s="42"/>
      <c r="AI14" s="59"/>
    </row>
    <row r="15" spans="1:35" ht="45" hidden="1" x14ac:dyDescent="0.25">
      <c r="A15" s="15">
        <v>1829</v>
      </c>
      <c r="B15" s="104" t="s">
        <v>228</v>
      </c>
      <c r="C15" s="377" t="s">
        <v>1179</v>
      </c>
      <c r="D15" s="9" t="s">
        <v>1180</v>
      </c>
      <c r="E15" s="9"/>
      <c r="F15" s="15" t="s">
        <v>1203</v>
      </c>
      <c r="G15" s="15"/>
      <c r="H15" s="15" t="s">
        <v>1179</v>
      </c>
      <c r="I15" s="9"/>
      <c r="J15" s="9">
        <v>6.0000000000000002E-6</v>
      </c>
      <c r="K15" s="9">
        <v>2.8800000000000001E-4</v>
      </c>
      <c r="L15" s="9">
        <v>48</v>
      </c>
      <c r="M15" s="9" t="s">
        <v>1182</v>
      </c>
      <c r="N15" s="34">
        <f t="shared" si="1"/>
        <v>8.5535999999999997E-3</v>
      </c>
      <c r="O15" s="34">
        <f t="shared" si="2"/>
        <v>9.9791999999999988E-3</v>
      </c>
      <c r="P15" s="34">
        <f t="shared" si="3"/>
        <v>5.7023999999999998E-3</v>
      </c>
      <c r="Q15" s="34">
        <f t="shared" si="4"/>
        <v>4.2767999999999999E-3</v>
      </c>
      <c r="R15" s="138">
        <v>2.8511999999999999E-2</v>
      </c>
      <c r="S15" s="9">
        <v>171718.65</v>
      </c>
      <c r="T15" s="9">
        <v>49.454971200000003</v>
      </c>
      <c r="U15" s="9"/>
      <c r="V15" s="9"/>
      <c r="W15" s="15" t="s">
        <v>1204</v>
      </c>
      <c r="X15" s="15">
        <v>172517</v>
      </c>
      <c r="Y15" s="9" t="s">
        <v>1184</v>
      </c>
      <c r="Z15" s="15" t="s">
        <v>1203</v>
      </c>
      <c r="AA15" s="142">
        <v>9</v>
      </c>
      <c r="AB15" s="58"/>
      <c r="AC15" s="42"/>
      <c r="AD15" s="42"/>
      <c r="AE15" s="59"/>
      <c r="AF15" s="58"/>
      <c r="AG15" s="42"/>
      <c r="AH15" s="42"/>
      <c r="AI15" s="59"/>
    </row>
    <row r="16" spans="1:35" ht="45" hidden="1" x14ac:dyDescent="0.25">
      <c r="A16" s="15">
        <v>1830</v>
      </c>
      <c r="B16" s="104" t="s">
        <v>228</v>
      </c>
      <c r="C16" s="377" t="s">
        <v>1179</v>
      </c>
      <c r="D16" s="9" t="s">
        <v>1180</v>
      </c>
      <c r="E16" s="9"/>
      <c r="F16" s="15" t="s">
        <v>1205</v>
      </c>
      <c r="G16" s="15"/>
      <c r="H16" s="15" t="s">
        <v>1179</v>
      </c>
      <c r="I16" s="9"/>
      <c r="J16" s="9">
        <v>1.9999999999999999E-6</v>
      </c>
      <c r="K16" s="9">
        <v>1.44E-4</v>
      </c>
      <c r="L16" s="9">
        <v>72</v>
      </c>
      <c r="M16" s="9" t="s">
        <v>1182</v>
      </c>
      <c r="N16" s="34">
        <f t="shared" si="1"/>
        <v>4.2767999999999999E-3</v>
      </c>
      <c r="O16" s="34">
        <f t="shared" si="2"/>
        <v>4.9895999999999994E-3</v>
      </c>
      <c r="P16" s="34">
        <f t="shared" si="3"/>
        <v>2.8511999999999999E-3</v>
      </c>
      <c r="Q16" s="34">
        <f t="shared" si="4"/>
        <v>2.1383999999999999E-3</v>
      </c>
      <c r="R16" s="138">
        <v>1.4256E-2</v>
      </c>
      <c r="S16" s="9">
        <v>171718.65</v>
      </c>
      <c r="T16" s="9">
        <v>24.727485600000001</v>
      </c>
      <c r="U16" s="9"/>
      <c r="V16" s="9"/>
      <c r="W16" s="15" t="s">
        <v>1206</v>
      </c>
      <c r="X16" s="15">
        <v>172517</v>
      </c>
      <c r="Y16" s="9" t="s">
        <v>1184</v>
      </c>
      <c r="Z16" s="15" t="s">
        <v>1205</v>
      </c>
      <c r="AA16" s="142">
        <v>10</v>
      </c>
      <c r="AB16" s="58"/>
      <c r="AC16" s="42"/>
      <c r="AD16" s="42"/>
      <c r="AE16" s="59"/>
      <c r="AF16" s="58"/>
      <c r="AG16" s="42"/>
      <c r="AH16" s="42"/>
      <c r="AI16" s="59"/>
    </row>
    <row r="17" spans="1:35" ht="45" hidden="1" x14ac:dyDescent="0.25">
      <c r="A17" s="15">
        <v>1831</v>
      </c>
      <c r="B17" s="104" t="s">
        <v>228</v>
      </c>
      <c r="C17" s="377" t="s">
        <v>1179</v>
      </c>
      <c r="D17" s="9" t="s">
        <v>1180</v>
      </c>
      <c r="E17" s="9"/>
      <c r="F17" s="15" t="s">
        <v>1207</v>
      </c>
      <c r="G17" s="15"/>
      <c r="H17" s="15" t="s">
        <v>1179</v>
      </c>
      <c r="I17" s="9"/>
      <c r="J17" s="9">
        <v>6.0000000000000002E-6</v>
      </c>
      <c r="K17" s="9">
        <v>1.44E-4</v>
      </c>
      <c r="L17" s="9">
        <v>24</v>
      </c>
      <c r="M17" s="9" t="s">
        <v>1182</v>
      </c>
      <c r="N17" s="34">
        <f t="shared" si="1"/>
        <v>4.2767999999999999E-3</v>
      </c>
      <c r="O17" s="34">
        <f t="shared" si="2"/>
        <v>4.9895999999999994E-3</v>
      </c>
      <c r="P17" s="34">
        <f t="shared" si="3"/>
        <v>2.8511999999999999E-3</v>
      </c>
      <c r="Q17" s="34">
        <f t="shared" si="4"/>
        <v>2.1383999999999999E-3</v>
      </c>
      <c r="R17" s="138">
        <v>1.4256E-2</v>
      </c>
      <c r="S17" s="9">
        <v>171718.65</v>
      </c>
      <c r="T17" s="9">
        <v>24.727485600000001</v>
      </c>
      <c r="U17" s="9"/>
      <c r="V17" s="9"/>
      <c r="W17" s="15" t="s">
        <v>1208</v>
      </c>
      <c r="X17" s="15">
        <v>172517</v>
      </c>
      <c r="Y17" s="9" t="s">
        <v>1184</v>
      </c>
      <c r="Z17" s="15" t="s">
        <v>1207</v>
      </c>
      <c r="AA17" s="142">
        <v>11</v>
      </c>
      <c r="AB17" s="58"/>
      <c r="AC17" s="42"/>
      <c r="AD17" s="42"/>
      <c r="AE17" s="59"/>
      <c r="AF17" s="58"/>
      <c r="AG17" s="42"/>
      <c r="AH17" s="42"/>
      <c r="AI17" s="59"/>
    </row>
    <row r="18" spans="1:35" ht="60" hidden="1" x14ac:dyDescent="0.25">
      <c r="A18" s="15">
        <v>1832</v>
      </c>
      <c r="B18" s="104" t="s">
        <v>228</v>
      </c>
      <c r="C18" s="377" t="s">
        <v>1179</v>
      </c>
      <c r="D18" s="9" t="s">
        <v>1180</v>
      </c>
      <c r="E18" s="9"/>
      <c r="F18" s="15" t="s">
        <v>1209</v>
      </c>
      <c r="G18" s="15"/>
      <c r="H18" s="15" t="s">
        <v>1179</v>
      </c>
      <c r="I18" s="9"/>
      <c r="J18" s="9">
        <v>1.7E-5</v>
      </c>
      <c r="K18" s="9">
        <v>2.04E-4</v>
      </c>
      <c r="L18" s="9">
        <v>12</v>
      </c>
      <c r="M18" s="9" t="s">
        <v>1182</v>
      </c>
      <c r="N18" s="34">
        <f t="shared" si="1"/>
        <v>6.0587999999999996E-3</v>
      </c>
      <c r="O18" s="34">
        <f t="shared" si="2"/>
        <v>7.0685999999999987E-3</v>
      </c>
      <c r="P18" s="34">
        <f t="shared" si="3"/>
        <v>4.0391999999999997E-3</v>
      </c>
      <c r="Q18" s="34">
        <f t="shared" si="4"/>
        <v>3.0293999999999998E-3</v>
      </c>
      <c r="R18" s="138">
        <v>2.0195999999999999E-2</v>
      </c>
      <c r="S18" s="9">
        <v>171718.65</v>
      </c>
      <c r="T18" s="9">
        <v>35.030604599999997</v>
      </c>
      <c r="U18" s="9"/>
      <c r="V18" s="9"/>
      <c r="W18" s="15" t="s">
        <v>1210</v>
      </c>
      <c r="X18" s="15">
        <v>172517</v>
      </c>
      <c r="Y18" s="9" t="s">
        <v>1184</v>
      </c>
      <c r="Z18" s="15" t="s">
        <v>1209</v>
      </c>
      <c r="AA18" s="142">
        <v>12</v>
      </c>
      <c r="AB18" s="58"/>
      <c r="AC18" s="42"/>
      <c r="AD18" s="42"/>
      <c r="AE18" s="59"/>
      <c r="AF18" s="58"/>
      <c r="AG18" s="42"/>
      <c r="AH18" s="42"/>
      <c r="AI18" s="59"/>
    </row>
    <row r="19" spans="1:35" ht="30" hidden="1" x14ac:dyDescent="0.25">
      <c r="A19" s="15">
        <v>1833</v>
      </c>
      <c r="B19" s="104" t="s">
        <v>228</v>
      </c>
      <c r="C19" s="377" t="s">
        <v>1179</v>
      </c>
      <c r="D19" s="9" t="s">
        <v>1180</v>
      </c>
      <c r="E19" s="9"/>
      <c r="F19" s="15" t="s">
        <v>1211</v>
      </c>
      <c r="G19" s="15"/>
      <c r="H19" s="15" t="s">
        <v>1179</v>
      </c>
      <c r="I19" s="9"/>
      <c r="J19" s="9">
        <v>1.2999999999999999E-5</v>
      </c>
      <c r="K19" s="9">
        <v>3.1199999999999999E-4</v>
      </c>
      <c r="L19" s="9">
        <v>24</v>
      </c>
      <c r="M19" s="9" t="s">
        <v>1182</v>
      </c>
      <c r="N19" s="34">
        <f t="shared" si="1"/>
        <v>9.2663999999999993E-3</v>
      </c>
      <c r="O19" s="34">
        <f t="shared" si="2"/>
        <v>1.0810799999999999E-2</v>
      </c>
      <c r="P19" s="34">
        <f t="shared" si="3"/>
        <v>6.1776000000000001E-3</v>
      </c>
      <c r="Q19" s="34">
        <f t="shared" si="4"/>
        <v>4.6331999999999996E-3</v>
      </c>
      <c r="R19" s="138">
        <v>3.0887999999999999E-2</v>
      </c>
      <c r="S19" s="9">
        <v>171718.65</v>
      </c>
      <c r="T19" s="9">
        <v>53.576218799999999</v>
      </c>
      <c r="U19" s="9"/>
      <c r="V19" s="9"/>
      <c r="W19" s="15" t="s">
        <v>1212</v>
      </c>
      <c r="X19" s="15">
        <v>172517</v>
      </c>
      <c r="Y19" s="9" t="s">
        <v>1184</v>
      </c>
      <c r="Z19" s="15" t="s">
        <v>1211</v>
      </c>
      <c r="AA19" s="142">
        <v>13</v>
      </c>
      <c r="AB19" s="58"/>
      <c r="AC19" s="42"/>
      <c r="AD19" s="42"/>
      <c r="AE19" s="59"/>
      <c r="AF19" s="58"/>
      <c r="AG19" s="42"/>
      <c r="AH19" s="42"/>
      <c r="AI19" s="59"/>
    </row>
    <row r="20" spans="1:35" ht="30" hidden="1" x14ac:dyDescent="0.25">
      <c r="A20" s="15">
        <v>1834</v>
      </c>
      <c r="B20" s="104" t="s">
        <v>228</v>
      </c>
      <c r="C20" s="377" t="s">
        <v>1179</v>
      </c>
      <c r="D20" s="9" t="s">
        <v>1180</v>
      </c>
      <c r="E20" s="9"/>
      <c r="F20" s="15" t="s">
        <v>1213</v>
      </c>
      <c r="G20" s="15"/>
      <c r="H20" s="15" t="s">
        <v>1179</v>
      </c>
      <c r="I20" s="9"/>
      <c r="J20" s="9">
        <v>2.2000000000000001E-4</v>
      </c>
      <c r="K20" s="9">
        <v>2.64E-3</v>
      </c>
      <c r="L20" s="9">
        <v>12</v>
      </c>
      <c r="M20" s="9" t="s">
        <v>1182</v>
      </c>
      <c r="N20" s="34">
        <f t="shared" si="1"/>
        <v>7.8407999999999992E-2</v>
      </c>
      <c r="O20" s="34">
        <f t="shared" si="2"/>
        <v>9.1475999999999988E-2</v>
      </c>
      <c r="P20" s="34">
        <f t="shared" si="3"/>
        <v>5.2271999999999999E-2</v>
      </c>
      <c r="Q20" s="34">
        <f t="shared" si="4"/>
        <v>3.9203999999999996E-2</v>
      </c>
      <c r="R20" s="138">
        <v>0.26135999999999998</v>
      </c>
      <c r="S20" s="9">
        <v>171718.65</v>
      </c>
      <c r="T20" s="9">
        <v>453.33723599999996</v>
      </c>
      <c r="U20" s="9"/>
      <c r="V20" s="9"/>
      <c r="W20" s="15" t="s">
        <v>1214</v>
      </c>
      <c r="X20" s="15">
        <v>172517</v>
      </c>
      <c r="Y20" s="9" t="s">
        <v>1184</v>
      </c>
      <c r="Z20" s="15" t="s">
        <v>1213</v>
      </c>
      <c r="AA20" s="142">
        <v>14</v>
      </c>
      <c r="AB20" s="58"/>
      <c r="AC20" s="42"/>
      <c r="AD20" s="42"/>
      <c r="AE20" s="59"/>
      <c r="AF20" s="58"/>
      <c r="AG20" s="42"/>
      <c r="AH20" s="42"/>
      <c r="AI20" s="59"/>
    </row>
    <row r="21" spans="1:35" ht="45" hidden="1" x14ac:dyDescent="0.25">
      <c r="A21" s="15">
        <v>1835</v>
      </c>
      <c r="B21" s="104" t="s">
        <v>228</v>
      </c>
      <c r="C21" s="377" t="s">
        <v>1179</v>
      </c>
      <c r="D21" s="9" t="s">
        <v>1180</v>
      </c>
      <c r="E21" s="9"/>
      <c r="F21" s="15" t="s">
        <v>1215</v>
      </c>
      <c r="G21" s="15"/>
      <c r="H21" s="15" t="s">
        <v>1179</v>
      </c>
      <c r="I21" s="9"/>
      <c r="J21" s="9">
        <v>8.0000000000000004E-4</v>
      </c>
      <c r="K21" s="9">
        <v>7.2000000000000007E-3</v>
      </c>
      <c r="L21" s="9">
        <v>9</v>
      </c>
      <c r="M21" s="9" t="s">
        <v>1182</v>
      </c>
      <c r="N21" s="34">
        <f t="shared" si="1"/>
        <v>0.21384000000000003</v>
      </c>
      <c r="O21" s="34">
        <f t="shared" si="2"/>
        <v>0.24948000000000001</v>
      </c>
      <c r="P21" s="34">
        <f t="shared" si="3"/>
        <v>0.14256000000000002</v>
      </c>
      <c r="Q21" s="34">
        <f t="shared" si="4"/>
        <v>0.10692000000000002</v>
      </c>
      <c r="R21" s="138">
        <v>0.7128000000000001</v>
      </c>
      <c r="S21" s="9">
        <v>171718.65</v>
      </c>
      <c r="T21" s="9">
        <v>1236.37428</v>
      </c>
      <c r="U21" s="9"/>
      <c r="V21" s="9"/>
      <c r="W21" s="15" t="s">
        <v>1216</v>
      </c>
      <c r="X21" s="15">
        <v>172517</v>
      </c>
      <c r="Y21" s="9" t="s">
        <v>1184</v>
      </c>
      <c r="Z21" s="15" t="s">
        <v>1215</v>
      </c>
      <c r="AA21" s="142">
        <v>15</v>
      </c>
      <c r="AB21" s="58"/>
      <c r="AC21" s="42"/>
      <c r="AD21" s="42"/>
      <c r="AE21" s="59"/>
      <c r="AF21" s="58"/>
      <c r="AG21" s="42"/>
      <c r="AH21" s="42"/>
      <c r="AI21" s="59"/>
    </row>
    <row r="22" spans="1:35" ht="60" hidden="1" x14ac:dyDescent="0.25">
      <c r="A22" s="15">
        <v>1836</v>
      </c>
      <c r="B22" s="104" t="s">
        <v>228</v>
      </c>
      <c r="C22" s="377" t="s">
        <v>1179</v>
      </c>
      <c r="D22" s="9" t="s">
        <v>1180</v>
      </c>
      <c r="E22" s="9"/>
      <c r="F22" s="15" t="s">
        <v>1217</v>
      </c>
      <c r="G22" s="15"/>
      <c r="H22" s="15" t="s">
        <v>1179</v>
      </c>
      <c r="I22" s="9"/>
      <c r="J22" s="9">
        <v>5.0000000000000004E-6</v>
      </c>
      <c r="K22" s="9">
        <v>1.8000000000000001E-4</v>
      </c>
      <c r="L22" s="9">
        <v>36</v>
      </c>
      <c r="M22" s="9" t="s">
        <v>1182</v>
      </c>
      <c r="N22" s="34">
        <f t="shared" si="1"/>
        <v>5.3460000000000009E-3</v>
      </c>
      <c r="O22" s="34">
        <f t="shared" si="2"/>
        <v>6.2370000000000004E-3</v>
      </c>
      <c r="P22" s="34">
        <f t="shared" si="3"/>
        <v>3.5640000000000008E-3</v>
      </c>
      <c r="Q22" s="34">
        <f t="shared" si="4"/>
        <v>2.6730000000000005E-3</v>
      </c>
      <c r="R22" s="138">
        <v>1.7820000000000003E-2</v>
      </c>
      <c r="S22" s="9">
        <v>171718.65</v>
      </c>
      <c r="T22" s="9">
        <v>30.909357</v>
      </c>
      <c r="U22" s="9"/>
      <c r="V22" s="9"/>
      <c r="W22" s="15" t="s">
        <v>1218</v>
      </c>
      <c r="X22" s="15">
        <v>172517</v>
      </c>
      <c r="Y22" s="9" t="s">
        <v>1184</v>
      </c>
      <c r="Z22" s="15" t="s">
        <v>1217</v>
      </c>
      <c r="AA22" s="142">
        <v>16</v>
      </c>
      <c r="AB22" s="58"/>
      <c r="AC22" s="42"/>
      <c r="AD22" s="42"/>
      <c r="AE22" s="59"/>
      <c r="AF22" s="58"/>
      <c r="AG22" s="42"/>
      <c r="AH22" s="42"/>
      <c r="AI22" s="59"/>
    </row>
    <row r="23" spans="1:35" ht="45" hidden="1" x14ac:dyDescent="0.25">
      <c r="A23" s="15">
        <v>1837</v>
      </c>
      <c r="B23" s="104" t="s">
        <v>228</v>
      </c>
      <c r="C23" s="377" t="s">
        <v>1179</v>
      </c>
      <c r="D23" s="9" t="s">
        <v>1180</v>
      </c>
      <c r="E23" s="9"/>
      <c r="F23" s="15" t="s">
        <v>1219</v>
      </c>
      <c r="G23" s="15"/>
      <c r="H23" s="15" t="s">
        <v>1179</v>
      </c>
      <c r="I23" s="9"/>
      <c r="J23" s="9">
        <v>1.0889999999999999E-3</v>
      </c>
      <c r="K23" s="9">
        <v>1.3068E-2</v>
      </c>
      <c r="L23" s="9">
        <v>12</v>
      </c>
      <c r="M23" s="9" t="s">
        <v>1182</v>
      </c>
      <c r="N23" s="34">
        <f t="shared" si="1"/>
        <v>0.38811959999999995</v>
      </c>
      <c r="O23" s="34">
        <f t="shared" si="2"/>
        <v>0.45280619999999994</v>
      </c>
      <c r="P23" s="34">
        <f t="shared" si="3"/>
        <v>0.25874639999999999</v>
      </c>
      <c r="Q23" s="34">
        <f t="shared" si="4"/>
        <v>0.19405979999999998</v>
      </c>
      <c r="R23" s="138">
        <v>1.2937319999999999</v>
      </c>
      <c r="S23" s="9">
        <v>171718.65</v>
      </c>
      <c r="T23" s="9">
        <v>2244.0193181999998</v>
      </c>
      <c r="U23" s="9"/>
      <c r="V23" s="9"/>
      <c r="W23" s="15" t="s">
        <v>1220</v>
      </c>
      <c r="X23" s="15">
        <v>172517</v>
      </c>
      <c r="Y23" s="9" t="s">
        <v>1184</v>
      </c>
      <c r="Z23" s="15" t="s">
        <v>1219</v>
      </c>
      <c r="AA23" s="142">
        <v>17</v>
      </c>
      <c r="AB23" s="58"/>
      <c r="AC23" s="42"/>
      <c r="AD23" s="42"/>
      <c r="AE23" s="59"/>
      <c r="AF23" s="58"/>
      <c r="AG23" s="42"/>
      <c r="AH23" s="42"/>
      <c r="AI23" s="59"/>
    </row>
    <row r="24" spans="1:35" ht="45" hidden="1" x14ac:dyDescent="0.25">
      <c r="A24" s="15">
        <v>1838</v>
      </c>
      <c r="B24" s="104" t="s">
        <v>228</v>
      </c>
      <c r="C24" s="377" t="s">
        <v>1179</v>
      </c>
      <c r="D24" s="9" t="s">
        <v>1180</v>
      </c>
      <c r="E24" s="9"/>
      <c r="F24" s="15" t="s">
        <v>1221</v>
      </c>
      <c r="G24" s="15"/>
      <c r="H24" s="15" t="s">
        <v>1179</v>
      </c>
      <c r="I24" s="9"/>
      <c r="J24" s="9">
        <v>1.1000000000000001E-3</v>
      </c>
      <c r="K24" s="9">
        <v>9.9000000000000008E-3</v>
      </c>
      <c r="L24" s="9">
        <v>9</v>
      </c>
      <c r="M24" s="9" t="s">
        <v>1182</v>
      </c>
      <c r="N24" s="34">
        <f t="shared" si="1"/>
        <v>0.29403000000000001</v>
      </c>
      <c r="O24" s="34">
        <f t="shared" si="2"/>
        <v>0.34303500000000003</v>
      </c>
      <c r="P24" s="34">
        <f t="shared" si="3"/>
        <v>0.19602000000000003</v>
      </c>
      <c r="Q24" s="34">
        <f t="shared" si="4"/>
        <v>0.14701500000000001</v>
      </c>
      <c r="R24" s="138">
        <v>0.98010000000000008</v>
      </c>
      <c r="S24" s="9">
        <v>171718.65</v>
      </c>
      <c r="T24" s="9">
        <v>1700.014635</v>
      </c>
      <c r="U24" s="9"/>
      <c r="V24" s="9"/>
      <c r="W24" s="15" t="s">
        <v>1222</v>
      </c>
      <c r="X24" s="15">
        <v>172517</v>
      </c>
      <c r="Y24" s="9" t="s">
        <v>1184</v>
      </c>
      <c r="Z24" s="15" t="s">
        <v>1221</v>
      </c>
      <c r="AA24" s="142">
        <v>18</v>
      </c>
      <c r="AB24" s="58"/>
      <c r="AC24" s="42"/>
      <c r="AD24" s="42"/>
      <c r="AE24" s="59"/>
      <c r="AF24" s="58"/>
      <c r="AG24" s="42"/>
      <c r="AH24" s="42"/>
      <c r="AI24" s="59"/>
    </row>
    <row r="25" spans="1:35" ht="30" hidden="1" x14ac:dyDescent="0.25">
      <c r="A25" s="15">
        <v>1839</v>
      </c>
      <c r="B25" s="104" t="s">
        <v>228</v>
      </c>
      <c r="C25" s="377" t="s">
        <v>1179</v>
      </c>
      <c r="D25" s="9" t="s">
        <v>1180</v>
      </c>
      <c r="E25" s="9"/>
      <c r="F25" s="15" t="s">
        <v>1223</v>
      </c>
      <c r="G25" s="15"/>
      <c r="H25" s="15" t="s">
        <v>1179</v>
      </c>
      <c r="I25" s="9"/>
      <c r="J25" s="9">
        <v>4.15E-4</v>
      </c>
      <c r="K25" s="9">
        <v>3.984E-2</v>
      </c>
      <c r="L25" s="9">
        <v>96</v>
      </c>
      <c r="M25" s="9" t="s">
        <v>1182</v>
      </c>
      <c r="N25" s="34">
        <f t="shared" si="1"/>
        <v>1.1832480000000001</v>
      </c>
      <c r="O25" s="34">
        <f t="shared" si="2"/>
        <v>1.3804559999999999</v>
      </c>
      <c r="P25" s="34">
        <f t="shared" si="3"/>
        <v>0.78883200000000009</v>
      </c>
      <c r="Q25" s="34">
        <f t="shared" si="4"/>
        <v>0.59162400000000004</v>
      </c>
      <c r="R25" s="138">
        <v>3.9441600000000001</v>
      </c>
      <c r="S25" s="9">
        <v>171718.65</v>
      </c>
      <c r="T25" s="9">
        <v>6841.2710159999997</v>
      </c>
      <c r="U25" s="9"/>
      <c r="V25" s="9"/>
      <c r="W25" s="15" t="s">
        <v>1224</v>
      </c>
      <c r="X25" s="15">
        <v>172517</v>
      </c>
      <c r="Y25" s="9" t="s">
        <v>1184</v>
      </c>
      <c r="Z25" s="15" t="s">
        <v>1223</v>
      </c>
      <c r="AA25" s="142">
        <v>19</v>
      </c>
      <c r="AB25" s="58"/>
      <c r="AC25" s="42"/>
      <c r="AD25" s="42"/>
      <c r="AE25" s="59"/>
      <c r="AF25" s="58"/>
      <c r="AG25" s="42"/>
      <c r="AH25" s="42"/>
      <c r="AI25" s="59"/>
    </row>
    <row r="26" spans="1:35" ht="30" hidden="1" x14ac:dyDescent="0.25">
      <c r="A26" s="15">
        <v>1840</v>
      </c>
      <c r="B26" s="104" t="s">
        <v>228</v>
      </c>
      <c r="C26" s="377" t="s">
        <v>1179</v>
      </c>
      <c r="D26" s="9" t="s">
        <v>1180</v>
      </c>
      <c r="E26" s="9"/>
      <c r="F26" s="15" t="s">
        <v>1225</v>
      </c>
      <c r="G26" s="15"/>
      <c r="H26" s="15" t="s">
        <v>1179</v>
      </c>
      <c r="I26" s="9"/>
      <c r="J26" s="9">
        <v>1.6999999999999999E-3</v>
      </c>
      <c r="K26" s="9">
        <v>5.0999999999999995E-3</v>
      </c>
      <c r="L26" s="9">
        <v>3</v>
      </c>
      <c r="M26" s="9" t="s">
        <v>1182</v>
      </c>
      <c r="N26" s="34">
        <f t="shared" si="1"/>
        <v>0.15146999999999997</v>
      </c>
      <c r="O26" s="34">
        <f t="shared" si="2"/>
        <v>0.17671499999999996</v>
      </c>
      <c r="P26" s="34">
        <f t="shared" si="3"/>
        <v>0.10097999999999999</v>
      </c>
      <c r="Q26" s="34">
        <f t="shared" si="4"/>
        <v>7.5734999999999983E-2</v>
      </c>
      <c r="R26" s="138">
        <v>0.5048999999999999</v>
      </c>
      <c r="S26" s="9">
        <v>171718.65</v>
      </c>
      <c r="T26" s="9">
        <v>875.76511499999992</v>
      </c>
      <c r="U26" s="9"/>
      <c r="V26" s="9"/>
      <c r="W26" s="15" t="s">
        <v>1226</v>
      </c>
      <c r="X26" s="15">
        <v>172517</v>
      </c>
      <c r="Y26" s="9" t="s">
        <v>1184</v>
      </c>
      <c r="Z26" s="15" t="s">
        <v>1225</v>
      </c>
      <c r="AA26" s="142">
        <v>20</v>
      </c>
      <c r="AB26" s="58"/>
      <c r="AC26" s="42"/>
      <c r="AD26" s="42"/>
      <c r="AE26" s="59"/>
      <c r="AF26" s="58"/>
      <c r="AG26" s="42"/>
      <c r="AH26" s="42"/>
      <c r="AI26" s="59"/>
    </row>
    <row r="27" spans="1:35" ht="30" hidden="1" x14ac:dyDescent="0.25">
      <c r="A27" s="15">
        <v>1841</v>
      </c>
      <c r="B27" s="104" t="s">
        <v>228</v>
      </c>
      <c r="C27" s="377" t="s">
        <v>1179</v>
      </c>
      <c r="D27" s="9" t="s">
        <v>1180</v>
      </c>
      <c r="E27" s="9"/>
      <c r="F27" s="15" t="s">
        <v>1227</v>
      </c>
      <c r="G27" s="15"/>
      <c r="H27" s="15" t="s">
        <v>1179</v>
      </c>
      <c r="I27" s="9"/>
      <c r="J27" s="9">
        <v>1.1000000000000001E-3</v>
      </c>
      <c r="K27" s="9">
        <v>3.3E-3</v>
      </c>
      <c r="L27" s="9">
        <v>3</v>
      </c>
      <c r="M27" s="9" t="s">
        <v>1182</v>
      </c>
      <c r="N27" s="34">
        <f t="shared" si="1"/>
        <v>9.801E-2</v>
      </c>
      <c r="O27" s="34">
        <f t="shared" si="2"/>
        <v>0.11434499999999999</v>
      </c>
      <c r="P27" s="34">
        <f t="shared" si="3"/>
        <v>6.5339999999999995E-2</v>
      </c>
      <c r="Q27" s="34">
        <f t="shared" si="4"/>
        <v>4.9005E-2</v>
      </c>
      <c r="R27" s="138">
        <v>0.32669999999999999</v>
      </c>
      <c r="S27" s="9">
        <v>171718.65</v>
      </c>
      <c r="T27" s="9">
        <v>566.67154499999992</v>
      </c>
      <c r="U27" s="9"/>
      <c r="V27" s="9"/>
      <c r="W27" s="15" t="s">
        <v>405</v>
      </c>
      <c r="X27" s="15">
        <v>172517</v>
      </c>
      <c r="Y27" s="9" t="s">
        <v>1184</v>
      </c>
      <c r="Z27" s="15" t="s">
        <v>1227</v>
      </c>
      <c r="AA27" s="142">
        <v>21</v>
      </c>
      <c r="AB27" s="58"/>
      <c r="AC27" s="42"/>
      <c r="AD27" s="42"/>
      <c r="AE27" s="59"/>
      <c r="AF27" s="58"/>
      <c r="AG27" s="42"/>
      <c r="AH27" s="42"/>
      <c r="AI27" s="59"/>
    </row>
    <row r="28" spans="1:35" ht="30" hidden="1" x14ac:dyDescent="0.25">
      <c r="A28" s="15">
        <v>1842</v>
      </c>
      <c r="B28" s="104" t="s">
        <v>228</v>
      </c>
      <c r="C28" s="377" t="s">
        <v>1179</v>
      </c>
      <c r="D28" s="9" t="s">
        <v>1180</v>
      </c>
      <c r="E28" s="9"/>
      <c r="F28" s="15" t="s">
        <v>1228</v>
      </c>
      <c r="G28" s="15"/>
      <c r="H28" s="15" t="s">
        <v>1179</v>
      </c>
      <c r="I28" s="9"/>
      <c r="J28" s="9">
        <v>8.6E-3</v>
      </c>
      <c r="K28" s="9">
        <v>0.1032</v>
      </c>
      <c r="L28" s="9">
        <v>12</v>
      </c>
      <c r="M28" s="9" t="s">
        <v>1182</v>
      </c>
      <c r="N28" s="34">
        <f t="shared" si="1"/>
        <v>3.0650399999999998</v>
      </c>
      <c r="O28" s="34">
        <f t="shared" si="2"/>
        <v>3.5758799999999993</v>
      </c>
      <c r="P28" s="34">
        <f t="shared" si="3"/>
        <v>2.0433599999999998</v>
      </c>
      <c r="Q28" s="34">
        <f t="shared" si="4"/>
        <v>1.5325199999999999</v>
      </c>
      <c r="R28" s="138">
        <v>10.216799999999999</v>
      </c>
      <c r="S28" s="9">
        <v>171718.65</v>
      </c>
      <c r="T28" s="9">
        <v>17721.364679999999</v>
      </c>
      <c r="U28" s="9"/>
      <c r="V28" s="9"/>
      <c r="W28" s="15" t="s">
        <v>1229</v>
      </c>
      <c r="X28" s="15">
        <v>172517</v>
      </c>
      <c r="Y28" s="9" t="s">
        <v>1184</v>
      </c>
      <c r="Z28" s="15" t="s">
        <v>1228</v>
      </c>
      <c r="AA28" s="142">
        <v>22</v>
      </c>
      <c r="AB28" s="58"/>
      <c r="AC28" s="42"/>
      <c r="AD28" s="42"/>
      <c r="AE28" s="59"/>
      <c r="AF28" s="58"/>
      <c r="AG28" s="42"/>
      <c r="AH28" s="42"/>
      <c r="AI28" s="59"/>
    </row>
    <row r="29" spans="1:35" ht="30" hidden="1" x14ac:dyDescent="0.25">
      <c r="A29" s="15">
        <v>1843</v>
      </c>
      <c r="B29" s="104" t="s">
        <v>228</v>
      </c>
      <c r="C29" s="377" t="s">
        <v>1179</v>
      </c>
      <c r="D29" s="9" t="s">
        <v>1180</v>
      </c>
      <c r="E29" s="9"/>
      <c r="F29" s="15" t="s">
        <v>1230</v>
      </c>
      <c r="G29" s="15"/>
      <c r="H29" s="15" t="s">
        <v>1179</v>
      </c>
      <c r="I29" s="9"/>
      <c r="J29" s="9">
        <v>4.4170000000000001E-2</v>
      </c>
      <c r="K29" s="9">
        <v>0.53004000000000007</v>
      </c>
      <c r="L29" s="9">
        <v>12</v>
      </c>
      <c r="M29" s="9" t="s">
        <v>1182</v>
      </c>
      <c r="N29" s="34">
        <f t="shared" si="1"/>
        <v>15.742188000000001</v>
      </c>
      <c r="O29" s="34">
        <f t="shared" si="2"/>
        <v>18.365886</v>
      </c>
      <c r="P29" s="34">
        <f t="shared" si="3"/>
        <v>10.494792000000002</v>
      </c>
      <c r="Q29" s="34">
        <f t="shared" si="4"/>
        <v>7.8710940000000003</v>
      </c>
      <c r="R29" s="138">
        <v>52.473960000000005</v>
      </c>
      <c r="S29" s="9">
        <v>171718.65</v>
      </c>
      <c r="T29" s="9">
        <v>91017.753246000007</v>
      </c>
      <c r="U29" s="9"/>
      <c r="V29" s="9"/>
      <c r="W29" s="15" t="s">
        <v>1231</v>
      </c>
      <c r="X29" s="15">
        <v>172521</v>
      </c>
      <c r="Y29" s="9" t="s">
        <v>1184</v>
      </c>
      <c r="Z29" s="15" t="s">
        <v>1230</v>
      </c>
      <c r="AA29" s="142">
        <v>1</v>
      </c>
      <c r="AB29" s="58"/>
      <c r="AC29" s="42"/>
      <c r="AD29" s="42"/>
      <c r="AE29" s="59"/>
      <c r="AF29" s="58"/>
      <c r="AG29" s="42"/>
      <c r="AH29" s="42"/>
      <c r="AI29" s="59"/>
    </row>
    <row r="30" spans="1:35" ht="60" hidden="1" x14ac:dyDescent="0.25">
      <c r="A30" s="15">
        <v>1844</v>
      </c>
      <c r="B30" s="104" t="s">
        <v>228</v>
      </c>
      <c r="C30" s="377" t="s">
        <v>1179</v>
      </c>
      <c r="D30" s="9" t="s">
        <v>1180</v>
      </c>
      <c r="E30" s="9"/>
      <c r="F30" s="15" t="s">
        <v>1232</v>
      </c>
      <c r="G30" s="15"/>
      <c r="H30" s="15" t="s">
        <v>1179</v>
      </c>
      <c r="I30" s="9"/>
      <c r="J30" s="9">
        <v>0.01</v>
      </c>
      <c r="K30" s="9">
        <v>0.12</v>
      </c>
      <c r="L30" s="9">
        <v>12</v>
      </c>
      <c r="M30" s="9" t="s">
        <v>1182</v>
      </c>
      <c r="N30" s="34">
        <f t="shared" si="1"/>
        <v>3.5639999999999996</v>
      </c>
      <c r="O30" s="34">
        <f t="shared" si="2"/>
        <v>4.1579999999999995</v>
      </c>
      <c r="P30" s="34">
        <f t="shared" si="3"/>
        <v>2.3759999999999999</v>
      </c>
      <c r="Q30" s="34">
        <f t="shared" si="4"/>
        <v>1.7819999999999998</v>
      </c>
      <c r="R30" s="138">
        <v>11.879999999999999</v>
      </c>
      <c r="S30" s="9">
        <v>171718.65</v>
      </c>
      <c r="T30" s="9">
        <v>20606.237999999998</v>
      </c>
      <c r="U30" s="9"/>
      <c r="V30" s="9"/>
      <c r="W30" s="15" t="s">
        <v>1233</v>
      </c>
      <c r="X30" s="15">
        <v>172523</v>
      </c>
      <c r="Y30" s="9" t="s">
        <v>1184</v>
      </c>
      <c r="Z30" s="15" t="s">
        <v>1232</v>
      </c>
      <c r="AA30" s="142">
        <v>1</v>
      </c>
      <c r="AB30" s="58"/>
      <c r="AC30" s="42"/>
      <c r="AD30" s="42"/>
      <c r="AE30" s="59"/>
      <c r="AF30" s="58"/>
      <c r="AG30" s="42"/>
      <c r="AH30" s="42"/>
      <c r="AI30" s="59"/>
    </row>
    <row r="31" spans="1:35" ht="30" hidden="1" x14ac:dyDescent="0.25">
      <c r="A31" s="15">
        <v>1845</v>
      </c>
      <c r="B31" s="104" t="s">
        <v>228</v>
      </c>
      <c r="C31" s="377" t="s">
        <v>1179</v>
      </c>
      <c r="D31" s="9" t="s">
        <v>1180</v>
      </c>
      <c r="E31" s="9"/>
      <c r="F31" s="15" t="s">
        <v>1234</v>
      </c>
      <c r="G31" s="15"/>
      <c r="H31" s="15" t="s">
        <v>1179</v>
      </c>
      <c r="I31" s="9"/>
      <c r="J31" s="9">
        <v>1.4500000000000001E-2</v>
      </c>
      <c r="K31" s="9">
        <v>0.17400000000000002</v>
      </c>
      <c r="L31" s="9">
        <v>12</v>
      </c>
      <c r="M31" s="9" t="s">
        <v>1182</v>
      </c>
      <c r="N31" s="34">
        <f t="shared" si="1"/>
        <v>5.1678000000000006</v>
      </c>
      <c r="O31" s="34">
        <f t="shared" si="2"/>
        <v>6.0291000000000006</v>
      </c>
      <c r="P31" s="34">
        <f t="shared" si="3"/>
        <v>3.4452000000000007</v>
      </c>
      <c r="Q31" s="34">
        <f t="shared" si="4"/>
        <v>2.5839000000000003</v>
      </c>
      <c r="R31" s="138">
        <v>17.226000000000003</v>
      </c>
      <c r="S31" s="9">
        <v>171718.65</v>
      </c>
      <c r="T31" s="9">
        <v>29879.045100000003</v>
      </c>
      <c r="U31" s="9"/>
      <c r="V31" s="9"/>
      <c r="W31" s="15" t="s">
        <v>1235</v>
      </c>
      <c r="X31" s="15">
        <v>172523</v>
      </c>
      <c r="Y31" s="9" t="s">
        <v>1184</v>
      </c>
      <c r="Z31" s="15" t="s">
        <v>1234</v>
      </c>
      <c r="AA31" s="142">
        <v>2</v>
      </c>
      <c r="AB31" s="58"/>
      <c r="AC31" s="42"/>
      <c r="AD31" s="42"/>
      <c r="AE31" s="59"/>
      <c r="AF31" s="58"/>
      <c r="AG31" s="42"/>
      <c r="AH31" s="42"/>
      <c r="AI31" s="59"/>
    </row>
    <row r="32" spans="1:35" ht="30" hidden="1" x14ac:dyDescent="0.25">
      <c r="A32" s="15">
        <v>1846</v>
      </c>
      <c r="B32" s="104" t="s">
        <v>228</v>
      </c>
      <c r="C32" s="377" t="s">
        <v>1179</v>
      </c>
      <c r="D32" s="9" t="s">
        <v>1180</v>
      </c>
      <c r="E32" s="9"/>
      <c r="F32" s="15" t="s">
        <v>1236</v>
      </c>
      <c r="G32" s="15"/>
      <c r="H32" s="15" t="s">
        <v>1179</v>
      </c>
      <c r="I32" s="9"/>
      <c r="J32" s="9">
        <v>1.7999999999999999E-2</v>
      </c>
      <c r="K32" s="9">
        <v>0.21599999999999997</v>
      </c>
      <c r="L32" s="9">
        <v>12</v>
      </c>
      <c r="M32" s="9" t="s">
        <v>1182</v>
      </c>
      <c r="N32" s="34">
        <f t="shared" si="1"/>
        <v>6.4151999999999987</v>
      </c>
      <c r="O32" s="34">
        <f t="shared" si="2"/>
        <v>7.4843999999999982</v>
      </c>
      <c r="P32" s="34">
        <f t="shared" si="3"/>
        <v>4.2767999999999997</v>
      </c>
      <c r="Q32" s="34">
        <f t="shared" si="4"/>
        <v>3.2075999999999993</v>
      </c>
      <c r="R32" s="138">
        <v>21.383999999999997</v>
      </c>
      <c r="S32" s="9">
        <v>171718.65</v>
      </c>
      <c r="T32" s="9">
        <v>37091.228399999993</v>
      </c>
      <c r="U32" s="9"/>
      <c r="V32" s="9"/>
      <c r="W32" s="15" t="s">
        <v>1237</v>
      </c>
      <c r="X32" s="15">
        <v>172523</v>
      </c>
      <c r="Y32" s="9" t="s">
        <v>1184</v>
      </c>
      <c r="Z32" s="15" t="s">
        <v>1236</v>
      </c>
      <c r="AA32" s="142">
        <v>3</v>
      </c>
      <c r="AB32" s="58"/>
      <c r="AC32" s="42"/>
      <c r="AD32" s="42"/>
      <c r="AE32" s="59"/>
      <c r="AF32" s="58"/>
      <c r="AG32" s="42"/>
      <c r="AH32" s="42"/>
      <c r="AI32" s="59"/>
    </row>
    <row r="33" spans="1:35" ht="30" hidden="1" x14ac:dyDescent="0.25">
      <c r="A33" s="15">
        <v>1847</v>
      </c>
      <c r="B33" s="104" t="s">
        <v>228</v>
      </c>
      <c r="C33" s="377" t="s">
        <v>1179</v>
      </c>
      <c r="D33" s="9" t="s">
        <v>1180</v>
      </c>
      <c r="E33" s="9"/>
      <c r="F33" s="15" t="s">
        <v>1238</v>
      </c>
      <c r="G33" s="15"/>
      <c r="H33" s="15" t="s">
        <v>1179</v>
      </c>
      <c r="I33" s="9"/>
      <c r="J33" s="9">
        <v>2.9170000000000001E-2</v>
      </c>
      <c r="K33" s="9">
        <v>0.35004000000000002</v>
      </c>
      <c r="L33" s="9">
        <v>12</v>
      </c>
      <c r="M33" s="9" t="s">
        <v>1182</v>
      </c>
      <c r="N33" s="34">
        <f t="shared" si="1"/>
        <v>10.396188</v>
      </c>
      <c r="O33" s="34">
        <f t="shared" si="2"/>
        <v>12.128886000000001</v>
      </c>
      <c r="P33" s="34">
        <f t="shared" si="3"/>
        <v>6.9307920000000012</v>
      </c>
      <c r="Q33" s="34">
        <f t="shared" si="4"/>
        <v>5.1980940000000002</v>
      </c>
      <c r="R33" s="138">
        <v>34.653960000000005</v>
      </c>
      <c r="S33" s="9">
        <v>171718.65</v>
      </c>
      <c r="T33" s="9">
        <v>60108.396246000004</v>
      </c>
      <c r="U33" s="9"/>
      <c r="V33" s="9"/>
      <c r="W33" s="15" t="s">
        <v>1239</v>
      </c>
      <c r="X33" s="15">
        <v>172524</v>
      </c>
      <c r="Y33" s="9" t="s">
        <v>1184</v>
      </c>
      <c r="Z33" s="15" t="s">
        <v>1238</v>
      </c>
      <c r="AA33" s="142">
        <v>1</v>
      </c>
      <c r="AB33" s="58"/>
      <c r="AC33" s="42"/>
      <c r="AD33" s="42"/>
      <c r="AE33" s="59"/>
      <c r="AF33" s="58"/>
      <c r="AG33" s="42"/>
      <c r="AH33" s="42"/>
      <c r="AI33" s="59"/>
    </row>
    <row r="34" spans="1:35" ht="30" hidden="1" x14ac:dyDescent="0.25">
      <c r="A34" s="15">
        <v>1848</v>
      </c>
      <c r="B34" s="104" t="s">
        <v>228</v>
      </c>
      <c r="C34" s="377" t="s">
        <v>1179</v>
      </c>
      <c r="D34" s="9" t="s">
        <v>1180</v>
      </c>
      <c r="E34" s="9"/>
      <c r="F34" s="15" t="s">
        <v>1185</v>
      </c>
      <c r="G34" s="15"/>
      <c r="H34" s="15" t="s">
        <v>1179</v>
      </c>
      <c r="I34" s="9"/>
      <c r="J34" s="9">
        <v>5.5840000000000001E-2</v>
      </c>
      <c r="K34" s="9">
        <v>0.67008000000000001</v>
      </c>
      <c r="L34" s="9">
        <v>12</v>
      </c>
      <c r="M34" s="9" t="s">
        <v>1182</v>
      </c>
      <c r="N34" s="34">
        <f t="shared" si="1"/>
        <v>18.494208</v>
      </c>
      <c r="O34" s="34">
        <f t="shared" si="2"/>
        <v>21.576575999999999</v>
      </c>
      <c r="P34" s="34">
        <f t="shared" si="3"/>
        <v>12.329472000000001</v>
      </c>
      <c r="Q34" s="34">
        <f t="shared" si="4"/>
        <v>9.2471040000000002</v>
      </c>
      <c r="R34" s="138">
        <v>61.647359999999999</v>
      </c>
      <c r="S34" s="9">
        <v>171718.65</v>
      </c>
      <c r="T34" s="9">
        <v>115065.232992</v>
      </c>
      <c r="U34" s="9"/>
      <c r="V34" s="9"/>
      <c r="W34" s="15" t="s">
        <v>1186</v>
      </c>
      <c r="X34" s="15">
        <v>172537</v>
      </c>
      <c r="Y34" s="9" t="s">
        <v>1184</v>
      </c>
      <c r="Z34" s="15" t="s">
        <v>1185</v>
      </c>
      <c r="AA34" s="142">
        <v>1</v>
      </c>
      <c r="AB34" s="58"/>
      <c r="AC34" s="42"/>
      <c r="AD34" s="42"/>
      <c r="AE34" s="59"/>
      <c r="AF34" s="58"/>
      <c r="AG34" s="42"/>
      <c r="AH34" s="42"/>
      <c r="AI34" s="59"/>
    </row>
    <row r="35" spans="1:35" ht="30" hidden="1" x14ac:dyDescent="0.25">
      <c r="A35" s="15">
        <v>1849</v>
      </c>
      <c r="B35" s="104" t="s">
        <v>228</v>
      </c>
      <c r="C35" s="377" t="s">
        <v>1179</v>
      </c>
      <c r="D35" s="9" t="s">
        <v>1180</v>
      </c>
      <c r="E35" s="9"/>
      <c r="F35" s="15" t="s">
        <v>1240</v>
      </c>
      <c r="G35" s="15"/>
      <c r="H35" s="15" t="s">
        <v>1179</v>
      </c>
      <c r="I35" s="9"/>
      <c r="J35" s="9">
        <v>0.34160000000000001</v>
      </c>
      <c r="K35" s="9">
        <v>2.0495999999999999</v>
      </c>
      <c r="L35" s="9">
        <v>6</v>
      </c>
      <c r="M35" s="9" t="s">
        <v>1182</v>
      </c>
      <c r="N35" s="34">
        <f t="shared" si="1"/>
        <v>47.960639999999998</v>
      </c>
      <c r="O35" s="34">
        <f t="shared" si="2"/>
        <v>55.954079999999998</v>
      </c>
      <c r="P35" s="34">
        <f t="shared" si="3"/>
        <v>31.973759999999999</v>
      </c>
      <c r="Q35" s="34">
        <f t="shared" si="4"/>
        <v>23.980319999999999</v>
      </c>
      <c r="R35" s="138">
        <v>159.86879999999999</v>
      </c>
      <c r="S35" s="9">
        <v>171718.65</v>
      </c>
      <c r="T35" s="9">
        <v>351954.54503999994</v>
      </c>
      <c r="U35" s="9"/>
      <c r="V35" s="9"/>
      <c r="W35" s="15" t="s">
        <v>1241</v>
      </c>
      <c r="X35" s="15">
        <v>172558</v>
      </c>
      <c r="Y35" s="9" t="s">
        <v>1184</v>
      </c>
      <c r="Z35" s="15" t="s">
        <v>1240</v>
      </c>
      <c r="AA35" s="142">
        <v>1</v>
      </c>
      <c r="AB35" s="58"/>
      <c r="AC35" s="42"/>
      <c r="AD35" s="42"/>
      <c r="AE35" s="59"/>
      <c r="AF35" s="58"/>
      <c r="AG35" s="42"/>
      <c r="AH35" s="42"/>
      <c r="AI35" s="59"/>
    </row>
    <row r="36" spans="1:35" ht="30" hidden="1" x14ac:dyDescent="0.25">
      <c r="A36" s="15">
        <v>1850</v>
      </c>
      <c r="B36" s="104" t="s">
        <v>228</v>
      </c>
      <c r="C36" s="377" t="s">
        <v>1179</v>
      </c>
      <c r="D36" s="9" t="s">
        <v>1180</v>
      </c>
      <c r="E36" s="9"/>
      <c r="F36" s="15" t="s">
        <v>1240</v>
      </c>
      <c r="G36" s="15"/>
      <c r="H36" s="15" t="s">
        <v>1179</v>
      </c>
      <c r="I36" s="9"/>
      <c r="J36" s="9">
        <v>0.34333000000000002</v>
      </c>
      <c r="K36" s="9">
        <v>2.0599800000000004</v>
      </c>
      <c r="L36" s="9">
        <v>6</v>
      </c>
      <c r="M36" s="9" t="s">
        <v>1182</v>
      </c>
      <c r="N36" s="34">
        <f t="shared" si="1"/>
        <v>48.203532000000003</v>
      </c>
      <c r="O36" s="34">
        <f t="shared" si="2"/>
        <v>56.237454000000007</v>
      </c>
      <c r="P36" s="34">
        <f t="shared" si="3"/>
        <v>32.135688000000009</v>
      </c>
      <c r="Q36" s="34">
        <f t="shared" si="4"/>
        <v>24.101766000000001</v>
      </c>
      <c r="R36" s="138">
        <v>160.67844000000002</v>
      </c>
      <c r="S36" s="9">
        <v>171718.65</v>
      </c>
      <c r="T36" s="9">
        <v>353736.98462700006</v>
      </c>
      <c r="U36" s="9"/>
      <c r="V36" s="9"/>
      <c r="W36" s="15" t="s">
        <v>1241</v>
      </c>
      <c r="X36" s="15">
        <v>172559</v>
      </c>
      <c r="Y36" s="9" t="s">
        <v>1184</v>
      </c>
      <c r="Z36" s="15" t="s">
        <v>1240</v>
      </c>
      <c r="AA36" s="142">
        <v>1</v>
      </c>
      <c r="AB36" s="58"/>
      <c r="AC36" s="42"/>
      <c r="AD36" s="42"/>
      <c r="AE36" s="59"/>
      <c r="AF36" s="58"/>
      <c r="AG36" s="42"/>
      <c r="AH36" s="42"/>
      <c r="AI36" s="59"/>
    </row>
    <row r="37" spans="1:35" ht="30" hidden="1" x14ac:dyDescent="0.25">
      <c r="A37" s="15">
        <v>1851</v>
      </c>
      <c r="B37" s="104" t="s">
        <v>228</v>
      </c>
      <c r="C37" s="377" t="s">
        <v>1179</v>
      </c>
      <c r="D37" s="9" t="s">
        <v>1180</v>
      </c>
      <c r="E37" s="9"/>
      <c r="F37" s="15" t="s">
        <v>1242</v>
      </c>
      <c r="G37" s="15"/>
      <c r="H37" s="15" t="s">
        <v>1179</v>
      </c>
      <c r="I37" s="9"/>
      <c r="J37" s="9">
        <v>0.19</v>
      </c>
      <c r="K37" s="9">
        <v>0.19</v>
      </c>
      <c r="L37" s="9">
        <v>1</v>
      </c>
      <c r="M37" s="9" t="s">
        <v>1182</v>
      </c>
      <c r="N37" s="34">
        <f t="shared" si="1"/>
        <v>4.4459999999999997</v>
      </c>
      <c r="O37" s="34">
        <f t="shared" si="2"/>
        <v>5.1869999999999994</v>
      </c>
      <c r="P37" s="34">
        <f t="shared" si="3"/>
        <v>2.9640000000000004</v>
      </c>
      <c r="Q37" s="34">
        <f t="shared" si="4"/>
        <v>2.2229999999999999</v>
      </c>
      <c r="R37" s="138">
        <v>14.82</v>
      </c>
      <c r="S37" s="9">
        <v>171718.65</v>
      </c>
      <c r="T37" s="9">
        <v>32626.5435</v>
      </c>
      <c r="U37" s="9"/>
      <c r="V37" s="9"/>
      <c r="W37" s="15" t="s">
        <v>1243</v>
      </c>
      <c r="X37" s="15">
        <v>174934</v>
      </c>
      <c r="Y37" s="9" t="s">
        <v>1184</v>
      </c>
      <c r="Z37" s="15" t="s">
        <v>1242</v>
      </c>
      <c r="AA37" s="142">
        <v>1</v>
      </c>
      <c r="AB37" s="58"/>
      <c r="AC37" s="42"/>
      <c r="AD37" s="42"/>
      <c r="AE37" s="59"/>
      <c r="AF37" s="58"/>
      <c r="AG37" s="42"/>
      <c r="AH37" s="42"/>
      <c r="AI37" s="59"/>
    </row>
    <row r="38" spans="1:35" ht="30" hidden="1" x14ac:dyDescent="0.25">
      <c r="A38" s="15">
        <v>1852</v>
      </c>
      <c r="B38" s="104" t="s">
        <v>228</v>
      </c>
      <c r="C38" s="377" t="s">
        <v>1179</v>
      </c>
      <c r="D38" s="9" t="s">
        <v>1180</v>
      </c>
      <c r="E38" s="9"/>
      <c r="F38" s="15" t="s">
        <v>1242</v>
      </c>
      <c r="G38" s="15"/>
      <c r="H38" s="15" t="s">
        <v>1179</v>
      </c>
      <c r="I38" s="9"/>
      <c r="J38" s="9">
        <v>0.19</v>
      </c>
      <c r="K38" s="9">
        <v>0.19</v>
      </c>
      <c r="L38" s="9">
        <v>1</v>
      </c>
      <c r="M38" s="9" t="s">
        <v>1182</v>
      </c>
      <c r="N38" s="34">
        <f t="shared" si="1"/>
        <v>4.4459999999999997</v>
      </c>
      <c r="O38" s="34">
        <f t="shared" si="2"/>
        <v>5.1869999999999994</v>
      </c>
      <c r="P38" s="34">
        <f t="shared" si="3"/>
        <v>2.9640000000000004</v>
      </c>
      <c r="Q38" s="34">
        <f t="shared" si="4"/>
        <v>2.2229999999999999</v>
      </c>
      <c r="R38" s="138">
        <v>14.82</v>
      </c>
      <c r="S38" s="9">
        <v>171718.65</v>
      </c>
      <c r="T38" s="9">
        <v>32626.5435</v>
      </c>
      <c r="U38" s="9"/>
      <c r="V38" s="9"/>
      <c r="W38" s="15" t="s">
        <v>1243</v>
      </c>
      <c r="X38" s="15">
        <v>174935</v>
      </c>
      <c r="Y38" s="9" t="s">
        <v>1184</v>
      </c>
      <c r="Z38" s="15" t="s">
        <v>1242</v>
      </c>
      <c r="AA38" s="142">
        <v>1</v>
      </c>
      <c r="AB38" s="126"/>
      <c r="AC38" s="72"/>
      <c r="AD38" s="72"/>
      <c r="AE38" s="127"/>
      <c r="AF38" s="126"/>
      <c r="AG38" s="72"/>
      <c r="AH38" s="72"/>
      <c r="AI38" s="127"/>
    </row>
    <row r="39" spans="1:35" ht="30" hidden="1" x14ac:dyDescent="0.25">
      <c r="A39" s="15">
        <v>1853</v>
      </c>
      <c r="B39" s="104" t="s">
        <v>228</v>
      </c>
      <c r="C39" s="377" t="s">
        <v>1179</v>
      </c>
      <c r="D39" s="9" t="s">
        <v>1180</v>
      </c>
      <c r="E39" s="9"/>
      <c r="F39" s="15" t="s">
        <v>1185</v>
      </c>
      <c r="G39" s="15"/>
      <c r="H39" s="15" t="s">
        <v>1179</v>
      </c>
      <c r="I39" s="9"/>
      <c r="J39" s="9">
        <v>4.4999999999999998E-2</v>
      </c>
      <c r="K39" s="9">
        <v>0.13500000000000001</v>
      </c>
      <c r="L39" s="9">
        <v>3</v>
      </c>
      <c r="M39" s="9" t="s">
        <v>1182</v>
      </c>
      <c r="N39" s="34">
        <f t="shared" si="1"/>
        <v>4.0095000000000001</v>
      </c>
      <c r="O39" s="34">
        <f t="shared" si="2"/>
        <v>4.6777499999999996</v>
      </c>
      <c r="P39" s="34">
        <f t="shared" si="3"/>
        <v>2.673</v>
      </c>
      <c r="Q39" s="34">
        <f t="shared" si="4"/>
        <v>2.00475</v>
      </c>
      <c r="R39" s="138">
        <v>13.365</v>
      </c>
      <c r="S39" s="9">
        <v>171718.65</v>
      </c>
      <c r="T39" s="9">
        <v>23182.017749999999</v>
      </c>
      <c r="U39" s="9"/>
      <c r="V39" s="9"/>
      <c r="W39" s="15" t="s">
        <v>1244</v>
      </c>
      <c r="X39" s="15">
        <v>174958</v>
      </c>
      <c r="Y39" s="9" t="s">
        <v>1184</v>
      </c>
      <c r="Z39" s="15" t="s">
        <v>1185</v>
      </c>
      <c r="AA39" s="142">
        <v>1</v>
      </c>
      <c r="AB39" s="126"/>
      <c r="AC39" s="72"/>
      <c r="AD39" s="72"/>
      <c r="AE39" s="127"/>
      <c r="AF39" s="126"/>
      <c r="AG39" s="72"/>
      <c r="AH39" s="72"/>
      <c r="AI39" s="127"/>
    </row>
    <row r="40" spans="1:35" ht="30" hidden="1" x14ac:dyDescent="0.25">
      <c r="A40" s="15">
        <v>1854</v>
      </c>
      <c r="B40" s="104" t="s">
        <v>228</v>
      </c>
      <c r="C40" s="377" t="s">
        <v>1179</v>
      </c>
      <c r="D40" s="9" t="s">
        <v>1180</v>
      </c>
      <c r="E40" s="9"/>
      <c r="F40" s="15" t="s">
        <v>1245</v>
      </c>
      <c r="G40" s="15"/>
      <c r="H40" s="15" t="s">
        <v>1179</v>
      </c>
      <c r="I40" s="9"/>
      <c r="J40" s="9">
        <v>1E-3</v>
      </c>
      <c r="K40" s="9">
        <v>3.0000000000000001E-3</v>
      </c>
      <c r="L40" s="9">
        <v>3</v>
      </c>
      <c r="M40" s="9" t="s">
        <v>1182</v>
      </c>
      <c r="N40" s="34">
        <f t="shared" si="1"/>
        <v>8.9099999999999999E-2</v>
      </c>
      <c r="O40" s="34">
        <f t="shared" si="2"/>
        <v>0.10394999999999999</v>
      </c>
      <c r="P40" s="34">
        <f t="shared" si="3"/>
        <v>5.9400000000000001E-2</v>
      </c>
      <c r="Q40" s="34">
        <f t="shared" si="4"/>
        <v>4.4549999999999999E-2</v>
      </c>
      <c r="R40" s="138">
        <v>0.29699999999999999</v>
      </c>
      <c r="S40" s="9">
        <v>171718.65</v>
      </c>
      <c r="T40" s="9">
        <v>515.15594999999996</v>
      </c>
      <c r="U40" s="9"/>
      <c r="V40" s="9"/>
      <c r="W40" s="15" t="s">
        <v>1246</v>
      </c>
      <c r="X40" s="15">
        <v>174958</v>
      </c>
      <c r="Y40" s="9" t="s">
        <v>1184</v>
      </c>
      <c r="Z40" s="15" t="s">
        <v>1245</v>
      </c>
      <c r="AA40" s="142">
        <v>2</v>
      </c>
      <c r="AB40" s="126"/>
      <c r="AC40" s="72"/>
      <c r="AD40" s="72"/>
      <c r="AE40" s="127"/>
      <c r="AF40" s="126"/>
      <c r="AG40" s="72"/>
      <c r="AH40" s="72"/>
      <c r="AI40" s="127"/>
    </row>
    <row r="41" spans="1:35" ht="30" hidden="1" x14ac:dyDescent="0.25">
      <c r="A41" s="15">
        <v>1855</v>
      </c>
      <c r="B41" s="104" t="s">
        <v>228</v>
      </c>
      <c r="C41" s="377" t="s">
        <v>1179</v>
      </c>
      <c r="D41" s="9" t="s">
        <v>1180</v>
      </c>
      <c r="E41" s="9"/>
      <c r="F41" s="15" t="s">
        <v>770</v>
      </c>
      <c r="G41" s="15"/>
      <c r="H41" s="15" t="s">
        <v>1179</v>
      </c>
      <c r="I41" s="9"/>
      <c r="J41" s="9">
        <v>2.48E-3</v>
      </c>
      <c r="K41" s="9">
        <v>0.11904000000000001</v>
      </c>
      <c r="L41" s="9">
        <v>48</v>
      </c>
      <c r="M41" s="9" t="s">
        <v>1182</v>
      </c>
      <c r="N41" s="34">
        <f t="shared" si="1"/>
        <v>3.535488</v>
      </c>
      <c r="O41" s="34">
        <f t="shared" si="2"/>
        <v>4.1247359999999995</v>
      </c>
      <c r="P41" s="34">
        <f t="shared" si="3"/>
        <v>2.356992</v>
      </c>
      <c r="Q41" s="34">
        <f t="shared" si="4"/>
        <v>1.767744</v>
      </c>
      <c r="R41" s="138">
        <v>11.78496</v>
      </c>
      <c r="S41" s="9">
        <v>171718.65</v>
      </c>
      <c r="T41" s="9">
        <v>20441.388095999999</v>
      </c>
      <c r="U41" s="9"/>
      <c r="V41" s="9"/>
      <c r="W41" s="15" t="s">
        <v>1247</v>
      </c>
      <c r="X41" s="15">
        <v>174958</v>
      </c>
      <c r="Y41" s="9" t="s">
        <v>1184</v>
      </c>
      <c r="Z41" s="15" t="s">
        <v>770</v>
      </c>
      <c r="AA41" s="142">
        <v>3</v>
      </c>
      <c r="AB41" s="126"/>
      <c r="AC41" s="72"/>
      <c r="AD41" s="72"/>
      <c r="AE41" s="127"/>
      <c r="AF41" s="126"/>
      <c r="AG41" s="72"/>
      <c r="AH41" s="72"/>
      <c r="AI41" s="127"/>
    </row>
    <row r="42" spans="1:35" ht="30" hidden="1" x14ac:dyDescent="0.25">
      <c r="A42" s="15">
        <v>1856</v>
      </c>
      <c r="B42" s="104" t="s">
        <v>228</v>
      </c>
      <c r="C42" s="377" t="s">
        <v>1179</v>
      </c>
      <c r="D42" s="9" t="s">
        <v>1180</v>
      </c>
      <c r="E42" s="9"/>
      <c r="F42" s="15" t="s">
        <v>770</v>
      </c>
      <c r="G42" s="15"/>
      <c r="H42" s="15" t="s">
        <v>1179</v>
      </c>
      <c r="I42" s="9"/>
      <c r="J42" s="9">
        <v>2.1000000000000001E-2</v>
      </c>
      <c r="K42" s="9">
        <v>6.3E-2</v>
      </c>
      <c r="L42" s="9">
        <v>3</v>
      </c>
      <c r="M42" s="9" t="s">
        <v>1182</v>
      </c>
      <c r="N42" s="34">
        <f t="shared" si="1"/>
        <v>1.8711</v>
      </c>
      <c r="O42" s="34">
        <f t="shared" si="2"/>
        <v>2.1829499999999999</v>
      </c>
      <c r="P42" s="34">
        <f t="shared" si="3"/>
        <v>1.2474000000000001</v>
      </c>
      <c r="Q42" s="34">
        <f t="shared" si="4"/>
        <v>0.93554999999999999</v>
      </c>
      <c r="R42" s="138">
        <v>6.2370000000000001</v>
      </c>
      <c r="S42" s="9">
        <v>171718.65</v>
      </c>
      <c r="T42" s="9">
        <v>10818.274949999999</v>
      </c>
      <c r="U42" s="9"/>
      <c r="V42" s="9"/>
      <c r="W42" s="15" t="s">
        <v>1248</v>
      </c>
      <c r="X42" s="15">
        <v>174958</v>
      </c>
      <c r="Y42" s="9" t="s">
        <v>1184</v>
      </c>
      <c r="Z42" s="15" t="s">
        <v>770</v>
      </c>
      <c r="AA42" s="142">
        <v>4</v>
      </c>
      <c r="AB42" s="126"/>
      <c r="AC42" s="72"/>
      <c r="AD42" s="72"/>
      <c r="AE42" s="127"/>
      <c r="AF42" s="126"/>
      <c r="AG42" s="72"/>
      <c r="AH42" s="72"/>
      <c r="AI42" s="127"/>
    </row>
    <row r="43" spans="1:35" ht="30" hidden="1" x14ac:dyDescent="0.25">
      <c r="A43" s="15">
        <v>1857</v>
      </c>
      <c r="B43" s="104" t="s">
        <v>228</v>
      </c>
      <c r="C43" s="377" t="s">
        <v>1179</v>
      </c>
      <c r="D43" s="9" t="s">
        <v>1180</v>
      </c>
      <c r="E43" s="9"/>
      <c r="F43" s="15" t="s">
        <v>1249</v>
      </c>
      <c r="G43" s="15"/>
      <c r="H43" s="15" t="s">
        <v>1179</v>
      </c>
      <c r="I43" s="9"/>
      <c r="J43" s="9">
        <v>1.39</v>
      </c>
      <c r="K43" s="9">
        <v>1.39</v>
      </c>
      <c r="L43" s="9">
        <v>1</v>
      </c>
      <c r="M43" s="9" t="s">
        <v>1182</v>
      </c>
      <c r="N43" s="34">
        <f t="shared" si="1"/>
        <v>20.015999999999998</v>
      </c>
      <c r="O43" s="34">
        <f t="shared" si="2"/>
        <v>23.351999999999997</v>
      </c>
      <c r="P43" s="34">
        <f t="shared" si="3"/>
        <v>13.344000000000001</v>
      </c>
      <c r="Q43" s="34">
        <f t="shared" si="4"/>
        <v>10.007999999999999</v>
      </c>
      <c r="R43" s="138">
        <v>66.72</v>
      </c>
      <c r="S43" s="9">
        <v>171718.65</v>
      </c>
      <c r="T43" s="9">
        <v>238688.92349999998</v>
      </c>
      <c r="U43" s="9"/>
      <c r="V43" s="9"/>
      <c r="W43" s="15" t="s">
        <v>1250</v>
      </c>
      <c r="X43" s="15">
        <v>172912</v>
      </c>
      <c r="Y43" s="9" t="s">
        <v>1184</v>
      </c>
      <c r="Z43" s="15" t="s">
        <v>1249</v>
      </c>
      <c r="AA43" s="142">
        <v>1</v>
      </c>
      <c r="AB43" s="126"/>
      <c r="AC43" s="72"/>
      <c r="AD43" s="72"/>
      <c r="AE43" s="127"/>
      <c r="AF43" s="126"/>
      <c r="AG43" s="72"/>
      <c r="AH43" s="72"/>
      <c r="AI43" s="127"/>
    </row>
    <row r="44" spans="1:35" ht="30" hidden="1" x14ac:dyDescent="0.25">
      <c r="A44" s="15">
        <v>1858</v>
      </c>
      <c r="B44" s="104" t="s">
        <v>228</v>
      </c>
      <c r="C44" s="377" t="s">
        <v>1179</v>
      </c>
      <c r="D44" s="9" t="s">
        <v>1180</v>
      </c>
      <c r="E44" s="9"/>
      <c r="F44" s="15" t="s">
        <v>1251</v>
      </c>
      <c r="G44" s="15"/>
      <c r="H44" s="15" t="s">
        <v>1179</v>
      </c>
      <c r="I44" s="9"/>
      <c r="J44" s="9">
        <v>1.53</v>
      </c>
      <c r="K44" s="9">
        <v>1.53</v>
      </c>
      <c r="L44" s="9">
        <v>1</v>
      </c>
      <c r="M44" s="9" t="s">
        <v>1182</v>
      </c>
      <c r="N44" s="34">
        <f t="shared" si="1"/>
        <v>22.032</v>
      </c>
      <c r="O44" s="34">
        <f t="shared" si="2"/>
        <v>25.703999999999997</v>
      </c>
      <c r="P44" s="34">
        <f t="shared" si="3"/>
        <v>14.688000000000001</v>
      </c>
      <c r="Q44" s="34">
        <f t="shared" si="4"/>
        <v>11.016</v>
      </c>
      <c r="R44" s="138">
        <v>73.44</v>
      </c>
      <c r="S44" s="9">
        <v>171718.65</v>
      </c>
      <c r="T44" s="9">
        <v>262729.53450000001</v>
      </c>
      <c r="U44" s="9"/>
      <c r="V44" s="9"/>
      <c r="W44" s="15" t="s">
        <v>1252</v>
      </c>
      <c r="X44" s="15">
        <v>172913</v>
      </c>
      <c r="Y44" s="9" t="s">
        <v>1184</v>
      </c>
      <c r="Z44" s="15" t="s">
        <v>1251</v>
      </c>
      <c r="AA44" s="142">
        <v>1</v>
      </c>
      <c r="AB44" s="126"/>
      <c r="AC44" s="72"/>
      <c r="AD44" s="72"/>
      <c r="AE44" s="127"/>
      <c r="AF44" s="126"/>
      <c r="AG44" s="72"/>
      <c r="AH44" s="72"/>
      <c r="AI44" s="127"/>
    </row>
    <row r="45" spans="1:35" ht="30" hidden="1" x14ac:dyDescent="0.25">
      <c r="A45" s="15">
        <v>1859</v>
      </c>
      <c r="B45" s="104" t="s">
        <v>228</v>
      </c>
      <c r="C45" s="377" t="s">
        <v>1179</v>
      </c>
      <c r="D45" s="9" t="s">
        <v>1180</v>
      </c>
      <c r="E45" s="9"/>
      <c r="F45" s="15" t="s">
        <v>1251</v>
      </c>
      <c r="G45" s="15"/>
      <c r="H45" s="15" t="s">
        <v>1179</v>
      </c>
      <c r="I45" s="9"/>
      <c r="J45" s="9">
        <v>1.39</v>
      </c>
      <c r="K45" s="9">
        <v>1.39</v>
      </c>
      <c r="L45" s="9">
        <v>1</v>
      </c>
      <c r="M45" s="9" t="s">
        <v>1182</v>
      </c>
      <c r="N45" s="34">
        <f t="shared" si="1"/>
        <v>20.015999999999998</v>
      </c>
      <c r="O45" s="34">
        <f t="shared" si="2"/>
        <v>23.351999999999997</v>
      </c>
      <c r="P45" s="34">
        <f t="shared" si="3"/>
        <v>13.344000000000001</v>
      </c>
      <c r="Q45" s="34">
        <f t="shared" si="4"/>
        <v>10.007999999999999</v>
      </c>
      <c r="R45" s="138">
        <v>66.72</v>
      </c>
      <c r="S45" s="9">
        <v>171718.65</v>
      </c>
      <c r="T45" s="9">
        <v>238688.92349999998</v>
      </c>
      <c r="U45" s="9"/>
      <c r="V45" s="9"/>
      <c r="W45" s="15" t="s">
        <v>1252</v>
      </c>
      <c r="X45" s="15">
        <v>172916</v>
      </c>
      <c r="Y45" s="9" t="s">
        <v>1184</v>
      </c>
      <c r="Z45" s="15" t="s">
        <v>1251</v>
      </c>
      <c r="AA45" s="142">
        <v>1</v>
      </c>
      <c r="AB45" s="126"/>
      <c r="AC45" s="72"/>
      <c r="AD45" s="72"/>
      <c r="AE45" s="127"/>
      <c r="AF45" s="126"/>
      <c r="AG45" s="72"/>
      <c r="AH45" s="72"/>
      <c r="AI45" s="127"/>
    </row>
    <row r="46" spans="1:35" ht="30" hidden="1" x14ac:dyDescent="0.25">
      <c r="A46" s="15">
        <v>1860</v>
      </c>
      <c r="B46" s="104" t="s">
        <v>228</v>
      </c>
      <c r="C46" s="377" t="s">
        <v>1179</v>
      </c>
      <c r="D46" s="9" t="s">
        <v>1180</v>
      </c>
      <c r="E46" s="9"/>
      <c r="F46" s="15" t="s">
        <v>1181</v>
      </c>
      <c r="G46" s="15"/>
      <c r="H46" s="15" t="s">
        <v>1179</v>
      </c>
      <c r="I46" s="9"/>
      <c r="J46" s="9">
        <v>0.16</v>
      </c>
      <c r="K46" s="9">
        <v>0.32</v>
      </c>
      <c r="L46" s="9">
        <v>2</v>
      </c>
      <c r="M46" s="9" t="s">
        <v>1182</v>
      </c>
      <c r="N46" s="34">
        <f t="shared" si="1"/>
        <v>7.4879999999999995</v>
      </c>
      <c r="O46" s="34">
        <f t="shared" si="2"/>
        <v>8.7359999999999989</v>
      </c>
      <c r="P46" s="34">
        <f t="shared" si="3"/>
        <v>4.9920000000000009</v>
      </c>
      <c r="Q46" s="34">
        <f t="shared" si="4"/>
        <v>3.7439999999999998</v>
      </c>
      <c r="R46" s="138">
        <v>24.96</v>
      </c>
      <c r="S46" s="9">
        <v>171718.65</v>
      </c>
      <c r="T46" s="9">
        <v>54949.968000000001</v>
      </c>
      <c r="U46" s="9"/>
      <c r="V46" s="9"/>
      <c r="W46" s="15" t="s">
        <v>1183</v>
      </c>
      <c r="X46" s="15">
        <v>174923</v>
      </c>
      <c r="Y46" s="9" t="s">
        <v>1184</v>
      </c>
      <c r="Z46" s="15" t="s">
        <v>1181</v>
      </c>
      <c r="AA46" s="142">
        <v>1</v>
      </c>
      <c r="AB46" s="126"/>
      <c r="AC46" s="72"/>
      <c r="AD46" s="72"/>
      <c r="AE46" s="127"/>
      <c r="AF46" s="126"/>
      <c r="AG46" s="72"/>
      <c r="AH46" s="72"/>
      <c r="AI46" s="127"/>
    </row>
    <row r="47" spans="1:35" ht="30" hidden="1" x14ac:dyDescent="0.25">
      <c r="A47" s="15">
        <v>1861</v>
      </c>
      <c r="B47" s="104" t="s">
        <v>228</v>
      </c>
      <c r="C47" s="377" t="s">
        <v>1179</v>
      </c>
      <c r="D47" s="9" t="s">
        <v>1180</v>
      </c>
      <c r="E47" s="9"/>
      <c r="F47" s="15" t="s">
        <v>1181</v>
      </c>
      <c r="G47" s="15"/>
      <c r="H47" s="15" t="s">
        <v>1179</v>
      </c>
      <c r="I47" s="9"/>
      <c r="J47" s="9">
        <v>0.16</v>
      </c>
      <c r="K47" s="9">
        <v>0.32</v>
      </c>
      <c r="L47" s="9">
        <v>2</v>
      </c>
      <c r="M47" s="9" t="s">
        <v>1182</v>
      </c>
      <c r="N47" s="34">
        <f t="shared" si="1"/>
        <v>7.4879999999999995</v>
      </c>
      <c r="O47" s="34">
        <f t="shared" si="2"/>
        <v>8.7359999999999989</v>
      </c>
      <c r="P47" s="34">
        <f t="shared" si="3"/>
        <v>4.9920000000000009</v>
      </c>
      <c r="Q47" s="34">
        <f t="shared" si="4"/>
        <v>3.7439999999999998</v>
      </c>
      <c r="R47" s="138">
        <v>24.96</v>
      </c>
      <c r="S47" s="9">
        <v>171718.65</v>
      </c>
      <c r="T47" s="9">
        <v>54949.968000000001</v>
      </c>
      <c r="U47" s="9"/>
      <c r="V47" s="9"/>
      <c r="W47" s="15" t="s">
        <v>1183</v>
      </c>
      <c r="X47" s="15">
        <v>174924</v>
      </c>
      <c r="Y47" s="9" t="s">
        <v>1184</v>
      </c>
      <c r="Z47" s="15" t="s">
        <v>1181</v>
      </c>
      <c r="AA47" s="142">
        <v>1</v>
      </c>
      <c r="AB47" s="126"/>
      <c r="AC47" s="72"/>
      <c r="AD47" s="72"/>
      <c r="AE47" s="127"/>
      <c r="AF47" s="126"/>
      <c r="AG47" s="72"/>
      <c r="AH47" s="72"/>
      <c r="AI47" s="127"/>
    </row>
    <row r="48" spans="1:35" ht="30" hidden="1" x14ac:dyDescent="0.25">
      <c r="A48" s="15">
        <v>1862</v>
      </c>
      <c r="B48" s="104" t="s">
        <v>228</v>
      </c>
      <c r="C48" s="377" t="s">
        <v>1179</v>
      </c>
      <c r="D48" s="9" t="s">
        <v>1180</v>
      </c>
      <c r="E48" s="9"/>
      <c r="F48" s="15" t="s">
        <v>1181</v>
      </c>
      <c r="G48" s="15"/>
      <c r="H48" s="15" t="s">
        <v>1179</v>
      </c>
      <c r="I48" s="9"/>
      <c r="J48" s="9">
        <v>0.16</v>
      </c>
      <c r="K48" s="9">
        <v>0.32</v>
      </c>
      <c r="L48" s="9">
        <v>2</v>
      </c>
      <c r="M48" s="9" t="s">
        <v>1182</v>
      </c>
      <c r="N48" s="34">
        <f t="shared" si="1"/>
        <v>7.4879999999999995</v>
      </c>
      <c r="O48" s="34">
        <f t="shared" si="2"/>
        <v>8.7359999999999989</v>
      </c>
      <c r="P48" s="34">
        <f t="shared" si="3"/>
        <v>4.9920000000000009</v>
      </c>
      <c r="Q48" s="34">
        <f t="shared" si="4"/>
        <v>3.7439999999999998</v>
      </c>
      <c r="R48" s="138">
        <v>24.96</v>
      </c>
      <c r="S48" s="9">
        <v>171718.65</v>
      </c>
      <c r="T48" s="9">
        <v>54949.968000000001</v>
      </c>
      <c r="U48" s="9"/>
      <c r="V48" s="9"/>
      <c r="W48" s="15" t="s">
        <v>1183</v>
      </c>
      <c r="X48" s="15">
        <v>174925</v>
      </c>
      <c r="Y48" s="9" t="s">
        <v>1184</v>
      </c>
      <c r="Z48" s="15" t="s">
        <v>1181</v>
      </c>
      <c r="AA48" s="142">
        <v>1</v>
      </c>
      <c r="AB48" s="316"/>
      <c r="AC48" s="317"/>
      <c r="AD48" s="317"/>
      <c r="AE48" s="318"/>
      <c r="AF48" s="316"/>
      <c r="AG48" s="317"/>
      <c r="AH48" s="317"/>
      <c r="AI48" s="318"/>
    </row>
    <row r="49" spans="1:35" ht="30" hidden="1" x14ac:dyDescent="0.25">
      <c r="A49" s="15">
        <v>1863</v>
      </c>
      <c r="B49" s="104" t="s">
        <v>228</v>
      </c>
      <c r="C49" s="377" t="s">
        <v>1179</v>
      </c>
      <c r="D49" s="9" t="s">
        <v>1180</v>
      </c>
      <c r="E49" s="9"/>
      <c r="F49" s="15" t="s">
        <v>1181</v>
      </c>
      <c r="G49" s="15"/>
      <c r="H49" s="15" t="s">
        <v>1179</v>
      </c>
      <c r="I49" s="9"/>
      <c r="J49" s="9">
        <v>0.16</v>
      </c>
      <c r="K49" s="9">
        <v>0.32</v>
      </c>
      <c r="L49" s="9">
        <v>2</v>
      </c>
      <c r="M49" s="9" t="s">
        <v>1182</v>
      </c>
      <c r="N49" s="34">
        <f t="shared" si="1"/>
        <v>7.4879999999999995</v>
      </c>
      <c r="O49" s="34">
        <f t="shared" si="2"/>
        <v>8.7359999999999989</v>
      </c>
      <c r="P49" s="34">
        <f t="shared" si="3"/>
        <v>4.9920000000000009</v>
      </c>
      <c r="Q49" s="34">
        <f t="shared" si="4"/>
        <v>3.7439999999999998</v>
      </c>
      <c r="R49" s="138">
        <v>24.96</v>
      </c>
      <c r="S49" s="9">
        <v>171718.65</v>
      </c>
      <c r="T49" s="9">
        <v>54949.968000000001</v>
      </c>
      <c r="U49" s="9"/>
      <c r="V49" s="9"/>
      <c r="W49" s="15" t="s">
        <v>1183</v>
      </c>
      <c r="X49" s="15">
        <v>174926</v>
      </c>
      <c r="Y49" s="9" t="s">
        <v>1184</v>
      </c>
      <c r="Z49" s="15" t="s">
        <v>1181</v>
      </c>
      <c r="AA49" s="142">
        <v>1</v>
      </c>
      <c r="AB49" s="380"/>
      <c r="AC49" s="8"/>
      <c r="AD49" s="8"/>
      <c r="AE49" s="21"/>
      <c r="AF49" s="380"/>
      <c r="AG49" s="8"/>
      <c r="AH49" s="8"/>
      <c r="AI49" s="21"/>
    </row>
    <row r="50" spans="1:35" ht="30" hidden="1" x14ac:dyDescent="0.25">
      <c r="A50" s="15">
        <v>1864</v>
      </c>
      <c r="B50" s="104" t="s">
        <v>228</v>
      </c>
      <c r="C50" s="377" t="s">
        <v>1179</v>
      </c>
      <c r="D50" s="9" t="s">
        <v>1180</v>
      </c>
      <c r="E50" s="9"/>
      <c r="F50" s="15" t="s">
        <v>1242</v>
      </c>
      <c r="G50" s="15"/>
      <c r="H50" s="15" t="s">
        <v>1179</v>
      </c>
      <c r="I50" s="9"/>
      <c r="J50" s="9">
        <v>0.19</v>
      </c>
      <c r="K50" s="9">
        <v>0.19</v>
      </c>
      <c r="L50" s="9">
        <v>1</v>
      </c>
      <c r="M50" s="9" t="s">
        <v>1182</v>
      </c>
      <c r="N50" s="34">
        <f t="shared" si="1"/>
        <v>4.4459999999999997</v>
      </c>
      <c r="O50" s="34">
        <f t="shared" si="2"/>
        <v>5.1869999999999994</v>
      </c>
      <c r="P50" s="34">
        <f t="shared" si="3"/>
        <v>2.9640000000000004</v>
      </c>
      <c r="Q50" s="34">
        <f t="shared" si="4"/>
        <v>2.2229999999999999</v>
      </c>
      <c r="R50" s="138">
        <v>14.82</v>
      </c>
      <c r="S50" s="9">
        <v>171718.65</v>
      </c>
      <c r="T50" s="9">
        <v>32626.5435</v>
      </c>
      <c r="U50" s="9"/>
      <c r="V50" s="9"/>
      <c r="W50" s="15" t="s">
        <v>1243</v>
      </c>
      <c r="X50" s="15">
        <v>174936</v>
      </c>
      <c r="Y50" s="9" t="s">
        <v>1184</v>
      </c>
      <c r="Z50" s="15" t="s">
        <v>1242</v>
      </c>
      <c r="AA50" s="142">
        <v>1</v>
      </c>
      <c r="AB50" s="380"/>
      <c r="AC50" s="8"/>
      <c r="AD50" s="8"/>
      <c r="AE50" s="21"/>
      <c r="AF50" s="380"/>
      <c r="AG50" s="8"/>
      <c r="AH50" s="8"/>
      <c r="AI50" s="21"/>
    </row>
    <row r="51" spans="1:35" ht="45" hidden="1" x14ac:dyDescent="0.25">
      <c r="A51" s="15">
        <v>1865</v>
      </c>
      <c r="B51" s="104" t="s">
        <v>228</v>
      </c>
      <c r="C51" s="377" t="s">
        <v>1179</v>
      </c>
      <c r="D51" s="9" t="s">
        <v>1180</v>
      </c>
      <c r="E51" s="9"/>
      <c r="F51" s="15" t="s">
        <v>1253</v>
      </c>
      <c r="G51" s="15"/>
      <c r="H51" s="15" t="s">
        <v>1179</v>
      </c>
      <c r="I51" s="9" t="s">
        <v>1254</v>
      </c>
      <c r="J51" s="9">
        <v>2.4099999999999998E-3</v>
      </c>
      <c r="K51" s="9">
        <v>9.6399999999999986E-2</v>
      </c>
      <c r="L51" s="9">
        <v>40</v>
      </c>
      <c r="M51" s="9" t="s">
        <v>1182</v>
      </c>
      <c r="N51" s="34">
        <f t="shared" si="1"/>
        <v>2.8630799999999992</v>
      </c>
      <c r="O51" s="34">
        <f t="shared" si="2"/>
        <v>3.3402599999999989</v>
      </c>
      <c r="P51" s="34">
        <f t="shared" si="3"/>
        <v>1.9087199999999998</v>
      </c>
      <c r="Q51" s="34">
        <f t="shared" si="4"/>
        <v>1.4315399999999996</v>
      </c>
      <c r="R51" s="138">
        <v>9.5435999999999979</v>
      </c>
      <c r="S51" s="9">
        <v>171718.65</v>
      </c>
      <c r="T51" s="9">
        <v>16553.677859999996</v>
      </c>
      <c r="U51" s="9"/>
      <c r="V51" s="9"/>
      <c r="W51" s="15" t="s">
        <v>1255</v>
      </c>
      <c r="X51" s="15">
        <v>71842</v>
      </c>
      <c r="Y51" s="9" t="s">
        <v>1184</v>
      </c>
      <c r="Z51" s="15" t="s">
        <v>1253</v>
      </c>
      <c r="AA51" s="142">
        <v>1</v>
      </c>
      <c r="AB51" s="380"/>
      <c r="AC51" s="8"/>
      <c r="AD51" s="8"/>
      <c r="AE51" s="21"/>
      <c r="AF51" s="380"/>
      <c r="AG51" s="8"/>
      <c r="AH51" s="8"/>
      <c r="AI51" s="21"/>
    </row>
    <row r="52" spans="1:35" ht="45" hidden="1" x14ac:dyDescent="0.25">
      <c r="A52" s="15">
        <v>1866</v>
      </c>
      <c r="B52" s="104" t="s">
        <v>228</v>
      </c>
      <c r="C52" s="377" t="s">
        <v>1179</v>
      </c>
      <c r="D52" s="9" t="s">
        <v>1180</v>
      </c>
      <c r="E52" s="9"/>
      <c r="F52" s="15" t="s">
        <v>1256</v>
      </c>
      <c r="G52" s="15"/>
      <c r="H52" s="15" t="s">
        <v>1179</v>
      </c>
      <c r="I52" s="9" t="s">
        <v>1254</v>
      </c>
      <c r="J52" s="9">
        <v>6.7850000000000002E-3</v>
      </c>
      <c r="K52" s="9">
        <v>0.23069000000000001</v>
      </c>
      <c r="L52" s="9">
        <v>34</v>
      </c>
      <c r="M52" s="9" t="s">
        <v>1182</v>
      </c>
      <c r="N52" s="34">
        <f t="shared" si="1"/>
        <v>6.8514929999999996</v>
      </c>
      <c r="O52" s="34">
        <f t="shared" si="2"/>
        <v>7.9934084999999993</v>
      </c>
      <c r="P52" s="34">
        <f t="shared" si="3"/>
        <v>4.5676620000000003</v>
      </c>
      <c r="Q52" s="34">
        <f t="shared" si="4"/>
        <v>3.4257464999999998</v>
      </c>
      <c r="R52" s="138">
        <v>22.83831</v>
      </c>
      <c r="S52" s="9">
        <v>171718.65</v>
      </c>
      <c r="T52" s="9">
        <v>39613.775368499999</v>
      </c>
      <c r="U52" s="9"/>
      <c r="V52" s="9"/>
      <c r="W52" s="15" t="s">
        <v>1257</v>
      </c>
      <c r="X52" s="15">
        <v>71842</v>
      </c>
      <c r="Y52" s="9" t="s">
        <v>1184</v>
      </c>
      <c r="Z52" s="15" t="s">
        <v>1256</v>
      </c>
      <c r="AA52" s="142">
        <v>2</v>
      </c>
      <c r="AB52" s="380"/>
      <c r="AC52" s="8"/>
      <c r="AD52" s="8"/>
      <c r="AE52" s="21"/>
      <c r="AF52" s="380"/>
      <c r="AG52" s="8"/>
      <c r="AH52" s="8"/>
      <c r="AI52" s="21"/>
    </row>
    <row r="53" spans="1:35" ht="45" hidden="1" x14ac:dyDescent="0.25">
      <c r="A53" s="15">
        <v>1867</v>
      </c>
      <c r="B53" s="104" t="s">
        <v>228</v>
      </c>
      <c r="C53" s="377" t="s">
        <v>1179</v>
      </c>
      <c r="D53" s="9" t="s">
        <v>1180</v>
      </c>
      <c r="E53" s="9"/>
      <c r="F53" s="15" t="s">
        <v>1258</v>
      </c>
      <c r="G53" s="15"/>
      <c r="H53" s="15" t="s">
        <v>1179</v>
      </c>
      <c r="I53" s="9" t="s">
        <v>1254</v>
      </c>
      <c r="J53" s="9">
        <v>2.2000000000000001E-3</v>
      </c>
      <c r="K53" s="9">
        <v>0.21780000000000002</v>
      </c>
      <c r="L53" s="9">
        <v>99</v>
      </c>
      <c r="M53" s="9" t="s">
        <v>1182</v>
      </c>
      <c r="N53" s="34">
        <f t="shared" si="1"/>
        <v>6.4686599999999999</v>
      </c>
      <c r="O53" s="34">
        <f t="shared" si="2"/>
        <v>7.5467699999999995</v>
      </c>
      <c r="P53" s="34">
        <f t="shared" si="3"/>
        <v>4.3124400000000005</v>
      </c>
      <c r="Q53" s="34">
        <f t="shared" si="4"/>
        <v>3.2343299999999999</v>
      </c>
      <c r="R53" s="138">
        <v>21.562200000000001</v>
      </c>
      <c r="S53" s="9">
        <v>171718.65</v>
      </c>
      <c r="T53" s="9">
        <v>37400.321970000005</v>
      </c>
      <c r="U53" s="9"/>
      <c r="V53" s="9"/>
      <c r="W53" s="15" t="s">
        <v>1259</v>
      </c>
      <c r="X53" s="15">
        <v>71842</v>
      </c>
      <c r="Y53" s="9" t="s">
        <v>1184</v>
      </c>
      <c r="Z53" s="15" t="s">
        <v>1258</v>
      </c>
      <c r="AA53" s="142">
        <v>3</v>
      </c>
      <c r="AB53" s="380"/>
      <c r="AC53" s="8"/>
      <c r="AD53" s="8"/>
      <c r="AE53" s="21"/>
      <c r="AF53" s="380"/>
      <c r="AG53" s="8"/>
      <c r="AH53" s="8"/>
      <c r="AI53" s="21"/>
    </row>
    <row r="54" spans="1:35" ht="45" hidden="1" x14ac:dyDescent="0.25">
      <c r="A54" s="15">
        <v>1868</v>
      </c>
      <c r="B54" s="104" t="s">
        <v>228</v>
      </c>
      <c r="C54" s="377" t="s">
        <v>1179</v>
      </c>
      <c r="D54" s="9" t="s">
        <v>1180</v>
      </c>
      <c r="E54" s="9"/>
      <c r="F54" s="15" t="s">
        <v>1260</v>
      </c>
      <c r="G54" s="15"/>
      <c r="H54" s="15" t="s">
        <v>1179</v>
      </c>
      <c r="I54" s="9" t="s">
        <v>1254</v>
      </c>
      <c r="J54" s="9">
        <v>8.9999999999999998E-4</v>
      </c>
      <c r="K54" s="9">
        <v>0.12239999999999999</v>
      </c>
      <c r="L54" s="9">
        <v>136</v>
      </c>
      <c r="M54" s="9" t="s">
        <v>1182</v>
      </c>
      <c r="N54" s="34">
        <f t="shared" si="1"/>
        <v>3.6352799999999998</v>
      </c>
      <c r="O54" s="34">
        <f t="shared" si="2"/>
        <v>4.2411599999999998</v>
      </c>
      <c r="P54" s="34">
        <f t="shared" si="3"/>
        <v>2.4235199999999999</v>
      </c>
      <c r="Q54" s="34">
        <f t="shared" si="4"/>
        <v>1.8176399999999999</v>
      </c>
      <c r="R54" s="138">
        <v>12.117599999999999</v>
      </c>
      <c r="S54" s="9">
        <v>171718.65</v>
      </c>
      <c r="T54" s="9">
        <v>21018.36276</v>
      </c>
      <c r="U54" s="9"/>
      <c r="V54" s="9"/>
      <c r="W54" s="15" t="s">
        <v>1261</v>
      </c>
      <c r="X54" s="15">
        <v>71842</v>
      </c>
      <c r="Y54" s="9" t="s">
        <v>1184</v>
      </c>
      <c r="Z54" s="15" t="s">
        <v>1260</v>
      </c>
      <c r="AA54" s="142">
        <v>4</v>
      </c>
      <c r="AB54" s="380"/>
      <c r="AC54" s="8"/>
      <c r="AD54" s="8"/>
      <c r="AE54" s="21"/>
      <c r="AF54" s="380"/>
      <c r="AG54" s="8"/>
      <c r="AH54" s="8"/>
      <c r="AI54" s="21"/>
    </row>
    <row r="55" spans="1:35" ht="45" hidden="1" x14ac:dyDescent="0.25">
      <c r="A55" s="15">
        <v>1869</v>
      </c>
      <c r="B55" s="104" t="s">
        <v>228</v>
      </c>
      <c r="C55" s="377" t="s">
        <v>1179</v>
      </c>
      <c r="D55" s="9" t="s">
        <v>1180</v>
      </c>
      <c r="E55" s="9"/>
      <c r="F55" s="15" t="s">
        <v>1262</v>
      </c>
      <c r="G55" s="15"/>
      <c r="H55" s="15" t="s">
        <v>1179</v>
      </c>
      <c r="I55" s="9" t="s">
        <v>1263</v>
      </c>
      <c r="J55" s="9">
        <v>3.0999999999999999E-3</v>
      </c>
      <c r="K55" s="9">
        <v>0.27899999999999997</v>
      </c>
      <c r="L55" s="9">
        <v>90</v>
      </c>
      <c r="M55" s="9" t="s">
        <v>1182</v>
      </c>
      <c r="N55" s="34">
        <f t="shared" si="1"/>
        <v>8.2862999999999989</v>
      </c>
      <c r="O55" s="34">
        <f t="shared" si="2"/>
        <v>9.667349999999999</v>
      </c>
      <c r="P55" s="34">
        <f t="shared" si="3"/>
        <v>5.5242000000000004</v>
      </c>
      <c r="Q55" s="34">
        <f t="shared" si="4"/>
        <v>4.1431499999999994</v>
      </c>
      <c r="R55" s="138">
        <v>27.620999999999999</v>
      </c>
      <c r="S55" s="9">
        <v>171718.65</v>
      </c>
      <c r="T55" s="9">
        <v>47909.503349999992</v>
      </c>
      <c r="U55" s="9"/>
      <c r="V55" s="9"/>
      <c r="W55" s="15" t="s">
        <v>1264</v>
      </c>
      <c r="X55" s="15">
        <v>71842</v>
      </c>
      <c r="Y55" s="9" t="s">
        <v>1184</v>
      </c>
      <c r="Z55" s="15" t="s">
        <v>1262</v>
      </c>
      <c r="AA55" s="142">
        <v>5</v>
      </c>
      <c r="AB55" s="380"/>
      <c r="AC55" s="8"/>
      <c r="AD55" s="8"/>
      <c r="AE55" s="21"/>
      <c r="AF55" s="380"/>
      <c r="AG55" s="8"/>
      <c r="AH55" s="8"/>
      <c r="AI55" s="21"/>
    </row>
    <row r="56" spans="1:35" ht="45" hidden="1" x14ac:dyDescent="0.25">
      <c r="A56" s="15">
        <v>1870</v>
      </c>
      <c r="B56" s="104" t="s">
        <v>228</v>
      </c>
      <c r="C56" s="377" t="s">
        <v>1179</v>
      </c>
      <c r="D56" s="9" t="s">
        <v>1180</v>
      </c>
      <c r="E56" s="9"/>
      <c r="F56" s="15" t="s">
        <v>1265</v>
      </c>
      <c r="G56" s="15"/>
      <c r="H56" s="15" t="s">
        <v>1179</v>
      </c>
      <c r="I56" s="9" t="s">
        <v>1254</v>
      </c>
      <c r="J56" s="9">
        <v>3.8999999999999998E-3</v>
      </c>
      <c r="K56" s="9">
        <v>0.11699999999999999</v>
      </c>
      <c r="L56" s="9">
        <v>30</v>
      </c>
      <c r="M56" s="9" t="s">
        <v>1182</v>
      </c>
      <c r="N56" s="34">
        <f t="shared" si="1"/>
        <v>3.4748999999999994</v>
      </c>
      <c r="O56" s="34">
        <f t="shared" si="2"/>
        <v>4.0540499999999993</v>
      </c>
      <c r="P56" s="34">
        <f t="shared" si="3"/>
        <v>2.3165999999999998</v>
      </c>
      <c r="Q56" s="34">
        <f t="shared" si="4"/>
        <v>1.7374499999999997</v>
      </c>
      <c r="R56" s="138">
        <v>11.582999999999998</v>
      </c>
      <c r="S56" s="9">
        <v>171718.65</v>
      </c>
      <c r="T56" s="9">
        <v>20091.082049999997</v>
      </c>
      <c r="U56" s="9"/>
      <c r="V56" s="9"/>
      <c r="W56" s="15" t="s">
        <v>1266</v>
      </c>
      <c r="X56" s="15">
        <v>71842</v>
      </c>
      <c r="Y56" s="9" t="s">
        <v>1184</v>
      </c>
      <c r="Z56" s="15" t="s">
        <v>1265</v>
      </c>
      <c r="AA56" s="142">
        <v>6</v>
      </c>
      <c r="AB56" s="380"/>
      <c r="AC56" s="8"/>
      <c r="AD56" s="8"/>
      <c r="AE56" s="21"/>
      <c r="AF56" s="380"/>
      <c r="AG56" s="8"/>
      <c r="AH56" s="8"/>
      <c r="AI56" s="21"/>
    </row>
    <row r="57" spans="1:35" ht="45" hidden="1" x14ac:dyDescent="0.25">
      <c r="A57" s="15">
        <v>1871</v>
      </c>
      <c r="B57" s="104" t="s">
        <v>228</v>
      </c>
      <c r="C57" s="377" t="s">
        <v>1179</v>
      </c>
      <c r="D57" s="9" t="s">
        <v>1180</v>
      </c>
      <c r="E57" s="9"/>
      <c r="F57" s="15" t="s">
        <v>1267</v>
      </c>
      <c r="G57" s="15"/>
      <c r="H57" s="15" t="s">
        <v>1179</v>
      </c>
      <c r="I57" s="9" t="s">
        <v>51</v>
      </c>
      <c r="J57" s="9">
        <v>0.01</v>
      </c>
      <c r="K57" s="9">
        <v>1.53</v>
      </c>
      <c r="L57" s="9">
        <v>153</v>
      </c>
      <c r="M57" s="9" t="s">
        <v>1182</v>
      </c>
      <c r="N57" s="34">
        <f t="shared" si="1"/>
        <v>45.440999999999995</v>
      </c>
      <c r="O57" s="34">
        <f t="shared" si="2"/>
        <v>53.014499999999998</v>
      </c>
      <c r="P57" s="34">
        <f t="shared" si="3"/>
        <v>30.294</v>
      </c>
      <c r="Q57" s="34">
        <f t="shared" si="4"/>
        <v>22.720499999999998</v>
      </c>
      <c r="R57" s="138">
        <v>151.47</v>
      </c>
      <c r="S57" s="9">
        <v>171718.65</v>
      </c>
      <c r="T57" s="9">
        <v>262729.53450000001</v>
      </c>
      <c r="U57" s="9"/>
      <c r="V57" s="9"/>
      <c r="W57" s="15" t="s">
        <v>1268</v>
      </c>
      <c r="X57" s="15">
        <v>71842</v>
      </c>
      <c r="Y57" s="9" t="s">
        <v>1184</v>
      </c>
      <c r="Z57" s="15" t="s">
        <v>1267</v>
      </c>
      <c r="AA57" s="142">
        <v>7</v>
      </c>
      <c r="AB57" s="380"/>
      <c r="AC57" s="8"/>
      <c r="AD57" s="8"/>
      <c r="AE57" s="21"/>
      <c r="AF57" s="380"/>
      <c r="AG57" s="8"/>
      <c r="AH57" s="8"/>
      <c r="AI57" s="21"/>
    </row>
    <row r="58" spans="1:35" ht="60" hidden="1" x14ac:dyDescent="0.25">
      <c r="A58" s="15">
        <v>1872</v>
      </c>
      <c r="B58" s="104" t="s">
        <v>228</v>
      </c>
      <c r="C58" s="377" t="s">
        <v>1179</v>
      </c>
      <c r="D58" s="9" t="s">
        <v>1180</v>
      </c>
      <c r="E58" s="9"/>
      <c r="F58" s="15" t="s">
        <v>1269</v>
      </c>
      <c r="G58" s="15"/>
      <c r="H58" s="15" t="s">
        <v>1179</v>
      </c>
      <c r="I58" s="9" t="s">
        <v>51</v>
      </c>
      <c r="J58" s="9">
        <v>2.2800000000000001E-2</v>
      </c>
      <c r="K58" s="9">
        <v>0.70679999999999998</v>
      </c>
      <c r="L58" s="9">
        <v>31</v>
      </c>
      <c r="M58" s="9" t="s">
        <v>1182</v>
      </c>
      <c r="N58" s="34">
        <f t="shared" si="1"/>
        <v>20.991959999999995</v>
      </c>
      <c r="O58" s="34">
        <f t="shared" si="2"/>
        <v>24.490619999999996</v>
      </c>
      <c r="P58" s="34">
        <f t="shared" si="3"/>
        <v>13.994639999999999</v>
      </c>
      <c r="Q58" s="34">
        <f t="shared" si="4"/>
        <v>10.495979999999998</v>
      </c>
      <c r="R58" s="138">
        <v>69.973199999999991</v>
      </c>
      <c r="S58" s="9">
        <v>171718.65</v>
      </c>
      <c r="T58" s="9">
        <v>121370.74182</v>
      </c>
      <c r="U58" s="9"/>
      <c r="V58" s="9"/>
      <c r="W58" s="15" t="s">
        <v>1270</v>
      </c>
      <c r="X58" s="15">
        <v>71842</v>
      </c>
      <c r="Y58" s="9" t="s">
        <v>1184</v>
      </c>
      <c r="Z58" s="15" t="s">
        <v>1269</v>
      </c>
      <c r="AA58" s="142">
        <v>8</v>
      </c>
      <c r="AB58" s="380"/>
      <c r="AC58" s="8"/>
      <c r="AD58" s="8"/>
      <c r="AE58" s="21"/>
      <c r="AF58" s="380"/>
      <c r="AG58" s="8"/>
      <c r="AH58" s="8"/>
      <c r="AI58" s="21"/>
    </row>
    <row r="59" spans="1:35" ht="45" hidden="1" x14ac:dyDescent="0.25">
      <c r="A59" s="15">
        <v>1873</v>
      </c>
      <c r="B59" s="104" t="s">
        <v>228</v>
      </c>
      <c r="C59" s="377" t="s">
        <v>1179</v>
      </c>
      <c r="D59" s="9" t="s">
        <v>1180</v>
      </c>
      <c r="E59" s="9"/>
      <c r="F59" s="15" t="s">
        <v>1271</v>
      </c>
      <c r="G59" s="15"/>
      <c r="H59" s="15" t="s">
        <v>1179</v>
      </c>
      <c r="I59" s="9" t="s">
        <v>1272</v>
      </c>
      <c r="J59" s="9">
        <v>3.0000000000000001E-3</v>
      </c>
      <c r="K59" s="9">
        <v>0</v>
      </c>
      <c r="L59" s="9">
        <v>0</v>
      </c>
      <c r="M59" s="9" t="s">
        <v>1182</v>
      </c>
      <c r="N59" s="34">
        <f t="shared" si="1"/>
        <v>0</v>
      </c>
      <c r="O59" s="34">
        <f t="shared" si="2"/>
        <v>0</v>
      </c>
      <c r="P59" s="34">
        <f t="shared" si="3"/>
        <v>0</v>
      </c>
      <c r="Q59" s="34">
        <f t="shared" si="4"/>
        <v>0</v>
      </c>
      <c r="R59" s="138">
        <v>0</v>
      </c>
      <c r="S59" s="9">
        <v>171718.65</v>
      </c>
      <c r="T59" s="9">
        <v>0</v>
      </c>
      <c r="U59" s="9"/>
      <c r="V59" s="9"/>
      <c r="W59" s="15" t="s">
        <v>1273</v>
      </c>
      <c r="X59" s="15">
        <v>71842</v>
      </c>
      <c r="Y59" s="9" t="s">
        <v>1184</v>
      </c>
      <c r="Z59" s="15" t="s">
        <v>1271</v>
      </c>
      <c r="AA59" s="142">
        <v>9</v>
      </c>
      <c r="AB59" s="380"/>
      <c r="AC59" s="8"/>
      <c r="AD59" s="8"/>
      <c r="AE59" s="21"/>
      <c r="AF59" s="380"/>
      <c r="AG59" s="8"/>
      <c r="AH59" s="8"/>
      <c r="AI59" s="21"/>
    </row>
    <row r="60" spans="1:35" ht="30" hidden="1" x14ac:dyDescent="0.25">
      <c r="A60" s="15">
        <v>1874</v>
      </c>
      <c r="B60" s="104" t="s">
        <v>228</v>
      </c>
      <c r="C60" s="377" t="s">
        <v>1179</v>
      </c>
      <c r="D60" s="9" t="s">
        <v>1180</v>
      </c>
      <c r="E60" s="9"/>
      <c r="F60" s="15" t="s">
        <v>1249</v>
      </c>
      <c r="G60" s="15"/>
      <c r="H60" s="15" t="s">
        <v>1179</v>
      </c>
      <c r="I60" s="9"/>
      <c r="J60" s="9">
        <v>2.79</v>
      </c>
      <c r="K60" s="9">
        <v>2.79</v>
      </c>
      <c r="L60" s="9">
        <v>1</v>
      </c>
      <c r="M60" s="9" t="s">
        <v>1182</v>
      </c>
      <c r="N60" s="34">
        <f t="shared" si="1"/>
        <v>40.176000000000002</v>
      </c>
      <c r="O60" s="34">
        <f t="shared" si="2"/>
        <v>46.872</v>
      </c>
      <c r="P60" s="34">
        <f t="shared" si="3"/>
        <v>26.784000000000006</v>
      </c>
      <c r="Q60" s="34">
        <f t="shared" si="4"/>
        <v>20.088000000000001</v>
      </c>
      <c r="R60" s="138">
        <v>133.92000000000002</v>
      </c>
      <c r="S60" s="9">
        <v>171718.65</v>
      </c>
      <c r="T60" s="9">
        <v>479095.03349999996</v>
      </c>
      <c r="U60" s="9"/>
      <c r="V60" s="9"/>
      <c r="W60" s="15" t="s">
        <v>1250</v>
      </c>
      <c r="X60" s="15">
        <v>172911</v>
      </c>
      <c r="Y60" s="9" t="s">
        <v>1184</v>
      </c>
      <c r="Z60" s="15" t="s">
        <v>1249</v>
      </c>
      <c r="AA60" s="142">
        <v>1</v>
      </c>
      <c r="AB60" s="380"/>
      <c r="AC60" s="8"/>
      <c r="AD60" s="8"/>
      <c r="AE60" s="21"/>
      <c r="AF60" s="380"/>
      <c r="AG60" s="8"/>
      <c r="AH60" s="8"/>
      <c r="AI60" s="21"/>
    </row>
    <row r="61" spans="1:35" ht="30" hidden="1" x14ac:dyDescent="0.25">
      <c r="A61" s="15">
        <v>1875</v>
      </c>
      <c r="B61" s="104" t="s">
        <v>228</v>
      </c>
      <c r="C61" s="377" t="s">
        <v>1179</v>
      </c>
      <c r="D61" s="9" t="s">
        <v>1180</v>
      </c>
      <c r="E61" s="9"/>
      <c r="F61" s="15" t="s">
        <v>1181</v>
      </c>
      <c r="G61" s="15"/>
      <c r="H61" s="15" t="s">
        <v>1179</v>
      </c>
      <c r="I61" s="9"/>
      <c r="J61" s="9">
        <v>0.16</v>
      </c>
      <c r="K61" s="9">
        <v>0.32</v>
      </c>
      <c r="L61" s="9">
        <v>2</v>
      </c>
      <c r="M61" s="9" t="s">
        <v>1182</v>
      </c>
      <c r="N61" s="34">
        <f t="shared" si="1"/>
        <v>7.4879999999999995</v>
      </c>
      <c r="O61" s="34">
        <f t="shared" si="2"/>
        <v>8.7359999999999989</v>
      </c>
      <c r="P61" s="34">
        <f t="shared" si="3"/>
        <v>4.9920000000000009</v>
      </c>
      <c r="Q61" s="34">
        <f t="shared" si="4"/>
        <v>3.7439999999999998</v>
      </c>
      <c r="R61" s="138">
        <v>24.96</v>
      </c>
      <c r="S61" s="9">
        <v>171718.65</v>
      </c>
      <c r="T61" s="9">
        <v>54949.968000000001</v>
      </c>
      <c r="U61" s="9"/>
      <c r="V61" s="9"/>
      <c r="W61" s="15" t="s">
        <v>1183</v>
      </c>
      <c r="X61" s="15">
        <v>174928</v>
      </c>
      <c r="Y61" s="9" t="s">
        <v>1184</v>
      </c>
      <c r="Z61" s="15" t="s">
        <v>1181</v>
      </c>
      <c r="AA61" s="142">
        <v>1</v>
      </c>
      <c r="AB61" s="380"/>
      <c r="AC61" s="8"/>
      <c r="AD61" s="8"/>
      <c r="AE61" s="21"/>
      <c r="AF61" s="380"/>
      <c r="AG61" s="8"/>
      <c r="AH61" s="8"/>
      <c r="AI61" s="21"/>
    </row>
    <row r="62" spans="1:35" ht="30" hidden="1" x14ac:dyDescent="0.25">
      <c r="A62" s="15">
        <v>1948</v>
      </c>
      <c r="B62" s="104" t="s">
        <v>228</v>
      </c>
      <c r="C62" s="377" t="s">
        <v>1179</v>
      </c>
      <c r="D62" s="9" t="s">
        <v>1180</v>
      </c>
      <c r="E62" s="9"/>
      <c r="F62" s="15" t="s">
        <v>1274</v>
      </c>
      <c r="G62" s="15"/>
      <c r="H62" s="15" t="s">
        <v>1179</v>
      </c>
      <c r="I62" s="9"/>
      <c r="J62" s="9">
        <v>0.61666666670000003</v>
      </c>
      <c r="K62" s="9">
        <v>3.7000000002000002</v>
      </c>
      <c r="L62" s="9">
        <v>6</v>
      </c>
      <c r="M62" s="9" t="s">
        <v>1182</v>
      </c>
      <c r="N62" s="34">
        <f t="shared" si="1"/>
        <v>59.940000003240002</v>
      </c>
      <c r="O62" s="34">
        <f t="shared" si="2"/>
        <v>69.930000003779995</v>
      </c>
      <c r="P62" s="34">
        <f t="shared" si="3"/>
        <v>39.960000002160001</v>
      </c>
      <c r="Q62" s="34">
        <f t="shared" si="4"/>
        <v>29.970000001620001</v>
      </c>
      <c r="R62" s="138">
        <v>199.80000001080001</v>
      </c>
      <c r="S62" s="9">
        <v>171718.65</v>
      </c>
      <c r="T62" s="9">
        <v>635359.00503434369</v>
      </c>
      <c r="U62" s="9"/>
      <c r="V62" s="9"/>
      <c r="W62" s="15" t="s">
        <v>1275</v>
      </c>
      <c r="X62" s="15">
        <v>172556</v>
      </c>
      <c r="Y62" s="9" t="s">
        <v>1184</v>
      </c>
      <c r="Z62" s="15" t="s">
        <v>1274</v>
      </c>
      <c r="AA62" s="142">
        <v>1</v>
      </c>
      <c r="AB62" s="380"/>
      <c r="AC62" s="8"/>
      <c r="AD62" s="8"/>
      <c r="AE62" s="21"/>
      <c r="AF62" s="380"/>
      <c r="AG62" s="8"/>
      <c r="AH62" s="8"/>
      <c r="AI62" s="21"/>
    </row>
    <row r="63" spans="1:35" ht="30" hidden="1" x14ac:dyDescent="0.25">
      <c r="A63" s="15">
        <v>1949</v>
      </c>
      <c r="B63" s="104" t="s">
        <v>228</v>
      </c>
      <c r="C63" s="377" t="s">
        <v>1179</v>
      </c>
      <c r="D63" s="9" t="s">
        <v>1180</v>
      </c>
      <c r="E63" s="9"/>
      <c r="F63" s="15" t="s">
        <v>1274</v>
      </c>
      <c r="G63" s="15"/>
      <c r="H63" s="15" t="s">
        <v>1179</v>
      </c>
      <c r="I63" s="9"/>
      <c r="J63" s="9">
        <v>0.61666666670000003</v>
      </c>
      <c r="K63" s="9">
        <v>3.7000000002000002</v>
      </c>
      <c r="L63" s="9">
        <v>6</v>
      </c>
      <c r="M63" s="9" t="s">
        <v>1182</v>
      </c>
      <c r="N63" s="34">
        <f t="shared" si="1"/>
        <v>59.940000003240002</v>
      </c>
      <c r="O63" s="34">
        <f t="shared" si="2"/>
        <v>69.930000003779995</v>
      </c>
      <c r="P63" s="34">
        <f t="shared" si="3"/>
        <v>39.960000002160001</v>
      </c>
      <c r="Q63" s="34">
        <f t="shared" si="4"/>
        <v>29.970000001620001</v>
      </c>
      <c r="R63" s="138">
        <v>199.80000001080001</v>
      </c>
      <c r="S63" s="9">
        <v>171718.65</v>
      </c>
      <c r="T63" s="9">
        <v>635359.00503434369</v>
      </c>
      <c r="U63" s="9"/>
      <c r="V63" s="9"/>
      <c r="W63" s="15" t="s">
        <v>1275</v>
      </c>
      <c r="X63" s="15">
        <v>172557</v>
      </c>
      <c r="Y63" s="9" t="s">
        <v>1184</v>
      </c>
      <c r="Z63" s="15" t="s">
        <v>1274</v>
      </c>
      <c r="AA63" s="142">
        <v>1</v>
      </c>
      <c r="AB63" s="380"/>
      <c r="AC63" s="8"/>
      <c r="AD63" s="8"/>
      <c r="AE63" s="21"/>
      <c r="AF63" s="380"/>
      <c r="AG63" s="8"/>
      <c r="AH63" s="8"/>
      <c r="AI63" s="21"/>
    </row>
    <row r="64" spans="1:35" ht="30" hidden="1" x14ac:dyDescent="0.25">
      <c r="A64" s="15">
        <v>1950</v>
      </c>
      <c r="B64" s="104" t="s">
        <v>228</v>
      </c>
      <c r="C64" s="377" t="s">
        <v>1179</v>
      </c>
      <c r="D64" s="9" t="s">
        <v>1180</v>
      </c>
      <c r="E64" s="9"/>
      <c r="F64" s="15" t="s">
        <v>1276</v>
      </c>
      <c r="G64" s="15"/>
      <c r="H64" s="15" t="s">
        <v>1179</v>
      </c>
      <c r="I64" s="9"/>
      <c r="J64" s="9">
        <v>29.650000000000002</v>
      </c>
      <c r="K64" s="9">
        <v>14.825000000000001</v>
      </c>
      <c r="L64" s="9">
        <v>0.5</v>
      </c>
      <c r="M64" s="9" t="s">
        <v>1182</v>
      </c>
      <c r="N64" s="34">
        <f t="shared" si="1"/>
        <v>120.08250000000001</v>
      </c>
      <c r="O64" s="34">
        <f t="shared" si="2"/>
        <v>140.09625</v>
      </c>
      <c r="P64" s="34">
        <f t="shared" si="3"/>
        <v>80.055000000000007</v>
      </c>
      <c r="Q64" s="34">
        <f t="shared" si="4"/>
        <v>60.041250000000005</v>
      </c>
      <c r="R64" s="138">
        <v>400.27500000000003</v>
      </c>
      <c r="S64" s="9">
        <v>171718.65</v>
      </c>
      <c r="T64" s="9">
        <v>2545728.9862500001</v>
      </c>
      <c r="U64" s="9"/>
      <c r="V64" s="9"/>
      <c r="W64" s="15" t="s">
        <v>1277</v>
      </c>
      <c r="X64" s="15">
        <v>71832</v>
      </c>
      <c r="Y64" s="9" t="s">
        <v>1184</v>
      </c>
      <c r="Z64" s="15" t="s">
        <v>1276</v>
      </c>
      <c r="AA64" s="142">
        <v>1</v>
      </c>
      <c r="AB64" s="380"/>
      <c r="AC64" s="8"/>
      <c r="AD64" s="8"/>
      <c r="AE64" s="21"/>
      <c r="AF64" s="380"/>
      <c r="AG64" s="8"/>
      <c r="AH64" s="8"/>
      <c r="AI64" s="21"/>
    </row>
    <row r="65" spans="1:35" ht="30" hidden="1" x14ac:dyDescent="0.25">
      <c r="A65" s="15">
        <v>1951</v>
      </c>
      <c r="B65" s="104" t="s">
        <v>228</v>
      </c>
      <c r="C65" s="377" t="s">
        <v>1179</v>
      </c>
      <c r="D65" s="9" t="s">
        <v>1180</v>
      </c>
      <c r="E65" s="9"/>
      <c r="F65" s="15" t="s">
        <v>1278</v>
      </c>
      <c r="G65" s="15"/>
      <c r="H65" s="15" t="s">
        <v>1179</v>
      </c>
      <c r="I65" s="9"/>
      <c r="J65" s="9">
        <v>2E-3</v>
      </c>
      <c r="K65" s="9">
        <v>8.0000000000000002E-3</v>
      </c>
      <c r="L65" s="9">
        <v>4</v>
      </c>
      <c r="M65" s="9" t="s">
        <v>1182</v>
      </c>
      <c r="N65" s="34">
        <f t="shared" si="1"/>
        <v>0.23760000000000001</v>
      </c>
      <c r="O65" s="34">
        <f t="shared" si="2"/>
        <v>0.2772</v>
      </c>
      <c r="P65" s="34">
        <f t="shared" si="3"/>
        <v>0.15840000000000001</v>
      </c>
      <c r="Q65" s="34">
        <f t="shared" si="4"/>
        <v>0.1188</v>
      </c>
      <c r="R65" s="138">
        <v>0.79200000000000004</v>
      </c>
      <c r="S65" s="9">
        <v>171718.65</v>
      </c>
      <c r="T65" s="9">
        <v>1373.7492</v>
      </c>
      <c r="U65" s="9"/>
      <c r="V65" s="9"/>
      <c r="W65" s="15" t="s">
        <v>1279</v>
      </c>
      <c r="X65" s="15">
        <v>71832</v>
      </c>
      <c r="Y65" s="9" t="s">
        <v>1184</v>
      </c>
      <c r="Z65" s="15" t="s">
        <v>1278</v>
      </c>
      <c r="AA65" s="142">
        <v>2</v>
      </c>
      <c r="AB65" s="380"/>
      <c r="AC65" s="8"/>
      <c r="AD65" s="8"/>
      <c r="AE65" s="21"/>
      <c r="AF65" s="380"/>
      <c r="AG65" s="8"/>
      <c r="AH65" s="8"/>
      <c r="AI65" s="21"/>
    </row>
    <row r="66" spans="1:35" ht="30" hidden="1" x14ac:dyDescent="0.25">
      <c r="A66" s="15">
        <v>1952</v>
      </c>
      <c r="B66" s="104" t="s">
        <v>228</v>
      </c>
      <c r="C66" s="377" t="s">
        <v>1179</v>
      </c>
      <c r="D66" s="9" t="s">
        <v>1180</v>
      </c>
      <c r="E66" s="9"/>
      <c r="F66" s="15" t="s">
        <v>1280</v>
      </c>
      <c r="G66" s="15"/>
      <c r="H66" s="15" t="s">
        <v>1179</v>
      </c>
      <c r="I66" s="9"/>
      <c r="J66" s="9">
        <v>5.0000000000000001E-3</v>
      </c>
      <c r="K66" s="9">
        <v>0.03</v>
      </c>
      <c r="L66" s="9">
        <v>6</v>
      </c>
      <c r="M66" s="9" t="s">
        <v>1182</v>
      </c>
      <c r="N66" s="34">
        <f t="shared" si="1"/>
        <v>0.8909999999999999</v>
      </c>
      <c r="O66" s="34">
        <f t="shared" si="2"/>
        <v>1.0394999999999999</v>
      </c>
      <c r="P66" s="34">
        <f t="shared" si="3"/>
        <v>0.59399999999999997</v>
      </c>
      <c r="Q66" s="34">
        <f t="shared" si="4"/>
        <v>0.44549999999999995</v>
      </c>
      <c r="R66" s="138">
        <v>2.9699999999999998</v>
      </c>
      <c r="S66" s="9">
        <v>171718.65</v>
      </c>
      <c r="T66" s="9">
        <v>5151.5594999999994</v>
      </c>
      <c r="U66" s="9"/>
      <c r="V66" s="9"/>
      <c r="W66" s="15" t="s">
        <v>1281</v>
      </c>
      <c r="X66" s="15">
        <v>71832</v>
      </c>
      <c r="Y66" s="9" t="s">
        <v>1184</v>
      </c>
      <c r="Z66" s="15" t="s">
        <v>1280</v>
      </c>
      <c r="AA66" s="142">
        <v>3</v>
      </c>
      <c r="AB66" s="380"/>
      <c r="AC66" s="8"/>
      <c r="AD66" s="8"/>
      <c r="AE66" s="21"/>
      <c r="AF66" s="380"/>
      <c r="AG66" s="8"/>
      <c r="AH66" s="8"/>
      <c r="AI66" s="21"/>
    </row>
    <row r="67" spans="1:35" ht="30" hidden="1" x14ac:dyDescent="0.25">
      <c r="A67" s="15">
        <v>1953</v>
      </c>
      <c r="B67" s="104" t="s">
        <v>228</v>
      </c>
      <c r="C67" s="377" t="s">
        <v>1179</v>
      </c>
      <c r="D67" s="9" t="s">
        <v>1180</v>
      </c>
      <c r="E67" s="9"/>
      <c r="F67" s="15" t="s">
        <v>1282</v>
      </c>
      <c r="G67" s="15"/>
      <c r="H67" s="15" t="s">
        <v>1179</v>
      </c>
      <c r="I67" s="9"/>
      <c r="J67" s="9">
        <v>4.0000000000000001E-3</v>
      </c>
      <c r="K67" s="9">
        <v>5.6000000000000001E-2</v>
      </c>
      <c r="L67" s="9">
        <v>14</v>
      </c>
      <c r="M67" s="9" t="s">
        <v>1182</v>
      </c>
      <c r="N67" s="34">
        <f t="shared" si="1"/>
        <v>1.6632</v>
      </c>
      <c r="O67" s="34">
        <f t="shared" si="2"/>
        <v>1.9404000000000001</v>
      </c>
      <c r="P67" s="34">
        <f t="shared" si="3"/>
        <v>1.1088000000000002</v>
      </c>
      <c r="Q67" s="34">
        <f t="shared" si="4"/>
        <v>0.83160000000000001</v>
      </c>
      <c r="R67" s="138">
        <v>5.5440000000000005</v>
      </c>
      <c r="S67" s="9">
        <v>171718.65</v>
      </c>
      <c r="T67" s="9">
        <v>9616.2443999999996</v>
      </c>
      <c r="U67" s="9"/>
      <c r="V67" s="9"/>
      <c r="W67" s="15" t="s">
        <v>1283</v>
      </c>
      <c r="X67" s="15">
        <v>71832</v>
      </c>
      <c r="Y67" s="9" t="s">
        <v>1184</v>
      </c>
      <c r="Z67" s="15" t="s">
        <v>1282</v>
      </c>
      <c r="AA67" s="142">
        <v>4</v>
      </c>
      <c r="AB67" s="380"/>
      <c r="AC67" s="8"/>
      <c r="AD67" s="8"/>
      <c r="AE67" s="21"/>
      <c r="AF67" s="380"/>
      <c r="AG67" s="8"/>
      <c r="AH67" s="8"/>
      <c r="AI67" s="21"/>
    </row>
    <row r="68" spans="1:35" ht="30" hidden="1" x14ac:dyDescent="0.25">
      <c r="A68" s="15">
        <v>1954</v>
      </c>
      <c r="B68" s="104" t="s">
        <v>228</v>
      </c>
      <c r="C68" s="377" t="s">
        <v>1179</v>
      </c>
      <c r="D68" s="9" t="s">
        <v>1180</v>
      </c>
      <c r="E68" s="9"/>
      <c r="F68" s="15" t="s">
        <v>1284</v>
      </c>
      <c r="G68" s="15"/>
      <c r="H68" s="15" t="s">
        <v>1179</v>
      </c>
      <c r="I68" s="9"/>
      <c r="J68" s="9">
        <v>3.7499999999999999E-2</v>
      </c>
      <c r="K68" s="9">
        <v>7.4999999999999997E-2</v>
      </c>
      <c r="L68" s="9">
        <v>2</v>
      </c>
      <c r="M68" s="9" t="s">
        <v>1182</v>
      </c>
      <c r="N68" s="34">
        <f t="shared" si="1"/>
        <v>2.2275</v>
      </c>
      <c r="O68" s="34">
        <f t="shared" si="2"/>
        <v>2.5987499999999999</v>
      </c>
      <c r="P68" s="34">
        <f t="shared" si="3"/>
        <v>1.4850000000000001</v>
      </c>
      <c r="Q68" s="34">
        <f t="shared" si="4"/>
        <v>1.11375</v>
      </c>
      <c r="R68" s="138">
        <v>7.4249999999999998</v>
      </c>
      <c r="S68" s="9">
        <v>171718.65</v>
      </c>
      <c r="T68" s="9">
        <v>12878.898749999998</v>
      </c>
      <c r="U68" s="9"/>
      <c r="V68" s="9"/>
      <c r="W68" s="15" t="s">
        <v>1285</v>
      </c>
      <c r="X68" s="15">
        <v>71832</v>
      </c>
      <c r="Y68" s="9" t="s">
        <v>1184</v>
      </c>
      <c r="Z68" s="15" t="s">
        <v>1284</v>
      </c>
      <c r="AA68" s="142">
        <v>5</v>
      </c>
      <c r="AB68" s="380"/>
      <c r="AC68" s="8"/>
      <c r="AD68" s="8"/>
      <c r="AE68" s="21"/>
      <c r="AF68" s="380"/>
      <c r="AG68" s="8"/>
      <c r="AH68" s="8"/>
      <c r="AI68" s="21"/>
    </row>
    <row r="69" spans="1:35" ht="30" hidden="1" x14ac:dyDescent="0.25">
      <c r="A69" s="15">
        <v>1955</v>
      </c>
      <c r="B69" s="104" t="s">
        <v>228</v>
      </c>
      <c r="C69" s="377" t="s">
        <v>1179</v>
      </c>
      <c r="D69" s="9" t="s">
        <v>1180</v>
      </c>
      <c r="E69" s="9"/>
      <c r="F69" s="15" t="s">
        <v>1286</v>
      </c>
      <c r="G69" s="15"/>
      <c r="H69" s="15" t="s">
        <v>1179</v>
      </c>
      <c r="I69" s="9"/>
      <c r="J69" s="9">
        <v>2E-3</v>
      </c>
      <c r="K69" s="9">
        <v>6.0000000000000001E-3</v>
      </c>
      <c r="L69" s="9">
        <v>3</v>
      </c>
      <c r="M69" s="9" t="s">
        <v>1182</v>
      </c>
      <c r="N69" s="34">
        <f t="shared" si="1"/>
        <v>0.1782</v>
      </c>
      <c r="O69" s="34">
        <f t="shared" si="2"/>
        <v>0.20789999999999997</v>
      </c>
      <c r="P69" s="34">
        <f t="shared" si="3"/>
        <v>0.1188</v>
      </c>
      <c r="Q69" s="34">
        <f t="shared" si="4"/>
        <v>8.9099999999999999E-2</v>
      </c>
      <c r="R69" s="138">
        <v>0.59399999999999997</v>
      </c>
      <c r="S69" s="9">
        <v>171718.65</v>
      </c>
      <c r="T69" s="9">
        <v>1030.3118999999999</v>
      </c>
      <c r="U69" s="9"/>
      <c r="V69" s="9"/>
      <c r="W69" s="15" t="s">
        <v>1287</v>
      </c>
      <c r="X69" s="15">
        <v>71832</v>
      </c>
      <c r="Y69" s="9" t="s">
        <v>1184</v>
      </c>
      <c r="Z69" s="15" t="s">
        <v>1286</v>
      </c>
      <c r="AA69" s="142">
        <v>6</v>
      </c>
      <c r="AB69" s="380"/>
      <c r="AC69" s="8"/>
      <c r="AD69" s="8"/>
      <c r="AE69" s="21"/>
      <c r="AF69" s="380"/>
      <c r="AG69" s="8"/>
      <c r="AH69" s="8"/>
      <c r="AI69" s="21"/>
    </row>
    <row r="70" spans="1:35" ht="30" hidden="1" x14ac:dyDescent="0.25">
      <c r="A70" s="15">
        <v>1956</v>
      </c>
      <c r="B70" s="104" t="s">
        <v>228</v>
      </c>
      <c r="C70" s="377" t="s">
        <v>1179</v>
      </c>
      <c r="D70" s="9" t="s">
        <v>1180</v>
      </c>
      <c r="E70" s="9"/>
      <c r="F70" s="15" t="s">
        <v>1288</v>
      </c>
      <c r="G70" s="15"/>
      <c r="H70" s="15" t="s">
        <v>1179</v>
      </c>
      <c r="I70" s="9"/>
      <c r="J70" s="9">
        <v>4.0999999999999996</v>
      </c>
      <c r="K70" s="9">
        <v>4.0999999999999996</v>
      </c>
      <c r="L70" s="9">
        <v>1</v>
      </c>
      <c r="M70" s="9" t="s">
        <v>1182</v>
      </c>
      <c r="N70" s="34">
        <f t="shared" ref="N70:N133" si="5">R70*0.3</f>
        <v>59.039999999999992</v>
      </c>
      <c r="O70" s="34">
        <f t="shared" ref="O70:O133" si="6">R70*0.35</f>
        <v>68.88</v>
      </c>
      <c r="P70" s="34">
        <f t="shared" ref="P70:P133" si="7">R70*0.2</f>
        <v>39.36</v>
      </c>
      <c r="Q70" s="34">
        <f t="shared" ref="Q70:Q133" si="8">R70*0.15</f>
        <v>29.519999999999996</v>
      </c>
      <c r="R70" s="138">
        <v>196.79999999999998</v>
      </c>
      <c r="S70" s="9">
        <v>171718.65</v>
      </c>
      <c r="T70" s="9">
        <v>704046.46499999997</v>
      </c>
      <c r="U70" s="9"/>
      <c r="V70" s="9"/>
      <c r="W70" s="15" t="s">
        <v>1289</v>
      </c>
      <c r="X70" s="15">
        <v>71838</v>
      </c>
      <c r="Y70" s="9" t="s">
        <v>1184</v>
      </c>
      <c r="Z70" s="15" t="s">
        <v>1288</v>
      </c>
      <c r="AA70" s="142">
        <v>1</v>
      </c>
      <c r="AB70" s="380"/>
      <c r="AC70" s="8"/>
      <c r="AD70" s="8"/>
      <c r="AE70" s="21"/>
      <c r="AF70" s="380"/>
      <c r="AG70" s="8"/>
      <c r="AH70" s="8"/>
      <c r="AI70" s="21"/>
    </row>
    <row r="71" spans="1:35" ht="30" hidden="1" x14ac:dyDescent="0.25">
      <c r="A71" s="15">
        <v>1957</v>
      </c>
      <c r="B71" s="104" t="s">
        <v>228</v>
      </c>
      <c r="C71" s="377" t="s">
        <v>1179</v>
      </c>
      <c r="D71" s="9" t="s">
        <v>1180</v>
      </c>
      <c r="E71" s="9"/>
      <c r="F71" s="15" t="s">
        <v>1276</v>
      </c>
      <c r="G71" s="15"/>
      <c r="H71" s="15" t="s">
        <v>1179</v>
      </c>
      <c r="I71" s="9"/>
      <c r="J71" s="9">
        <v>29.8</v>
      </c>
      <c r="K71" s="9">
        <v>14.9</v>
      </c>
      <c r="L71" s="9">
        <v>0.5</v>
      </c>
      <c r="M71" s="9" t="s">
        <v>1182</v>
      </c>
      <c r="N71" s="34">
        <f t="shared" si="5"/>
        <v>120.69</v>
      </c>
      <c r="O71" s="34">
        <f t="shared" si="6"/>
        <v>140.80500000000001</v>
      </c>
      <c r="P71" s="34">
        <f t="shared" si="7"/>
        <v>80.460000000000008</v>
      </c>
      <c r="Q71" s="34">
        <f t="shared" si="8"/>
        <v>60.344999999999999</v>
      </c>
      <c r="R71" s="138">
        <v>402.3</v>
      </c>
      <c r="S71" s="9">
        <v>171718.65</v>
      </c>
      <c r="T71" s="9">
        <v>2558607.8849999998</v>
      </c>
      <c r="U71" s="9"/>
      <c r="V71" s="9"/>
      <c r="W71" s="15" t="s">
        <v>1277</v>
      </c>
      <c r="X71" s="15">
        <v>71833</v>
      </c>
      <c r="Y71" s="9" t="s">
        <v>1184</v>
      </c>
      <c r="Z71" s="15" t="s">
        <v>1276</v>
      </c>
      <c r="AA71" s="142">
        <v>1</v>
      </c>
      <c r="AB71" s="380"/>
      <c r="AC71" s="8"/>
      <c r="AD71" s="8"/>
      <c r="AE71" s="21"/>
      <c r="AF71" s="380"/>
      <c r="AG71" s="8"/>
      <c r="AH71" s="8"/>
      <c r="AI71" s="21"/>
    </row>
    <row r="72" spans="1:35" ht="30" hidden="1" x14ac:dyDescent="0.25">
      <c r="A72" s="15">
        <v>1958</v>
      </c>
      <c r="B72" s="104" t="s">
        <v>228</v>
      </c>
      <c r="C72" s="377" t="s">
        <v>1179</v>
      </c>
      <c r="D72" s="9" t="s">
        <v>1180</v>
      </c>
      <c r="E72" s="9"/>
      <c r="F72" s="15" t="s">
        <v>1278</v>
      </c>
      <c r="G72" s="15"/>
      <c r="H72" s="15" t="s">
        <v>1179</v>
      </c>
      <c r="I72" s="9"/>
      <c r="J72" s="9">
        <v>2E-3</v>
      </c>
      <c r="K72" s="9">
        <v>8.0000000000000002E-3</v>
      </c>
      <c r="L72" s="9">
        <v>4</v>
      </c>
      <c r="M72" s="9" t="s">
        <v>1182</v>
      </c>
      <c r="N72" s="34">
        <f t="shared" si="5"/>
        <v>0.23760000000000001</v>
      </c>
      <c r="O72" s="34">
        <f t="shared" si="6"/>
        <v>0.2772</v>
      </c>
      <c r="P72" s="34">
        <f t="shared" si="7"/>
        <v>0.15840000000000001</v>
      </c>
      <c r="Q72" s="34">
        <f t="shared" si="8"/>
        <v>0.1188</v>
      </c>
      <c r="R72" s="138">
        <v>0.79200000000000004</v>
      </c>
      <c r="S72" s="9">
        <v>171718.65</v>
      </c>
      <c r="T72" s="9">
        <v>1373.7492</v>
      </c>
      <c r="U72" s="9"/>
      <c r="V72" s="9"/>
      <c r="W72" s="15" t="s">
        <v>1279</v>
      </c>
      <c r="X72" s="15">
        <v>71833</v>
      </c>
      <c r="Y72" s="9" t="s">
        <v>1184</v>
      </c>
      <c r="Z72" s="15" t="s">
        <v>1278</v>
      </c>
      <c r="AA72" s="142">
        <v>2</v>
      </c>
      <c r="AB72" s="20"/>
      <c r="AC72" s="8"/>
      <c r="AD72" s="8"/>
      <c r="AE72" s="21"/>
      <c r="AF72" s="20"/>
      <c r="AG72" s="8"/>
      <c r="AH72" s="8"/>
      <c r="AI72" s="21"/>
    </row>
    <row r="73" spans="1:35" ht="30" hidden="1" x14ac:dyDescent="0.25">
      <c r="A73" s="15">
        <v>1959</v>
      </c>
      <c r="B73" s="104" t="s">
        <v>228</v>
      </c>
      <c r="C73" s="377" t="s">
        <v>1179</v>
      </c>
      <c r="D73" s="9" t="s">
        <v>1180</v>
      </c>
      <c r="E73" s="9"/>
      <c r="F73" s="15" t="s">
        <v>1280</v>
      </c>
      <c r="G73" s="15"/>
      <c r="H73" s="15" t="s">
        <v>1179</v>
      </c>
      <c r="I73" s="9"/>
      <c r="J73" s="9">
        <v>5.0000000000000001E-3</v>
      </c>
      <c r="K73" s="9">
        <v>0.03</v>
      </c>
      <c r="L73" s="9">
        <v>6</v>
      </c>
      <c r="M73" s="9" t="s">
        <v>1182</v>
      </c>
      <c r="N73" s="34">
        <f t="shared" si="5"/>
        <v>0.8909999999999999</v>
      </c>
      <c r="O73" s="34">
        <f t="shared" si="6"/>
        <v>1.0394999999999999</v>
      </c>
      <c r="P73" s="34">
        <f t="shared" si="7"/>
        <v>0.59399999999999997</v>
      </c>
      <c r="Q73" s="34">
        <f t="shared" si="8"/>
        <v>0.44549999999999995</v>
      </c>
      <c r="R73" s="138">
        <v>2.9699999999999998</v>
      </c>
      <c r="S73" s="9">
        <v>171718.65</v>
      </c>
      <c r="T73" s="9">
        <v>5151.5594999999994</v>
      </c>
      <c r="U73" s="9"/>
      <c r="V73" s="9"/>
      <c r="W73" s="15" t="s">
        <v>1281</v>
      </c>
      <c r="X73" s="15">
        <v>71833</v>
      </c>
      <c r="Y73" s="9" t="s">
        <v>1184</v>
      </c>
      <c r="Z73" s="15" t="s">
        <v>1280</v>
      </c>
      <c r="AA73" s="142">
        <v>3</v>
      </c>
      <c r="AB73" s="20"/>
      <c r="AC73" s="8"/>
      <c r="AD73" s="8"/>
      <c r="AE73" s="21"/>
      <c r="AF73" s="20"/>
      <c r="AG73" s="8"/>
      <c r="AH73" s="8"/>
      <c r="AI73" s="21"/>
    </row>
    <row r="74" spans="1:35" ht="30" hidden="1" x14ac:dyDescent="0.25">
      <c r="A74" s="15">
        <v>1960</v>
      </c>
      <c r="B74" s="104" t="s">
        <v>228</v>
      </c>
      <c r="C74" s="377" t="s">
        <v>1179</v>
      </c>
      <c r="D74" s="9" t="s">
        <v>1180</v>
      </c>
      <c r="E74" s="9"/>
      <c r="F74" s="15" t="s">
        <v>1282</v>
      </c>
      <c r="G74" s="15"/>
      <c r="H74" s="15" t="s">
        <v>1179</v>
      </c>
      <c r="I74" s="9"/>
      <c r="J74" s="9">
        <v>4.0000000000000001E-3</v>
      </c>
      <c r="K74" s="9">
        <v>5.6000000000000001E-2</v>
      </c>
      <c r="L74" s="9">
        <v>14</v>
      </c>
      <c r="M74" s="9" t="s">
        <v>1182</v>
      </c>
      <c r="N74" s="34">
        <f t="shared" si="5"/>
        <v>1.6632</v>
      </c>
      <c r="O74" s="34">
        <f t="shared" si="6"/>
        <v>1.9404000000000001</v>
      </c>
      <c r="P74" s="34">
        <f t="shared" si="7"/>
        <v>1.1088000000000002</v>
      </c>
      <c r="Q74" s="34">
        <f t="shared" si="8"/>
        <v>0.83160000000000001</v>
      </c>
      <c r="R74" s="138">
        <v>5.5440000000000005</v>
      </c>
      <c r="S74" s="9">
        <v>171718.65</v>
      </c>
      <c r="T74" s="9">
        <v>9616.2443999999996</v>
      </c>
      <c r="U74" s="9"/>
      <c r="V74" s="9"/>
      <c r="W74" s="15" t="s">
        <v>1283</v>
      </c>
      <c r="X74" s="15">
        <v>71833</v>
      </c>
      <c r="Y74" s="9" t="s">
        <v>1184</v>
      </c>
      <c r="Z74" s="15" t="s">
        <v>1282</v>
      </c>
      <c r="AA74" s="142">
        <v>4</v>
      </c>
      <c r="AB74" s="20"/>
      <c r="AC74" s="8"/>
      <c r="AD74" s="8"/>
      <c r="AE74" s="21"/>
      <c r="AF74" s="20"/>
      <c r="AG74" s="8"/>
      <c r="AH74" s="8"/>
      <c r="AI74" s="21"/>
    </row>
    <row r="75" spans="1:35" ht="30" hidden="1" x14ac:dyDescent="0.25">
      <c r="A75" s="15">
        <v>1961</v>
      </c>
      <c r="B75" s="104" t="s">
        <v>228</v>
      </c>
      <c r="C75" s="377" t="s">
        <v>1179</v>
      </c>
      <c r="D75" s="9" t="s">
        <v>1180</v>
      </c>
      <c r="E75" s="9"/>
      <c r="F75" s="15" t="s">
        <v>1286</v>
      </c>
      <c r="G75" s="15"/>
      <c r="H75" s="15" t="s">
        <v>1179</v>
      </c>
      <c r="I75" s="9"/>
      <c r="J75" s="9">
        <v>2E-3</v>
      </c>
      <c r="K75" s="9">
        <v>6.0000000000000001E-3</v>
      </c>
      <c r="L75" s="9">
        <v>3</v>
      </c>
      <c r="M75" s="9" t="s">
        <v>1182</v>
      </c>
      <c r="N75" s="34">
        <f t="shared" si="5"/>
        <v>0.1782</v>
      </c>
      <c r="O75" s="34">
        <f t="shared" si="6"/>
        <v>0.20789999999999997</v>
      </c>
      <c r="P75" s="34">
        <f t="shared" si="7"/>
        <v>0.1188</v>
      </c>
      <c r="Q75" s="34">
        <f t="shared" si="8"/>
        <v>8.9099999999999999E-2</v>
      </c>
      <c r="R75" s="138">
        <v>0.59399999999999997</v>
      </c>
      <c r="S75" s="9">
        <v>171718.65</v>
      </c>
      <c r="T75" s="9">
        <v>1030.3118999999999</v>
      </c>
      <c r="U75" s="9"/>
      <c r="V75" s="9"/>
      <c r="W75" s="15" t="s">
        <v>1287</v>
      </c>
      <c r="X75" s="15">
        <v>71833</v>
      </c>
      <c r="Y75" s="9" t="s">
        <v>1184</v>
      </c>
      <c r="Z75" s="15" t="s">
        <v>1286</v>
      </c>
      <c r="AA75" s="142">
        <v>5</v>
      </c>
      <c r="AB75" s="20"/>
      <c r="AC75" s="8"/>
      <c r="AD75" s="8"/>
      <c r="AE75" s="21"/>
      <c r="AF75" s="20"/>
      <c r="AG75" s="8"/>
      <c r="AH75" s="8"/>
      <c r="AI75" s="21"/>
    </row>
    <row r="76" spans="1:35" ht="30" hidden="1" x14ac:dyDescent="0.25">
      <c r="A76" s="15">
        <v>1962</v>
      </c>
      <c r="B76" s="104" t="s">
        <v>228</v>
      </c>
      <c r="C76" s="377" t="s">
        <v>1179</v>
      </c>
      <c r="D76" s="9" t="s">
        <v>1180</v>
      </c>
      <c r="E76" s="9"/>
      <c r="F76" s="15" t="s">
        <v>1288</v>
      </c>
      <c r="G76" s="15"/>
      <c r="H76" s="15" t="s">
        <v>1179</v>
      </c>
      <c r="I76" s="9"/>
      <c r="J76" s="9">
        <v>4.0999999999999996</v>
      </c>
      <c r="K76" s="9">
        <v>4.0999999999999996</v>
      </c>
      <c r="L76" s="9">
        <v>1</v>
      </c>
      <c r="M76" s="9" t="s">
        <v>1182</v>
      </c>
      <c r="N76" s="34">
        <f t="shared" si="5"/>
        <v>59.039999999999992</v>
      </c>
      <c r="O76" s="34">
        <f t="shared" si="6"/>
        <v>68.88</v>
      </c>
      <c r="P76" s="34">
        <f t="shared" si="7"/>
        <v>39.36</v>
      </c>
      <c r="Q76" s="34">
        <f t="shared" si="8"/>
        <v>29.519999999999996</v>
      </c>
      <c r="R76" s="138">
        <v>196.79999999999998</v>
      </c>
      <c r="S76" s="9">
        <v>171718.65</v>
      </c>
      <c r="T76" s="9">
        <v>704046.46499999997</v>
      </c>
      <c r="U76" s="9"/>
      <c r="V76" s="9"/>
      <c r="W76" s="15" t="s">
        <v>1289</v>
      </c>
      <c r="X76" s="15">
        <v>71839</v>
      </c>
      <c r="Y76" s="9" t="s">
        <v>1184</v>
      </c>
      <c r="Z76" s="15" t="s">
        <v>1288</v>
      </c>
      <c r="AA76" s="142">
        <v>1</v>
      </c>
      <c r="AB76" s="20"/>
      <c r="AC76" s="8"/>
      <c r="AD76" s="8"/>
      <c r="AE76" s="21"/>
      <c r="AF76" s="20"/>
      <c r="AG76" s="8"/>
      <c r="AH76" s="8"/>
      <c r="AI76" s="21"/>
    </row>
    <row r="77" spans="1:35" ht="30" hidden="1" x14ac:dyDescent="0.25">
      <c r="A77" s="15">
        <v>1963</v>
      </c>
      <c r="B77" s="104" t="s">
        <v>228</v>
      </c>
      <c r="C77" s="377" t="s">
        <v>1179</v>
      </c>
      <c r="D77" s="9" t="s">
        <v>1180</v>
      </c>
      <c r="E77" s="9"/>
      <c r="F77" s="15" t="s">
        <v>1290</v>
      </c>
      <c r="G77" s="15"/>
      <c r="H77" s="15" t="s">
        <v>1179</v>
      </c>
      <c r="I77" s="9" t="s">
        <v>1291</v>
      </c>
      <c r="J77" s="9">
        <v>0.01</v>
      </c>
      <c r="K77" s="9">
        <v>0.02</v>
      </c>
      <c r="L77" s="9">
        <v>2</v>
      </c>
      <c r="M77" s="9" t="s">
        <v>1182</v>
      </c>
      <c r="N77" s="34">
        <f t="shared" si="5"/>
        <v>0.59399999999999997</v>
      </c>
      <c r="O77" s="34">
        <f t="shared" si="6"/>
        <v>0.69299999999999995</v>
      </c>
      <c r="P77" s="34">
        <f t="shared" si="7"/>
        <v>0.39600000000000002</v>
      </c>
      <c r="Q77" s="34">
        <f t="shared" si="8"/>
        <v>0.29699999999999999</v>
      </c>
      <c r="R77" s="138">
        <v>1.98</v>
      </c>
      <c r="S77" s="9">
        <v>171718.65</v>
      </c>
      <c r="T77" s="9">
        <v>3434.373</v>
      </c>
      <c r="U77" s="9"/>
      <c r="V77" s="9"/>
      <c r="W77" s="15" t="s">
        <v>1292</v>
      </c>
      <c r="X77" s="15">
        <v>71834</v>
      </c>
      <c r="Y77" s="9" t="s">
        <v>1184</v>
      </c>
      <c r="Z77" s="15" t="s">
        <v>1290</v>
      </c>
      <c r="AA77" s="142">
        <v>1</v>
      </c>
      <c r="AB77" s="20"/>
      <c r="AC77" s="8"/>
      <c r="AD77" s="8"/>
      <c r="AE77" s="21"/>
      <c r="AF77" s="20"/>
      <c r="AG77" s="8"/>
      <c r="AH77" s="8"/>
      <c r="AI77" s="21"/>
    </row>
    <row r="78" spans="1:35" ht="30" hidden="1" x14ac:dyDescent="0.25">
      <c r="A78" s="15">
        <v>1964</v>
      </c>
      <c r="B78" s="104" t="s">
        <v>228</v>
      </c>
      <c r="C78" s="377" t="s">
        <v>1179</v>
      </c>
      <c r="D78" s="9" t="s">
        <v>1180</v>
      </c>
      <c r="E78" s="9"/>
      <c r="F78" s="15" t="s">
        <v>850</v>
      </c>
      <c r="G78" s="15"/>
      <c r="H78" s="15" t="s">
        <v>1179</v>
      </c>
      <c r="I78" s="9" t="s">
        <v>1291</v>
      </c>
      <c r="J78" s="9">
        <v>0.03</v>
      </c>
      <c r="K78" s="9">
        <v>0.06</v>
      </c>
      <c r="L78" s="9">
        <v>2</v>
      </c>
      <c r="M78" s="9" t="s">
        <v>1182</v>
      </c>
      <c r="N78" s="34">
        <f t="shared" si="5"/>
        <v>1.7819999999999998</v>
      </c>
      <c r="O78" s="34">
        <f t="shared" si="6"/>
        <v>2.0789999999999997</v>
      </c>
      <c r="P78" s="34">
        <f t="shared" si="7"/>
        <v>1.1879999999999999</v>
      </c>
      <c r="Q78" s="34">
        <f t="shared" si="8"/>
        <v>0.8909999999999999</v>
      </c>
      <c r="R78" s="138">
        <v>5.9399999999999995</v>
      </c>
      <c r="S78" s="9">
        <v>171718.65</v>
      </c>
      <c r="T78" s="9">
        <v>10303.118999999999</v>
      </c>
      <c r="U78" s="9"/>
      <c r="V78" s="9"/>
      <c r="W78" s="15" t="s">
        <v>1293</v>
      </c>
      <c r="X78" s="15">
        <v>71834</v>
      </c>
      <c r="Y78" s="9" t="s">
        <v>1184</v>
      </c>
      <c r="Z78" s="15" t="s">
        <v>850</v>
      </c>
      <c r="AA78" s="142">
        <v>2</v>
      </c>
      <c r="AB78" s="20"/>
      <c r="AC78" s="8"/>
      <c r="AD78" s="8"/>
      <c r="AE78" s="21"/>
      <c r="AF78" s="20"/>
      <c r="AG78" s="8"/>
      <c r="AH78" s="8"/>
      <c r="AI78" s="21"/>
    </row>
    <row r="79" spans="1:35" ht="30" hidden="1" x14ac:dyDescent="0.25">
      <c r="A79" s="15">
        <v>1965</v>
      </c>
      <c r="B79" s="104" t="s">
        <v>228</v>
      </c>
      <c r="C79" s="377" t="s">
        <v>1179</v>
      </c>
      <c r="D79" s="9" t="s">
        <v>1180</v>
      </c>
      <c r="E79" s="9"/>
      <c r="F79" s="15" t="s">
        <v>1290</v>
      </c>
      <c r="G79" s="15"/>
      <c r="H79" s="15" t="s">
        <v>1179</v>
      </c>
      <c r="I79" s="9" t="s">
        <v>1291</v>
      </c>
      <c r="J79" s="9">
        <v>0.01</v>
      </c>
      <c r="K79" s="9">
        <v>0.02</v>
      </c>
      <c r="L79" s="9">
        <v>2</v>
      </c>
      <c r="M79" s="9" t="s">
        <v>1182</v>
      </c>
      <c r="N79" s="34">
        <f t="shared" si="5"/>
        <v>0.59399999999999997</v>
      </c>
      <c r="O79" s="34">
        <f t="shared" si="6"/>
        <v>0.69299999999999995</v>
      </c>
      <c r="P79" s="34">
        <f t="shared" si="7"/>
        <v>0.39600000000000002</v>
      </c>
      <c r="Q79" s="34">
        <f t="shared" si="8"/>
        <v>0.29699999999999999</v>
      </c>
      <c r="R79" s="138">
        <v>1.98</v>
      </c>
      <c r="S79" s="9">
        <v>171718.65</v>
      </c>
      <c r="T79" s="9">
        <v>3434.373</v>
      </c>
      <c r="U79" s="9"/>
      <c r="V79" s="9"/>
      <c r="W79" s="15" t="s">
        <v>1294</v>
      </c>
      <c r="X79" s="15">
        <v>71834</v>
      </c>
      <c r="Y79" s="9" t="s">
        <v>1184</v>
      </c>
      <c r="Z79" s="15" t="s">
        <v>1290</v>
      </c>
      <c r="AA79" s="142">
        <v>3</v>
      </c>
      <c r="AB79" s="20"/>
      <c r="AC79" s="8"/>
      <c r="AD79" s="8"/>
      <c r="AE79" s="21"/>
      <c r="AF79" s="20"/>
      <c r="AG79" s="8"/>
      <c r="AH79" s="8"/>
      <c r="AI79" s="21"/>
    </row>
    <row r="80" spans="1:35" ht="30" hidden="1" x14ac:dyDescent="0.25">
      <c r="A80" s="15">
        <v>1966</v>
      </c>
      <c r="B80" s="104" t="s">
        <v>228</v>
      </c>
      <c r="C80" s="377" t="s">
        <v>1179</v>
      </c>
      <c r="D80" s="9" t="s">
        <v>1180</v>
      </c>
      <c r="E80" s="9"/>
      <c r="F80" s="15" t="s">
        <v>1290</v>
      </c>
      <c r="G80" s="15"/>
      <c r="H80" s="15" t="s">
        <v>1179</v>
      </c>
      <c r="I80" s="9" t="s">
        <v>1291</v>
      </c>
      <c r="J80" s="9">
        <v>0.04</v>
      </c>
      <c r="K80" s="9">
        <v>0.08</v>
      </c>
      <c r="L80" s="9">
        <v>2</v>
      </c>
      <c r="M80" s="9" t="s">
        <v>1182</v>
      </c>
      <c r="N80" s="34">
        <f t="shared" si="5"/>
        <v>2.3759999999999999</v>
      </c>
      <c r="O80" s="34">
        <f t="shared" si="6"/>
        <v>2.7719999999999998</v>
      </c>
      <c r="P80" s="34">
        <f t="shared" si="7"/>
        <v>1.5840000000000001</v>
      </c>
      <c r="Q80" s="34">
        <f t="shared" si="8"/>
        <v>1.1879999999999999</v>
      </c>
      <c r="R80" s="138">
        <v>7.92</v>
      </c>
      <c r="S80" s="9">
        <v>171718.65</v>
      </c>
      <c r="T80" s="9">
        <v>13737.492</v>
      </c>
      <c r="U80" s="9"/>
      <c r="V80" s="9"/>
      <c r="W80" s="15" t="s">
        <v>1295</v>
      </c>
      <c r="X80" s="15">
        <v>71834</v>
      </c>
      <c r="Y80" s="9" t="s">
        <v>1184</v>
      </c>
      <c r="Z80" s="15" t="s">
        <v>1290</v>
      </c>
      <c r="AA80" s="142">
        <v>4</v>
      </c>
      <c r="AB80" s="20"/>
      <c r="AC80" s="8"/>
      <c r="AD80" s="8"/>
      <c r="AE80" s="21"/>
      <c r="AF80" s="20"/>
      <c r="AG80" s="8"/>
      <c r="AH80" s="8"/>
      <c r="AI80" s="21"/>
    </row>
    <row r="81" spans="1:35" ht="30" hidden="1" x14ac:dyDescent="0.25">
      <c r="A81" s="15">
        <v>1967</v>
      </c>
      <c r="B81" s="104" t="s">
        <v>228</v>
      </c>
      <c r="C81" s="377" t="s">
        <v>1179</v>
      </c>
      <c r="D81" s="9" t="s">
        <v>1180</v>
      </c>
      <c r="E81" s="9"/>
      <c r="F81" s="15" t="s">
        <v>850</v>
      </c>
      <c r="G81" s="15"/>
      <c r="H81" s="15" t="s">
        <v>1179</v>
      </c>
      <c r="I81" s="9"/>
      <c r="J81" s="9">
        <v>0.03</v>
      </c>
      <c r="K81" s="9">
        <v>0.09</v>
      </c>
      <c r="L81" s="9">
        <v>3</v>
      </c>
      <c r="M81" s="9" t="s">
        <v>1182</v>
      </c>
      <c r="N81" s="34">
        <f t="shared" si="5"/>
        <v>2.673</v>
      </c>
      <c r="O81" s="34">
        <f t="shared" si="6"/>
        <v>3.1185</v>
      </c>
      <c r="P81" s="34">
        <f t="shared" si="7"/>
        <v>1.782</v>
      </c>
      <c r="Q81" s="34">
        <f t="shared" si="8"/>
        <v>1.3365</v>
      </c>
      <c r="R81" s="138">
        <v>8.91</v>
      </c>
      <c r="S81" s="9">
        <v>171718.65</v>
      </c>
      <c r="T81" s="9">
        <v>15454.678499999998</v>
      </c>
      <c r="U81" s="9"/>
      <c r="V81" s="9"/>
      <c r="W81" s="15" t="s">
        <v>1296</v>
      </c>
      <c r="X81" s="15">
        <v>71834</v>
      </c>
      <c r="Y81" s="9" t="s">
        <v>1184</v>
      </c>
      <c r="Z81" s="15" t="s">
        <v>850</v>
      </c>
      <c r="AA81" s="142">
        <v>5</v>
      </c>
      <c r="AB81" s="20"/>
      <c r="AC81" s="8"/>
      <c r="AD81" s="8"/>
      <c r="AE81" s="21"/>
      <c r="AF81" s="20"/>
      <c r="AG81" s="8"/>
      <c r="AH81" s="8"/>
      <c r="AI81" s="21"/>
    </row>
    <row r="82" spans="1:35" ht="30" hidden="1" x14ac:dyDescent="0.25">
      <c r="A82" s="15">
        <v>1968</v>
      </c>
      <c r="B82" s="104" t="s">
        <v>228</v>
      </c>
      <c r="C82" s="377" t="s">
        <v>1179</v>
      </c>
      <c r="D82" s="9" t="s">
        <v>1180</v>
      </c>
      <c r="E82" s="9"/>
      <c r="F82" s="15" t="s">
        <v>1290</v>
      </c>
      <c r="G82" s="15"/>
      <c r="H82" s="15" t="s">
        <v>1179</v>
      </c>
      <c r="I82" s="9"/>
      <c r="J82" s="9">
        <v>1.4999999999999999E-2</v>
      </c>
      <c r="K82" s="9">
        <v>0.03</v>
      </c>
      <c r="L82" s="9">
        <v>2</v>
      </c>
      <c r="M82" s="9" t="s">
        <v>1182</v>
      </c>
      <c r="N82" s="34">
        <f t="shared" si="5"/>
        <v>0.8909999999999999</v>
      </c>
      <c r="O82" s="34">
        <f t="shared" si="6"/>
        <v>1.0394999999999999</v>
      </c>
      <c r="P82" s="34">
        <f t="shared" si="7"/>
        <v>0.59399999999999997</v>
      </c>
      <c r="Q82" s="34">
        <f t="shared" si="8"/>
        <v>0.44549999999999995</v>
      </c>
      <c r="R82" s="138">
        <v>2.9699999999999998</v>
      </c>
      <c r="S82" s="9">
        <v>171718.65</v>
      </c>
      <c r="T82" s="9">
        <v>5151.5594999999994</v>
      </c>
      <c r="U82" s="9"/>
      <c r="V82" s="9"/>
      <c r="W82" s="15" t="s">
        <v>1297</v>
      </c>
      <c r="X82" s="15">
        <v>71834</v>
      </c>
      <c r="Y82" s="9" t="s">
        <v>1184</v>
      </c>
      <c r="Z82" s="15" t="s">
        <v>1290</v>
      </c>
      <c r="AA82" s="142">
        <v>6</v>
      </c>
      <c r="AB82" s="20"/>
      <c r="AC82" s="8"/>
      <c r="AD82" s="8"/>
      <c r="AE82" s="21"/>
      <c r="AF82" s="20"/>
      <c r="AG82" s="8"/>
      <c r="AH82" s="8"/>
      <c r="AI82" s="21"/>
    </row>
    <row r="83" spans="1:35" ht="30" hidden="1" x14ac:dyDescent="0.25">
      <c r="A83" s="15">
        <v>1969</v>
      </c>
      <c r="B83" s="104" t="s">
        <v>228</v>
      </c>
      <c r="C83" s="377" t="s">
        <v>1179</v>
      </c>
      <c r="D83" s="9" t="s">
        <v>1180</v>
      </c>
      <c r="E83" s="9"/>
      <c r="F83" s="15" t="s">
        <v>1290</v>
      </c>
      <c r="G83" s="15"/>
      <c r="H83" s="15" t="s">
        <v>1179</v>
      </c>
      <c r="I83" s="9"/>
      <c r="J83" s="9">
        <v>5.0000000000000001E-3</v>
      </c>
      <c r="K83" s="9">
        <v>0.01</v>
      </c>
      <c r="L83" s="9">
        <v>2</v>
      </c>
      <c r="M83" s="9" t="s">
        <v>1182</v>
      </c>
      <c r="N83" s="34">
        <f t="shared" si="5"/>
        <v>0.29699999999999999</v>
      </c>
      <c r="O83" s="34">
        <f t="shared" si="6"/>
        <v>0.34649999999999997</v>
      </c>
      <c r="P83" s="34">
        <f t="shared" si="7"/>
        <v>0.19800000000000001</v>
      </c>
      <c r="Q83" s="34">
        <f t="shared" si="8"/>
        <v>0.14849999999999999</v>
      </c>
      <c r="R83" s="138">
        <v>0.99</v>
      </c>
      <c r="S83" s="9">
        <v>171718.65</v>
      </c>
      <c r="T83" s="9">
        <v>1717.1865</v>
      </c>
      <c r="U83" s="9"/>
      <c r="V83" s="9"/>
      <c r="W83" s="15" t="s">
        <v>1298</v>
      </c>
      <c r="X83" s="15">
        <v>71834</v>
      </c>
      <c r="Y83" s="9" t="s">
        <v>1184</v>
      </c>
      <c r="Z83" s="15" t="s">
        <v>1290</v>
      </c>
      <c r="AA83" s="142">
        <v>7</v>
      </c>
      <c r="AB83" s="20"/>
      <c r="AC83" s="8"/>
      <c r="AD83" s="8"/>
      <c r="AE83" s="21"/>
      <c r="AF83" s="20"/>
      <c r="AG83" s="8"/>
      <c r="AH83" s="8"/>
      <c r="AI83" s="21"/>
    </row>
    <row r="84" spans="1:35" ht="30" hidden="1" x14ac:dyDescent="0.25">
      <c r="A84" s="15">
        <v>1970</v>
      </c>
      <c r="B84" s="104" t="s">
        <v>228</v>
      </c>
      <c r="C84" s="377" t="s">
        <v>1179</v>
      </c>
      <c r="D84" s="9" t="s">
        <v>1180</v>
      </c>
      <c r="E84" s="9"/>
      <c r="F84" s="15" t="s">
        <v>850</v>
      </c>
      <c r="G84" s="15"/>
      <c r="H84" s="15" t="s">
        <v>1179</v>
      </c>
      <c r="I84" s="9" t="s">
        <v>1291</v>
      </c>
      <c r="J84" s="9">
        <v>0.02</v>
      </c>
      <c r="K84" s="9">
        <v>0.04</v>
      </c>
      <c r="L84" s="9">
        <v>2</v>
      </c>
      <c r="M84" s="9" t="s">
        <v>1182</v>
      </c>
      <c r="N84" s="34">
        <f t="shared" si="5"/>
        <v>1.1879999999999999</v>
      </c>
      <c r="O84" s="34">
        <f t="shared" si="6"/>
        <v>1.3859999999999999</v>
      </c>
      <c r="P84" s="34">
        <f t="shared" si="7"/>
        <v>0.79200000000000004</v>
      </c>
      <c r="Q84" s="34">
        <f t="shared" si="8"/>
        <v>0.59399999999999997</v>
      </c>
      <c r="R84" s="138">
        <v>3.96</v>
      </c>
      <c r="S84" s="9">
        <v>171718.65</v>
      </c>
      <c r="T84" s="9">
        <v>6868.7460000000001</v>
      </c>
      <c r="U84" s="9"/>
      <c r="V84" s="9"/>
      <c r="W84" s="15" t="s">
        <v>1299</v>
      </c>
      <c r="X84" s="15">
        <v>71834</v>
      </c>
      <c r="Y84" s="9" t="s">
        <v>1184</v>
      </c>
      <c r="Z84" s="15" t="s">
        <v>850</v>
      </c>
      <c r="AA84" s="142">
        <v>8</v>
      </c>
      <c r="AB84" s="20"/>
      <c r="AC84" s="8"/>
      <c r="AD84" s="8"/>
      <c r="AE84" s="21"/>
      <c r="AF84" s="20"/>
      <c r="AG84" s="8"/>
      <c r="AH84" s="8"/>
      <c r="AI84" s="21"/>
    </row>
    <row r="85" spans="1:35" ht="30" hidden="1" x14ac:dyDescent="0.25">
      <c r="A85" s="15">
        <v>1971</v>
      </c>
      <c r="B85" s="104" t="s">
        <v>228</v>
      </c>
      <c r="C85" s="377" t="s">
        <v>1179</v>
      </c>
      <c r="D85" s="9" t="s">
        <v>1180</v>
      </c>
      <c r="E85" s="9"/>
      <c r="F85" s="15" t="s">
        <v>850</v>
      </c>
      <c r="G85" s="15"/>
      <c r="H85" s="15" t="s">
        <v>1179</v>
      </c>
      <c r="I85" s="9" t="s">
        <v>1291</v>
      </c>
      <c r="J85" s="9">
        <v>0.01</v>
      </c>
      <c r="K85" s="9">
        <v>0.02</v>
      </c>
      <c r="L85" s="9">
        <v>2</v>
      </c>
      <c r="M85" s="9" t="s">
        <v>1182</v>
      </c>
      <c r="N85" s="34">
        <f t="shared" si="5"/>
        <v>0.59399999999999997</v>
      </c>
      <c r="O85" s="34">
        <f t="shared" si="6"/>
        <v>0.69299999999999995</v>
      </c>
      <c r="P85" s="34">
        <f t="shared" si="7"/>
        <v>0.39600000000000002</v>
      </c>
      <c r="Q85" s="34">
        <f t="shared" si="8"/>
        <v>0.29699999999999999</v>
      </c>
      <c r="R85" s="138">
        <v>1.98</v>
      </c>
      <c r="S85" s="9">
        <v>171718.65</v>
      </c>
      <c r="T85" s="9">
        <v>3434.373</v>
      </c>
      <c r="U85" s="9"/>
      <c r="V85" s="9"/>
      <c r="W85" s="15" t="s">
        <v>1300</v>
      </c>
      <c r="X85" s="15">
        <v>71834</v>
      </c>
      <c r="Y85" s="9" t="s">
        <v>1184</v>
      </c>
      <c r="Z85" s="15" t="s">
        <v>850</v>
      </c>
      <c r="AA85" s="142">
        <v>9</v>
      </c>
      <c r="AB85" s="20"/>
      <c r="AC85" s="8"/>
      <c r="AD85" s="8"/>
      <c r="AE85" s="21"/>
      <c r="AF85" s="20"/>
      <c r="AG85" s="8"/>
      <c r="AH85" s="8"/>
      <c r="AI85" s="21"/>
    </row>
    <row r="86" spans="1:35" ht="30" hidden="1" x14ac:dyDescent="0.25">
      <c r="A86" s="15">
        <v>1972</v>
      </c>
      <c r="B86" s="104" t="s">
        <v>228</v>
      </c>
      <c r="C86" s="377" t="s">
        <v>1179</v>
      </c>
      <c r="D86" s="9" t="s">
        <v>1180</v>
      </c>
      <c r="E86" s="9"/>
      <c r="F86" s="15" t="s">
        <v>850</v>
      </c>
      <c r="G86" s="15"/>
      <c r="H86" s="15" t="s">
        <v>1179</v>
      </c>
      <c r="I86" s="9"/>
      <c r="J86" s="9">
        <v>5.0000000000000001E-3</v>
      </c>
      <c r="K86" s="9">
        <v>0.01</v>
      </c>
      <c r="L86" s="9">
        <v>2</v>
      </c>
      <c r="M86" s="9" t="s">
        <v>1182</v>
      </c>
      <c r="N86" s="34">
        <f t="shared" si="5"/>
        <v>0.29699999999999999</v>
      </c>
      <c r="O86" s="34">
        <f t="shared" si="6"/>
        <v>0.34649999999999997</v>
      </c>
      <c r="P86" s="34">
        <f t="shared" si="7"/>
        <v>0.19800000000000001</v>
      </c>
      <c r="Q86" s="34">
        <f t="shared" si="8"/>
        <v>0.14849999999999999</v>
      </c>
      <c r="R86" s="138">
        <v>0.99</v>
      </c>
      <c r="S86" s="9">
        <v>171718.65</v>
      </c>
      <c r="T86" s="9">
        <v>1717.1865</v>
      </c>
      <c r="U86" s="9"/>
      <c r="V86" s="9"/>
      <c r="W86" s="15" t="s">
        <v>1301</v>
      </c>
      <c r="X86" s="15">
        <v>71834</v>
      </c>
      <c r="Y86" s="9" t="s">
        <v>1184</v>
      </c>
      <c r="Z86" s="15" t="s">
        <v>850</v>
      </c>
      <c r="AA86" s="142">
        <v>10</v>
      </c>
      <c r="AB86" s="20"/>
      <c r="AC86" s="8"/>
      <c r="AD86" s="8"/>
      <c r="AE86" s="21"/>
      <c r="AF86" s="20"/>
      <c r="AG86" s="8"/>
      <c r="AH86" s="8"/>
      <c r="AI86" s="21"/>
    </row>
    <row r="87" spans="1:35" ht="30" hidden="1" x14ac:dyDescent="0.25">
      <c r="A87" s="15">
        <v>1973</v>
      </c>
      <c r="B87" s="104" t="s">
        <v>228</v>
      </c>
      <c r="C87" s="377" t="s">
        <v>1179</v>
      </c>
      <c r="D87" s="9" t="s">
        <v>1180</v>
      </c>
      <c r="E87" s="9"/>
      <c r="F87" s="15" t="s">
        <v>850</v>
      </c>
      <c r="G87" s="15"/>
      <c r="H87" s="15" t="s">
        <v>1179</v>
      </c>
      <c r="I87" s="9"/>
      <c r="J87" s="9">
        <v>0.03</v>
      </c>
      <c r="K87" s="9">
        <v>0.06</v>
      </c>
      <c r="L87" s="9">
        <v>2</v>
      </c>
      <c r="M87" s="9" t="s">
        <v>1182</v>
      </c>
      <c r="N87" s="34">
        <f t="shared" si="5"/>
        <v>1.7819999999999998</v>
      </c>
      <c r="O87" s="34">
        <f t="shared" si="6"/>
        <v>2.0789999999999997</v>
      </c>
      <c r="P87" s="34">
        <f t="shared" si="7"/>
        <v>1.1879999999999999</v>
      </c>
      <c r="Q87" s="34">
        <f t="shared" si="8"/>
        <v>0.8909999999999999</v>
      </c>
      <c r="R87" s="138">
        <v>5.9399999999999995</v>
      </c>
      <c r="S87" s="9">
        <v>171718.65</v>
      </c>
      <c r="T87" s="9">
        <v>10303.118999999999</v>
      </c>
      <c r="U87" s="9"/>
      <c r="V87" s="9"/>
      <c r="W87" s="15" t="s">
        <v>1302</v>
      </c>
      <c r="X87" s="15">
        <v>71834</v>
      </c>
      <c r="Y87" s="9" t="s">
        <v>1184</v>
      </c>
      <c r="Z87" s="15" t="s">
        <v>850</v>
      </c>
      <c r="AA87" s="142">
        <v>11</v>
      </c>
      <c r="AB87" s="20"/>
      <c r="AC87" s="8"/>
      <c r="AD87" s="8"/>
      <c r="AE87" s="21"/>
      <c r="AF87" s="20"/>
      <c r="AG87" s="8"/>
      <c r="AH87" s="8"/>
      <c r="AI87" s="21"/>
    </row>
    <row r="88" spans="1:35" ht="30" hidden="1" x14ac:dyDescent="0.25">
      <c r="A88" s="15">
        <v>1974</v>
      </c>
      <c r="B88" s="104" t="s">
        <v>228</v>
      </c>
      <c r="C88" s="377" t="s">
        <v>1179</v>
      </c>
      <c r="D88" s="9" t="s">
        <v>1180</v>
      </c>
      <c r="E88" s="9"/>
      <c r="F88" s="15" t="s">
        <v>850</v>
      </c>
      <c r="G88" s="15"/>
      <c r="H88" s="15" t="s">
        <v>1179</v>
      </c>
      <c r="I88" s="9" t="s">
        <v>1291</v>
      </c>
      <c r="J88" s="9">
        <v>3.5000000000000003E-2</v>
      </c>
      <c r="K88" s="9">
        <v>7.0000000000000007E-2</v>
      </c>
      <c r="L88" s="9">
        <v>2</v>
      </c>
      <c r="M88" s="9" t="s">
        <v>1182</v>
      </c>
      <c r="N88" s="34">
        <f t="shared" si="5"/>
        <v>2.0790000000000002</v>
      </c>
      <c r="O88" s="34">
        <f t="shared" si="6"/>
        <v>2.4255</v>
      </c>
      <c r="P88" s="34">
        <f t="shared" si="7"/>
        <v>1.3860000000000001</v>
      </c>
      <c r="Q88" s="34">
        <f t="shared" si="8"/>
        <v>1.0395000000000001</v>
      </c>
      <c r="R88" s="138">
        <v>6.9300000000000006</v>
      </c>
      <c r="S88" s="9">
        <v>171718.65</v>
      </c>
      <c r="T88" s="9">
        <v>12020.3055</v>
      </c>
      <c r="U88" s="9"/>
      <c r="V88" s="9"/>
      <c r="W88" s="15" t="s">
        <v>1303</v>
      </c>
      <c r="X88" s="15">
        <v>71834</v>
      </c>
      <c r="Y88" s="9" t="s">
        <v>1184</v>
      </c>
      <c r="Z88" s="15" t="s">
        <v>850</v>
      </c>
      <c r="AA88" s="142">
        <v>12</v>
      </c>
      <c r="AB88" s="20"/>
      <c r="AC88" s="8"/>
      <c r="AD88" s="8"/>
      <c r="AE88" s="21"/>
      <c r="AF88" s="20"/>
      <c r="AG88" s="8"/>
      <c r="AH88" s="8"/>
      <c r="AI88" s="21"/>
    </row>
    <row r="89" spans="1:35" ht="30" hidden="1" x14ac:dyDescent="0.25">
      <c r="A89" s="15">
        <v>1975</v>
      </c>
      <c r="B89" s="104" t="s">
        <v>228</v>
      </c>
      <c r="C89" s="377" t="s">
        <v>1179</v>
      </c>
      <c r="D89" s="9" t="s">
        <v>1180</v>
      </c>
      <c r="E89" s="9"/>
      <c r="F89" s="15" t="s">
        <v>850</v>
      </c>
      <c r="G89" s="15"/>
      <c r="H89" s="15" t="s">
        <v>1179</v>
      </c>
      <c r="I89" s="9" t="s">
        <v>1291</v>
      </c>
      <c r="J89" s="9">
        <v>5.0000000000000001E-3</v>
      </c>
      <c r="K89" s="9">
        <v>5.0000000000000001E-3</v>
      </c>
      <c r="L89" s="9">
        <v>1</v>
      </c>
      <c r="M89" s="9" t="s">
        <v>1182</v>
      </c>
      <c r="N89" s="34">
        <f t="shared" si="5"/>
        <v>0.14849999999999999</v>
      </c>
      <c r="O89" s="34">
        <f t="shared" si="6"/>
        <v>0.17324999999999999</v>
      </c>
      <c r="P89" s="34">
        <f t="shared" si="7"/>
        <v>9.9000000000000005E-2</v>
      </c>
      <c r="Q89" s="34">
        <f t="shared" si="8"/>
        <v>7.4249999999999997E-2</v>
      </c>
      <c r="R89" s="138">
        <v>0.495</v>
      </c>
      <c r="S89" s="9">
        <v>171718.65</v>
      </c>
      <c r="T89" s="9">
        <v>858.59325000000001</v>
      </c>
      <c r="U89" s="9"/>
      <c r="V89" s="9"/>
      <c r="W89" s="15" t="s">
        <v>1304</v>
      </c>
      <c r="X89" s="15">
        <v>71834</v>
      </c>
      <c r="Y89" s="9" t="s">
        <v>1184</v>
      </c>
      <c r="Z89" s="15" t="s">
        <v>850</v>
      </c>
      <c r="AA89" s="142">
        <v>13</v>
      </c>
      <c r="AB89" s="20"/>
      <c r="AC89" s="8"/>
      <c r="AD89" s="8"/>
      <c r="AE89" s="21"/>
      <c r="AF89" s="20"/>
      <c r="AG89" s="8"/>
      <c r="AH89" s="8"/>
      <c r="AI89" s="21"/>
    </row>
    <row r="90" spans="1:35" ht="30" hidden="1" x14ac:dyDescent="0.25">
      <c r="A90" s="15">
        <v>1976</v>
      </c>
      <c r="B90" s="104" t="s">
        <v>228</v>
      </c>
      <c r="C90" s="377" t="s">
        <v>1179</v>
      </c>
      <c r="D90" s="9" t="s">
        <v>1180</v>
      </c>
      <c r="E90" s="9"/>
      <c r="F90" s="15" t="s">
        <v>850</v>
      </c>
      <c r="G90" s="15"/>
      <c r="H90" s="15" t="s">
        <v>1179</v>
      </c>
      <c r="I90" s="9" t="s">
        <v>1291</v>
      </c>
      <c r="J90" s="9">
        <v>5.0000000000000001E-3</v>
      </c>
      <c r="K90" s="9">
        <v>0.01</v>
      </c>
      <c r="L90" s="9">
        <v>2</v>
      </c>
      <c r="M90" s="9" t="s">
        <v>1182</v>
      </c>
      <c r="N90" s="34">
        <f t="shared" si="5"/>
        <v>0.29699999999999999</v>
      </c>
      <c r="O90" s="34">
        <f t="shared" si="6"/>
        <v>0.34649999999999997</v>
      </c>
      <c r="P90" s="34">
        <f t="shared" si="7"/>
        <v>0.19800000000000001</v>
      </c>
      <c r="Q90" s="34">
        <f t="shared" si="8"/>
        <v>0.14849999999999999</v>
      </c>
      <c r="R90" s="138">
        <v>0.99</v>
      </c>
      <c r="S90" s="9">
        <v>171718.65</v>
      </c>
      <c r="T90" s="9">
        <v>1717.1865</v>
      </c>
      <c r="U90" s="9"/>
      <c r="V90" s="9"/>
      <c r="W90" s="15" t="s">
        <v>1305</v>
      </c>
      <c r="X90" s="15">
        <v>71834</v>
      </c>
      <c r="Y90" s="9" t="s">
        <v>1184</v>
      </c>
      <c r="Z90" s="15" t="s">
        <v>850</v>
      </c>
      <c r="AA90" s="142">
        <v>14</v>
      </c>
      <c r="AB90" s="20"/>
      <c r="AC90" s="8"/>
      <c r="AD90" s="8"/>
      <c r="AE90" s="21"/>
      <c r="AF90" s="20"/>
      <c r="AG90" s="8"/>
      <c r="AH90" s="8"/>
      <c r="AI90" s="21"/>
    </row>
    <row r="91" spans="1:35" ht="30" hidden="1" x14ac:dyDescent="0.25">
      <c r="A91" s="15">
        <v>1977</v>
      </c>
      <c r="B91" s="104" t="s">
        <v>228</v>
      </c>
      <c r="C91" s="377" t="s">
        <v>1179</v>
      </c>
      <c r="D91" s="9" t="s">
        <v>1180</v>
      </c>
      <c r="E91" s="9"/>
      <c r="F91" s="15" t="s">
        <v>850</v>
      </c>
      <c r="G91" s="15"/>
      <c r="H91" s="15" t="s">
        <v>1179</v>
      </c>
      <c r="I91" s="9" t="s">
        <v>1291</v>
      </c>
      <c r="J91" s="9">
        <v>5.0000000000000001E-3</v>
      </c>
      <c r="K91" s="9">
        <v>0.01</v>
      </c>
      <c r="L91" s="9">
        <v>2</v>
      </c>
      <c r="M91" s="9" t="s">
        <v>1182</v>
      </c>
      <c r="N91" s="34">
        <f t="shared" si="5"/>
        <v>0.29699999999999999</v>
      </c>
      <c r="O91" s="34">
        <f t="shared" si="6"/>
        <v>0.34649999999999997</v>
      </c>
      <c r="P91" s="34">
        <f t="shared" si="7"/>
        <v>0.19800000000000001</v>
      </c>
      <c r="Q91" s="34">
        <f t="shared" si="8"/>
        <v>0.14849999999999999</v>
      </c>
      <c r="R91" s="138">
        <v>0.99</v>
      </c>
      <c r="S91" s="9">
        <v>171718.65</v>
      </c>
      <c r="T91" s="9">
        <v>1717.1865</v>
      </c>
      <c r="U91" s="9"/>
      <c r="V91" s="9"/>
      <c r="W91" s="15" t="s">
        <v>1306</v>
      </c>
      <c r="X91" s="15">
        <v>71834</v>
      </c>
      <c r="Y91" s="9" t="s">
        <v>1184</v>
      </c>
      <c r="Z91" s="15" t="s">
        <v>850</v>
      </c>
      <c r="AA91" s="142">
        <v>15</v>
      </c>
      <c r="AB91" s="20"/>
      <c r="AC91" s="8"/>
      <c r="AD91" s="8"/>
      <c r="AE91" s="21"/>
      <c r="AF91" s="20"/>
      <c r="AG91" s="8"/>
      <c r="AH91" s="8"/>
      <c r="AI91" s="21"/>
    </row>
    <row r="92" spans="1:35" ht="30" hidden="1" x14ac:dyDescent="0.25">
      <c r="A92" s="15">
        <v>1978</v>
      </c>
      <c r="B92" s="104" t="s">
        <v>228</v>
      </c>
      <c r="C92" s="377" t="s">
        <v>1179</v>
      </c>
      <c r="D92" s="9" t="s">
        <v>1180</v>
      </c>
      <c r="E92" s="9"/>
      <c r="F92" s="15" t="s">
        <v>850</v>
      </c>
      <c r="G92" s="15"/>
      <c r="H92" s="15" t="s">
        <v>1179</v>
      </c>
      <c r="I92" s="9" t="s">
        <v>1291</v>
      </c>
      <c r="J92" s="9">
        <v>4.0000000000000001E-3</v>
      </c>
      <c r="K92" s="9">
        <v>4.0000000000000001E-3</v>
      </c>
      <c r="L92" s="9">
        <v>1</v>
      </c>
      <c r="M92" s="9" t="s">
        <v>1182</v>
      </c>
      <c r="N92" s="34">
        <f t="shared" si="5"/>
        <v>0.1188</v>
      </c>
      <c r="O92" s="34">
        <f t="shared" si="6"/>
        <v>0.1386</v>
      </c>
      <c r="P92" s="34">
        <f t="shared" si="7"/>
        <v>7.9200000000000007E-2</v>
      </c>
      <c r="Q92" s="34">
        <f t="shared" si="8"/>
        <v>5.9400000000000001E-2</v>
      </c>
      <c r="R92" s="138">
        <v>0.39600000000000002</v>
      </c>
      <c r="S92" s="9">
        <v>171718.65</v>
      </c>
      <c r="T92" s="9">
        <v>686.87459999999999</v>
      </c>
      <c r="U92" s="9"/>
      <c r="V92" s="9"/>
      <c r="W92" s="15" t="s">
        <v>1307</v>
      </c>
      <c r="X92" s="15">
        <v>71834</v>
      </c>
      <c r="Y92" s="9" t="s">
        <v>1184</v>
      </c>
      <c r="Z92" s="15" t="s">
        <v>850</v>
      </c>
      <c r="AA92" s="142">
        <v>16</v>
      </c>
      <c r="AB92" s="20"/>
      <c r="AC92" s="8"/>
      <c r="AD92" s="8"/>
      <c r="AE92" s="21"/>
      <c r="AF92" s="20"/>
      <c r="AG92" s="8"/>
      <c r="AH92" s="8"/>
      <c r="AI92" s="21"/>
    </row>
    <row r="93" spans="1:35" ht="30" hidden="1" x14ac:dyDescent="0.25">
      <c r="A93" s="15">
        <v>1979</v>
      </c>
      <c r="B93" s="104" t="s">
        <v>228</v>
      </c>
      <c r="C93" s="377" t="s">
        <v>1179</v>
      </c>
      <c r="D93" s="9" t="s">
        <v>1180</v>
      </c>
      <c r="E93" s="9"/>
      <c r="F93" s="15" t="s">
        <v>850</v>
      </c>
      <c r="G93" s="15"/>
      <c r="H93" s="15" t="s">
        <v>1179</v>
      </c>
      <c r="I93" s="9" t="s">
        <v>1291</v>
      </c>
      <c r="J93" s="9">
        <v>0.02</v>
      </c>
      <c r="K93" s="9">
        <v>0.04</v>
      </c>
      <c r="L93" s="9">
        <v>2</v>
      </c>
      <c r="M93" s="9" t="s">
        <v>1182</v>
      </c>
      <c r="N93" s="34">
        <f t="shared" si="5"/>
        <v>1.1879999999999999</v>
      </c>
      <c r="O93" s="34">
        <f t="shared" si="6"/>
        <v>1.3859999999999999</v>
      </c>
      <c r="P93" s="34">
        <f t="shared" si="7"/>
        <v>0.79200000000000004</v>
      </c>
      <c r="Q93" s="34">
        <f t="shared" si="8"/>
        <v>0.59399999999999997</v>
      </c>
      <c r="R93" s="138">
        <v>3.96</v>
      </c>
      <c r="S93" s="9">
        <v>171718.65</v>
      </c>
      <c r="T93" s="9">
        <v>6868.7460000000001</v>
      </c>
      <c r="U93" s="9"/>
      <c r="V93" s="9"/>
      <c r="W93" s="15" t="s">
        <v>1308</v>
      </c>
      <c r="X93" s="15">
        <v>71834</v>
      </c>
      <c r="Y93" s="9" t="s">
        <v>1184</v>
      </c>
      <c r="Z93" s="15" t="s">
        <v>850</v>
      </c>
      <c r="AA93" s="142">
        <v>17</v>
      </c>
      <c r="AB93" s="20"/>
      <c r="AC93" s="8"/>
      <c r="AD93" s="8"/>
      <c r="AE93" s="21"/>
      <c r="AF93" s="20"/>
      <c r="AG93" s="8"/>
      <c r="AH93" s="8"/>
      <c r="AI93" s="21"/>
    </row>
    <row r="94" spans="1:35" ht="30" hidden="1" x14ac:dyDescent="0.25">
      <c r="A94" s="15">
        <v>1980</v>
      </c>
      <c r="B94" s="104" t="s">
        <v>228</v>
      </c>
      <c r="C94" s="377" t="s">
        <v>1179</v>
      </c>
      <c r="D94" s="9" t="s">
        <v>1180</v>
      </c>
      <c r="E94" s="9"/>
      <c r="F94" s="15" t="s">
        <v>1309</v>
      </c>
      <c r="G94" s="15"/>
      <c r="H94" s="15" t="s">
        <v>1179</v>
      </c>
      <c r="I94" s="9" t="s">
        <v>1310</v>
      </c>
      <c r="J94" s="9">
        <v>0.24</v>
      </c>
      <c r="K94" s="9">
        <v>0</v>
      </c>
      <c r="L94" s="9">
        <v>0</v>
      </c>
      <c r="M94" s="9" t="s">
        <v>1182</v>
      </c>
      <c r="N94" s="34">
        <f t="shared" si="5"/>
        <v>0</v>
      </c>
      <c r="O94" s="34">
        <f t="shared" si="6"/>
        <v>0</v>
      </c>
      <c r="P94" s="34">
        <f t="shared" si="7"/>
        <v>0</v>
      </c>
      <c r="Q94" s="34">
        <f t="shared" si="8"/>
        <v>0</v>
      </c>
      <c r="R94" s="138">
        <v>0</v>
      </c>
      <c r="S94" s="9">
        <v>171718.65</v>
      </c>
      <c r="T94" s="9">
        <v>0</v>
      </c>
      <c r="U94" s="9"/>
      <c r="V94" s="9"/>
      <c r="W94" s="15" t="s">
        <v>1311</v>
      </c>
      <c r="X94" s="15">
        <v>71834</v>
      </c>
      <c r="Y94" s="9" t="s">
        <v>1184</v>
      </c>
      <c r="Z94" s="15" t="s">
        <v>1309</v>
      </c>
      <c r="AA94" s="142">
        <v>18</v>
      </c>
      <c r="AB94" s="20"/>
      <c r="AC94" s="8"/>
      <c r="AD94" s="8"/>
      <c r="AE94" s="21"/>
      <c r="AF94" s="20"/>
      <c r="AG94" s="8"/>
      <c r="AH94" s="8"/>
      <c r="AI94" s="21"/>
    </row>
    <row r="95" spans="1:35" ht="30" hidden="1" x14ac:dyDescent="0.25">
      <c r="A95" s="15">
        <v>1981</v>
      </c>
      <c r="B95" s="104" t="s">
        <v>228</v>
      </c>
      <c r="C95" s="377" t="s">
        <v>1179</v>
      </c>
      <c r="D95" s="9" t="s">
        <v>1180</v>
      </c>
      <c r="E95" s="9"/>
      <c r="F95" s="15" t="s">
        <v>1276</v>
      </c>
      <c r="G95" s="15"/>
      <c r="H95" s="15" t="s">
        <v>1179</v>
      </c>
      <c r="I95" s="9"/>
      <c r="J95" s="9">
        <v>1</v>
      </c>
      <c r="K95" s="9">
        <v>8.9209999999999994</v>
      </c>
      <c r="L95" s="9">
        <v>1</v>
      </c>
      <c r="M95" s="9" t="s">
        <v>1182</v>
      </c>
      <c r="N95" s="34">
        <f t="shared" si="5"/>
        <v>144.52019999999999</v>
      </c>
      <c r="O95" s="34">
        <f t="shared" si="6"/>
        <v>168.6069</v>
      </c>
      <c r="P95" s="34">
        <f t="shared" si="7"/>
        <v>96.346800000000002</v>
      </c>
      <c r="Q95" s="34">
        <f t="shared" si="8"/>
        <v>72.260099999999994</v>
      </c>
      <c r="R95" s="138">
        <v>481.73399999999998</v>
      </c>
      <c r="S95" s="9">
        <v>171718.65</v>
      </c>
      <c r="T95" s="9">
        <v>1531902.0766499999</v>
      </c>
      <c r="U95" s="9"/>
      <c r="V95" s="9"/>
      <c r="W95" s="15" t="s">
        <v>1277</v>
      </c>
      <c r="X95" s="15">
        <v>71834</v>
      </c>
      <c r="Y95" s="9" t="s">
        <v>1184</v>
      </c>
      <c r="Z95" s="15" t="s">
        <v>1276</v>
      </c>
      <c r="AA95" s="142">
        <v>19</v>
      </c>
      <c r="AB95" s="20"/>
      <c r="AC95" s="8"/>
      <c r="AD95" s="8"/>
      <c r="AE95" s="21"/>
      <c r="AF95" s="20"/>
      <c r="AG95" s="8"/>
      <c r="AH95" s="8"/>
      <c r="AI95" s="21"/>
    </row>
    <row r="96" spans="1:35" ht="30" hidden="1" x14ac:dyDescent="0.25">
      <c r="A96" s="15">
        <v>1982</v>
      </c>
      <c r="B96" s="104" t="s">
        <v>228</v>
      </c>
      <c r="C96" s="377" t="s">
        <v>1179</v>
      </c>
      <c r="D96" s="9" t="s">
        <v>1180</v>
      </c>
      <c r="E96" s="9"/>
      <c r="F96" s="15" t="s">
        <v>1288</v>
      </c>
      <c r="G96" s="15"/>
      <c r="H96" s="15" t="s">
        <v>1179</v>
      </c>
      <c r="I96" s="9"/>
      <c r="J96" s="9">
        <v>4.0999999999999996</v>
      </c>
      <c r="K96" s="9">
        <v>4.0999999999999996</v>
      </c>
      <c r="L96" s="9">
        <v>1</v>
      </c>
      <c r="M96" s="9" t="s">
        <v>1182</v>
      </c>
      <c r="N96" s="34">
        <f t="shared" si="5"/>
        <v>59.039999999999992</v>
      </c>
      <c r="O96" s="34">
        <f t="shared" si="6"/>
        <v>68.88</v>
      </c>
      <c r="P96" s="34">
        <f t="shared" si="7"/>
        <v>39.36</v>
      </c>
      <c r="Q96" s="34">
        <f t="shared" si="8"/>
        <v>29.519999999999996</v>
      </c>
      <c r="R96" s="138">
        <v>196.79999999999998</v>
      </c>
      <c r="S96" s="9">
        <v>171718.65</v>
      </c>
      <c r="T96" s="9">
        <v>704046.46499999997</v>
      </c>
      <c r="U96" s="9"/>
      <c r="V96" s="9"/>
      <c r="W96" s="15" t="s">
        <v>1289</v>
      </c>
      <c r="X96" s="15">
        <v>71840</v>
      </c>
      <c r="Y96" s="9" t="s">
        <v>1184</v>
      </c>
      <c r="Z96" s="15" t="s">
        <v>1288</v>
      </c>
      <c r="AA96" s="142">
        <v>1</v>
      </c>
      <c r="AB96" s="20"/>
      <c r="AC96" s="8"/>
      <c r="AD96" s="8"/>
      <c r="AE96" s="21"/>
      <c r="AF96" s="20"/>
      <c r="AG96" s="8"/>
      <c r="AH96" s="8"/>
      <c r="AI96" s="21"/>
    </row>
    <row r="97" spans="1:35" ht="30" hidden="1" x14ac:dyDescent="0.25">
      <c r="A97" s="15">
        <v>1983</v>
      </c>
      <c r="B97" s="104" t="s">
        <v>228</v>
      </c>
      <c r="C97" s="377" t="s">
        <v>1179</v>
      </c>
      <c r="D97" s="9" t="s">
        <v>1180</v>
      </c>
      <c r="E97" s="9"/>
      <c r="F97" s="15" t="s">
        <v>1276</v>
      </c>
      <c r="G97" s="15"/>
      <c r="H97" s="15" t="s">
        <v>1179</v>
      </c>
      <c r="I97" s="9"/>
      <c r="J97" s="9">
        <v>19</v>
      </c>
      <c r="K97" s="9">
        <v>9.5</v>
      </c>
      <c r="L97" s="9">
        <v>0.5</v>
      </c>
      <c r="M97" s="9" t="s">
        <v>1182</v>
      </c>
      <c r="N97" s="34">
        <f t="shared" si="5"/>
        <v>76.95</v>
      </c>
      <c r="O97" s="34">
        <f t="shared" si="6"/>
        <v>89.774999999999991</v>
      </c>
      <c r="P97" s="34">
        <f t="shared" si="7"/>
        <v>51.300000000000004</v>
      </c>
      <c r="Q97" s="34">
        <f t="shared" si="8"/>
        <v>38.475000000000001</v>
      </c>
      <c r="R97" s="138">
        <v>256.5</v>
      </c>
      <c r="S97" s="9">
        <v>171718.65</v>
      </c>
      <c r="T97" s="9">
        <v>1631327.175</v>
      </c>
      <c r="U97" s="9"/>
      <c r="V97" s="9"/>
      <c r="W97" s="15" t="s">
        <v>1277</v>
      </c>
      <c r="X97" s="15">
        <v>71835</v>
      </c>
      <c r="Y97" s="9" t="s">
        <v>1184</v>
      </c>
      <c r="Z97" s="15" t="s">
        <v>1276</v>
      </c>
      <c r="AA97" s="142">
        <v>1</v>
      </c>
      <c r="AB97" s="20"/>
      <c r="AC97" s="8"/>
      <c r="AD97" s="8"/>
      <c r="AE97" s="21"/>
      <c r="AF97" s="20"/>
      <c r="AG97" s="8"/>
      <c r="AH97" s="8"/>
      <c r="AI97" s="21"/>
    </row>
    <row r="98" spans="1:35" ht="30" x14ac:dyDescent="0.25">
      <c r="A98" s="28">
        <v>1984</v>
      </c>
      <c r="B98" s="25" t="s">
        <v>228</v>
      </c>
      <c r="C98" s="382" t="s">
        <v>1179</v>
      </c>
      <c r="D98" s="25" t="s">
        <v>1180</v>
      </c>
      <c r="E98" s="25"/>
      <c r="F98" s="28" t="s">
        <v>1312</v>
      </c>
      <c r="G98" s="28"/>
      <c r="H98" s="28" t="s">
        <v>1179</v>
      </c>
      <c r="I98" s="25"/>
      <c r="J98" s="25">
        <v>14.7782</v>
      </c>
      <c r="K98" s="25">
        <v>14.7782</v>
      </c>
      <c r="L98" s="25">
        <v>1</v>
      </c>
      <c r="M98" s="25" t="s">
        <v>1182</v>
      </c>
      <c r="N98" s="39">
        <f t="shared" si="5"/>
        <v>119.70341999999999</v>
      </c>
      <c r="O98" s="39">
        <f t="shared" si="6"/>
        <v>139.65398999999999</v>
      </c>
      <c r="P98" s="39">
        <f t="shared" si="7"/>
        <v>79.802279999999996</v>
      </c>
      <c r="Q98" s="39">
        <f t="shared" si="8"/>
        <v>59.851709999999997</v>
      </c>
      <c r="R98" s="138">
        <v>399.01139999999998</v>
      </c>
      <c r="S98" s="9">
        <v>171718.65</v>
      </c>
      <c r="T98" s="9">
        <v>2537692.5534299999</v>
      </c>
      <c r="U98" s="9"/>
      <c r="V98" s="9"/>
      <c r="W98" s="28" t="s">
        <v>1313</v>
      </c>
      <c r="X98" s="28">
        <v>71836</v>
      </c>
      <c r="Y98" s="9" t="s">
        <v>1184</v>
      </c>
      <c r="Z98" s="15" t="s">
        <v>1312</v>
      </c>
      <c r="AA98" s="142">
        <v>1</v>
      </c>
      <c r="AB98" s="198">
        <f>K98*0.3</f>
        <v>4.4334600000000002</v>
      </c>
      <c r="AC98" s="299"/>
      <c r="AD98" s="8"/>
      <c r="AE98" s="21"/>
      <c r="AF98" s="113"/>
      <c r="AG98" s="8"/>
      <c r="AH98" s="8"/>
      <c r="AI98" s="21"/>
    </row>
    <row r="99" spans="1:35" ht="30" x14ac:dyDescent="0.25">
      <c r="A99" s="28">
        <v>1985</v>
      </c>
      <c r="B99" s="25" t="s">
        <v>228</v>
      </c>
      <c r="C99" s="382" t="s">
        <v>1179</v>
      </c>
      <c r="D99" s="25" t="s">
        <v>1180</v>
      </c>
      <c r="E99" s="25"/>
      <c r="F99" s="28" t="s">
        <v>1278</v>
      </c>
      <c r="G99" s="28"/>
      <c r="H99" s="28" t="s">
        <v>1179</v>
      </c>
      <c r="I99" s="25"/>
      <c r="J99" s="25">
        <v>2.3999999999999998E-3</v>
      </c>
      <c r="K99" s="25">
        <v>9.5999999999999992E-3</v>
      </c>
      <c r="L99" s="25">
        <v>4</v>
      </c>
      <c r="M99" s="25" t="s">
        <v>1182</v>
      </c>
      <c r="N99" s="39">
        <f t="shared" si="5"/>
        <v>0.28511999999999998</v>
      </c>
      <c r="O99" s="39">
        <f t="shared" si="6"/>
        <v>0.33263999999999994</v>
      </c>
      <c r="P99" s="39">
        <f t="shared" si="7"/>
        <v>0.19008</v>
      </c>
      <c r="Q99" s="39">
        <f t="shared" si="8"/>
        <v>0.14255999999999999</v>
      </c>
      <c r="R99" s="138">
        <v>0.95039999999999991</v>
      </c>
      <c r="S99" s="9">
        <v>171718.65</v>
      </c>
      <c r="T99" s="9">
        <v>1648.4990399999997</v>
      </c>
      <c r="U99" s="9"/>
      <c r="V99" s="9"/>
      <c r="W99" s="28" t="s">
        <v>1279</v>
      </c>
      <c r="X99" s="28">
        <v>71836</v>
      </c>
      <c r="Y99" s="9" t="s">
        <v>1184</v>
      </c>
      <c r="Z99" s="15" t="s">
        <v>1278</v>
      </c>
      <c r="AA99" s="142">
        <v>1</v>
      </c>
      <c r="AB99" s="198">
        <f t="shared" ref="AB99:AB109" si="9">K99*0.3</f>
        <v>2.8799999999999997E-3</v>
      </c>
      <c r="AC99" s="8"/>
      <c r="AD99" s="8"/>
      <c r="AE99" s="21"/>
      <c r="AF99" s="113"/>
      <c r="AG99" s="8"/>
      <c r="AH99" s="8"/>
      <c r="AI99" s="21"/>
    </row>
    <row r="100" spans="1:35" ht="30" x14ac:dyDescent="0.25">
      <c r="A100" s="28">
        <v>1986</v>
      </c>
      <c r="B100" s="25" t="s">
        <v>228</v>
      </c>
      <c r="C100" s="382" t="s">
        <v>1179</v>
      </c>
      <c r="D100" s="25" t="s">
        <v>1180</v>
      </c>
      <c r="E100" s="25"/>
      <c r="F100" s="28" t="s">
        <v>1280</v>
      </c>
      <c r="G100" s="28"/>
      <c r="H100" s="28" t="s">
        <v>1179</v>
      </c>
      <c r="I100" s="25"/>
      <c r="J100" s="25">
        <v>6.6E-3</v>
      </c>
      <c r="K100" s="25">
        <v>3.9599999999999996E-2</v>
      </c>
      <c r="L100" s="25">
        <v>6</v>
      </c>
      <c r="M100" s="25" t="s">
        <v>1182</v>
      </c>
      <c r="N100" s="39">
        <f t="shared" si="5"/>
        <v>1.1761199999999998</v>
      </c>
      <c r="O100" s="39">
        <f t="shared" si="6"/>
        <v>1.3721399999999997</v>
      </c>
      <c r="P100" s="39">
        <f t="shared" si="7"/>
        <v>0.78407999999999989</v>
      </c>
      <c r="Q100" s="39">
        <f t="shared" si="8"/>
        <v>0.58805999999999992</v>
      </c>
      <c r="R100" s="138">
        <v>3.9203999999999994</v>
      </c>
      <c r="S100" s="9">
        <v>171718.65</v>
      </c>
      <c r="T100" s="9">
        <v>6800.0585399999991</v>
      </c>
      <c r="U100" s="9"/>
      <c r="V100" s="9"/>
      <c r="W100" s="28" t="s">
        <v>1281</v>
      </c>
      <c r="X100" s="28">
        <v>71836</v>
      </c>
      <c r="Y100" s="9" t="s">
        <v>1184</v>
      </c>
      <c r="Z100" s="15" t="s">
        <v>1280</v>
      </c>
      <c r="AA100" s="142">
        <v>2</v>
      </c>
      <c r="AB100" s="198">
        <f t="shared" si="9"/>
        <v>1.1879999999999998E-2</v>
      </c>
      <c r="AC100" s="8"/>
      <c r="AD100" s="8"/>
      <c r="AE100" s="21"/>
      <c r="AF100" s="113"/>
      <c r="AG100" s="8"/>
      <c r="AH100" s="8"/>
      <c r="AI100" s="21"/>
    </row>
    <row r="101" spans="1:35" ht="30" x14ac:dyDescent="0.25">
      <c r="A101" s="28">
        <v>1987</v>
      </c>
      <c r="B101" s="25" t="s">
        <v>228</v>
      </c>
      <c r="C101" s="382" t="s">
        <v>1179</v>
      </c>
      <c r="D101" s="25" t="s">
        <v>1180</v>
      </c>
      <c r="E101" s="25"/>
      <c r="F101" s="28" t="s">
        <v>1282</v>
      </c>
      <c r="G101" s="28"/>
      <c r="H101" s="28" t="s">
        <v>1179</v>
      </c>
      <c r="I101" s="25"/>
      <c r="J101" s="25">
        <v>5.2000000000000006E-3</v>
      </c>
      <c r="K101" s="25">
        <v>7.2800000000000004E-2</v>
      </c>
      <c r="L101" s="25">
        <v>14</v>
      </c>
      <c r="M101" s="25" t="s">
        <v>1182</v>
      </c>
      <c r="N101" s="39">
        <f t="shared" si="5"/>
        <v>2.1621600000000001</v>
      </c>
      <c r="O101" s="39">
        <f t="shared" si="6"/>
        <v>2.5225200000000001</v>
      </c>
      <c r="P101" s="39">
        <f t="shared" si="7"/>
        <v>1.4414400000000001</v>
      </c>
      <c r="Q101" s="39">
        <f t="shared" si="8"/>
        <v>1.08108</v>
      </c>
      <c r="R101" s="138">
        <v>7.2072000000000003</v>
      </c>
      <c r="S101" s="9">
        <v>171718.65</v>
      </c>
      <c r="T101" s="9">
        <v>12501.11772</v>
      </c>
      <c r="U101" s="9"/>
      <c r="V101" s="9"/>
      <c r="W101" s="28" t="s">
        <v>1283</v>
      </c>
      <c r="X101" s="28">
        <v>71836</v>
      </c>
      <c r="Y101" s="9" t="s">
        <v>1184</v>
      </c>
      <c r="Z101" s="15" t="s">
        <v>1282</v>
      </c>
      <c r="AA101" s="142">
        <v>3</v>
      </c>
      <c r="AB101" s="198">
        <f t="shared" si="9"/>
        <v>2.1840000000000002E-2</v>
      </c>
      <c r="AC101" s="8"/>
      <c r="AD101" s="8"/>
      <c r="AE101" s="21"/>
      <c r="AF101" s="113"/>
      <c r="AG101" s="8"/>
      <c r="AH101" s="8"/>
      <c r="AI101" s="21"/>
    </row>
    <row r="102" spans="1:35" ht="30" x14ac:dyDescent="0.25">
      <c r="A102" s="28">
        <v>1988</v>
      </c>
      <c r="B102" s="25" t="s">
        <v>228</v>
      </c>
      <c r="C102" s="382" t="s">
        <v>1179</v>
      </c>
      <c r="D102" s="25" t="s">
        <v>1180</v>
      </c>
      <c r="E102" s="25"/>
      <c r="F102" s="28" t="s">
        <v>1284</v>
      </c>
      <c r="G102" s="28"/>
      <c r="H102" s="28" t="s">
        <v>1179</v>
      </c>
      <c r="I102" s="25"/>
      <c r="J102" s="25">
        <v>4.5999999999999999E-2</v>
      </c>
      <c r="K102" s="25">
        <v>9.1999999999999998E-2</v>
      </c>
      <c r="L102" s="25">
        <v>2</v>
      </c>
      <c r="M102" s="25" t="s">
        <v>1182</v>
      </c>
      <c r="N102" s="39">
        <f t="shared" si="5"/>
        <v>2.7324000000000002</v>
      </c>
      <c r="O102" s="39">
        <f t="shared" si="6"/>
        <v>3.1878000000000002</v>
      </c>
      <c r="P102" s="39">
        <f t="shared" si="7"/>
        <v>1.8216000000000001</v>
      </c>
      <c r="Q102" s="39">
        <f t="shared" si="8"/>
        <v>1.3662000000000001</v>
      </c>
      <c r="R102" s="138">
        <v>9.1080000000000005</v>
      </c>
      <c r="S102" s="9">
        <v>171718.65</v>
      </c>
      <c r="T102" s="9">
        <v>15798.1158</v>
      </c>
      <c r="U102" s="9"/>
      <c r="V102" s="9"/>
      <c r="W102" s="28" t="s">
        <v>1285</v>
      </c>
      <c r="X102" s="28">
        <v>71836</v>
      </c>
      <c r="Y102" s="9" t="s">
        <v>1184</v>
      </c>
      <c r="Z102" s="15" t="s">
        <v>1284</v>
      </c>
      <c r="AA102" s="142">
        <v>4</v>
      </c>
      <c r="AB102" s="198">
        <f t="shared" si="9"/>
        <v>2.76E-2</v>
      </c>
      <c r="AC102" s="8"/>
      <c r="AD102" s="8"/>
      <c r="AE102" s="21"/>
      <c r="AF102" s="113"/>
      <c r="AG102" s="8"/>
      <c r="AH102" s="8"/>
      <c r="AI102" s="21"/>
    </row>
    <row r="103" spans="1:35" ht="30" x14ac:dyDescent="0.25">
      <c r="A103" s="28">
        <v>1989</v>
      </c>
      <c r="B103" s="25" t="s">
        <v>228</v>
      </c>
      <c r="C103" s="382" t="s">
        <v>1179</v>
      </c>
      <c r="D103" s="25" t="s">
        <v>1180</v>
      </c>
      <c r="E103" s="25"/>
      <c r="F103" s="28" t="s">
        <v>1286</v>
      </c>
      <c r="G103" s="28"/>
      <c r="H103" s="28" t="s">
        <v>1179</v>
      </c>
      <c r="I103" s="25"/>
      <c r="J103" s="25">
        <v>2.6000000000000003E-3</v>
      </c>
      <c r="K103" s="25">
        <v>7.8000000000000014E-3</v>
      </c>
      <c r="L103" s="25">
        <v>3</v>
      </c>
      <c r="M103" s="25" t="s">
        <v>1182</v>
      </c>
      <c r="N103" s="39">
        <f t="shared" si="5"/>
        <v>0.23166000000000003</v>
      </c>
      <c r="O103" s="39">
        <f t="shared" si="6"/>
        <v>0.27027000000000001</v>
      </c>
      <c r="P103" s="39">
        <f t="shared" si="7"/>
        <v>0.15444000000000002</v>
      </c>
      <c r="Q103" s="39">
        <f t="shared" si="8"/>
        <v>0.11583000000000002</v>
      </c>
      <c r="R103" s="138">
        <v>0.77220000000000011</v>
      </c>
      <c r="S103" s="9">
        <v>171718.65</v>
      </c>
      <c r="T103" s="9">
        <v>1339.4054700000002</v>
      </c>
      <c r="U103" s="9"/>
      <c r="V103" s="9"/>
      <c r="W103" s="28" t="s">
        <v>1287</v>
      </c>
      <c r="X103" s="28">
        <v>71836</v>
      </c>
      <c r="Y103" s="9" t="s">
        <v>1184</v>
      </c>
      <c r="Z103" s="15" t="s">
        <v>1286</v>
      </c>
      <c r="AA103" s="142">
        <v>5</v>
      </c>
      <c r="AB103" s="198">
        <f t="shared" si="9"/>
        <v>2.3400000000000005E-3</v>
      </c>
      <c r="AC103" s="8"/>
      <c r="AD103" s="8"/>
      <c r="AE103" s="21"/>
      <c r="AF103" s="113"/>
      <c r="AG103" s="8"/>
      <c r="AH103" s="8"/>
      <c r="AI103" s="21"/>
    </row>
    <row r="104" spans="1:35" ht="30" x14ac:dyDescent="0.25">
      <c r="A104" s="28">
        <v>1990</v>
      </c>
      <c r="B104" s="25" t="s">
        <v>228</v>
      </c>
      <c r="C104" s="382" t="s">
        <v>1179</v>
      </c>
      <c r="D104" s="25" t="s">
        <v>1180</v>
      </c>
      <c r="E104" s="25"/>
      <c r="F104" s="28" t="s">
        <v>1290</v>
      </c>
      <c r="G104" s="28"/>
      <c r="H104" s="28" t="s">
        <v>1179</v>
      </c>
      <c r="I104" s="25"/>
      <c r="J104" s="25">
        <v>1.95E-2</v>
      </c>
      <c r="K104" s="25">
        <v>1.95E-2</v>
      </c>
      <c r="L104" s="25">
        <v>1</v>
      </c>
      <c r="M104" s="25" t="s">
        <v>1182</v>
      </c>
      <c r="N104" s="39">
        <f t="shared" si="5"/>
        <v>0.57915000000000005</v>
      </c>
      <c r="O104" s="39">
        <f t="shared" si="6"/>
        <v>0.67567500000000003</v>
      </c>
      <c r="P104" s="39">
        <f t="shared" si="7"/>
        <v>0.38610000000000005</v>
      </c>
      <c r="Q104" s="39">
        <f t="shared" si="8"/>
        <v>0.28957500000000003</v>
      </c>
      <c r="R104" s="138">
        <v>1.9305000000000001</v>
      </c>
      <c r="S104" s="9">
        <v>171718.65</v>
      </c>
      <c r="T104" s="9">
        <v>3348.5136749999997</v>
      </c>
      <c r="U104" s="9"/>
      <c r="V104" s="9"/>
      <c r="W104" s="28" t="s">
        <v>1314</v>
      </c>
      <c r="X104" s="28">
        <v>71837</v>
      </c>
      <c r="Y104" s="9" t="s">
        <v>1184</v>
      </c>
      <c r="Z104" s="15" t="s">
        <v>1290</v>
      </c>
      <c r="AA104" s="142">
        <v>1</v>
      </c>
      <c r="AB104" s="198">
        <f t="shared" si="9"/>
        <v>5.8500000000000002E-3</v>
      </c>
      <c r="AC104" s="8"/>
      <c r="AD104" s="8"/>
      <c r="AE104" s="21"/>
      <c r="AF104" s="113"/>
      <c r="AG104" s="8"/>
      <c r="AH104" s="8"/>
      <c r="AI104" s="21"/>
    </row>
    <row r="105" spans="1:35" ht="30" x14ac:dyDescent="0.25">
      <c r="A105" s="28">
        <v>1991</v>
      </c>
      <c r="B105" s="25" t="s">
        <v>228</v>
      </c>
      <c r="C105" s="382" t="s">
        <v>1179</v>
      </c>
      <c r="D105" s="25" t="s">
        <v>1180</v>
      </c>
      <c r="E105" s="25"/>
      <c r="F105" s="28" t="s">
        <v>1290</v>
      </c>
      <c r="G105" s="28"/>
      <c r="H105" s="28" t="s">
        <v>1179</v>
      </c>
      <c r="I105" s="25"/>
      <c r="J105" s="25">
        <v>1.7000000000000001E-2</v>
      </c>
      <c r="K105" s="25">
        <v>1.7000000000000001E-2</v>
      </c>
      <c r="L105" s="25">
        <v>1</v>
      </c>
      <c r="M105" s="25" t="s">
        <v>1182</v>
      </c>
      <c r="N105" s="39">
        <f t="shared" si="5"/>
        <v>0.50490000000000002</v>
      </c>
      <c r="O105" s="39">
        <f t="shared" si="6"/>
        <v>0.58904999999999996</v>
      </c>
      <c r="P105" s="39">
        <f t="shared" si="7"/>
        <v>0.33660000000000001</v>
      </c>
      <c r="Q105" s="39">
        <f t="shared" si="8"/>
        <v>0.25245000000000001</v>
      </c>
      <c r="R105" s="138">
        <v>1.6830000000000001</v>
      </c>
      <c r="S105" s="9">
        <v>171718.65</v>
      </c>
      <c r="T105" s="9">
        <v>2919.2170500000002</v>
      </c>
      <c r="U105" s="9"/>
      <c r="V105" s="9"/>
      <c r="W105" s="28" t="s">
        <v>1315</v>
      </c>
      <c r="X105" s="28">
        <v>71837</v>
      </c>
      <c r="Y105" s="9" t="s">
        <v>1184</v>
      </c>
      <c r="Z105" s="15" t="s">
        <v>1290</v>
      </c>
      <c r="AA105" s="142">
        <v>2</v>
      </c>
      <c r="AB105" s="198">
        <f t="shared" si="9"/>
        <v>5.1000000000000004E-3</v>
      </c>
      <c r="AC105" s="8"/>
      <c r="AD105" s="8"/>
      <c r="AE105" s="21"/>
      <c r="AF105" s="113"/>
      <c r="AG105" s="8"/>
      <c r="AH105" s="8"/>
      <c r="AI105" s="21"/>
    </row>
    <row r="106" spans="1:35" ht="30" x14ac:dyDescent="0.25">
      <c r="A106" s="28">
        <v>1992</v>
      </c>
      <c r="B106" s="25" t="s">
        <v>228</v>
      </c>
      <c r="C106" s="382" t="s">
        <v>1179</v>
      </c>
      <c r="D106" s="25" t="s">
        <v>1180</v>
      </c>
      <c r="E106" s="25"/>
      <c r="F106" s="28" t="s">
        <v>1290</v>
      </c>
      <c r="G106" s="28"/>
      <c r="H106" s="28" t="s">
        <v>1179</v>
      </c>
      <c r="I106" s="25"/>
      <c r="J106" s="25">
        <v>1.0999999999999999E-2</v>
      </c>
      <c r="K106" s="25">
        <v>1.0999999999999999E-2</v>
      </c>
      <c r="L106" s="25">
        <v>1</v>
      </c>
      <c r="M106" s="25" t="s">
        <v>1182</v>
      </c>
      <c r="N106" s="39">
        <f t="shared" si="5"/>
        <v>0.32669999999999999</v>
      </c>
      <c r="O106" s="39">
        <f t="shared" si="6"/>
        <v>0.38114999999999999</v>
      </c>
      <c r="P106" s="39">
        <f t="shared" si="7"/>
        <v>0.21779999999999999</v>
      </c>
      <c r="Q106" s="39">
        <f t="shared" si="8"/>
        <v>0.16335</v>
      </c>
      <c r="R106" s="138">
        <v>1.089</v>
      </c>
      <c r="S106" s="9">
        <v>171718.65</v>
      </c>
      <c r="T106" s="9">
        <v>1888.9051499999998</v>
      </c>
      <c r="U106" s="9"/>
      <c r="V106" s="9"/>
      <c r="W106" s="28" t="s">
        <v>1316</v>
      </c>
      <c r="X106" s="28">
        <v>71837</v>
      </c>
      <c r="Y106" s="9" t="s">
        <v>1184</v>
      </c>
      <c r="Z106" s="15" t="s">
        <v>1290</v>
      </c>
      <c r="AA106" s="142">
        <v>3</v>
      </c>
      <c r="AB106" s="198">
        <f t="shared" si="9"/>
        <v>3.2999999999999995E-3</v>
      </c>
      <c r="AC106" s="8"/>
      <c r="AD106" s="8"/>
      <c r="AE106" s="21"/>
      <c r="AF106" s="113"/>
      <c r="AG106" s="8"/>
      <c r="AH106" s="8"/>
      <c r="AI106" s="21"/>
    </row>
    <row r="107" spans="1:35" ht="30" x14ac:dyDescent="0.25">
      <c r="A107" s="28">
        <v>1993</v>
      </c>
      <c r="B107" s="25" t="s">
        <v>228</v>
      </c>
      <c r="C107" s="382" t="s">
        <v>1179</v>
      </c>
      <c r="D107" s="25" t="s">
        <v>1180</v>
      </c>
      <c r="E107" s="25"/>
      <c r="F107" s="28" t="s">
        <v>850</v>
      </c>
      <c r="G107" s="28"/>
      <c r="H107" s="28" t="s">
        <v>1179</v>
      </c>
      <c r="I107" s="25"/>
      <c r="J107" s="25">
        <v>7.4999999999999997E-3</v>
      </c>
      <c r="K107" s="25">
        <v>7.4999999999999997E-3</v>
      </c>
      <c r="L107" s="25">
        <v>1</v>
      </c>
      <c r="M107" s="25" t="s">
        <v>1182</v>
      </c>
      <c r="N107" s="39">
        <f t="shared" si="5"/>
        <v>0.22274999999999998</v>
      </c>
      <c r="O107" s="39">
        <f t="shared" si="6"/>
        <v>0.25987499999999997</v>
      </c>
      <c r="P107" s="39">
        <f t="shared" si="7"/>
        <v>0.14849999999999999</v>
      </c>
      <c r="Q107" s="39">
        <f t="shared" si="8"/>
        <v>0.11137499999999999</v>
      </c>
      <c r="R107" s="138">
        <v>0.74249999999999994</v>
      </c>
      <c r="S107" s="9">
        <v>171718.65</v>
      </c>
      <c r="T107" s="9">
        <v>1287.8898749999998</v>
      </c>
      <c r="U107" s="9"/>
      <c r="V107" s="9"/>
      <c r="W107" s="28" t="s">
        <v>1317</v>
      </c>
      <c r="X107" s="28">
        <v>71837</v>
      </c>
      <c r="Y107" s="9" t="s">
        <v>1184</v>
      </c>
      <c r="Z107" s="15" t="s">
        <v>850</v>
      </c>
      <c r="AA107" s="142">
        <v>4</v>
      </c>
      <c r="AB107" s="198">
        <f t="shared" si="9"/>
        <v>2.2499999999999998E-3</v>
      </c>
      <c r="AC107" s="8"/>
      <c r="AD107" s="8"/>
      <c r="AE107" s="21"/>
      <c r="AF107" s="113"/>
      <c r="AG107" s="8"/>
      <c r="AH107" s="8"/>
      <c r="AI107" s="21"/>
    </row>
    <row r="108" spans="1:35" ht="30" x14ac:dyDescent="0.25">
      <c r="A108" s="28">
        <v>1994</v>
      </c>
      <c r="B108" s="25" t="s">
        <v>228</v>
      </c>
      <c r="C108" s="382" t="s">
        <v>1179</v>
      </c>
      <c r="D108" s="25" t="s">
        <v>1180</v>
      </c>
      <c r="E108" s="25"/>
      <c r="F108" s="28" t="s">
        <v>850</v>
      </c>
      <c r="G108" s="28"/>
      <c r="H108" s="28" t="s">
        <v>1179</v>
      </c>
      <c r="I108" s="25"/>
      <c r="J108" s="25">
        <v>1.4E-2</v>
      </c>
      <c r="K108" s="25">
        <v>1.4E-2</v>
      </c>
      <c r="L108" s="25">
        <v>1</v>
      </c>
      <c r="M108" s="25" t="s">
        <v>1182</v>
      </c>
      <c r="N108" s="39">
        <f t="shared" si="5"/>
        <v>0.4158</v>
      </c>
      <c r="O108" s="39">
        <f t="shared" si="6"/>
        <v>0.48510000000000003</v>
      </c>
      <c r="P108" s="39">
        <f t="shared" si="7"/>
        <v>0.27720000000000006</v>
      </c>
      <c r="Q108" s="39">
        <f t="shared" si="8"/>
        <v>0.2079</v>
      </c>
      <c r="R108" s="138">
        <v>1.3860000000000001</v>
      </c>
      <c r="S108" s="9">
        <v>171718.65</v>
      </c>
      <c r="T108" s="9">
        <v>2404.0610999999999</v>
      </c>
      <c r="U108" s="9"/>
      <c r="V108" s="9"/>
      <c r="W108" s="28" t="s">
        <v>1318</v>
      </c>
      <c r="X108" s="28">
        <v>71837</v>
      </c>
      <c r="Y108" s="9" t="s">
        <v>1184</v>
      </c>
      <c r="Z108" s="15" t="s">
        <v>850</v>
      </c>
      <c r="AA108" s="142">
        <v>5</v>
      </c>
      <c r="AB108" s="198">
        <f t="shared" si="9"/>
        <v>4.1999999999999997E-3</v>
      </c>
      <c r="AC108" s="8"/>
      <c r="AD108" s="8"/>
      <c r="AE108" s="21"/>
      <c r="AF108" s="113"/>
      <c r="AG108" s="8"/>
      <c r="AH108" s="8"/>
      <c r="AI108" s="21"/>
    </row>
    <row r="109" spans="1:35" ht="30" x14ac:dyDescent="0.25">
      <c r="A109" s="28">
        <v>1995</v>
      </c>
      <c r="B109" s="25" t="s">
        <v>228</v>
      </c>
      <c r="C109" s="382" t="s">
        <v>1179</v>
      </c>
      <c r="D109" s="25" t="s">
        <v>1180</v>
      </c>
      <c r="E109" s="25"/>
      <c r="F109" s="28" t="s">
        <v>1312</v>
      </c>
      <c r="G109" s="28"/>
      <c r="H109" s="28" t="s">
        <v>1179</v>
      </c>
      <c r="I109" s="25"/>
      <c r="J109" s="25">
        <v>9.4209999999999994</v>
      </c>
      <c r="K109" s="25">
        <v>9.4309999999999992</v>
      </c>
      <c r="L109" s="25">
        <v>0.5</v>
      </c>
      <c r="M109" s="25" t="s">
        <v>1182</v>
      </c>
      <c r="N109" s="39">
        <f t="shared" si="5"/>
        <v>104.68409999999999</v>
      </c>
      <c r="O109" s="39">
        <f t="shared" si="6"/>
        <v>122.13144999999997</v>
      </c>
      <c r="P109" s="39">
        <f t="shared" si="7"/>
        <v>69.789399999999986</v>
      </c>
      <c r="Q109" s="39">
        <f t="shared" si="8"/>
        <v>52.342049999999993</v>
      </c>
      <c r="R109" s="138">
        <v>348.94699999999995</v>
      </c>
      <c r="S109" s="9">
        <v>171718.65</v>
      </c>
      <c r="T109" s="9">
        <v>1619478.5881499997</v>
      </c>
      <c r="U109" s="9"/>
      <c r="V109" s="9"/>
      <c r="W109" s="28" t="s">
        <v>1313</v>
      </c>
      <c r="X109" s="28">
        <v>71837</v>
      </c>
      <c r="Y109" s="9" t="s">
        <v>1184</v>
      </c>
      <c r="Z109" s="15" t="s">
        <v>1312</v>
      </c>
      <c r="AA109" s="142">
        <v>6</v>
      </c>
      <c r="AB109" s="198">
        <f t="shared" si="9"/>
        <v>2.8292999999999995</v>
      </c>
      <c r="AC109" s="299"/>
      <c r="AD109" s="8"/>
      <c r="AE109" s="21"/>
      <c r="AF109" s="113"/>
      <c r="AG109" s="8"/>
      <c r="AH109" s="8"/>
      <c r="AI109" s="21"/>
    </row>
    <row r="110" spans="1:35" ht="30" hidden="1" x14ac:dyDescent="0.25">
      <c r="A110" s="15">
        <v>1996</v>
      </c>
      <c r="B110" s="104" t="s">
        <v>228</v>
      </c>
      <c r="C110" s="377" t="s">
        <v>1179</v>
      </c>
      <c r="D110" s="9" t="s">
        <v>1180</v>
      </c>
      <c r="E110" s="9"/>
      <c r="F110" s="15" t="s">
        <v>1249</v>
      </c>
      <c r="G110" s="15"/>
      <c r="H110" s="15" t="s">
        <v>1179</v>
      </c>
      <c r="I110" s="9"/>
      <c r="J110" s="9">
        <v>2.84</v>
      </c>
      <c r="K110" s="9">
        <v>2.84</v>
      </c>
      <c r="L110" s="9">
        <v>1</v>
      </c>
      <c r="M110" s="9" t="s">
        <v>1182</v>
      </c>
      <c r="N110" s="34">
        <f t="shared" si="5"/>
        <v>40.895999999999994</v>
      </c>
      <c r="O110" s="34">
        <f t="shared" si="6"/>
        <v>47.711999999999996</v>
      </c>
      <c r="P110" s="34">
        <f t="shared" si="7"/>
        <v>27.263999999999999</v>
      </c>
      <c r="Q110" s="34">
        <f t="shared" si="8"/>
        <v>20.447999999999997</v>
      </c>
      <c r="R110" s="138">
        <v>136.32</v>
      </c>
      <c r="S110" s="9">
        <v>171718.65</v>
      </c>
      <c r="T110" s="9">
        <v>487680.96599999996</v>
      </c>
      <c r="U110" s="9"/>
      <c r="V110" s="9"/>
      <c r="W110" s="15" t="s">
        <v>1250</v>
      </c>
      <c r="X110" s="15">
        <v>172915</v>
      </c>
      <c r="Y110" s="9" t="s">
        <v>1184</v>
      </c>
      <c r="Z110" s="15" t="s">
        <v>1249</v>
      </c>
      <c r="AA110" s="142">
        <v>1</v>
      </c>
      <c r="AB110" s="20"/>
      <c r="AC110" s="8"/>
      <c r="AD110" s="8"/>
      <c r="AE110" s="21"/>
      <c r="AF110" s="20"/>
      <c r="AG110" s="8"/>
      <c r="AH110" s="8"/>
      <c r="AI110" s="21"/>
    </row>
    <row r="111" spans="1:35" ht="30" hidden="1" x14ac:dyDescent="0.25">
      <c r="A111" s="15">
        <v>1997</v>
      </c>
      <c r="B111" s="104" t="s">
        <v>228</v>
      </c>
      <c r="C111" s="377" t="s">
        <v>1179</v>
      </c>
      <c r="D111" s="9" t="s">
        <v>1180</v>
      </c>
      <c r="E111" s="9"/>
      <c r="F111" s="15" t="s">
        <v>1251</v>
      </c>
      <c r="G111" s="15"/>
      <c r="H111" s="15" t="s">
        <v>1179</v>
      </c>
      <c r="I111" s="9"/>
      <c r="J111" s="9">
        <v>2.7600000000000002</v>
      </c>
      <c r="K111" s="9">
        <v>2.7600000000000002</v>
      </c>
      <c r="L111" s="9">
        <v>1</v>
      </c>
      <c r="M111" s="9" t="s">
        <v>1182</v>
      </c>
      <c r="N111" s="34">
        <f t="shared" si="5"/>
        <v>39.744000000000007</v>
      </c>
      <c r="O111" s="34">
        <f t="shared" si="6"/>
        <v>46.368000000000002</v>
      </c>
      <c r="P111" s="34">
        <f t="shared" si="7"/>
        <v>26.496000000000006</v>
      </c>
      <c r="Q111" s="34">
        <f t="shared" si="8"/>
        <v>19.872000000000003</v>
      </c>
      <c r="R111" s="138">
        <v>132.48000000000002</v>
      </c>
      <c r="S111" s="9">
        <v>171718.65</v>
      </c>
      <c r="T111" s="9">
        <v>473943.47400000005</v>
      </c>
      <c r="U111" s="9"/>
      <c r="V111" s="9"/>
      <c r="W111" s="15" t="s">
        <v>1252</v>
      </c>
      <c r="X111" s="15">
        <v>172914</v>
      </c>
      <c r="Y111" s="9" t="s">
        <v>1184</v>
      </c>
      <c r="Z111" s="15" t="s">
        <v>1251</v>
      </c>
      <c r="AA111" s="142">
        <v>1</v>
      </c>
      <c r="AB111" s="20"/>
      <c r="AC111" s="8"/>
      <c r="AD111" s="8"/>
      <c r="AE111" s="21"/>
      <c r="AF111" s="20"/>
      <c r="AG111" s="8"/>
      <c r="AH111" s="8"/>
      <c r="AI111" s="21"/>
    </row>
    <row r="112" spans="1:35" hidden="1" x14ac:dyDescent="0.25">
      <c r="A112" s="143">
        <v>1998</v>
      </c>
      <c r="B112" s="38" t="s">
        <v>228</v>
      </c>
      <c r="C112" s="378" t="s">
        <v>1319</v>
      </c>
      <c r="D112" s="38" t="s">
        <v>230</v>
      </c>
      <c r="E112" s="38"/>
      <c r="F112" s="143"/>
      <c r="G112" s="143"/>
      <c r="H112" s="143" t="s">
        <v>31</v>
      </c>
      <c r="I112" s="38"/>
      <c r="J112" s="38"/>
      <c r="K112" s="38"/>
      <c r="L112" s="38"/>
      <c r="M112" s="38"/>
      <c r="N112" s="138"/>
      <c r="O112" s="138"/>
      <c r="P112" s="138"/>
      <c r="Q112" s="138"/>
      <c r="R112" s="138"/>
      <c r="S112" s="38"/>
      <c r="T112" s="38"/>
      <c r="U112" s="38"/>
      <c r="V112" s="38"/>
      <c r="W112" s="143"/>
      <c r="X112" s="143"/>
      <c r="Y112" s="38"/>
      <c r="Z112" s="143"/>
      <c r="AA112" s="236"/>
      <c r="AB112" s="20"/>
      <c r="AC112" s="8"/>
      <c r="AD112" s="8"/>
      <c r="AE112" s="21"/>
      <c r="AF112" s="20"/>
      <c r="AG112" s="8"/>
      <c r="AH112" s="8"/>
      <c r="AI112" s="21"/>
    </row>
    <row r="113" spans="1:35" ht="60" hidden="1" x14ac:dyDescent="0.25">
      <c r="A113" s="15">
        <v>1999</v>
      </c>
      <c r="B113" s="104" t="s">
        <v>228</v>
      </c>
      <c r="C113" s="377" t="s">
        <v>1319</v>
      </c>
      <c r="D113" s="9" t="s">
        <v>230</v>
      </c>
      <c r="E113" s="9"/>
      <c r="F113" s="15" t="s">
        <v>1320</v>
      </c>
      <c r="G113" s="15"/>
      <c r="H113" s="15" t="s">
        <v>31</v>
      </c>
      <c r="I113" s="9"/>
      <c r="J113" s="9">
        <v>1E-4</v>
      </c>
      <c r="K113" s="9">
        <v>3.6000000000000003E-3</v>
      </c>
      <c r="L113" s="9">
        <v>36</v>
      </c>
      <c r="M113" s="9" t="s">
        <v>33</v>
      </c>
      <c r="N113" s="34">
        <f t="shared" si="5"/>
        <v>0.10584000000000002</v>
      </c>
      <c r="O113" s="34">
        <f t="shared" si="6"/>
        <v>0.12348000000000001</v>
      </c>
      <c r="P113" s="34">
        <f t="shared" si="7"/>
        <v>7.0560000000000012E-2</v>
      </c>
      <c r="Q113" s="34">
        <f t="shared" si="8"/>
        <v>5.2920000000000009E-2</v>
      </c>
      <c r="R113" s="138">
        <v>0.35280000000000006</v>
      </c>
      <c r="S113" s="9">
        <v>171718.65</v>
      </c>
      <c r="T113" s="9">
        <v>618.18714</v>
      </c>
      <c r="U113" s="9"/>
      <c r="V113" s="9"/>
      <c r="W113" s="15" t="s">
        <v>1321</v>
      </c>
      <c r="X113" s="15">
        <v>71867</v>
      </c>
      <c r="Y113" s="9" t="s">
        <v>233</v>
      </c>
      <c r="Z113" s="15" t="s">
        <v>1320</v>
      </c>
      <c r="AA113" s="142">
        <v>3</v>
      </c>
      <c r="AB113" s="20"/>
      <c r="AC113" s="8"/>
      <c r="AD113" s="8"/>
      <c r="AE113" s="21"/>
      <c r="AF113" s="20"/>
      <c r="AG113" s="8"/>
      <c r="AH113" s="8"/>
      <c r="AI113" s="21"/>
    </row>
    <row r="114" spans="1:35" ht="60" hidden="1" x14ac:dyDescent="0.25">
      <c r="A114" s="15">
        <v>2000</v>
      </c>
      <c r="B114" s="104" t="s">
        <v>228</v>
      </c>
      <c r="C114" s="377" t="s">
        <v>1319</v>
      </c>
      <c r="D114" s="9" t="s">
        <v>230</v>
      </c>
      <c r="E114" s="9"/>
      <c r="F114" s="15" t="s">
        <v>1322</v>
      </c>
      <c r="G114" s="15"/>
      <c r="H114" s="15" t="s">
        <v>31</v>
      </c>
      <c r="I114" s="9"/>
      <c r="J114" s="9">
        <v>9.9999999999999995E-7</v>
      </c>
      <c r="K114" s="9">
        <v>1.8E-5</v>
      </c>
      <c r="L114" s="9">
        <v>18</v>
      </c>
      <c r="M114" s="9" t="s">
        <v>33</v>
      </c>
      <c r="N114" s="34">
        <f t="shared" si="5"/>
        <v>5.2919999999999996E-4</v>
      </c>
      <c r="O114" s="34">
        <f t="shared" si="6"/>
        <v>6.1739999999999994E-4</v>
      </c>
      <c r="P114" s="34">
        <f t="shared" si="7"/>
        <v>3.5280000000000001E-4</v>
      </c>
      <c r="Q114" s="34">
        <f t="shared" si="8"/>
        <v>2.6459999999999998E-4</v>
      </c>
      <c r="R114" s="138">
        <v>1.7639999999999999E-3</v>
      </c>
      <c r="S114" s="9">
        <v>171718.65</v>
      </c>
      <c r="T114" s="9">
        <v>3.0909357000000002</v>
      </c>
      <c r="U114" s="9"/>
      <c r="V114" s="9"/>
      <c r="W114" s="15" t="s">
        <v>1323</v>
      </c>
      <c r="X114" s="15">
        <v>71867</v>
      </c>
      <c r="Y114" s="9" t="s">
        <v>233</v>
      </c>
      <c r="Z114" s="15" t="s">
        <v>1322</v>
      </c>
      <c r="AA114" s="142">
        <v>4</v>
      </c>
      <c r="AB114" s="20"/>
      <c r="AC114" s="8"/>
      <c r="AD114" s="8"/>
      <c r="AE114" s="21"/>
      <c r="AF114" s="20"/>
      <c r="AG114" s="8"/>
      <c r="AH114" s="8"/>
      <c r="AI114" s="21"/>
    </row>
    <row r="115" spans="1:35" ht="60" hidden="1" x14ac:dyDescent="0.25">
      <c r="A115" s="15">
        <v>2001</v>
      </c>
      <c r="B115" s="104" t="s">
        <v>228</v>
      </c>
      <c r="C115" s="377" t="s">
        <v>1319</v>
      </c>
      <c r="D115" s="9" t="s">
        <v>230</v>
      </c>
      <c r="E115" s="9"/>
      <c r="F115" s="15" t="s">
        <v>1324</v>
      </c>
      <c r="G115" s="15"/>
      <c r="H115" s="15" t="s">
        <v>31</v>
      </c>
      <c r="I115" s="9"/>
      <c r="J115" s="9">
        <v>1.0000000000000001E-5</v>
      </c>
      <c r="K115" s="9">
        <v>1.8000000000000001E-4</v>
      </c>
      <c r="L115" s="9">
        <v>18</v>
      </c>
      <c r="M115" s="9" t="s">
        <v>33</v>
      </c>
      <c r="N115" s="34">
        <f t="shared" si="5"/>
        <v>5.2919999999999998E-3</v>
      </c>
      <c r="O115" s="34">
        <f t="shared" si="6"/>
        <v>6.1739999999999998E-3</v>
      </c>
      <c r="P115" s="34">
        <f t="shared" si="7"/>
        <v>3.5279999999999999E-3</v>
      </c>
      <c r="Q115" s="34">
        <f t="shared" si="8"/>
        <v>2.6459999999999999E-3</v>
      </c>
      <c r="R115" s="138">
        <v>1.7639999999999999E-2</v>
      </c>
      <c r="S115" s="9">
        <v>171718.65</v>
      </c>
      <c r="T115" s="9">
        <v>30.909357</v>
      </c>
      <c r="U115" s="9"/>
      <c r="V115" s="9"/>
      <c r="W115" s="15" t="s">
        <v>1325</v>
      </c>
      <c r="X115" s="15">
        <v>71867</v>
      </c>
      <c r="Y115" s="9" t="s">
        <v>233</v>
      </c>
      <c r="Z115" s="15" t="s">
        <v>1324</v>
      </c>
      <c r="AA115" s="142">
        <v>5</v>
      </c>
      <c r="AB115" s="20"/>
      <c r="AC115" s="8"/>
      <c r="AD115" s="8"/>
      <c r="AE115" s="21"/>
      <c r="AF115" s="20"/>
      <c r="AG115" s="8"/>
      <c r="AH115" s="8"/>
      <c r="AI115" s="21"/>
    </row>
    <row r="116" spans="1:35" ht="60" hidden="1" x14ac:dyDescent="0.25">
      <c r="A116" s="15">
        <v>2002</v>
      </c>
      <c r="B116" s="104" t="s">
        <v>228</v>
      </c>
      <c r="C116" s="377" t="s">
        <v>1319</v>
      </c>
      <c r="D116" s="9" t="s">
        <v>230</v>
      </c>
      <c r="E116" s="9"/>
      <c r="F116" s="15" t="s">
        <v>1326</v>
      </c>
      <c r="G116" s="15"/>
      <c r="H116" s="15" t="s">
        <v>31</v>
      </c>
      <c r="I116" s="9"/>
      <c r="J116" s="9">
        <v>1.0000000000000001E-5</v>
      </c>
      <c r="K116" s="9">
        <v>3.6000000000000002E-4</v>
      </c>
      <c r="L116" s="9">
        <v>36</v>
      </c>
      <c r="M116" s="9" t="s">
        <v>33</v>
      </c>
      <c r="N116" s="34">
        <f t="shared" si="5"/>
        <v>1.0584E-2</v>
      </c>
      <c r="O116" s="34">
        <f t="shared" si="6"/>
        <v>1.2348E-2</v>
      </c>
      <c r="P116" s="34">
        <f t="shared" si="7"/>
        <v>7.0559999999999998E-3</v>
      </c>
      <c r="Q116" s="34">
        <f t="shared" si="8"/>
        <v>5.2919999999999998E-3</v>
      </c>
      <c r="R116" s="138">
        <v>3.5279999999999999E-2</v>
      </c>
      <c r="S116" s="9">
        <v>171718.65</v>
      </c>
      <c r="T116" s="9">
        <v>61.818714</v>
      </c>
      <c r="U116" s="9"/>
      <c r="V116" s="9"/>
      <c r="W116" s="15" t="s">
        <v>1327</v>
      </c>
      <c r="X116" s="15">
        <v>71867</v>
      </c>
      <c r="Y116" s="9" t="s">
        <v>233</v>
      </c>
      <c r="Z116" s="15" t="s">
        <v>1326</v>
      </c>
      <c r="AA116" s="142">
        <v>6</v>
      </c>
      <c r="AB116" s="20"/>
      <c r="AC116" s="8"/>
      <c r="AD116" s="8"/>
      <c r="AE116" s="21"/>
      <c r="AF116" s="20"/>
      <c r="AG116" s="8"/>
      <c r="AH116" s="8"/>
      <c r="AI116" s="21"/>
    </row>
    <row r="117" spans="1:35" ht="45" hidden="1" x14ac:dyDescent="0.25">
      <c r="A117" s="15">
        <v>2003</v>
      </c>
      <c r="B117" s="104" t="s">
        <v>228</v>
      </c>
      <c r="C117" s="377" t="s">
        <v>1319</v>
      </c>
      <c r="D117" s="9" t="s">
        <v>230</v>
      </c>
      <c r="E117" s="9"/>
      <c r="F117" s="15" t="s">
        <v>1328</v>
      </c>
      <c r="G117" s="15"/>
      <c r="H117" s="15" t="s">
        <v>31</v>
      </c>
      <c r="I117" s="9"/>
      <c r="J117" s="9">
        <v>1.0000000000000001E-5</v>
      </c>
      <c r="K117" s="9">
        <v>3.6000000000000002E-4</v>
      </c>
      <c r="L117" s="9">
        <v>36</v>
      </c>
      <c r="M117" s="9" t="s">
        <v>33</v>
      </c>
      <c r="N117" s="34">
        <f t="shared" si="5"/>
        <v>1.0584E-2</v>
      </c>
      <c r="O117" s="34">
        <f t="shared" si="6"/>
        <v>1.2348E-2</v>
      </c>
      <c r="P117" s="34">
        <f t="shared" si="7"/>
        <v>7.0559999999999998E-3</v>
      </c>
      <c r="Q117" s="34">
        <f t="shared" si="8"/>
        <v>5.2919999999999998E-3</v>
      </c>
      <c r="R117" s="138">
        <v>3.5279999999999999E-2</v>
      </c>
      <c r="S117" s="9">
        <v>171718.65</v>
      </c>
      <c r="T117" s="9">
        <v>61.818714</v>
      </c>
      <c r="U117" s="9"/>
      <c r="V117" s="9"/>
      <c r="W117" s="15" t="s">
        <v>1329</v>
      </c>
      <c r="X117" s="15">
        <v>71867</v>
      </c>
      <c r="Y117" s="9" t="s">
        <v>233</v>
      </c>
      <c r="Z117" s="15" t="s">
        <v>1328</v>
      </c>
      <c r="AA117" s="142">
        <v>7</v>
      </c>
      <c r="AB117" s="20"/>
      <c r="AC117" s="8"/>
      <c r="AD117" s="8"/>
      <c r="AE117" s="21"/>
      <c r="AF117" s="20"/>
      <c r="AG117" s="8"/>
      <c r="AH117" s="8"/>
      <c r="AI117" s="21"/>
    </row>
    <row r="118" spans="1:35" ht="45" hidden="1" x14ac:dyDescent="0.25">
      <c r="A118" s="15">
        <v>2004</v>
      </c>
      <c r="B118" s="104" t="s">
        <v>228</v>
      </c>
      <c r="C118" s="377" t="s">
        <v>1319</v>
      </c>
      <c r="D118" s="9" t="s">
        <v>230</v>
      </c>
      <c r="E118" s="9"/>
      <c r="F118" s="15" t="s">
        <v>1330</v>
      </c>
      <c r="G118" s="15"/>
      <c r="H118" s="15" t="s">
        <v>31</v>
      </c>
      <c r="I118" s="9"/>
      <c r="J118" s="9">
        <v>1.0000000000000001E-5</v>
      </c>
      <c r="K118" s="9">
        <v>3.6000000000000002E-4</v>
      </c>
      <c r="L118" s="9">
        <v>36</v>
      </c>
      <c r="M118" s="9" t="s">
        <v>33</v>
      </c>
      <c r="N118" s="34">
        <f t="shared" si="5"/>
        <v>1.0584E-2</v>
      </c>
      <c r="O118" s="34">
        <f t="shared" si="6"/>
        <v>1.2348E-2</v>
      </c>
      <c r="P118" s="34">
        <f t="shared" si="7"/>
        <v>7.0559999999999998E-3</v>
      </c>
      <c r="Q118" s="34">
        <f t="shared" si="8"/>
        <v>5.2919999999999998E-3</v>
      </c>
      <c r="R118" s="138">
        <v>3.5279999999999999E-2</v>
      </c>
      <c r="S118" s="9">
        <v>171718.65</v>
      </c>
      <c r="T118" s="9">
        <v>61.818714</v>
      </c>
      <c r="U118" s="9"/>
      <c r="V118" s="9"/>
      <c r="W118" s="15" t="s">
        <v>1331</v>
      </c>
      <c r="X118" s="15">
        <v>71867</v>
      </c>
      <c r="Y118" s="9" t="s">
        <v>233</v>
      </c>
      <c r="Z118" s="15" t="s">
        <v>1330</v>
      </c>
      <c r="AA118" s="142">
        <v>8</v>
      </c>
      <c r="AB118" s="20"/>
      <c r="AC118" s="8"/>
      <c r="AD118" s="8"/>
      <c r="AE118" s="21"/>
      <c r="AF118" s="20"/>
      <c r="AG118" s="8"/>
      <c r="AH118" s="8"/>
      <c r="AI118" s="21"/>
    </row>
    <row r="119" spans="1:35" ht="45" hidden="1" x14ac:dyDescent="0.25">
      <c r="A119" s="15">
        <v>2005</v>
      </c>
      <c r="B119" s="104" t="s">
        <v>228</v>
      </c>
      <c r="C119" s="377" t="s">
        <v>1319</v>
      </c>
      <c r="D119" s="9" t="s">
        <v>230</v>
      </c>
      <c r="E119" s="9"/>
      <c r="F119" s="15" t="s">
        <v>1332</v>
      </c>
      <c r="G119" s="15"/>
      <c r="H119" s="15" t="s">
        <v>31</v>
      </c>
      <c r="I119" s="9"/>
      <c r="J119" s="9">
        <v>1.0000000000000001E-5</v>
      </c>
      <c r="K119" s="9">
        <v>3.6000000000000002E-4</v>
      </c>
      <c r="L119" s="9">
        <v>36</v>
      </c>
      <c r="M119" s="9" t="s">
        <v>33</v>
      </c>
      <c r="N119" s="34">
        <f t="shared" si="5"/>
        <v>1.0584E-2</v>
      </c>
      <c r="O119" s="34">
        <f t="shared" si="6"/>
        <v>1.2348E-2</v>
      </c>
      <c r="P119" s="34">
        <f t="shared" si="7"/>
        <v>7.0559999999999998E-3</v>
      </c>
      <c r="Q119" s="34">
        <f t="shared" si="8"/>
        <v>5.2919999999999998E-3</v>
      </c>
      <c r="R119" s="138">
        <v>3.5279999999999999E-2</v>
      </c>
      <c r="S119" s="9">
        <v>171718.65</v>
      </c>
      <c r="T119" s="9">
        <v>61.818714</v>
      </c>
      <c r="U119" s="9"/>
      <c r="V119" s="9"/>
      <c r="W119" s="15" t="s">
        <v>1333</v>
      </c>
      <c r="X119" s="15">
        <v>71867</v>
      </c>
      <c r="Y119" s="9" t="s">
        <v>233</v>
      </c>
      <c r="Z119" s="15" t="s">
        <v>1332</v>
      </c>
      <c r="AA119" s="142">
        <v>9</v>
      </c>
      <c r="AB119" s="20"/>
      <c r="AC119" s="8"/>
      <c r="AD119" s="8"/>
      <c r="AE119" s="21"/>
      <c r="AF119" s="20"/>
      <c r="AG119" s="8"/>
      <c r="AH119" s="8"/>
      <c r="AI119" s="21"/>
    </row>
    <row r="120" spans="1:35" ht="60" hidden="1" x14ac:dyDescent="0.25">
      <c r="A120" s="15">
        <v>2006</v>
      </c>
      <c r="B120" s="104" t="s">
        <v>228</v>
      </c>
      <c r="C120" s="377" t="s">
        <v>1319</v>
      </c>
      <c r="D120" s="9" t="s">
        <v>230</v>
      </c>
      <c r="E120" s="9"/>
      <c r="F120" s="15" t="s">
        <v>1334</v>
      </c>
      <c r="G120" s="15"/>
      <c r="H120" s="15" t="s">
        <v>31</v>
      </c>
      <c r="I120" s="9"/>
      <c r="J120" s="9">
        <v>3.0000000000000001E-3</v>
      </c>
      <c r="K120" s="9">
        <v>2.7E-2</v>
      </c>
      <c r="L120" s="9">
        <v>9</v>
      </c>
      <c r="M120" s="9" t="s">
        <v>33</v>
      </c>
      <c r="N120" s="34">
        <f t="shared" si="5"/>
        <v>0.79379999999999995</v>
      </c>
      <c r="O120" s="34">
        <f t="shared" si="6"/>
        <v>0.92609999999999992</v>
      </c>
      <c r="P120" s="34">
        <f t="shared" si="7"/>
        <v>0.5292</v>
      </c>
      <c r="Q120" s="34">
        <f t="shared" si="8"/>
        <v>0.39689999999999998</v>
      </c>
      <c r="R120" s="138">
        <v>2.6459999999999999</v>
      </c>
      <c r="S120" s="9">
        <v>171718.65</v>
      </c>
      <c r="T120" s="9">
        <v>4636.40355</v>
      </c>
      <c r="U120" s="9"/>
      <c r="V120" s="9"/>
      <c r="W120" s="15" t="s">
        <v>1335</v>
      </c>
      <c r="X120" s="15">
        <v>71867</v>
      </c>
      <c r="Y120" s="9" t="s">
        <v>233</v>
      </c>
      <c r="Z120" s="15" t="s">
        <v>1334</v>
      </c>
      <c r="AA120" s="142">
        <v>10</v>
      </c>
      <c r="AB120" s="20"/>
      <c r="AC120" s="8"/>
      <c r="AD120" s="8"/>
      <c r="AE120" s="21"/>
      <c r="AF120" s="20"/>
      <c r="AG120" s="8"/>
      <c r="AH120" s="8"/>
      <c r="AI120" s="21"/>
    </row>
    <row r="121" spans="1:35" ht="60" hidden="1" x14ac:dyDescent="0.25">
      <c r="A121" s="15">
        <v>2007</v>
      </c>
      <c r="B121" s="104" t="s">
        <v>228</v>
      </c>
      <c r="C121" s="377" t="s">
        <v>1319</v>
      </c>
      <c r="D121" s="9" t="s">
        <v>230</v>
      </c>
      <c r="E121" s="9"/>
      <c r="F121" s="15" t="s">
        <v>1336</v>
      </c>
      <c r="G121" s="15"/>
      <c r="H121" s="15" t="s">
        <v>31</v>
      </c>
      <c r="I121" s="9"/>
      <c r="J121" s="9">
        <v>1E-3</v>
      </c>
      <c r="K121" s="9">
        <v>9.0000000000000011E-3</v>
      </c>
      <c r="L121" s="9">
        <v>9</v>
      </c>
      <c r="M121" s="9" t="s">
        <v>33</v>
      </c>
      <c r="N121" s="34">
        <f t="shared" si="5"/>
        <v>0.2646</v>
      </c>
      <c r="O121" s="34">
        <f t="shared" si="6"/>
        <v>0.30870000000000003</v>
      </c>
      <c r="P121" s="34">
        <f t="shared" si="7"/>
        <v>0.17640000000000003</v>
      </c>
      <c r="Q121" s="34">
        <f t="shared" si="8"/>
        <v>0.1323</v>
      </c>
      <c r="R121" s="138">
        <v>0.88200000000000012</v>
      </c>
      <c r="S121" s="9">
        <v>171718.65</v>
      </c>
      <c r="T121" s="9">
        <v>1545.4678500000002</v>
      </c>
      <c r="U121" s="9"/>
      <c r="V121" s="9"/>
      <c r="W121" s="15" t="s">
        <v>1337</v>
      </c>
      <c r="X121" s="15">
        <v>71867</v>
      </c>
      <c r="Y121" s="9" t="s">
        <v>233</v>
      </c>
      <c r="Z121" s="15" t="s">
        <v>1336</v>
      </c>
      <c r="AA121" s="142">
        <v>11</v>
      </c>
      <c r="AB121" s="20"/>
      <c r="AC121" s="8"/>
      <c r="AD121" s="8"/>
      <c r="AE121" s="21"/>
      <c r="AF121" s="20"/>
      <c r="AG121" s="8"/>
      <c r="AH121" s="8"/>
      <c r="AI121" s="21"/>
    </row>
    <row r="122" spans="1:35" ht="30" hidden="1" x14ac:dyDescent="0.25">
      <c r="A122" s="15">
        <v>2008</v>
      </c>
      <c r="B122" s="104" t="s">
        <v>228</v>
      </c>
      <c r="C122" s="377" t="s">
        <v>1319</v>
      </c>
      <c r="D122" s="9" t="s">
        <v>230</v>
      </c>
      <c r="E122" s="9"/>
      <c r="F122" s="15" t="s">
        <v>1338</v>
      </c>
      <c r="G122" s="15"/>
      <c r="H122" s="15" t="s">
        <v>31</v>
      </c>
      <c r="I122" s="9"/>
      <c r="J122" s="9">
        <v>1E-4</v>
      </c>
      <c r="K122" s="9">
        <v>3.6000000000000003E-3</v>
      </c>
      <c r="L122" s="9">
        <v>36</v>
      </c>
      <c r="M122" s="9" t="s">
        <v>33</v>
      </c>
      <c r="N122" s="34">
        <f t="shared" si="5"/>
        <v>0.10584000000000002</v>
      </c>
      <c r="O122" s="34">
        <f t="shared" si="6"/>
        <v>0.12348000000000001</v>
      </c>
      <c r="P122" s="34">
        <f t="shared" si="7"/>
        <v>7.0560000000000012E-2</v>
      </c>
      <c r="Q122" s="34">
        <f t="shared" si="8"/>
        <v>5.2920000000000009E-2</v>
      </c>
      <c r="R122" s="138">
        <v>0.35280000000000006</v>
      </c>
      <c r="S122" s="9">
        <v>171718.65</v>
      </c>
      <c r="T122" s="9">
        <v>618.18714</v>
      </c>
      <c r="U122" s="9"/>
      <c r="V122" s="9"/>
      <c r="W122" s="15" t="s">
        <v>1339</v>
      </c>
      <c r="X122" s="15">
        <v>71867</v>
      </c>
      <c r="Y122" s="9" t="s">
        <v>233</v>
      </c>
      <c r="Z122" s="15" t="s">
        <v>1338</v>
      </c>
      <c r="AA122" s="142">
        <v>12</v>
      </c>
      <c r="AB122" s="20"/>
      <c r="AC122" s="8"/>
      <c r="AD122" s="8"/>
      <c r="AE122" s="21"/>
      <c r="AF122" s="20"/>
      <c r="AG122" s="8"/>
      <c r="AH122" s="8"/>
      <c r="AI122" s="21"/>
    </row>
    <row r="123" spans="1:35" ht="45" hidden="1" x14ac:dyDescent="0.25">
      <c r="A123" s="15">
        <v>2009</v>
      </c>
      <c r="B123" s="104" t="s">
        <v>228</v>
      </c>
      <c r="C123" s="377" t="s">
        <v>1319</v>
      </c>
      <c r="D123" s="9" t="s">
        <v>230</v>
      </c>
      <c r="E123" s="9"/>
      <c r="F123" s="15" t="s">
        <v>1340</v>
      </c>
      <c r="G123" s="15"/>
      <c r="H123" s="15" t="s">
        <v>31</v>
      </c>
      <c r="I123" s="9"/>
      <c r="J123" s="9">
        <v>1.0000000000000001E-5</v>
      </c>
      <c r="K123" s="9">
        <v>9.0000000000000006E-5</v>
      </c>
      <c r="L123" s="9">
        <v>9</v>
      </c>
      <c r="M123" s="9" t="s">
        <v>33</v>
      </c>
      <c r="N123" s="34">
        <f t="shared" si="5"/>
        <v>2.6459999999999999E-3</v>
      </c>
      <c r="O123" s="34">
        <f t="shared" si="6"/>
        <v>3.0869999999999999E-3</v>
      </c>
      <c r="P123" s="34">
        <f t="shared" si="7"/>
        <v>1.7639999999999999E-3</v>
      </c>
      <c r="Q123" s="34">
        <f t="shared" si="8"/>
        <v>1.323E-3</v>
      </c>
      <c r="R123" s="138">
        <v>8.8199999999999997E-3</v>
      </c>
      <c r="S123" s="9">
        <v>171718.65</v>
      </c>
      <c r="T123" s="9">
        <v>15.4546785</v>
      </c>
      <c r="U123" s="9"/>
      <c r="V123" s="9"/>
      <c r="W123" s="15" t="s">
        <v>1341</v>
      </c>
      <c r="X123" s="15">
        <v>71867</v>
      </c>
      <c r="Y123" s="9" t="s">
        <v>233</v>
      </c>
      <c r="Z123" s="15" t="s">
        <v>1340</v>
      </c>
      <c r="AA123" s="142">
        <v>13</v>
      </c>
      <c r="AB123" s="20"/>
      <c r="AC123" s="8"/>
      <c r="AD123" s="8"/>
      <c r="AE123" s="21"/>
      <c r="AF123" s="20"/>
      <c r="AG123" s="8"/>
      <c r="AH123" s="8"/>
      <c r="AI123" s="21"/>
    </row>
    <row r="124" spans="1:35" hidden="1" x14ac:dyDescent="0.25">
      <c r="A124" s="15">
        <v>2010</v>
      </c>
      <c r="B124" s="104" t="s">
        <v>228</v>
      </c>
      <c r="C124" s="377" t="s">
        <v>1319</v>
      </c>
      <c r="D124" s="9" t="s">
        <v>230</v>
      </c>
      <c r="E124" s="9"/>
      <c r="F124" s="15" t="s">
        <v>770</v>
      </c>
      <c r="G124" s="15"/>
      <c r="H124" s="15" t="s">
        <v>31</v>
      </c>
      <c r="I124" s="9"/>
      <c r="J124" s="9">
        <v>3.0000000000000001E-3</v>
      </c>
      <c r="K124" s="9">
        <v>2.7E-2</v>
      </c>
      <c r="L124" s="9">
        <v>9</v>
      </c>
      <c r="M124" s="9" t="s">
        <v>33</v>
      </c>
      <c r="N124" s="34">
        <f t="shared" si="5"/>
        <v>0.79379999999999995</v>
      </c>
      <c r="O124" s="34">
        <f t="shared" si="6"/>
        <v>0.92609999999999992</v>
      </c>
      <c r="P124" s="34">
        <f t="shared" si="7"/>
        <v>0.5292</v>
      </c>
      <c r="Q124" s="34">
        <f t="shared" si="8"/>
        <v>0.39689999999999998</v>
      </c>
      <c r="R124" s="138">
        <v>2.6459999999999999</v>
      </c>
      <c r="S124" s="9">
        <v>171718.65</v>
      </c>
      <c r="T124" s="9">
        <v>4636.40355</v>
      </c>
      <c r="U124" s="9"/>
      <c r="V124" s="9"/>
      <c r="W124" s="15" t="s">
        <v>1342</v>
      </c>
      <c r="X124" s="15">
        <v>71867</v>
      </c>
      <c r="Y124" s="9" t="s">
        <v>233</v>
      </c>
      <c r="Z124" s="15" t="s">
        <v>770</v>
      </c>
      <c r="AA124" s="142">
        <v>14</v>
      </c>
      <c r="AB124" s="20"/>
      <c r="AC124" s="8"/>
      <c r="AD124" s="8"/>
      <c r="AE124" s="21"/>
      <c r="AF124" s="20"/>
      <c r="AG124" s="8"/>
      <c r="AH124" s="8"/>
      <c r="AI124" s="21"/>
    </row>
    <row r="125" spans="1:35" hidden="1" x14ac:dyDescent="0.25">
      <c r="A125" s="15">
        <v>2011</v>
      </c>
      <c r="B125" s="104" t="s">
        <v>228</v>
      </c>
      <c r="C125" s="377" t="s">
        <v>1319</v>
      </c>
      <c r="D125" s="9" t="s">
        <v>230</v>
      </c>
      <c r="E125" s="9"/>
      <c r="F125" s="15" t="s">
        <v>1185</v>
      </c>
      <c r="G125" s="15"/>
      <c r="H125" s="15" t="s">
        <v>31</v>
      </c>
      <c r="I125" s="9"/>
      <c r="J125" s="9">
        <v>2E-3</v>
      </c>
      <c r="K125" s="9">
        <v>6.0000000000000001E-3</v>
      </c>
      <c r="L125" s="9">
        <v>3</v>
      </c>
      <c r="M125" s="9" t="s">
        <v>33</v>
      </c>
      <c r="N125" s="34">
        <f t="shared" si="5"/>
        <v>0.17639999999999997</v>
      </c>
      <c r="O125" s="34">
        <f t="shared" si="6"/>
        <v>0.20579999999999998</v>
      </c>
      <c r="P125" s="34">
        <f t="shared" si="7"/>
        <v>0.1176</v>
      </c>
      <c r="Q125" s="34">
        <f t="shared" si="8"/>
        <v>8.8199999999999987E-2</v>
      </c>
      <c r="R125" s="138">
        <v>0.58799999999999997</v>
      </c>
      <c r="S125" s="9">
        <v>171718.65</v>
      </c>
      <c r="T125" s="9">
        <v>1030.3118999999999</v>
      </c>
      <c r="U125" s="9"/>
      <c r="V125" s="9"/>
      <c r="W125" s="15" t="s">
        <v>1343</v>
      </c>
      <c r="X125" s="15">
        <v>71867</v>
      </c>
      <c r="Y125" s="9" t="s">
        <v>233</v>
      </c>
      <c r="Z125" s="15" t="s">
        <v>1185</v>
      </c>
      <c r="AA125" s="142">
        <v>15</v>
      </c>
      <c r="AB125" s="20"/>
      <c r="AC125" s="8"/>
      <c r="AD125" s="8"/>
      <c r="AE125" s="21"/>
      <c r="AF125" s="20"/>
      <c r="AG125" s="8"/>
      <c r="AH125" s="8"/>
      <c r="AI125" s="21"/>
    </row>
    <row r="126" spans="1:35" hidden="1" x14ac:dyDescent="0.25">
      <c r="A126" s="15">
        <v>2012</v>
      </c>
      <c r="B126" s="104" t="s">
        <v>228</v>
      </c>
      <c r="C126" s="377" t="s">
        <v>1319</v>
      </c>
      <c r="D126" s="9" t="s">
        <v>230</v>
      </c>
      <c r="E126" s="9"/>
      <c r="F126" s="15" t="s">
        <v>1185</v>
      </c>
      <c r="G126" s="15"/>
      <c r="H126" s="15" t="s">
        <v>31</v>
      </c>
      <c r="I126" s="9"/>
      <c r="J126" s="9">
        <v>1E-3</v>
      </c>
      <c r="K126" s="9">
        <v>9.0000000000000011E-3</v>
      </c>
      <c r="L126" s="9">
        <v>9</v>
      </c>
      <c r="M126" s="9" t="s">
        <v>33</v>
      </c>
      <c r="N126" s="34">
        <f t="shared" si="5"/>
        <v>0.2646</v>
      </c>
      <c r="O126" s="34">
        <f t="shared" si="6"/>
        <v>0.30870000000000003</v>
      </c>
      <c r="P126" s="34">
        <f t="shared" si="7"/>
        <v>0.17640000000000003</v>
      </c>
      <c r="Q126" s="34">
        <f t="shared" si="8"/>
        <v>0.1323</v>
      </c>
      <c r="R126" s="138">
        <v>0.88200000000000012</v>
      </c>
      <c r="S126" s="9">
        <v>171718.65</v>
      </c>
      <c r="T126" s="9">
        <v>1545.4678500000002</v>
      </c>
      <c r="U126" s="9"/>
      <c r="V126" s="9"/>
      <c r="W126" s="15" t="s">
        <v>1344</v>
      </c>
      <c r="X126" s="15">
        <v>71867</v>
      </c>
      <c r="Y126" s="9" t="s">
        <v>233</v>
      </c>
      <c r="Z126" s="15" t="s">
        <v>1185</v>
      </c>
      <c r="AA126" s="142">
        <v>16</v>
      </c>
      <c r="AB126" s="20"/>
      <c r="AC126" s="8"/>
      <c r="AD126" s="8"/>
      <c r="AE126" s="21"/>
      <c r="AF126" s="20"/>
      <c r="AG126" s="8"/>
      <c r="AH126" s="8"/>
      <c r="AI126" s="21"/>
    </row>
    <row r="127" spans="1:35" hidden="1" x14ac:dyDescent="0.25">
      <c r="A127" s="15">
        <v>2013</v>
      </c>
      <c r="B127" s="104" t="s">
        <v>228</v>
      </c>
      <c r="C127" s="377" t="s">
        <v>1319</v>
      </c>
      <c r="D127" s="9" t="s">
        <v>230</v>
      </c>
      <c r="E127" s="9"/>
      <c r="F127" s="15" t="s">
        <v>1185</v>
      </c>
      <c r="G127" s="15"/>
      <c r="H127" s="15" t="s">
        <v>31</v>
      </c>
      <c r="I127" s="9"/>
      <c r="J127" s="9">
        <v>1E-3</v>
      </c>
      <c r="K127" s="9">
        <v>9.0000000000000011E-3</v>
      </c>
      <c r="L127" s="9">
        <v>9</v>
      </c>
      <c r="M127" s="9" t="s">
        <v>33</v>
      </c>
      <c r="N127" s="34">
        <f t="shared" si="5"/>
        <v>0.2646</v>
      </c>
      <c r="O127" s="34">
        <f t="shared" si="6"/>
        <v>0.30870000000000003</v>
      </c>
      <c r="P127" s="34">
        <f t="shared" si="7"/>
        <v>0.17640000000000003</v>
      </c>
      <c r="Q127" s="34">
        <f t="shared" si="8"/>
        <v>0.1323</v>
      </c>
      <c r="R127" s="138">
        <v>0.88200000000000012</v>
      </c>
      <c r="S127" s="9">
        <v>171718.65</v>
      </c>
      <c r="T127" s="9">
        <v>1545.4678500000002</v>
      </c>
      <c r="U127" s="9"/>
      <c r="V127" s="9"/>
      <c r="W127" s="15" t="s">
        <v>1345</v>
      </c>
      <c r="X127" s="15">
        <v>71867</v>
      </c>
      <c r="Y127" s="9" t="s">
        <v>233</v>
      </c>
      <c r="Z127" s="15" t="s">
        <v>1185</v>
      </c>
      <c r="AA127" s="142">
        <v>17</v>
      </c>
      <c r="AB127" s="20"/>
      <c r="AC127" s="8"/>
      <c r="AD127" s="8"/>
      <c r="AE127" s="21"/>
      <c r="AF127" s="20"/>
      <c r="AG127" s="8"/>
      <c r="AH127" s="8"/>
      <c r="AI127" s="21"/>
    </row>
    <row r="128" spans="1:35" hidden="1" x14ac:dyDescent="0.25">
      <c r="A128" s="15">
        <v>2014</v>
      </c>
      <c r="B128" s="104" t="s">
        <v>228</v>
      </c>
      <c r="C128" s="377" t="s">
        <v>1319</v>
      </c>
      <c r="D128" s="9" t="s">
        <v>230</v>
      </c>
      <c r="E128" s="9"/>
      <c r="F128" s="15" t="s">
        <v>1346</v>
      </c>
      <c r="G128" s="15"/>
      <c r="H128" s="15" t="s">
        <v>31</v>
      </c>
      <c r="I128" s="9"/>
      <c r="J128" s="9">
        <v>1E-4</v>
      </c>
      <c r="K128" s="9">
        <v>9.0000000000000008E-4</v>
      </c>
      <c r="L128" s="9">
        <v>9</v>
      </c>
      <c r="M128" s="9" t="s">
        <v>33</v>
      </c>
      <c r="N128" s="34">
        <f t="shared" si="5"/>
        <v>2.6460000000000004E-2</v>
      </c>
      <c r="O128" s="34">
        <f t="shared" si="6"/>
        <v>3.0870000000000002E-2</v>
      </c>
      <c r="P128" s="34">
        <f t="shared" si="7"/>
        <v>1.7640000000000003E-2</v>
      </c>
      <c r="Q128" s="34">
        <f t="shared" si="8"/>
        <v>1.3230000000000002E-2</v>
      </c>
      <c r="R128" s="138">
        <v>8.8200000000000014E-2</v>
      </c>
      <c r="S128" s="9">
        <v>171718.65</v>
      </c>
      <c r="T128" s="9">
        <v>154.546785</v>
      </c>
      <c r="U128" s="9"/>
      <c r="V128" s="9"/>
      <c r="W128" s="15" t="s">
        <v>1347</v>
      </c>
      <c r="X128" s="15">
        <v>71867</v>
      </c>
      <c r="Y128" s="9" t="s">
        <v>233</v>
      </c>
      <c r="Z128" s="15" t="s">
        <v>1346</v>
      </c>
      <c r="AA128" s="142">
        <v>18</v>
      </c>
      <c r="AB128" s="20"/>
      <c r="AC128" s="8"/>
      <c r="AD128" s="8"/>
      <c r="AE128" s="21"/>
      <c r="AF128" s="20"/>
      <c r="AG128" s="8"/>
      <c r="AH128" s="8"/>
      <c r="AI128" s="21"/>
    </row>
    <row r="129" spans="1:35" ht="45" hidden="1" x14ac:dyDescent="0.25">
      <c r="A129" s="15">
        <v>2015</v>
      </c>
      <c r="B129" s="104" t="s">
        <v>228</v>
      </c>
      <c r="C129" s="377" t="s">
        <v>1319</v>
      </c>
      <c r="D129" s="9" t="s">
        <v>230</v>
      </c>
      <c r="E129" s="9"/>
      <c r="F129" s="15" t="s">
        <v>1348</v>
      </c>
      <c r="G129" s="15"/>
      <c r="H129" s="15" t="s">
        <v>31</v>
      </c>
      <c r="I129" s="9"/>
      <c r="J129" s="9">
        <v>2.0000000000000001E-4</v>
      </c>
      <c r="K129" s="9">
        <v>9.3600000000000003E-2</v>
      </c>
      <c r="L129" s="9">
        <v>468</v>
      </c>
      <c r="M129" s="9" t="s">
        <v>51</v>
      </c>
      <c r="N129" s="34">
        <f t="shared" si="5"/>
        <v>2.7518400000000001</v>
      </c>
      <c r="O129" s="34">
        <f t="shared" si="6"/>
        <v>3.21048</v>
      </c>
      <c r="P129" s="34">
        <f t="shared" si="7"/>
        <v>1.8345600000000002</v>
      </c>
      <c r="Q129" s="34">
        <f t="shared" si="8"/>
        <v>1.37592</v>
      </c>
      <c r="R129" s="138">
        <v>9.1728000000000005</v>
      </c>
      <c r="S129" s="9">
        <v>171718.65</v>
      </c>
      <c r="T129" s="9">
        <v>16072.86564</v>
      </c>
      <c r="U129" s="9"/>
      <c r="V129" s="9"/>
      <c r="W129" s="15" t="s">
        <v>1349</v>
      </c>
      <c r="X129" s="15">
        <v>71867</v>
      </c>
      <c r="Y129" s="9" t="s">
        <v>233</v>
      </c>
      <c r="Z129" s="15" t="s">
        <v>1348</v>
      </c>
      <c r="AA129" s="142">
        <v>19</v>
      </c>
      <c r="AB129" s="20"/>
      <c r="AC129" s="8"/>
      <c r="AD129" s="8"/>
      <c r="AE129" s="21"/>
      <c r="AF129" s="20"/>
      <c r="AG129" s="8"/>
      <c r="AH129" s="8"/>
      <c r="AI129" s="21"/>
    </row>
    <row r="130" spans="1:35" ht="45" hidden="1" x14ac:dyDescent="0.25">
      <c r="A130" s="15">
        <v>2016</v>
      </c>
      <c r="B130" s="104" t="s">
        <v>228</v>
      </c>
      <c r="C130" s="377" t="s">
        <v>1319</v>
      </c>
      <c r="D130" s="9" t="s">
        <v>230</v>
      </c>
      <c r="E130" s="9"/>
      <c r="F130" s="15" t="s">
        <v>1350</v>
      </c>
      <c r="G130" s="15"/>
      <c r="H130" s="15" t="s">
        <v>31</v>
      </c>
      <c r="I130" s="9"/>
      <c r="J130" s="9">
        <v>8.0000000000000007E-5</v>
      </c>
      <c r="K130" s="9">
        <v>1.4880000000000001E-2</v>
      </c>
      <c r="L130" s="9">
        <v>186</v>
      </c>
      <c r="M130" s="9" t="s">
        <v>51</v>
      </c>
      <c r="N130" s="34">
        <f t="shared" si="5"/>
        <v>0.43747199999999997</v>
      </c>
      <c r="O130" s="34">
        <f t="shared" si="6"/>
        <v>0.51038399999999995</v>
      </c>
      <c r="P130" s="34">
        <f t="shared" si="7"/>
        <v>0.29164800000000002</v>
      </c>
      <c r="Q130" s="34">
        <f t="shared" si="8"/>
        <v>0.21873599999999999</v>
      </c>
      <c r="R130" s="138">
        <v>1.45824</v>
      </c>
      <c r="S130" s="9">
        <v>171718.65</v>
      </c>
      <c r="T130" s="9">
        <v>2555.1735119999998</v>
      </c>
      <c r="U130" s="9"/>
      <c r="V130" s="9"/>
      <c r="W130" s="15" t="s">
        <v>401</v>
      </c>
      <c r="X130" s="15">
        <v>71867</v>
      </c>
      <c r="Y130" s="9" t="s">
        <v>233</v>
      </c>
      <c r="Z130" s="15" t="s">
        <v>1350</v>
      </c>
      <c r="AA130" s="142">
        <v>20</v>
      </c>
      <c r="AB130" s="20"/>
      <c r="AC130" s="8"/>
      <c r="AD130" s="8"/>
      <c r="AE130" s="21"/>
      <c r="AF130" s="20"/>
      <c r="AG130" s="8"/>
      <c r="AH130" s="8"/>
      <c r="AI130" s="21"/>
    </row>
    <row r="131" spans="1:35" ht="30" hidden="1" x14ac:dyDescent="0.25">
      <c r="A131" s="15">
        <v>2017</v>
      </c>
      <c r="B131" s="104" t="s">
        <v>228</v>
      </c>
      <c r="C131" s="377" t="s">
        <v>1319</v>
      </c>
      <c r="D131" s="9" t="s">
        <v>230</v>
      </c>
      <c r="E131" s="9"/>
      <c r="F131" s="15" t="s">
        <v>1351</v>
      </c>
      <c r="G131" s="15"/>
      <c r="H131" s="15" t="s">
        <v>31</v>
      </c>
      <c r="I131" s="9"/>
      <c r="J131" s="9">
        <v>9.9999999999999995E-7</v>
      </c>
      <c r="K131" s="9">
        <v>2.8800000000000001E-4</v>
      </c>
      <c r="L131" s="9">
        <v>288</v>
      </c>
      <c r="M131" s="9" t="s">
        <v>51</v>
      </c>
      <c r="N131" s="34">
        <f t="shared" si="5"/>
        <v>8.4671999999999994E-3</v>
      </c>
      <c r="O131" s="34">
        <f t="shared" si="6"/>
        <v>9.878399999999999E-3</v>
      </c>
      <c r="P131" s="34">
        <f t="shared" si="7"/>
        <v>5.6448000000000002E-3</v>
      </c>
      <c r="Q131" s="34">
        <f t="shared" si="8"/>
        <v>4.2335999999999997E-3</v>
      </c>
      <c r="R131" s="138">
        <v>2.8223999999999999E-2</v>
      </c>
      <c r="S131" s="9">
        <v>171718.65</v>
      </c>
      <c r="T131" s="9">
        <v>49.454971200000003</v>
      </c>
      <c r="U131" s="9"/>
      <c r="V131" s="9"/>
      <c r="W131" s="15" t="s">
        <v>1352</v>
      </c>
      <c r="X131" s="15">
        <v>71867</v>
      </c>
      <c r="Y131" s="9" t="s">
        <v>233</v>
      </c>
      <c r="Z131" s="15" t="s">
        <v>1351</v>
      </c>
      <c r="AA131" s="142">
        <v>21</v>
      </c>
      <c r="AB131" s="20"/>
      <c r="AC131" s="8"/>
      <c r="AD131" s="8"/>
      <c r="AE131" s="21"/>
      <c r="AF131" s="20"/>
      <c r="AG131" s="8"/>
      <c r="AH131" s="8"/>
      <c r="AI131" s="21"/>
    </row>
    <row r="132" spans="1:35" ht="60" hidden="1" x14ac:dyDescent="0.25">
      <c r="A132" s="15">
        <v>2018</v>
      </c>
      <c r="B132" s="104" t="s">
        <v>228</v>
      </c>
      <c r="C132" s="377" t="s">
        <v>1319</v>
      </c>
      <c r="D132" s="9" t="s">
        <v>230</v>
      </c>
      <c r="E132" s="9"/>
      <c r="F132" s="15" t="s">
        <v>1353</v>
      </c>
      <c r="G132" s="15"/>
      <c r="H132" s="15" t="s">
        <v>31</v>
      </c>
      <c r="I132" s="9"/>
      <c r="J132" s="9">
        <v>1E-3</v>
      </c>
      <c r="K132" s="9">
        <v>0.09</v>
      </c>
      <c r="L132" s="9">
        <v>90</v>
      </c>
      <c r="M132" s="9" t="s">
        <v>33</v>
      </c>
      <c r="N132" s="34">
        <f t="shared" si="5"/>
        <v>2.6459999999999999</v>
      </c>
      <c r="O132" s="34">
        <f t="shared" si="6"/>
        <v>3.0869999999999997</v>
      </c>
      <c r="P132" s="34">
        <f t="shared" si="7"/>
        <v>1.7640000000000002</v>
      </c>
      <c r="Q132" s="34">
        <f t="shared" si="8"/>
        <v>1.323</v>
      </c>
      <c r="R132" s="138">
        <v>8.82</v>
      </c>
      <c r="S132" s="9">
        <v>171718.65</v>
      </c>
      <c r="T132" s="9">
        <v>15454.678499999998</v>
      </c>
      <c r="U132" s="9"/>
      <c r="V132" s="9"/>
      <c r="W132" s="15" t="s">
        <v>709</v>
      </c>
      <c r="X132" s="15">
        <v>71867</v>
      </c>
      <c r="Y132" s="9" t="s">
        <v>233</v>
      </c>
      <c r="Z132" s="15" t="s">
        <v>1353</v>
      </c>
      <c r="AA132" s="142">
        <v>22</v>
      </c>
      <c r="AB132" s="20"/>
      <c r="AC132" s="8"/>
      <c r="AD132" s="8"/>
      <c r="AE132" s="21"/>
      <c r="AF132" s="20"/>
      <c r="AG132" s="8"/>
      <c r="AH132" s="8"/>
      <c r="AI132" s="21"/>
    </row>
    <row r="133" spans="1:35" ht="30" hidden="1" x14ac:dyDescent="0.25">
      <c r="A133" s="15">
        <v>2019</v>
      </c>
      <c r="B133" s="104" t="s">
        <v>228</v>
      </c>
      <c r="C133" s="377" t="s">
        <v>1319</v>
      </c>
      <c r="D133" s="9" t="s">
        <v>230</v>
      </c>
      <c r="E133" s="9"/>
      <c r="F133" s="15" t="s">
        <v>1354</v>
      </c>
      <c r="G133" s="15"/>
      <c r="H133" s="15" t="s">
        <v>31</v>
      </c>
      <c r="I133" s="9"/>
      <c r="J133" s="9">
        <v>1E-4</v>
      </c>
      <c r="K133" s="9">
        <v>2.7000000000000001E-3</v>
      </c>
      <c r="L133" s="9">
        <v>27</v>
      </c>
      <c r="M133" s="9" t="s">
        <v>33</v>
      </c>
      <c r="N133" s="34">
        <f t="shared" si="5"/>
        <v>7.9379999999999992E-2</v>
      </c>
      <c r="O133" s="34">
        <f t="shared" si="6"/>
        <v>9.2609999999999998E-2</v>
      </c>
      <c r="P133" s="34">
        <f t="shared" si="7"/>
        <v>5.2920000000000002E-2</v>
      </c>
      <c r="Q133" s="34">
        <f t="shared" si="8"/>
        <v>3.9689999999999996E-2</v>
      </c>
      <c r="R133" s="138">
        <v>0.2646</v>
      </c>
      <c r="S133" s="9">
        <v>171718.65</v>
      </c>
      <c r="T133" s="9">
        <v>463.640355</v>
      </c>
      <c r="U133" s="9"/>
      <c r="V133" s="9"/>
      <c r="W133" s="15" t="s">
        <v>361</v>
      </c>
      <c r="X133" s="15">
        <v>71867</v>
      </c>
      <c r="Y133" s="9" t="s">
        <v>233</v>
      </c>
      <c r="Z133" s="15" t="s">
        <v>1354</v>
      </c>
      <c r="AA133" s="142">
        <v>23</v>
      </c>
      <c r="AB133" s="20"/>
      <c r="AC133" s="8"/>
      <c r="AD133" s="8"/>
      <c r="AE133" s="21"/>
      <c r="AF133" s="20"/>
      <c r="AG133" s="8"/>
      <c r="AH133" s="8"/>
      <c r="AI133" s="21"/>
    </row>
    <row r="134" spans="1:35" ht="45" hidden="1" x14ac:dyDescent="0.25">
      <c r="A134" s="15">
        <v>2020</v>
      </c>
      <c r="B134" s="104" t="s">
        <v>228</v>
      </c>
      <c r="C134" s="377" t="s">
        <v>1319</v>
      </c>
      <c r="D134" s="9" t="s">
        <v>230</v>
      </c>
      <c r="E134" s="9"/>
      <c r="F134" s="15" t="s">
        <v>1355</v>
      </c>
      <c r="G134" s="15"/>
      <c r="H134" s="15" t="s">
        <v>31</v>
      </c>
      <c r="I134" s="9"/>
      <c r="J134" s="9">
        <v>1.0999999999999999E-2</v>
      </c>
      <c r="K134" s="9">
        <v>6.6000000000000003E-2</v>
      </c>
      <c r="L134" s="9">
        <v>6</v>
      </c>
      <c r="M134" s="9" t="s">
        <v>51</v>
      </c>
      <c r="N134" s="34">
        <f t="shared" ref="N134:N197" si="10">R134*0.3</f>
        <v>1.9403999999999999</v>
      </c>
      <c r="O134" s="34">
        <f t="shared" ref="O134:O197" si="11">R134*0.35</f>
        <v>2.2637999999999998</v>
      </c>
      <c r="P134" s="34">
        <f t="shared" ref="P134:P197" si="12">R134*0.2</f>
        <v>1.2936000000000001</v>
      </c>
      <c r="Q134" s="34">
        <f t="shared" ref="Q134:Q197" si="13">R134*0.15</f>
        <v>0.97019999999999995</v>
      </c>
      <c r="R134" s="138">
        <v>6.468</v>
      </c>
      <c r="S134" s="9">
        <v>171718.65</v>
      </c>
      <c r="T134" s="9">
        <v>11333.430899999999</v>
      </c>
      <c r="U134" s="9"/>
      <c r="V134" s="9"/>
      <c r="W134" s="15" t="s">
        <v>1356</v>
      </c>
      <c r="X134" s="15">
        <v>71867</v>
      </c>
      <c r="Y134" s="9" t="s">
        <v>233</v>
      </c>
      <c r="Z134" s="15" t="s">
        <v>1355</v>
      </c>
      <c r="AA134" s="142">
        <v>24</v>
      </c>
      <c r="AB134" s="20"/>
      <c r="AC134" s="8"/>
      <c r="AD134" s="8"/>
      <c r="AE134" s="21"/>
      <c r="AF134" s="20"/>
      <c r="AG134" s="8"/>
      <c r="AH134" s="8"/>
      <c r="AI134" s="21"/>
    </row>
    <row r="135" spans="1:35" ht="30" hidden="1" x14ac:dyDescent="0.25">
      <c r="A135" s="15">
        <v>2021</v>
      </c>
      <c r="B135" s="104" t="s">
        <v>228</v>
      </c>
      <c r="C135" s="377" t="s">
        <v>1319</v>
      </c>
      <c r="D135" s="9" t="s">
        <v>230</v>
      </c>
      <c r="E135" s="9"/>
      <c r="F135" s="15" t="s">
        <v>1357</v>
      </c>
      <c r="G135" s="15"/>
      <c r="H135" s="15" t="s">
        <v>31</v>
      </c>
      <c r="I135" s="9"/>
      <c r="J135" s="9">
        <v>1.6000000000000001E-4</v>
      </c>
      <c r="K135" s="9">
        <v>5.7600000000000004E-3</v>
      </c>
      <c r="L135" s="9">
        <v>36</v>
      </c>
      <c r="M135" s="9" t="s">
        <v>33</v>
      </c>
      <c r="N135" s="34">
        <f t="shared" si="10"/>
        <v>0.16934399999999999</v>
      </c>
      <c r="O135" s="34">
        <f t="shared" si="11"/>
        <v>0.19756799999999999</v>
      </c>
      <c r="P135" s="34">
        <f t="shared" si="12"/>
        <v>0.112896</v>
      </c>
      <c r="Q135" s="34">
        <f t="shared" si="13"/>
        <v>8.4671999999999997E-2</v>
      </c>
      <c r="R135" s="138">
        <v>0.56447999999999998</v>
      </c>
      <c r="S135" s="9">
        <v>171718.65</v>
      </c>
      <c r="T135" s="9">
        <v>989.099424</v>
      </c>
      <c r="U135" s="9"/>
      <c r="V135" s="9"/>
      <c r="W135" s="15" t="s">
        <v>341</v>
      </c>
      <c r="X135" s="15">
        <v>71867</v>
      </c>
      <c r="Y135" s="9" t="s">
        <v>233</v>
      </c>
      <c r="Z135" s="15" t="s">
        <v>1357</v>
      </c>
      <c r="AA135" s="142">
        <v>25</v>
      </c>
      <c r="AB135" s="20"/>
      <c r="AC135" s="8"/>
      <c r="AD135" s="8"/>
      <c r="AE135" s="21"/>
      <c r="AF135" s="20"/>
      <c r="AG135" s="8"/>
      <c r="AH135" s="8"/>
      <c r="AI135" s="21"/>
    </row>
    <row r="136" spans="1:35" ht="45" hidden="1" x14ac:dyDescent="0.25">
      <c r="A136" s="15">
        <v>2022</v>
      </c>
      <c r="B136" s="104" t="s">
        <v>228</v>
      </c>
      <c r="C136" s="377" t="s">
        <v>1319</v>
      </c>
      <c r="D136" s="9" t="s">
        <v>230</v>
      </c>
      <c r="E136" s="9"/>
      <c r="F136" s="15" t="s">
        <v>1358</v>
      </c>
      <c r="G136" s="15"/>
      <c r="H136" s="15" t="s">
        <v>31</v>
      </c>
      <c r="I136" s="9"/>
      <c r="J136" s="9">
        <v>3.5000000000000001E-3</v>
      </c>
      <c r="K136" s="9">
        <v>0.63</v>
      </c>
      <c r="L136" s="9">
        <v>180</v>
      </c>
      <c r="M136" s="9" t="s">
        <v>51</v>
      </c>
      <c r="N136" s="34">
        <f t="shared" si="10"/>
        <v>18.521999999999998</v>
      </c>
      <c r="O136" s="34">
        <f t="shared" si="11"/>
        <v>21.608999999999998</v>
      </c>
      <c r="P136" s="34">
        <f t="shared" si="12"/>
        <v>12.348000000000001</v>
      </c>
      <c r="Q136" s="34">
        <f t="shared" si="13"/>
        <v>9.2609999999999992</v>
      </c>
      <c r="R136" s="138">
        <v>61.74</v>
      </c>
      <c r="S136" s="9">
        <v>171718.65</v>
      </c>
      <c r="T136" s="9">
        <v>108182.74949999999</v>
      </c>
      <c r="U136" s="9"/>
      <c r="V136" s="9"/>
      <c r="W136" s="15" t="s">
        <v>1264</v>
      </c>
      <c r="X136" s="15">
        <v>71867</v>
      </c>
      <c r="Y136" s="9" t="s">
        <v>233</v>
      </c>
      <c r="Z136" s="15" t="s">
        <v>1358</v>
      </c>
      <c r="AA136" s="142">
        <v>26</v>
      </c>
      <c r="AB136" s="20"/>
      <c r="AC136" s="8"/>
      <c r="AD136" s="8"/>
      <c r="AE136" s="21"/>
      <c r="AF136" s="20"/>
      <c r="AG136" s="8"/>
      <c r="AH136" s="8"/>
      <c r="AI136" s="21"/>
    </row>
    <row r="137" spans="1:35" ht="30" hidden="1" x14ac:dyDescent="0.25">
      <c r="A137" s="15">
        <v>2023</v>
      </c>
      <c r="B137" s="104" t="s">
        <v>228</v>
      </c>
      <c r="C137" s="377" t="s">
        <v>1319</v>
      </c>
      <c r="D137" s="9" t="s">
        <v>230</v>
      </c>
      <c r="E137" s="9"/>
      <c r="F137" s="15" t="s">
        <v>1359</v>
      </c>
      <c r="G137" s="15"/>
      <c r="H137" s="15" t="s">
        <v>31</v>
      </c>
      <c r="I137" s="9"/>
      <c r="J137" s="9">
        <v>1.0000000000000001E-5</v>
      </c>
      <c r="K137" s="9">
        <v>6.0000000000000006E-4</v>
      </c>
      <c r="L137" s="9">
        <v>60</v>
      </c>
      <c r="M137" s="9" t="s">
        <v>33</v>
      </c>
      <c r="N137" s="34">
        <f t="shared" si="10"/>
        <v>1.7639999999999999E-2</v>
      </c>
      <c r="O137" s="34">
        <f t="shared" si="11"/>
        <v>2.0580000000000001E-2</v>
      </c>
      <c r="P137" s="34">
        <f t="shared" si="12"/>
        <v>1.1760000000000001E-2</v>
      </c>
      <c r="Q137" s="34">
        <f t="shared" si="13"/>
        <v>8.8199999999999997E-3</v>
      </c>
      <c r="R137" s="138">
        <v>5.8800000000000005E-2</v>
      </c>
      <c r="S137" s="9">
        <v>171718.65</v>
      </c>
      <c r="T137" s="9">
        <v>103.03119000000001</v>
      </c>
      <c r="U137" s="9"/>
      <c r="V137" s="9"/>
      <c r="W137" s="15" t="s">
        <v>385</v>
      </c>
      <c r="X137" s="15">
        <v>71867</v>
      </c>
      <c r="Y137" s="9" t="s">
        <v>233</v>
      </c>
      <c r="Z137" s="15" t="s">
        <v>1359</v>
      </c>
      <c r="AA137" s="142">
        <v>27</v>
      </c>
      <c r="AB137" s="20"/>
      <c r="AC137" s="8"/>
      <c r="AD137" s="8"/>
      <c r="AE137" s="21"/>
      <c r="AF137" s="20"/>
      <c r="AG137" s="8"/>
      <c r="AH137" s="8"/>
      <c r="AI137" s="21"/>
    </row>
    <row r="138" spans="1:35" ht="60" hidden="1" x14ac:dyDescent="0.25">
      <c r="A138" s="15">
        <v>2024</v>
      </c>
      <c r="B138" s="104" t="s">
        <v>228</v>
      </c>
      <c r="C138" s="377" t="s">
        <v>1319</v>
      </c>
      <c r="D138" s="9" t="s">
        <v>230</v>
      </c>
      <c r="E138" s="9"/>
      <c r="F138" s="15" t="s">
        <v>1360</v>
      </c>
      <c r="G138" s="15"/>
      <c r="H138" s="15" t="s">
        <v>31</v>
      </c>
      <c r="I138" s="9"/>
      <c r="J138" s="9">
        <v>2E-3</v>
      </c>
      <c r="K138" s="9">
        <v>0.18</v>
      </c>
      <c r="L138" s="9">
        <v>90</v>
      </c>
      <c r="M138" s="9" t="s">
        <v>33</v>
      </c>
      <c r="N138" s="34">
        <f t="shared" si="10"/>
        <v>5.2919999999999998</v>
      </c>
      <c r="O138" s="34">
        <f t="shared" si="11"/>
        <v>6.1739999999999995</v>
      </c>
      <c r="P138" s="34">
        <f t="shared" si="12"/>
        <v>3.5280000000000005</v>
      </c>
      <c r="Q138" s="34">
        <f t="shared" si="13"/>
        <v>2.6459999999999999</v>
      </c>
      <c r="R138" s="138">
        <v>17.64</v>
      </c>
      <c r="S138" s="9">
        <v>171718.65</v>
      </c>
      <c r="T138" s="9">
        <v>30909.356999999996</v>
      </c>
      <c r="U138" s="9"/>
      <c r="V138" s="9"/>
      <c r="W138" s="15" t="s">
        <v>371</v>
      </c>
      <c r="X138" s="15">
        <v>71867</v>
      </c>
      <c r="Y138" s="9" t="s">
        <v>233</v>
      </c>
      <c r="Z138" s="15" t="s">
        <v>1360</v>
      </c>
      <c r="AA138" s="142">
        <v>28</v>
      </c>
      <c r="AB138" s="20"/>
      <c r="AC138" s="8"/>
      <c r="AD138" s="8"/>
      <c r="AE138" s="21"/>
      <c r="AF138" s="20"/>
      <c r="AG138" s="8"/>
      <c r="AH138" s="8"/>
      <c r="AI138" s="21"/>
    </row>
    <row r="139" spans="1:35" ht="30" hidden="1" x14ac:dyDescent="0.25">
      <c r="A139" s="15">
        <v>2025</v>
      </c>
      <c r="B139" s="104" t="s">
        <v>228</v>
      </c>
      <c r="C139" s="377" t="s">
        <v>1319</v>
      </c>
      <c r="D139" s="9" t="s">
        <v>230</v>
      </c>
      <c r="E139" s="9"/>
      <c r="F139" s="15" t="s">
        <v>1361</v>
      </c>
      <c r="G139" s="15"/>
      <c r="H139" s="15" t="s">
        <v>31</v>
      </c>
      <c r="I139" s="9"/>
      <c r="J139" s="9">
        <v>1E-4</v>
      </c>
      <c r="K139" s="9">
        <v>4.2000000000000006E-3</v>
      </c>
      <c r="L139" s="9">
        <v>42</v>
      </c>
      <c r="M139" s="9" t="s">
        <v>33</v>
      </c>
      <c r="N139" s="34">
        <f t="shared" si="10"/>
        <v>0.12348000000000002</v>
      </c>
      <c r="O139" s="34">
        <f t="shared" si="11"/>
        <v>0.14406000000000002</v>
      </c>
      <c r="P139" s="34">
        <f t="shared" si="12"/>
        <v>8.2320000000000018E-2</v>
      </c>
      <c r="Q139" s="34">
        <f t="shared" si="13"/>
        <v>6.174000000000001E-2</v>
      </c>
      <c r="R139" s="138">
        <v>0.41160000000000008</v>
      </c>
      <c r="S139" s="9">
        <v>171718.65</v>
      </c>
      <c r="T139" s="9">
        <v>721.21833000000004</v>
      </c>
      <c r="U139" s="9"/>
      <c r="V139" s="9"/>
      <c r="W139" s="15" t="s">
        <v>1362</v>
      </c>
      <c r="X139" s="15">
        <v>71867</v>
      </c>
      <c r="Y139" s="9" t="s">
        <v>233</v>
      </c>
      <c r="Z139" s="15" t="s">
        <v>1361</v>
      </c>
      <c r="AA139" s="142">
        <v>29</v>
      </c>
      <c r="AB139" s="20"/>
      <c r="AC139" s="8"/>
      <c r="AD139" s="8"/>
      <c r="AE139" s="21"/>
      <c r="AF139" s="20"/>
      <c r="AG139" s="8"/>
      <c r="AH139" s="8"/>
      <c r="AI139" s="21"/>
    </row>
    <row r="140" spans="1:35" ht="30" hidden="1" x14ac:dyDescent="0.25">
      <c r="A140" s="15">
        <v>2026</v>
      </c>
      <c r="B140" s="104" t="s">
        <v>228</v>
      </c>
      <c r="C140" s="377" t="s">
        <v>1319</v>
      </c>
      <c r="D140" s="9" t="s">
        <v>230</v>
      </c>
      <c r="E140" s="9"/>
      <c r="F140" s="15" t="s">
        <v>1363</v>
      </c>
      <c r="G140" s="15"/>
      <c r="H140" s="15" t="s">
        <v>31</v>
      </c>
      <c r="I140" s="9"/>
      <c r="J140" s="9">
        <v>9.9999999999999995E-7</v>
      </c>
      <c r="K140" s="9">
        <v>4.8000000000000001E-5</v>
      </c>
      <c r="L140" s="9">
        <v>48</v>
      </c>
      <c r="M140" s="9" t="s">
        <v>33</v>
      </c>
      <c r="N140" s="34">
        <f t="shared" si="10"/>
        <v>1.4111999999999998E-3</v>
      </c>
      <c r="O140" s="34">
        <f t="shared" si="11"/>
        <v>1.6463999999999999E-3</v>
      </c>
      <c r="P140" s="34">
        <f t="shared" si="12"/>
        <v>9.4079999999999999E-4</v>
      </c>
      <c r="Q140" s="34">
        <f t="shared" si="13"/>
        <v>7.0559999999999991E-4</v>
      </c>
      <c r="R140" s="138">
        <v>4.7039999999999998E-3</v>
      </c>
      <c r="S140" s="9">
        <v>171718.65</v>
      </c>
      <c r="T140" s="9">
        <v>8.2424952000000005</v>
      </c>
      <c r="U140" s="9"/>
      <c r="V140" s="9"/>
      <c r="W140" s="15" t="s">
        <v>339</v>
      </c>
      <c r="X140" s="15">
        <v>71867</v>
      </c>
      <c r="Y140" s="9" t="s">
        <v>233</v>
      </c>
      <c r="Z140" s="15" t="s">
        <v>1363</v>
      </c>
      <c r="AA140" s="142">
        <v>30</v>
      </c>
      <c r="AB140" s="20"/>
      <c r="AC140" s="8"/>
      <c r="AD140" s="8"/>
      <c r="AE140" s="21"/>
      <c r="AF140" s="20"/>
      <c r="AG140" s="8"/>
      <c r="AH140" s="8"/>
      <c r="AI140" s="21"/>
    </row>
    <row r="141" spans="1:35" ht="30" hidden="1" x14ac:dyDescent="0.25">
      <c r="A141" s="15">
        <v>2027</v>
      </c>
      <c r="B141" s="104" t="s">
        <v>228</v>
      </c>
      <c r="C141" s="377" t="s">
        <v>1319</v>
      </c>
      <c r="D141" s="9" t="s">
        <v>230</v>
      </c>
      <c r="E141" s="9"/>
      <c r="F141" s="15" t="s">
        <v>1364</v>
      </c>
      <c r="G141" s="15"/>
      <c r="H141" s="15" t="s">
        <v>31</v>
      </c>
      <c r="I141" s="9"/>
      <c r="J141" s="9">
        <v>9.9999999999999995E-7</v>
      </c>
      <c r="K141" s="9">
        <v>4.1999999999999998E-5</v>
      </c>
      <c r="L141" s="9">
        <v>42</v>
      </c>
      <c r="M141" s="9" t="s">
        <v>33</v>
      </c>
      <c r="N141" s="34">
        <f t="shared" si="10"/>
        <v>1.2347999999999999E-3</v>
      </c>
      <c r="O141" s="34">
        <f t="shared" si="11"/>
        <v>1.4405999999999998E-3</v>
      </c>
      <c r="P141" s="34">
        <f t="shared" si="12"/>
        <v>8.2320000000000006E-4</v>
      </c>
      <c r="Q141" s="34">
        <f t="shared" si="13"/>
        <v>6.1739999999999994E-4</v>
      </c>
      <c r="R141" s="138">
        <v>4.1159999999999999E-3</v>
      </c>
      <c r="S141" s="9">
        <v>171718.65</v>
      </c>
      <c r="T141" s="9">
        <v>7.2121832999999995</v>
      </c>
      <c r="U141" s="9"/>
      <c r="V141" s="9"/>
      <c r="W141" s="15" t="s">
        <v>335</v>
      </c>
      <c r="X141" s="15">
        <v>71867</v>
      </c>
      <c r="Y141" s="9" t="s">
        <v>233</v>
      </c>
      <c r="Z141" s="15" t="s">
        <v>1364</v>
      </c>
      <c r="AA141" s="142">
        <v>31</v>
      </c>
      <c r="AB141" s="20"/>
      <c r="AC141" s="8"/>
      <c r="AD141" s="8"/>
      <c r="AE141" s="21"/>
      <c r="AF141" s="20"/>
      <c r="AG141" s="8"/>
      <c r="AH141" s="8"/>
      <c r="AI141" s="21"/>
    </row>
    <row r="142" spans="1:35" ht="45" hidden="1" x14ac:dyDescent="0.25">
      <c r="A142" s="15">
        <v>2028</v>
      </c>
      <c r="B142" s="104" t="s">
        <v>228</v>
      </c>
      <c r="C142" s="377" t="s">
        <v>1319</v>
      </c>
      <c r="D142" s="9" t="s">
        <v>230</v>
      </c>
      <c r="E142" s="9"/>
      <c r="F142" s="15" t="s">
        <v>1365</v>
      </c>
      <c r="G142" s="15"/>
      <c r="H142" s="15" t="s">
        <v>31</v>
      </c>
      <c r="I142" s="9"/>
      <c r="J142" s="9">
        <v>1E-4</v>
      </c>
      <c r="K142" s="9">
        <v>1.5E-3</v>
      </c>
      <c r="L142" s="9">
        <v>15</v>
      </c>
      <c r="M142" s="9" t="s">
        <v>33</v>
      </c>
      <c r="N142" s="34">
        <f t="shared" si="10"/>
        <v>4.4099999999999993E-2</v>
      </c>
      <c r="O142" s="34">
        <f t="shared" si="11"/>
        <v>5.1449999999999996E-2</v>
      </c>
      <c r="P142" s="34">
        <f t="shared" si="12"/>
        <v>2.9399999999999999E-2</v>
      </c>
      <c r="Q142" s="34">
        <f t="shared" si="13"/>
        <v>2.2049999999999997E-2</v>
      </c>
      <c r="R142" s="138">
        <v>0.14699999999999999</v>
      </c>
      <c r="S142" s="9">
        <v>171718.65</v>
      </c>
      <c r="T142" s="9">
        <v>257.57797499999998</v>
      </c>
      <c r="U142" s="9"/>
      <c r="V142" s="9"/>
      <c r="W142" s="15" t="s">
        <v>1366</v>
      </c>
      <c r="X142" s="15">
        <v>71867</v>
      </c>
      <c r="Y142" s="9" t="s">
        <v>233</v>
      </c>
      <c r="Z142" s="15" t="s">
        <v>1365</v>
      </c>
      <c r="AA142" s="142">
        <v>32</v>
      </c>
      <c r="AB142" s="20"/>
      <c r="AC142" s="8"/>
      <c r="AD142" s="8"/>
      <c r="AE142" s="21"/>
      <c r="AF142" s="20"/>
      <c r="AG142" s="8"/>
      <c r="AH142" s="8"/>
      <c r="AI142" s="21"/>
    </row>
    <row r="143" spans="1:35" ht="45" hidden="1" x14ac:dyDescent="0.25">
      <c r="A143" s="15">
        <v>2029</v>
      </c>
      <c r="B143" s="104" t="s">
        <v>228</v>
      </c>
      <c r="C143" s="377" t="s">
        <v>1319</v>
      </c>
      <c r="D143" s="9" t="s">
        <v>230</v>
      </c>
      <c r="E143" s="9"/>
      <c r="F143" s="15" t="s">
        <v>1367</v>
      </c>
      <c r="G143" s="15"/>
      <c r="H143" s="15" t="s">
        <v>31</v>
      </c>
      <c r="I143" s="9"/>
      <c r="J143" s="9">
        <v>2.0000000000000001E-4</v>
      </c>
      <c r="K143" s="9">
        <v>1.8000000000000002E-3</v>
      </c>
      <c r="L143" s="9">
        <v>9</v>
      </c>
      <c r="M143" s="9" t="s">
        <v>33</v>
      </c>
      <c r="N143" s="34">
        <f t="shared" si="10"/>
        <v>5.2920000000000009E-2</v>
      </c>
      <c r="O143" s="34">
        <f t="shared" si="11"/>
        <v>6.1740000000000003E-2</v>
      </c>
      <c r="P143" s="34">
        <f t="shared" si="12"/>
        <v>3.5280000000000006E-2</v>
      </c>
      <c r="Q143" s="34">
        <f t="shared" si="13"/>
        <v>2.6460000000000004E-2</v>
      </c>
      <c r="R143" s="138">
        <v>0.17640000000000003</v>
      </c>
      <c r="S143" s="9">
        <v>171718.65</v>
      </c>
      <c r="T143" s="9">
        <v>309.09357</v>
      </c>
      <c r="U143" s="9"/>
      <c r="V143" s="9"/>
      <c r="W143" s="15" t="s">
        <v>337</v>
      </c>
      <c r="X143" s="15">
        <v>71867</v>
      </c>
      <c r="Y143" s="9" t="s">
        <v>233</v>
      </c>
      <c r="Z143" s="15" t="s">
        <v>1367</v>
      </c>
      <c r="AA143" s="142">
        <v>33</v>
      </c>
      <c r="AB143" s="20"/>
      <c r="AC143" s="8"/>
      <c r="AD143" s="8"/>
      <c r="AE143" s="21"/>
      <c r="AF143" s="20"/>
      <c r="AG143" s="8"/>
      <c r="AH143" s="8"/>
      <c r="AI143" s="21"/>
    </row>
    <row r="144" spans="1:35" ht="45" hidden="1" x14ac:dyDescent="0.25">
      <c r="A144" s="15">
        <v>2030</v>
      </c>
      <c r="B144" s="104" t="s">
        <v>228</v>
      </c>
      <c r="C144" s="377" t="s">
        <v>1319</v>
      </c>
      <c r="D144" s="9" t="s">
        <v>230</v>
      </c>
      <c r="E144" s="9"/>
      <c r="F144" s="15" t="s">
        <v>1368</v>
      </c>
      <c r="G144" s="15"/>
      <c r="H144" s="15" t="s">
        <v>31</v>
      </c>
      <c r="I144" s="9"/>
      <c r="J144" s="9">
        <v>1E-4</v>
      </c>
      <c r="K144" s="9">
        <v>3.0000000000000003E-4</v>
      </c>
      <c r="L144" s="9">
        <v>3</v>
      </c>
      <c r="M144" s="9" t="s">
        <v>33</v>
      </c>
      <c r="N144" s="34">
        <f t="shared" si="10"/>
        <v>8.8199999999999997E-3</v>
      </c>
      <c r="O144" s="34">
        <f t="shared" si="11"/>
        <v>1.0290000000000001E-2</v>
      </c>
      <c r="P144" s="34">
        <f t="shared" si="12"/>
        <v>5.8800000000000007E-3</v>
      </c>
      <c r="Q144" s="34">
        <f t="shared" si="13"/>
        <v>4.4099999999999999E-3</v>
      </c>
      <c r="R144" s="138">
        <v>2.9400000000000003E-2</v>
      </c>
      <c r="S144" s="9">
        <v>171718.65</v>
      </c>
      <c r="T144" s="9">
        <v>51.515595000000005</v>
      </c>
      <c r="U144" s="9"/>
      <c r="V144" s="9"/>
      <c r="W144" s="15" t="s">
        <v>1369</v>
      </c>
      <c r="X144" s="15">
        <v>71867</v>
      </c>
      <c r="Y144" s="9" t="s">
        <v>233</v>
      </c>
      <c r="Z144" s="15" t="s">
        <v>1368</v>
      </c>
      <c r="AA144" s="142">
        <v>34</v>
      </c>
      <c r="AB144" s="20"/>
      <c r="AC144" s="8"/>
      <c r="AD144" s="8"/>
      <c r="AE144" s="21"/>
      <c r="AF144" s="20"/>
      <c r="AG144" s="8"/>
      <c r="AH144" s="8"/>
      <c r="AI144" s="21"/>
    </row>
    <row r="145" spans="1:35" ht="30" hidden="1" x14ac:dyDescent="0.25">
      <c r="A145" s="15">
        <v>2031</v>
      </c>
      <c r="B145" s="104" t="s">
        <v>228</v>
      </c>
      <c r="C145" s="377" t="s">
        <v>1319</v>
      </c>
      <c r="D145" s="9" t="s">
        <v>230</v>
      </c>
      <c r="E145" s="9"/>
      <c r="F145" s="15" t="s">
        <v>1225</v>
      </c>
      <c r="G145" s="15"/>
      <c r="H145" s="15" t="s">
        <v>31</v>
      </c>
      <c r="I145" s="9"/>
      <c r="J145" s="9">
        <v>9.9999999999999995E-7</v>
      </c>
      <c r="K145" s="9">
        <v>9.0000000000000002E-6</v>
      </c>
      <c r="L145" s="9">
        <v>9</v>
      </c>
      <c r="M145" s="9" t="s">
        <v>33</v>
      </c>
      <c r="N145" s="34">
        <f t="shared" si="10"/>
        <v>2.6459999999999998E-4</v>
      </c>
      <c r="O145" s="34">
        <f t="shared" si="11"/>
        <v>3.0869999999999997E-4</v>
      </c>
      <c r="P145" s="34">
        <f t="shared" si="12"/>
        <v>1.7640000000000001E-4</v>
      </c>
      <c r="Q145" s="34">
        <f t="shared" si="13"/>
        <v>1.3229999999999999E-4</v>
      </c>
      <c r="R145" s="138">
        <v>8.8199999999999997E-4</v>
      </c>
      <c r="S145" s="9">
        <v>171718.65</v>
      </c>
      <c r="T145" s="9">
        <v>1.5454678500000001</v>
      </c>
      <c r="U145" s="9"/>
      <c r="V145" s="9"/>
      <c r="W145" s="15" t="s">
        <v>1226</v>
      </c>
      <c r="X145" s="15">
        <v>71867</v>
      </c>
      <c r="Y145" s="9" t="s">
        <v>233</v>
      </c>
      <c r="Z145" s="15" t="s">
        <v>1225</v>
      </c>
      <c r="AA145" s="142">
        <v>35</v>
      </c>
      <c r="AB145" s="20"/>
      <c r="AC145" s="8"/>
      <c r="AD145" s="8"/>
      <c r="AE145" s="21"/>
      <c r="AF145" s="20"/>
      <c r="AG145" s="8"/>
      <c r="AH145" s="8"/>
      <c r="AI145" s="21"/>
    </row>
    <row r="146" spans="1:35" ht="60" hidden="1" x14ac:dyDescent="0.25">
      <c r="A146" s="15">
        <v>2032</v>
      </c>
      <c r="B146" s="104" t="s">
        <v>228</v>
      </c>
      <c r="C146" s="377" t="s">
        <v>1319</v>
      </c>
      <c r="D146" s="9" t="s">
        <v>230</v>
      </c>
      <c r="E146" s="9"/>
      <c r="F146" s="15" t="s">
        <v>1370</v>
      </c>
      <c r="G146" s="15"/>
      <c r="H146" s="15" t="s">
        <v>31</v>
      </c>
      <c r="I146" s="9"/>
      <c r="J146" s="9">
        <v>5.0000000000000001E-4</v>
      </c>
      <c r="K146" s="9">
        <v>1.5E-3</v>
      </c>
      <c r="L146" s="9">
        <v>3</v>
      </c>
      <c r="M146" s="9" t="s">
        <v>33</v>
      </c>
      <c r="N146" s="34">
        <f t="shared" si="10"/>
        <v>4.4099999999999993E-2</v>
      </c>
      <c r="O146" s="34">
        <f t="shared" si="11"/>
        <v>5.1449999999999996E-2</v>
      </c>
      <c r="P146" s="34">
        <f t="shared" si="12"/>
        <v>2.9399999999999999E-2</v>
      </c>
      <c r="Q146" s="34">
        <f t="shared" si="13"/>
        <v>2.2049999999999997E-2</v>
      </c>
      <c r="R146" s="138">
        <v>0.14699999999999999</v>
      </c>
      <c r="S146" s="9">
        <v>171718.65</v>
      </c>
      <c r="T146" s="9">
        <v>257.57797499999998</v>
      </c>
      <c r="U146" s="9"/>
      <c r="V146" s="9"/>
      <c r="W146" s="15" t="s">
        <v>1371</v>
      </c>
      <c r="X146" s="15">
        <v>71867</v>
      </c>
      <c r="Y146" s="9" t="s">
        <v>233</v>
      </c>
      <c r="Z146" s="15" t="s">
        <v>1370</v>
      </c>
      <c r="AA146" s="142">
        <v>36</v>
      </c>
      <c r="AB146" s="20"/>
      <c r="AC146" s="8"/>
      <c r="AD146" s="8"/>
      <c r="AE146" s="21"/>
      <c r="AF146" s="20"/>
      <c r="AG146" s="8"/>
      <c r="AH146" s="8"/>
      <c r="AI146" s="21"/>
    </row>
    <row r="147" spans="1:35" ht="45" hidden="1" x14ac:dyDescent="0.25">
      <c r="A147" s="15">
        <v>2033</v>
      </c>
      <c r="B147" s="104" t="s">
        <v>228</v>
      </c>
      <c r="C147" s="377" t="s">
        <v>1319</v>
      </c>
      <c r="D147" s="9" t="s">
        <v>230</v>
      </c>
      <c r="E147" s="9"/>
      <c r="F147" s="15" t="s">
        <v>1372</v>
      </c>
      <c r="G147" s="15"/>
      <c r="H147" s="15" t="s">
        <v>31</v>
      </c>
      <c r="I147" s="9"/>
      <c r="J147" s="9">
        <v>4.0000000000000003E-5</v>
      </c>
      <c r="K147" s="9">
        <v>1.2000000000000002E-4</v>
      </c>
      <c r="L147" s="9">
        <v>3</v>
      </c>
      <c r="M147" s="9" t="s">
        <v>33</v>
      </c>
      <c r="N147" s="34">
        <f t="shared" si="10"/>
        <v>3.5280000000000003E-3</v>
      </c>
      <c r="O147" s="34">
        <f t="shared" si="11"/>
        <v>4.1159999999999999E-3</v>
      </c>
      <c r="P147" s="34">
        <f t="shared" si="12"/>
        <v>2.3520000000000004E-3</v>
      </c>
      <c r="Q147" s="34">
        <f t="shared" si="13"/>
        <v>1.7640000000000002E-3</v>
      </c>
      <c r="R147" s="138">
        <v>1.1760000000000001E-2</v>
      </c>
      <c r="S147" s="9">
        <v>171718.65</v>
      </c>
      <c r="T147" s="9">
        <v>20.606238000000001</v>
      </c>
      <c r="U147" s="9"/>
      <c r="V147" s="9"/>
      <c r="W147" s="15" t="s">
        <v>1373</v>
      </c>
      <c r="X147" s="15">
        <v>71867</v>
      </c>
      <c r="Y147" s="9" t="s">
        <v>233</v>
      </c>
      <c r="Z147" s="15" t="s">
        <v>1372</v>
      </c>
      <c r="AA147" s="142">
        <v>37</v>
      </c>
      <c r="AB147" s="20"/>
      <c r="AC147" s="8"/>
      <c r="AD147" s="8"/>
      <c r="AE147" s="21"/>
      <c r="AF147" s="20"/>
      <c r="AG147" s="8"/>
      <c r="AH147" s="8"/>
      <c r="AI147" s="21"/>
    </row>
    <row r="148" spans="1:35" ht="60" hidden="1" x14ac:dyDescent="0.25">
      <c r="A148" s="15">
        <v>2034</v>
      </c>
      <c r="B148" s="104" t="s">
        <v>228</v>
      </c>
      <c r="C148" s="377" t="s">
        <v>1319</v>
      </c>
      <c r="D148" s="9" t="s">
        <v>230</v>
      </c>
      <c r="E148" s="9"/>
      <c r="F148" s="15" t="s">
        <v>1374</v>
      </c>
      <c r="G148" s="15"/>
      <c r="H148" s="15" t="s">
        <v>31</v>
      </c>
      <c r="I148" s="9"/>
      <c r="J148" s="9">
        <v>1E-4</v>
      </c>
      <c r="K148" s="9">
        <v>3.0000000000000003E-4</v>
      </c>
      <c r="L148" s="9">
        <v>3</v>
      </c>
      <c r="M148" s="9" t="s">
        <v>33</v>
      </c>
      <c r="N148" s="34">
        <f t="shared" si="10"/>
        <v>8.8199999999999997E-3</v>
      </c>
      <c r="O148" s="34">
        <f t="shared" si="11"/>
        <v>1.0290000000000001E-2</v>
      </c>
      <c r="P148" s="34">
        <f t="shared" si="12"/>
        <v>5.8800000000000007E-3</v>
      </c>
      <c r="Q148" s="34">
        <f t="shared" si="13"/>
        <v>4.4099999999999999E-3</v>
      </c>
      <c r="R148" s="138">
        <v>2.9400000000000003E-2</v>
      </c>
      <c r="S148" s="9">
        <v>171718.65</v>
      </c>
      <c r="T148" s="9">
        <v>51.515595000000005</v>
      </c>
      <c r="U148" s="9"/>
      <c r="V148" s="9"/>
      <c r="W148" s="15" t="s">
        <v>1375</v>
      </c>
      <c r="X148" s="15">
        <v>71867</v>
      </c>
      <c r="Y148" s="9" t="s">
        <v>233</v>
      </c>
      <c r="Z148" s="15" t="s">
        <v>1374</v>
      </c>
      <c r="AA148" s="142">
        <v>38</v>
      </c>
      <c r="AB148" s="20"/>
      <c r="AC148" s="8"/>
      <c r="AD148" s="8"/>
      <c r="AE148" s="21"/>
      <c r="AF148" s="20"/>
      <c r="AG148" s="8"/>
      <c r="AH148" s="8"/>
      <c r="AI148" s="21"/>
    </row>
    <row r="149" spans="1:35" ht="60" hidden="1" x14ac:dyDescent="0.25">
      <c r="A149" s="15">
        <v>2035</v>
      </c>
      <c r="B149" s="104" t="s">
        <v>228</v>
      </c>
      <c r="C149" s="377" t="s">
        <v>1319</v>
      </c>
      <c r="D149" s="9" t="s">
        <v>230</v>
      </c>
      <c r="E149" s="9"/>
      <c r="F149" s="15" t="s">
        <v>1376</v>
      </c>
      <c r="G149" s="15"/>
      <c r="H149" s="15" t="s">
        <v>31</v>
      </c>
      <c r="I149" s="9"/>
      <c r="J149" s="9">
        <v>1.0000000000000001E-5</v>
      </c>
      <c r="K149" s="9">
        <v>3.0000000000000004E-5</v>
      </c>
      <c r="L149" s="9">
        <v>3</v>
      </c>
      <c r="M149" s="9" t="s">
        <v>33</v>
      </c>
      <c r="N149" s="34">
        <f t="shared" si="10"/>
        <v>8.8200000000000008E-4</v>
      </c>
      <c r="O149" s="34">
        <f t="shared" si="11"/>
        <v>1.029E-3</v>
      </c>
      <c r="P149" s="34">
        <f t="shared" si="12"/>
        <v>5.8800000000000009E-4</v>
      </c>
      <c r="Q149" s="34">
        <f t="shared" si="13"/>
        <v>4.4100000000000004E-4</v>
      </c>
      <c r="R149" s="138">
        <v>2.9400000000000003E-3</v>
      </c>
      <c r="S149" s="9">
        <v>171718.65</v>
      </c>
      <c r="T149" s="9">
        <v>5.1515595000000003</v>
      </c>
      <c r="U149" s="9"/>
      <c r="V149" s="9"/>
      <c r="W149" s="15" t="s">
        <v>1377</v>
      </c>
      <c r="X149" s="15">
        <v>71867</v>
      </c>
      <c r="Y149" s="9" t="s">
        <v>233</v>
      </c>
      <c r="Z149" s="15" t="s">
        <v>1376</v>
      </c>
      <c r="AA149" s="142">
        <v>39</v>
      </c>
      <c r="AB149" s="20"/>
      <c r="AC149" s="8"/>
      <c r="AD149" s="8"/>
      <c r="AE149" s="21"/>
      <c r="AF149" s="20"/>
      <c r="AG149" s="8"/>
      <c r="AH149" s="8"/>
      <c r="AI149" s="21"/>
    </row>
    <row r="150" spans="1:35" ht="60" hidden="1" x14ac:dyDescent="0.25">
      <c r="A150" s="15">
        <v>2036</v>
      </c>
      <c r="B150" s="104" t="s">
        <v>228</v>
      </c>
      <c r="C150" s="377" t="s">
        <v>1319</v>
      </c>
      <c r="D150" s="9" t="s">
        <v>230</v>
      </c>
      <c r="E150" s="9"/>
      <c r="F150" s="15" t="s">
        <v>1378</v>
      </c>
      <c r="G150" s="15"/>
      <c r="H150" s="15" t="s">
        <v>31</v>
      </c>
      <c r="I150" s="9"/>
      <c r="J150" s="9">
        <v>9.9999999999999995E-7</v>
      </c>
      <c r="K150" s="9">
        <v>3.6000000000000001E-5</v>
      </c>
      <c r="L150" s="9">
        <v>36</v>
      </c>
      <c r="M150" s="9" t="s">
        <v>33</v>
      </c>
      <c r="N150" s="34">
        <f t="shared" si="10"/>
        <v>1.0583999999999999E-3</v>
      </c>
      <c r="O150" s="34">
        <f t="shared" si="11"/>
        <v>1.2347999999999999E-3</v>
      </c>
      <c r="P150" s="34">
        <f t="shared" si="12"/>
        <v>7.0560000000000002E-4</v>
      </c>
      <c r="Q150" s="34">
        <f t="shared" si="13"/>
        <v>5.2919999999999996E-4</v>
      </c>
      <c r="R150" s="138">
        <v>3.5279999999999999E-3</v>
      </c>
      <c r="S150" s="9">
        <v>171718.65</v>
      </c>
      <c r="T150" s="9">
        <v>6.1818714000000003</v>
      </c>
      <c r="U150" s="9"/>
      <c r="V150" s="9"/>
      <c r="W150" s="15" t="s">
        <v>1379</v>
      </c>
      <c r="X150" s="15">
        <v>71867</v>
      </c>
      <c r="Y150" s="9" t="s">
        <v>233</v>
      </c>
      <c r="Z150" s="15" t="s">
        <v>1378</v>
      </c>
      <c r="AA150" s="142">
        <v>40</v>
      </c>
      <c r="AB150" s="20"/>
      <c r="AC150" s="8"/>
      <c r="AD150" s="8"/>
      <c r="AE150" s="21"/>
      <c r="AF150" s="20"/>
      <c r="AG150" s="8"/>
      <c r="AH150" s="8"/>
      <c r="AI150" s="21"/>
    </row>
    <row r="151" spans="1:35" ht="45" hidden="1" x14ac:dyDescent="0.25">
      <c r="A151" s="15">
        <v>2037</v>
      </c>
      <c r="B151" s="104" t="s">
        <v>228</v>
      </c>
      <c r="C151" s="377" t="s">
        <v>1319</v>
      </c>
      <c r="D151" s="9" t="s">
        <v>230</v>
      </c>
      <c r="E151" s="9"/>
      <c r="F151" s="15" t="s">
        <v>1380</v>
      </c>
      <c r="G151" s="15"/>
      <c r="H151" s="15" t="s">
        <v>31</v>
      </c>
      <c r="I151" s="9"/>
      <c r="J151" s="9">
        <v>9.9999999999999995E-7</v>
      </c>
      <c r="K151" s="9">
        <v>3.6000000000000001E-5</v>
      </c>
      <c r="L151" s="9">
        <v>36</v>
      </c>
      <c r="M151" s="9" t="s">
        <v>33</v>
      </c>
      <c r="N151" s="34">
        <f t="shared" si="10"/>
        <v>1.0583999999999999E-3</v>
      </c>
      <c r="O151" s="34">
        <f t="shared" si="11"/>
        <v>1.2347999999999999E-3</v>
      </c>
      <c r="P151" s="34">
        <f t="shared" si="12"/>
        <v>7.0560000000000002E-4</v>
      </c>
      <c r="Q151" s="34">
        <f t="shared" si="13"/>
        <v>5.2919999999999996E-4</v>
      </c>
      <c r="R151" s="138">
        <v>3.5279999999999999E-3</v>
      </c>
      <c r="S151" s="9">
        <v>171718.65</v>
      </c>
      <c r="T151" s="9">
        <v>6.1818714000000003</v>
      </c>
      <c r="U151" s="9"/>
      <c r="V151" s="9"/>
      <c r="W151" s="15" t="s">
        <v>1381</v>
      </c>
      <c r="X151" s="15">
        <v>71867</v>
      </c>
      <c r="Y151" s="9" t="s">
        <v>233</v>
      </c>
      <c r="Z151" s="15" t="s">
        <v>1380</v>
      </c>
      <c r="AA151" s="142">
        <v>41</v>
      </c>
      <c r="AB151" s="20"/>
      <c r="AC151" s="8"/>
      <c r="AD151" s="8"/>
      <c r="AE151" s="21"/>
      <c r="AF151" s="20"/>
      <c r="AG151" s="8"/>
      <c r="AH151" s="8"/>
      <c r="AI151" s="21"/>
    </row>
    <row r="152" spans="1:35" ht="60" hidden="1" x14ac:dyDescent="0.25">
      <c r="A152" s="15">
        <v>2038</v>
      </c>
      <c r="B152" s="104" t="s">
        <v>228</v>
      </c>
      <c r="C152" s="377" t="s">
        <v>1319</v>
      </c>
      <c r="D152" s="9" t="s">
        <v>230</v>
      </c>
      <c r="E152" s="9"/>
      <c r="F152" s="15" t="s">
        <v>1382</v>
      </c>
      <c r="G152" s="15"/>
      <c r="H152" s="15" t="s">
        <v>31</v>
      </c>
      <c r="I152" s="9"/>
      <c r="J152" s="9">
        <v>1E-4</v>
      </c>
      <c r="K152" s="9">
        <v>1.2000000000000001E-3</v>
      </c>
      <c r="L152" s="9">
        <v>12</v>
      </c>
      <c r="M152" s="9" t="s">
        <v>33</v>
      </c>
      <c r="N152" s="34">
        <f t="shared" si="10"/>
        <v>3.5279999999999999E-2</v>
      </c>
      <c r="O152" s="34">
        <f t="shared" si="11"/>
        <v>4.1160000000000002E-2</v>
      </c>
      <c r="P152" s="34">
        <f t="shared" si="12"/>
        <v>2.3520000000000003E-2</v>
      </c>
      <c r="Q152" s="34">
        <f t="shared" si="13"/>
        <v>1.7639999999999999E-2</v>
      </c>
      <c r="R152" s="138">
        <v>0.11760000000000001</v>
      </c>
      <c r="S152" s="9">
        <v>171718.65</v>
      </c>
      <c r="T152" s="9">
        <v>206.06238000000002</v>
      </c>
      <c r="U152" s="9"/>
      <c r="V152" s="9"/>
      <c r="W152" s="15" t="s">
        <v>1383</v>
      </c>
      <c r="X152" s="15">
        <v>71867</v>
      </c>
      <c r="Y152" s="9" t="s">
        <v>233</v>
      </c>
      <c r="Z152" s="15" t="s">
        <v>1382</v>
      </c>
      <c r="AA152" s="142">
        <v>42</v>
      </c>
      <c r="AB152" s="20"/>
      <c r="AC152" s="8"/>
      <c r="AD152" s="8"/>
      <c r="AE152" s="21"/>
      <c r="AF152" s="20"/>
      <c r="AG152" s="8"/>
      <c r="AH152" s="8"/>
      <c r="AI152" s="21"/>
    </row>
    <row r="153" spans="1:35" ht="45" hidden="1" x14ac:dyDescent="0.25">
      <c r="A153" s="15">
        <v>2039</v>
      </c>
      <c r="B153" s="104" t="s">
        <v>228</v>
      </c>
      <c r="C153" s="377" t="s">
        <v>1319</v>
      </c>
      <c r="D153" s="9" t="s">
        <v>230</v>
      </c>
      <c r="E153" s="9"/>
      <c r="F153" s="15" t="s">
        <v>1384</v>
      </c>
      <c r="G153" s="15"/>
      <c r="H153" s="15" t="s">
        <v>31</v>
      </c>
      <c r="I153" s="9"/>
      <c r="J153" s="9">
        <v>4.0000000000000001E-3</v>
      </c>
      <c r="K153" s="9">
        <v>2.4E-2</v>
      </c>
      <c r="L153" s="9">
        <v>6</v>
      </c>
      <c r="M153" s="9" t="s">
        <v>51</v>
      </c>
      <c r="N153" s="34">
        <f t="shared" si="10"/>
        <v>0.70559999999999989</v>
      </c>
      <c r="O153" s="34">
        <f t="shared" si="11"/>
        <v>0.82319999999999993</v>
      </c>
      <c r="P153" s="34">
        <f t="shared" si="12"/>
        <v>0.47039999999999998</v>
      </c>
      <c r="Q153" s="34">
        <f t="shared" si="13"/>
        <v>0.35279999999999995</v>
      </c>
      <c r="R153" s="138">
        <v>2.3519999999999999</v>
      </c>
      <c r="S153" s="9">
        <v>171718.65</v>
      </c>
      <c r="T153" s="9">
        <v>4121.2475999999997</v>
      </c>
      <c r="U153" s="9"/>
      <c r="V153" s="9"/>
      <c r="W153" s="15" t="s">
        <v>1385</v>
      </c>
      <c r="X153" s="15">
        <v>71867</v>
      </c>
      <c r="Y153" s="9" t="s">
        <v>233</v>
      </c>
      <c r="Z153" s="15" t="s">
        <v>1384</v>
      </c>
      <c r="AA153" s="142">
        <v>43</v>
      </c>
      <c r="AB153" s="20"/>
      <c r="AC153" s="8"/>
      <c r="AD153" s="8"/>
      <c r="AE153" s="21"/>
      <c r="AF153" s="20"/>
      <c r="AG153" s="8"/>
      <c r="AH153" s="8"/>
      <c r="AI153" s="21"/>
    </row>
    <row r="154" spans="1:35" ht="60" hidden="1" x14ac:dyDescent="0.25">
      <c r="A154" s="15">
        <v>2040</v>
      </c>
      <c r="B154" s="104" t="s">
        <v>228</v>
      </c>
      <c r="C154" s="377" t="s">
        <v>1319</v>
      </c>
      <c r="D154" s="9" t="s">
        <v>230</v>
      </c>
      <c r="E154" s="9"/>
      <c r="F154" s="15" t="s">
        <v>1386</v>
      </c>
      <c r="G154" s="15"/>
      <c r="H154" s="15" t="s">
        <v>31</v>
      </c>
      <c r="I154" s="9"/>
      <c r="J154" s="9">
        <v>5.0000000000000001E-4</v>
      </c>
      <c r="K154" s="9">
        <v>1.6500000000000001E-2</v>
      </c>
      <c r="L154" s="9">
        <v>33</v>
      </c>
      <c r="M154" s="9" t="s">
        <v>33</v>
      </c>
      <c r="N154" s="34">
        <f t="shared" si="10"/>
        <v>0.48509999999999998</v>
      </c>
      <c r="O154" s="34">
        <f t="shared" si="11"/>
        <v>0.56594999999999995</v>
      </c>
      <c r="P154" s="34">
        <f t="shared" si="12"/>
        <v>0.32340000000000002</v>
      </c>
      <c r="Q154" s="34">
        <f t="shared" si="13"/>
        <v>0.24254999999999999</v>
      </c>
      <c r="R154" s="138">
        <v>1.617</v>
      </c>
      <c r="S154" s="9">
        <v>171718.65</v>
      </c>
      <c r="T154" s="9">
        <v>2833.3577249999998</v>
      </c>
      <c r="U154" s="9"/>
      <c r="V154" s="9"/>
      <c r="W154" s="15" t="s">
        <v>1387</v>
      </c>
      <c r="X154" s="15">
        <v>71867</v>
      </c>
      <c r="Y154" s="9" t="s">
        <v>233</v>
      </c>
      <c r="Z154" s="15" t="s">
        <v>1386</v>
      </c>
      <c r="AA154" s="142">
        <v>44</v>
      </c>
      <c r="AB154" s="20"/>
      <c r="AC154" s="8"/>
      <c r="AD154" s="8"/>
      <c r="AE154" s="21"/>
      <c r="AF154" s="20"/>
      <c r="AG154" s="8"/>
      <c r="AH154" s="8"/>
      <c r="AI154" s="21"/>
    </row>
    <row r="155" spans="1:35" ht="45" hidden="1" x14ac:dyDescent="0.25">
      <c r="A155" s="15">
        <v>2041</v>
      </c>
      <c r="B155" s="104" t="s">
        <v>228</v>
      </c>
      <c r="C155" s="377" t="s">
        <v>1319</v>
      </c>
      <c r="D155" s="9" t="s">
        <v>230</v>
      </c>
      <c r="E155" s="9"/>
      <c r="F155" s="15" t="s">
        <v>1388</v>
      </c>
      <c r="G155" s="15"/>
      <c r="H155" s="15" t="s">
        <v>31</v>
      </c>
      <c r="I155" s="9"/>
      <c r="J155" s="9">
        <v>9.9999999999999995E-7</v>
      </c>
      <c r="K155" s="9">
        <v>1.2E-5</v>
      </c>
      <c r="L155" s="9">
        <v>12</v>
      </c>
      <c r="M155" s="9" t="s">
        <v>33</v>
      </c>
      <c r="N155" s="34">
        <f t="shared" si="10"/>
        <v>3.5279999999999996E-4</v>
      </c>
      <c r="O155" s="34">
        <f t="shared" si="11"/>
        <v>4.1159999999999998E-4</v>
      </c>
      <c r="P155" s="34">
        <f t="shared" si="12"/>
        <v>2.352E-4</v>
      </c>
      <c r="Q155" s="34">
        <f t="shared" si="13"/>
        <v>1.7639999999999998E-4</v>
      </c>
      <c r="R155" s="138">
        <v>1.176E-3</v>
      </c>
      <c r="S155" s="9">
        <v>171718.65</v>
      </c>
      <c r="T155" s="9">
        <v>2.0606238000000001</v>
      </c>
      <c r="U155" s="9"/>
      <c r="V155" s="9"/>
      <c r="W155" s="15" t="s">
        <v>1389</v>
      </c>
      <c r="X155" s="15">
        <v>71867</v>
      </c>
      <c r="Y155" s="9" t="s">
        <v>233</v>
      </c>
      <c r="Z155" s="15" t="s">
        <v>1388</v>
      </c>
      <c r="AA155" s="142">
        <v>45</v>
      </c>
      <c r="AB155" s="20"/>
      <c r="AC155" s="8"/>
      <c r="AD155" s="8"/>
      <c r="AE155" s="21"/>
      <c r="AF155" s="20"/>
      <c r="AG155" s="8"/>
      <c r="AH155" s="8"/>
      <c r="AI155" s="21"/>
    </row>
    <row r="156" spans="1:35" ht="60" hidden="1" x14ac:dyDescent="0.25">
      <c r="A156" s="15">
        <v>2042</v>
      </c>
      <c r="B156" s="104" t="s">
        <v>228</v>
      </c>
      <c r="C156" s="377" t="s">
        <v>1319</v>
      </c>
      <c r="D156" s="9" t="s">
        <v>230</v>
      </c>
      <c r="E156" s="9"/>
      <c r="F156" s="15" t="s">
        <v>1326</v>
      </c>
      <c r="G156" s="15"/>
      <c r="H156" s="15" t="s">
        <v>31</v>
      </c>
      <c r="I156" s="9"/>
      <c r="J156" s="9">
        <v>9.9999999999999995E-7</v>
      </c>
      <c r="K156" s="9">
        <v>1.2E-5</v>
      </c>
      <c r="L156" s="9">
        <v>12</v>
      </c>
      <c r="M156" s="9" t="s">
        <v>33</v>
      </c>
      <c r="N156" s="34">
        <f t="shared" si="10"/>
        <v>3.5279999999999996E-4</v>
      </c>
      <c r="O156" s="34">
        <f t="shared" si="11"/>
        <v>4.1159999999999998E-4</v>
      </c>
      <c r="P156" s="34">
        <f t="shared" si="12"/>
        <v>2.352E-4</v>
      </c>
      <c r="Q156" s="34">
        <f t="shared" si="13"/>
        <v>1.7639999999999998E-4</v>
      </c>
      <c r="R156" s="138">
        <v>1.176E-3</v>
      </c>
      <c r="S156" s="9">
        <v>171718.65</v>
      </c>
      <c r="T156" s="9">
        <v>2.0606238000000001</v>
      </c>
      <c r="U156" s="9"/>
      <c r="V156" s="9"/>
      <c r="W156" s="15" t="s">
        <v>1327</v>
      </c>
      <c r="X156" s="15">
        <v>71867</v>
      </c>
      <c r="Y156" s="9" t="s">
        <v>233</v>
      </c>
      <c r="Z156" s="15" t="s">
        <v>1326</v>
      </c>
      <c r="AA156" s="142">
        <v>46</v>
      </c>
      <c r="AB156" s="20"/>
      <c r="AC156" s="8"/>
      <c r="AD156" s="8"/>
      <c r="AE156" s="21"/>
      <c r="AF156" s="20"/>
      <c r="AG156" s="8"/>
      <c r="AH156" s="8"/>
      <c r="AI156" s="21"/>
    </row>
    <row r="157" spans="1:35" ht="45" hidden="1" x14ac:dyDescent="0.25">
      <c r="A157" s="15">
        <v>2043</v>
      </c>
      <c r="B157" s="104" t="s">
        <v>228</v>
      </c>
      <c r="C157" s="377" t="s">
        <v>1319</v>
      </c>
      <c r="D157" s="9" t="s">
        <v>230</v>
      </c>
      <c r="E157" s="9"/>
      <c r="F157" s="15" t="s">
        <v>1390</v>
      </c>
      <c r="G157" s="15"/>
      <c r="H157" s="15" t="s">
        <v>31</v>
      </c>
      <c r="I157" s="9"/>
      <c r="J157" s="9">
        <v>9.9999999999999995E-7</v>
      </c>
      <c r="K157" s="9">
        <v>1.2E-5</v>
      </c>
      <c r="L157" s="9">
        <v>12</v>
      </c>
      <c r="M157" s="9" t="s">
        <v>33</v>
      </c>
      <c r="N157" s="34">
        <f t="shared" si="10"/>
        <v>3.5279999999999996E-4</v>
      </c>
      <c r="O157" s="34">
        <f t="shared" si="11"/>
        <v>4.1159999999999998E-4</v>
      </c>
      <c r="P157" s="34">
        <f t="shared" si="12"/>
        <v>2.352E-4</v>
      </c>
      <c r="Q157" s="34">
        <f t="shared" si="13"/>
        <v>1.7639999999999998E-4</v>
      </c>
      <c r="R157" s="138">
        <v>1.176E-3</v>
      </c>
      <c r="S157" s="9">
        <v>171718.65</v>
      </c>
      <c r="T157" s="9">
        <v>2.0606238000000001</v>
      </c>
      <c r="U157" s="9"/>
      <c r="V157" s="9"/>
      <c r="W157" s="15" t="s">
        <v>1333</v>
      </c>
      <c r="X157" s="15">
        <v>71867</v>
      </c>
      <c r="Y157" s="9" t="s">
        <v>233</v>
      </c>
      <c r="Z157" s="15" t="s">
        <v>1390</v>
      </c>
      <c r="AA157" s="142">
        <v>47</v>
      </c>
      <c r="AB157" s="20"/>
      <c r="AC157" s="8"/>
      <c r="AD157" s="8"/>
      <c r="AE157" s="21"/>
      <c r="AF157" s="20"/>
      <c r="AG157" s="8"/>
      <c r="AH157" s="8"/>
      <c r="AI157" s="21"/>
    </row>
    <row r="158" spans="1:35" ht="45" hidden="1" x14ac:dyDescent="0.25">
      <c r="A158" s="15">
        <v>2044</v>
      </c>
      <c r="B158" s="104" t="s">
        <v>228</v>
      </c>
      <c r="C158" s="377" t="s">
        <v>1319</v>
      </c>
      <c r="D158" s="9" t="s">
        <v>230</v>
      </c>
      <c r="E158" s="9"/>
      <c r="F158" s="15" t="s">
        <v>1391</v>
      </c>
      <c r="G158" s="15"/>
      <c r="H158" s="15" t="s">
        <v>31</v>
      </c>
      <c r="I158" s="9"/>
      <c r="J158" s="9">
        <v>5.0000000000000001E-4</v>
      </c>
      <c r="K158" s="9">
        <v>1.4999999999999999E-2</v>
      </c>
      <c r="L158" s="9">
        <v>30</v>
      </c>
      <c r="M158" s="9" t="s">
        <v>51</v>
      </c>
      <c r="N158" s="34">
        <f t="shared" si="10"/>
        <v>0.441</v>
      </c>
      <c r="O158" s="34">
        <f t="shared" si="11"/>
        <v>0.51449999999999996</v>
      </c>
      <c r="P158" s="34">
        <f t="shared" si="12"/>
        <v>0.29399999999999998</v>
      </c>
      <c r="Q158" s="34">
        <f t="shared" si="13"/>
        <v>0.2205</v>
      </c>
      <c r="R158" s="138">
        <v>1.47</v>
      </c>
      <c r="S158" s="9">
        <v>171718.65</v>
      </c>
      <c r="T158" s="9">
        <v>2575.7797499999997</v>
      </c>
      <c r="U158" s="9"/>
      <c r="V158" s="9"/>
      <c r="W158" s="15" t="s">
        <v>1392</v>
      </c>
      <c r="X158" s="15">
        <v>71867</v>
      </c>
      <c r="Y158" s="9" t="s">
        <v>233</v>
      </c>
      <c r="Z158" s="15" t="s">
        <v>1391</v>
      </c>
      <c r="AA158" s="142">
        <v>48</v>
      </c>
      <c r="AB158" s="20"/>
      <c r="AC158" s="8"/>
      <c r="AD158" s="8"/>
      <c r="AE158" s="21"/>
      <c r="AF158" s="20"/>
      <c r="AG158" s="8"/>
      <c r="AH158" s="8"/>
      <c r="AI158" s="21"/>
    </row>
    <row r="159" spans="1:35" ht="45" hidden="1" x14ac:dyDescent="0.25">
      <c r="A159" s="15">
        <v>2045</v>
      </c>
      <c r="B159" s="104" t="s">
        <v>228</v>
      </c>
      <c r="C159" s="377" t="s">
        <v>1319</v>
      </c>
      <c r="D159" s="9" t="s">
        <v>230</v>
      </c>
      <c r="E159" s="9"/>
      <c r="F159" s="15" t="s">
        <v>1258</v>
      </c>
      <c r="G159" s="15"/>
      <c r="H159" s="15" t="s">
        <v>31</v>
      </c>
      <c r="I159" s="9"/>
      <c r="J159" s="9">
        <v>3.0000000000000001E-3</v>
      </c>
      <c r="K159" s="9">
        <v>0.378</v>
      </c>
      <c r="L159" s="9">
        <v>126</v>
      </c>
      <c r="M159" s="9" t="s">
        <v>51</v>
      </c>
      <c r="N159" s="34">
        <f t="shared" si="10"/>
        <v>11.113199999999999</v>
      </c>
      <c r="O159" s="34">
        <f t="shared" si="11"/>
        <v>12.965399999999999</v>
      </c>
      <c r="P159" s="34">
        <f t="shared" si="12"/>
        <v>7.4087999999999994</v>
      </c>
      <c r="Q159" s="34">
        <f t="shared" si="13"/>
        <v>5.5565999999999995</v>
      </c>
      <c r="R159" s="138">
        <v>37.043999999999997</v>
      </c>
      <c r="S159" s="9">
        <v>171718.65</v>
      </c>
      <c r="T159" s="9">
        <v>64909.649700000002</v>
      </c>
      <c r="U159" s="9"/>
      <c r="V159" s="9"/>
      <c r="W159" s="15" t="s">
        <v>1259</v>
      </c>
      <c r="X159" s="15">
        <v>71867</v>
      </c>
      <c r="Y159" s="9" t="s">
        <v>233</v>
      </c>
      <c r="Z159" s="15" t="s">
        <v>1258</v>
      </c>
      <c r="AA159" s="142">
        <v>49</v>
      </c>
      <c r="AB159" s="20"/>
      <c r="AC159" s="8"/>
      <c r="AD159" s="8"/>
      <c r="AE159" s="21"/>
      <c r="AF159" s="20"/>
      <c r="AG159" s="8"/>
      <c r="AH159" s="8"/>
      <c r="AI159" s="21"/>
    </row>
    <row r="160" spans="1:35" ht="45" hidden="1" x14ac:dyDescent="0.25">
      <c r="A160" s="15">
        <v>2046</v>
      </c>
      <c r="B160" s="104" t="s">
        <v>228</v>
      </c>
      <c r="C160" s="377" t="s">
        <v>1319</v>
      </c>
      <c r="D160" s="9" t="s">
        <v>230</v>
      </c>
      <c r="E160" s="9"/>
      <c r="F160" s="15" t="s">
        <v>1393</v>
      </c>
      <c r="G160" s="15"/>
      <c r="H160" s="15" t="s">
        <v>31</v>
      </c>
      <c r="I160" s="9"/>
      <c r="J160" s="9">
        <v>9.9999999999999995E-7</v>
      </c>
      <c r="K160" s="9">
        <v>1.8E-5</v>
      </c>
      <c r="L160" s="9">
        <v>18</v>
      </c>
      <c r="M160" s="9" t="s">
        <v>33</v>
      </c>
      <c r="N160" s="34">
        <f t="shared" si="10"/>
        <v>5.2919999999999996E-4</v>
      </c>
      <c r="O160" s="34">
        <f t="shared" si="11"/>
        <v>6.1739999999999994E-4</v>
      </c>
      <c r="P160" s="34">
        <f t="shared" si="12"/>
        <v>3.5280000000000001E-4</v>
      </c>
      <c r="Q160" s="34">
        <f t="shared" si="13"/>
        <v>2.6459999999999998E-4</v>
      </c>
      <c r="R160" s="138">
        <v>1.7639999999999999E-3</v>
      </c>
      <c r="S160" s="9">
        <v>171718.65</v>
      </c>
      <c r="T160" s="9">
        <v>3.0909357000000002</v>
      </c>
      <c r="U160" s="9"/>
      <c r="V160" s="9"/>
      <c r="W160" s="15" t="s">
        <v>1394</v>
      </c>
      <c r="X160" s="15">
        <v>71867</v>
      </c>
      <c r="Y160" s="9" t="s">
        <v>233</v>
      </c>
      <c r="Z160" s="15" t="s">
        <v>1393</v>
      </c>
      <c r="AA160" s="142">
        <v>50</v>
      </c>
      <c r="AB160" s="20"/>
      <c r="AC160" s="8"/>
      <c r="AD160" s="8"/>
      <c r="AE160" s="21"/>
      <c r="AF160" s="20"/>
      <c r="AG160" s="8"/>
      <c r="AH160" s="8"/>
      <c r="AI160" s="21"/>
    </row>
    <row r="161" spans="1:35" ht="30" hidden="1" x14ac:dyDescent="0.25">
      <c r="A161" s="15">
        <v>2047</v>
      </c>
      <c r="B161" s="104" t="s">
        <v>228</v>
      </c>
      <c r="C161" s="377" t="s">
        <v>1319</v>
      </c>
      <c r="D161" s="9" t="s">
        <v>230</v>
      </c>
      <c r="E161" s="9"/>
      <c r="F161" s="15" t="s">
        <v>1395</v>
      </c>
      <c r="G161" s="15"/>
      <c r="H161" s="15" t="s">
        <v>31</v>
      </c>
      <c r="I161" s="9"/>
      <c r="J161" s="9">
        <v>1.0000000000000001E-5</v>
      </c>
      <c r="K161" s="9">
        <v>6.9000000000000008E-4</v>
      </c>
      <c r="L161" s="9">
        <v>69</v>
      </c>
      <c r="M161" s="9" t="s">
        <v>33</v>
      </c>
      <c r="N161" s="34">
        <f t="shared" si="10"/>
        <v>2.0286000000000002E-2</v>
      </c>
      <c r="O161" s="34">
        <f t="shared" si="11"/>
        <v>2.3667000000000004E-2</v>
      </c>
      <c r="P161" s="34">
        <f t="shared" si="12"/>
        <v>1.3524000000000003E-2</v>
      </c>
      <c r="Q161" s="34">
        <f t="shared" si="13"/>
        <v>1.0143000000000001E-2</v>
      </c>
      <c r="R161" s="138">
        <v>6.7620000000000013E-2</v>
      </c>
      <c r="S161" s="9">
        <v>171718.65</v>
      </c>
      <c r="T161" s="9">
        <v>118.48586850000001</v>
      </c>
      <c r="U161" s="9"/>
      <c r="V161" s="9"/>
      <c r="W161" s="15" t="s">
        <v>387</v>
      </c>
      <c r="X161" s="15">
        <v>71867</v>
      </c>
      <c r="Y161" s="9" t="s">
        <v>233</v>
      </c>
      <c r="Z161" s="15" t="s">
        <v>1395</v>
      </c>
      <c r="AA161" s="142">
        <v>51</v>
      </c>
      <c r="AB161" s="20"/>
      <c r="AC161" s="8"/>
      <c r="AD161" s="8"/>
      <c r="AE161" s="21"/>
      <c r="AF161" s="20"/>
      <c r="AG161" s="8"/>
      <c r="AH161" s="8"/>
      <c r="AI161" s="21"/>
    </row>
    <row r="162" spans="1:35" ht="30" hidden="1" x14ac:dyDescent="0.25">
      <c r="A162" s="15">
        <v>2048</v>
      </c>
      <c r="B162" s="104" t="s">
        <v>228</v>
      </c>
      <c r="C162" s="377" t="s">
        <v>1319</v>
      </c>
      <c r="D162" s="9" t="s">
        <v>230</v>
      </c>
      <c r="E162" s="9"/>
      <c r="F162" s="15" t="s">
        <v>1396</v>
      </c>
      <c r="G162" s="15"/>
      <c r="H162" s="15" t="s">
        <v>31</v>
      </c>
      <c r="I162" s="9"/>
      <c r="J162" s="9">
        <v>2.9999999999999997E-4</v>
      </c>
      <c r="K162" s="9">
        <v>1.2599999999999998E-2</v>
      </c>
      <c r="L162" s="9">
        <v>42</v>
      </c>
      <c r="M162" s="9" t="s">
        <v>33</v>
      </c>
      <c r="N162" s="34">
        <f t="shared" si="10"/>
        <v>0.37043999999999994</v>
      </c>
      <c r="O162" s="34">
        <f t="shared" si="11"/>
        <v>0.43217999999999995</v>
      </c>
      <c r="P162" s="34">
        <f t="shared" si="12"/>
        <v>0.24695999999999999</v>
      </c>
      <c r="Q162" s="34">
        <f t="shared" si="13"/>
        <v>0.18521999999999997</v>
      </c>
      <c r="R162" s="138">
        <v>1.2347999999999999</v>
      </c>
      <c r="S162" s="9">
        <v>171718.65</v>
      </c>
      <c r="T162" s="9">
        <v>2163.6549899999995</v>
      </c>
      <c r="U162" s="9"/>
      <c r="V162" s="9"/>
      <c r="W162" s="15" t="s">
        <v>357</v>
      </c>
      <c r="X162" s="15">
        <v>71867</v>
      </c>
      <c r="Y162" s="9" t="s">
        <v>233</v>
      </c>
      <c r="Z162" s="15" t="s">
        <v>1396</v>
      </c>
      <c r="AA162" s="142">
        <v>52</v>
      </c>
      <c r="AB162" s="20"/>
      <c r="AC162" s="8"/>
      <c r="AD162" s="8"/>
      <c r="AE162" s="21"/>
      <c r="AF162" s="20"/>
      <c r="AG162" s="8"/>
      <c r="AH162" s="8"/>
      <c r="AI162" s="21"/>
    </row>
    <row r="163" spans="1:35" ht="45" hidden="1" x14ac:dyDescent="0.25">
      <c r="A163" s="15">
        <v>2049</v>
      </c>
      <c r="B163" s="104" t="s">
        <v>228</v>
      </c>
      <c r="C163" s="377" t="s">
        <v>1319</v>
      </c>
      <c r="D163" s="9" t="s">
        <v>230</v>
      </c>
      <c r="E163" s="9"/>
      <c r="F163" s="15" t="s">
        <v>1397</v>
      </c>
      <c r="G163" s="15"/>
      <c r="H163" s="15" t="s">
        <v>31</v>
      </c>
      <c r="I163" s="9"/>
      <c r="J163" s="9">
        <v>4.0000000000000002E-4</v>
      </c>
      <c r="K163" s="9">
        <v>1.8000000000000002E-2</v>
      </c>
      <c r="L163" s="9">
        <v>45</v>
      </c>
      <c r="M163" s="9" t="s">
        <v>51</v>
      </c>
      <c r="N163" s="34">
        <f t="shared" si="10"/>
        <v>0.5292</v>
      </c>
      <c r="O163" s="34">
        <f t="shared" si="11"/>
        <v>0.61740000000000006</v>
      </c>
      <c r="P163" s="34">
        <f t="shared" si="12"/>
        <v>0.35280000000000006</v>
      </c>
      <c r="Q163" s="34">
        <f t="shared" si="13"/>
        <v>0.2646</v>
      </c>
      <c r="R163" s="138">
        <v>1.7640000000000002</v>
      </c>
      <c r="S163" s="9">
        <v>171718.65</v>
      </c>
      <c r="T163" s="9">
        <v>3090.9357000000005</v>
      </c>
      <c r="U163" s="9"/>
      <c r="V163" s="9"/>
      <c r="W163" s="15" t="s">
        <v>395</v>
      </c>
      <c r="X163" s="15">
        <v>71867</v>
      </c>
      <c r="Y163" s="9" t="s">
        <v>233</v>
      </c>
      <c r="Z163" s="15" t="s">
        <v>1397</v>
      </c>
      <c r="AA163" s="142">
        <v>53</v>
      </c>
      <c r="AB163" s="20"/>
      <c r="AC163" s="8"/>
      <c r="AD163" s="8"/>
      <c r="AE163" s="21"/>
      <c r="AF163" s="20"/>
      <c r="AG163" s="8"/>
      <c r="AH163" s="8"/>
      <c r="AI163" s="21"/>
    </row>
    <row r="164" spans="1:35" ht="45" hidden="1" x14ac:dyDescent="0.25">
      <c r="A164" s="15">
        <v>2050</v>
      </c>
      <c r="B164" s="104" t="s">
        <v>228</v>
      </c>
      <c r="C164" s="377" t="s">
        <v>1319</v>
      </c>
      <c r="D164" s="9" t="s">
        <v>230</v>
      </c>
      <c r="E164" s="9"/>
      <c r="F164" s="15" t="s">
        <v>1398</v>
      </c>
      <c r="G164" s="15"/>
      <c r="H164" s="15" t="s">
        <v>31</v>
      </c>
      <c r="I164" s="9"/>
      <c r="J164" s="9">
        <v>1.0000000000000001E-5</v>
      </c>
      <c r="K164" s="9">
        <v>3.6000000000000002E-4</v>
      </c>
      <c r="L164" s="9">
        <v>36</v>
      </c>
      <c r="M164" s="9" t="s">
        <v>33</v>
      </c>
      <c r="N164" s="34">
        <f t="shared" si="10"/>
        <v>1.0584E-2</v>
      </c>
      <c r="O164" s="34">
        <f t="shared" si="11"/>
        <v>1.2348E-2</v>
      </c>
      <c r="P164" s="34">
        <f t="shared" si="12"/>
        <v>7.0559999999999998E-3</v>
      </c>
      <c r="Q164" s="34">
        <f t="shared" si="13"/>
        <v>5.2919999999999998E-3</v>
      </c>
      <c r="R164" s="138">
        <v>3.5279999999999999E-2</v>
      </c>
      <c r="S164" s="9">
        <v>171718.65</v>
      </c>
      <c r="T164" s="9">
        <v>61.818714</v>
      </c>
      <c r="U164" s="9"/>
      <c r="V164" s="9"/>
      <c r="W164" s="15" t="s">
        <v>1399</v>
      </c>
      <c r="X164" s="15">
        <v>71867</v>
      </c>
      <c r="Y164" s="9" t="s">
        <v>233</v>
      </c>
      <c r="Z164" s="15" t="s">
        <v>1398</v>
      </c>
      <c r="AA164" s="142">
        <v>54</v>
      </c>
      <c r="AB164" s="20"/>
      <c r="AC164" s="8"/>
      <c r="AD164" s="8"/>
      <c r="AE164" s="21"/>
      <c r="AF164" s="20"/>
      <c r="AG164" s="8"/>
      <c r="AH164" s="8"/>
      <c r="AI164" s="21"/>
    </row>
    <row r="165" spans="1:35" ht="30" hidden="1" x14ac:dyDescent="0.25">
      <c r="A165" s="15">
        <v>2051</v>
      </c>
      <c r="B165" s="104" t="s">
        <v>228</v>
      </c>
      <c r="C165" s="377" t="s">
        <v>1319</v>
      </c>
      <c r="D165" s="9" t="s">
        <v>230</v>
      </c>
      <c r="E165" s="9"/>
      <c r="F165" s="15" t="s">
        <v>1400</v>
      </c>
      <c r="G165" s="15"/>
      <c r="H165" s="15" t="s">
        <v>31</v>
      </c>
      <c r="I165" s="9"/>
      <c r="J165" s="9">
        <v>1.0000000000000001E-5</v>
      </c>
      <c r="K165" s="9">
        <v>4.8000000000000007E-4</v>
      </c>
      <c r="L165" s="9">
        <v>48</v>
      </c>
      <c r="M165" s="9" t="s">
        <v>33</v>
      </c>
      <c r="N165" s="34">
        <f t="shared" si="10"/>
        <v>1.4112000000000001E-2</v>
      </c>
      <c r="O165" s="34">
        <f t="shared" si="11"/>
        <v>1.6463999999999999E-2</v>
      </c>
      <c r="P165" s="34">
        <f t="shared" si="12"/>
        <v>9.4080000000000014E-3</v>
      </c>
      <c r="Q165" s="34">
        <f t="shared" si="13"/>
        <v>7.0560000000000006E-3</v>
      </c>
      <c r="R165" s="138">
        <v>4.7040000000000005E-2</v>
      </c>
      <c r="S165" s="9">
        <v>171718.65</v>
      </c>
      <c r="T165" s="9">
        <v>82.424952000000005</v>
      </c>
      <c r="U165" s="9"/>
      <c r="V165" s="9"/>
      <c r="W165" s="15" t="s">
        <v>347</v>
      </c>
      <c r="X165" s="15">
        <v>71867</v>
      </c>
      <c r="Y165" s="9" t="s">
        <v>233</v>
      </c>
      <c r="Z165" s="15" t="s">
        <v>1400</v>
      </c>
      <c r="AA165" s="142">
        <v>55</v>
      </c>
      <c r="AB165" s="20"/>
      <c r="AC165" s="8"/>
      <c r="AD165" s="8"/>
      <c r="AE165" s="21"/>
      <c r="AF165" s="20"/>
      <c r="AG165" s="8"/>
      <c r="AH165" s="8"/>
      <c r="AI165" s="21"/>
    </row>
    <row r="166" spans="1:35" ht="30" hidden="1" x14ac:dyDescent="0.25">
      <c r="A166" s="15">
        <v>2052</v>
      </c>
      <c r="B166" s="104" t="s">
        <v>228</v>
      </c>
      <c r="C166" s="377" t="s">
        <v>1319</v>
      </c>
      <c r="D166" s="9" t="s">
        <v>230</v>
      </c>
      <c r="E166" s="9"/>
      <c r="F166" s="15" t="s">
        <v>1401</v>
      </c>
      <c r="G166" s="15"/>
      <c r="H166" s="15" t="s">
        <v>31</v>
      </c>
      <c r="I166" s="9"/>
      <c r="J166" s="9">
        <v>1.0000000000000001E-5</v>
      </c>
      <c r="K166" s="9">
        <v>4.8000000000000007E-4</v>
      </c>
      <c r="L166" s="9">
        <v>48</v>
      </c>
      <c r="M166" s="9" t="s">
        <v>33</v>
      </c>
      <c r="N166" s="34">
        <f t="shared" si="10"/>
        <v>1.4112000000000001E-2</v>
      </c>
      <c r="O166" s="34">
        <f t="shared" si="11"/>
        <v>1.6463999999999999E-2</v>
      </c>
      <c r="P166" s="34">
        <f t="shared" si="12"/>
        <v>9.4080000000000014E-3</v>
      </c>
      <c r="Q166" s="34">
        <f t="shared" si="13"/>
        <v>7.0560000000000006E-3</v>
      </c>
      <c r="R166" s="138">
        <v>4.7040000000000005E-2</v>
      </c>
      <c r="S166" s="9">
        <v>171718.65</v>
      </c>
      <c r="T166" s="9">
        <v>82.424952000000005</v>
      </c>
      <c r="U166" s="9"/>
      <c r="V166" s="9"/>
      <c r="W166" s="15" t="s">
        <v>717</v>
      </c>
      <c r="X166" s="15">
        <v>71867</v>
      </c>
      <c r="Y166" s="9" t="s">
        <v>233</v>
      </c>
      <c r="Z166" s="15" t="s">
        <v>1401</v>
      </c>
      <c r="AA166" s="142">
        <v>56</v>
      </c>
      <c r="AB166" s="20"/>
      <c r="AC166" s="8"/>
      <c r="AD166" s="8"/>
      <c r="AE166" s="21"/>
      <c r="AF166" s="20"/>
      <c r="AG166" s="8"/>
      <c r="AH166" s="8"/>
      <c r="AI166" s="21"/>
    </row>
    <row r="167" spans="1:35" ht="30" hidden="1" x14ac:dyDescent="0.25">
      <c r="A167" s="15">
        <v>2053</v>
      </c>
      <c r="B167" s="104" t="s">
        <v>228</v>
      </c>
      <c r="C167" s="377" t="s">
        <v>1319</v>
      </c>
      <c r="D167" s="9" t="s">
        <v>230</v>
      </c>
      <c r="E167" s="9"/>
      <c r="F167" s="15" t="s">
        <v>1402</v>
      </c>
      <c r="G167" s="15"/>
      <c r="H167" s="15" t="s">
        <v>31</v>
      </c>
      <c r="I167" s="9"/>
      <c r="J167" s="9">
        <v>2.0000000000000002E-5</v>
      </c>
      <c r="K167" s="9">
        <v>1.8000000000000002E-2</v>
      </c>
      <c r="L167" s="9">
        <v>900</v>
      </c>
      <c r="M167" s="9" t="s">
        <v>51</v>
      </c>
      <c r="N167" s="34">
        <f t="shared" si="10"/>
        <v>0.5292</v>
      </c>
      <c r="O167" s="34">
        <f t="shared" si="11"/>
        <v>0.61740000000000006</v>
      </c>
      <c r="P167" s="34">
        <f t="shared" si="12"/>
        <v>0.35280000000000006</v>
      </c>
      <c r="Q167" s="34">
        <f t="shared" si="13"/>
        <v>0.2646</v>
      </c>
      <c r="R167" s="138">
        <v>1.7640000000000002</v>
      </c>
      <c r="S167" s="9">
        <v>171718.65</v>
      </c>
      <c r="T167" s="9">
        <v>3090.9357000000005</v>
      </c>
      <c r="U167" s="9"/>
      <c r="V167" s="9"/>
      <c r="W167" s="15" t="s">
        <v>1403</v>
      </c>
      <c r="X167" s="15">
        <v>71867</v>
      </c>
      <c r="Y167" s="9" t="s">
        <v>233</v>
      </c>
      <c r="Z167" s="15" t="s">
        <v>1402</v>
      </c>
      <c r="AA167" s="142">
        <v>57</v>
      </c>
      <c r="AB167" s="20"/>
      <c r="AC167" s="8"/>
      <c r="AD167" s="8"/>
      <c r="AE167" s="21"/>
      <c r="AF167" s="20"/>
      <c r="AG167" s="8"/>
      <c r="AH167" s="8"/>
      <c r="AI167" s="21"/>
    </row>
    <row r="168" spans="1:35" hidden="1" x14ac:dyDescent="0.25">
      <c r="A168" s="15">
        <v>2054</v>
      </c>
      <c r="B168" s="104" t="s">
        <v>228</v>
      </c>
      <c r="C168" s="377" t="s">
        <v>1319</v>
      </c>
      <c r="D168" s="9" t="s">
        <v>230</v>
      </c>
      <c r="E168" s="9"/>
      <c r="F168" s="15" t="s">
        <v>1185</v>
      </c>
      <c r="G168" s="15"/>
      <c r="H168" s="15" t="s">
        <v>31</v>
      </c>
      <c r="I168" s="9"/>
      <c r="J168" s="9">
        <v>1E-3</v>
      </c>
      <c r="K168" s="9">
        <v>6.0000000000000001E-3</v>
      </c>
      <c r="L168" s="9">
        <v>6</v>
      </c>
      <c r="M168" s="9" t="s">
        <v>33</v>
      </c>
      <c r="N168" s="34">
        <f t="shared" si="10"/>
        <v>0.17639999999999997</v>
      </c>
      <c r="O168" s="34">
        <f t="shared" si="11"/>
        <v>0.20579999999999998</v>
      </c>
      <c r="P168" s="34">
        <f t="shared" si="12"/>
        <v>0.1176</v>
      </c>
      <c r="Q168" s="34">
        <f t="shared" si="13"/>
        <v>8.8199999999999987E-2</v>
      </c>
      <c r="R168" s="138">
        <v>0.58799999999999997</v>
      </c>
      <c r="S168" s="9">
        <v>171718.65</v>
      </c>
      <c r="T168" s="9">
        <v>1030.3118999999999</v>
      </c>
      <c r="U168" s="9"/>
      <c r="V168" s="9"/>
      <c r="W168" s="15" t="s">
        <v>1404</v>
      </c>
      <c r="X168" s="15">
        <v>71867</v>
      </c>
      <c r="Y168" s="9" t="s">
        <v>233</v>
      </c>
      <c r="Z168" s="15" t="s">
        <v>1185</v>
      </c>
      <c r="AA168" s="142">
        <v>58</v>
      </c>
      <c r="AB168" s="20"/>
      <c r="AC168" s="8"/>
      <c r="AD168" s="8"/>
      <c r="AE168" s="21"/>
      <c r="AF168" s="20"/>
      <c r="AG168" s="8"/>
      <c r="AH168" s="8"/>
      <c r="AI168" s="21"/>
    </row>
    <row r="169" spans="1:35" ht="30" hidden="1" x14ac:dyDescent="0.25">
      <c r="A169" s="15">
        <v>2055</v>
      </c>
      <c r="B169" s="104" t="s">
        <v>228</v>
      </c>
      <c r="C169" s="377" t="s">
        <v>1319</v>
      </c>
      <c r="D169" s="9" t="s">
        <v>230</v>
      </c>
      <c r="E169" s="9"/>
      <c r="F169" s="15" t="s">
        <v>1405</v>
      </c>
      <c r="G169" s="15"/>
      <c r="H169" s="15" t="s">
        <v>31</v>
      </c>
      <c r="I169" s="9"/>
      <c r="J169" s="9">
        <v>1E-4</v>
      </c>
      <c r="K169" s="9">
        <v>6.0000000000000006E-4</v>
      </c>
      <c r="L169" s="9">
        <v>6</v>
      </c>
      <c r="M169" s="9" t="s">
        <v>33</v>
      </c>
      <c r="N169" s="34">
        <f t="shared" si="10"/>
        <v>1.7639999999999999E-2</v>
      </c>
      <c r="O169" s="34">
        <f t="shared" si="11"/>
        <v>2.0580000000000001E-2</v>
      </c>
      <c r="P169" s="34">
        <f t="shared" si="12"/>
        <v>1.1760000000000001E-2</v>
      </c>
      <c r="Q169" s="34">
        <f t="shared" si="13"/>
        <v>8.8199999999999997E-3</v>
      </c>
      <c r="R169" s="138">
        <v>5.8800000000000005E-2</v>
      </c>
      <c r="S169" s="9">
        <v>171718.65</v>
      </c>
      <c r="T169" s="9">
        <v>103.03119000000001</v>
      </c>
      <c r="U169" s="9"/>
      <c r="V169" s="9"/>
      <c r="W169" s="15" t="s">
        <v>333</v>
      </c>
      <c r="X169" s="15">
        <v>71867</v>
      </c>
      <c r="Y169" s="9" t="s">
        <v>233</v>
      </c>
      <c r="Z169" s="15" t="s">
        <v>1405</v>
      </c>
      <c r="AA169" s="142">
        <v>59</v>
      </c>
      <c r="AB169" s="20"/>
      <c r="AC169" s="8"/>
      <c r="AD169" s="8"/>
      <c r="AE169" s="21"/>
      <c r="AF169" s="20"/>
      <c r="AG169" s="8"/>
      <c r="AH169" s="8"/>
      <c r="AI169" s="21"/>
    </row>
    <row r="170" spans="1:35" ht="30" hidden="1" x14ac:dyDescent="0.25">
      <c r="A170" s="15">
        <v>2056</v>
      </c>
      <c r="B170" s="104" t="s">
        <v>228</v>
      </c>
      <c r="C170" s="377" t="s">
        <v>1319</v>
      </c>
      <c r="D170" s="9" t="s">
        <v>230</v>
      </c>
      <c r="E170" s="9"/>
      <c r="F170" s="15" t="s">
        <v>1406</v>
      </c>
      <c r="G170" s="15"/>
      <c r="H170" s="15" t="s">
        <v>31</v>
      </c>
      <c r="I170" s="9"/>
      <c r="J170" s="9">
        <v>1.0000000000000001E-5</v>
      </c>
      <c r="K170" s="9">
        <v>1.2000000000000002E-4</v>
      </c>
      <c r="L170" s="9">
        <v>12</v>
      </c>
      <c r="M170" s="9" t="s">
        <v>33</v>
      </c>
      <c r="N170" s="34">
        <f t="shared" si="10"/>
        <v>3.5280000000000003E-3</v>
      </c>
      <c r="O170" s="34">
        <f t="shared" si="11"/>
        <v>4.1159999999999999E-3</v>
      </c>
      <c r="P170" s="34">
        <f t="shared" si="12"/>
        <v>2.3520000000000004E-3</v>
      </c>
      <c r="Q170" s="34">
        <f t="shared" si="13"/>
        <v>1.7640000000000002E-3</v>
      </c>
      <c r="R170" s="138">
        <v>1.1760000000000001E-2</v>
      </c>
      <c r="S170" s="9">
        <v>171718.65</v>
      </c>
      <c r="T170" s="9">
        <v>20.606238000000001</v>
      </c>
      <c r="U170" s="9"/>
      <c r="V170" s="9"/>
      <c r="W170" s="15" t="s">
        <v>1407</v>
      </c>
      <c r="X170" s="15">
        <v>71867</v>
      </c>
      <c r="Y170" s="9" t="s">
        <v>233</v>
      </c>
      <c r="Z170" s="15" t="s">
        <v>1406</v>
      </c>
      <c r="AA170" s="142">
        <v>60</v>
      </c>
      <c r="AB170" s="20"/>
      <c r="AC170" s="8"/>
      <c r="AD170" s="8"/>
      <c r="AE170" s="21"/>
      <c r="AF170" s="20"/>
      <c r="AG170" s="8"/>
      <c r="AH170" s="8"/>
      <c r="AI170" s="21"/>
    </row>
    <row r="171" spans="1:35" ht="30" hidden="1" x14ac:dyDescent="0.25">
      <c r="A171" s="15">
        <v>2057</v>
      </c>
      <c r="B171" s="104" t="s">
        <v>228</v>
      </c>
      <c r="C171" s="377" t="s">
        <v>1319</v>
      </c>
      <c r="D171" s="9" t="s">
        <v>230</v>
      </c>
      <c r="E171" s="9"/>
      <c r="F171" s="15" t="s">
        <v>1408</v>
      </c>
      <c r="G171" s="15"/>
      <c r="H171" s="15" t="s">
        <v>31</v>
      </c>
      <c r="I171" s="9"/>
      <c r="J171" s="9">
        <v>9.9999999999999995E-7</v>
      </c>
      <c r="K171" s="9">
        <v>6.0000000000000002E-6</v>
      </c>
      <c r="L171" s="9">
        <v>6</v>
      </c>
      <c r="M171" s="9" t="s">
        <v>33</v>
      </c>
      <c r="N171" s="34">
        <f t="shared" si="10"/>
        <v>1.7639999999999998E-4</v>
      </c>
      <c r="O171" s="34">
        <f t="shared" si="11"/>
        <v>2.0579999999999999E-4</v>
      </c>
      <c r="P171" s="34">
        <f t="shared" si="12"/>
        <v>1.176E-4</v>
      </c>
      <c r="Q171" s="34">
        <f t="shared" si="13"/>
        <v>8.8199999999999989E-5</v>
      </c>
      <c r="R171" s="138">
        <v>5.8799999999999998E-4</v>
      </c>
      <c r="S171" s="9">
        <v>171718.65</v>
      </c>
      <c r="T171" s="9">
        <v>1.0303119000000001</v>
      </c>
      <c r="U171" s="9"/>
      <c r="V171" s="9"/>
      <c r="W171" s="15" t="s">
        <v>1409</v>
      </c>
      <c r="X171" s="15">
        <v>71867</v>
      </c>
      <c r="Y171" s="9" t="s">
        <v>233</v>
      </c>
      <c r="Z171" s="15" t="s">
        <v>1408</v>
      </c>
      <c r="AA171" s="142">
        <v>61</v>
      </c>
      <c r="AB171" s="20"/>
      <c r="AC171" s="8"/>
      <c r="AD171" s="8"/>
      <c r="AE171" s="21"/>
      <c r="AF171" s="20"/>
      <c r="AG171" s="8"/>
      <c r="AH171" s="8"/>
      <c r="AI171" s="21"/>
    </row>
    <row r="172" spans="1:35" hidden="1" x14ac:dyDescent="0.25">
      <c r="A172" s="15">
        <v>2058</v>
      </c>
      <c r="B172" s="104" t="s">
        <v>228</v>
      </c>
      <c r="C172" s="377" t="s">
        <v>1319</v>
      </c>
      <c r="D172" s="9" t="s">
        <v>230</v>
      </c>
      <c r="E172" s="9"/>
      <c r="F172" s="15" t="s">
        <v>1410</v>
      </c>
      <c r="G172" s="15"/>
      <c r="H172" s="15" t="s">
        <v>31</v>
      </c>
      <c r="I172" s="9"/>
      <c r="J172" s="9">
        <v>1E-3</v>
      </c>
      <c r="K172" s="9">
        <v>6.0000000000000001E-3</v>
      </c>
      <c r="L172" s="9">
        <v>6</v>
      </c>
      <c r="M172" s="9" t="s">
        <v>33</v>
      </c>
      <c r="N172" s="34">
        <f t="shared" si="10"/>
        <v>0.17639999999999997</v>
      </c>
      <c r="O172" s="34">
        <f t="shared" si="11"/>
        <v>0.20579999999999998</v>
      </c>
      <c r="P172" s="34">
        <f t="shared" si="12"/>
        <v>0.1176</v>
      </c>
      <c r="Q172" s="34">
        <f t="shared" si="13"/>
        <v>8.8199999999999987E-2</v>
      </c>
      <c r="R172" s="138">
        <v>0.58799999999999997</v>
      </c>
      <c r="S172" s="9">
        <v>171718.65</v>
      </c>
      <c r="T172" s="9">
        <v>1030.3118999999999</v>
      </c>
      <c r="U172" s="9"/>
      <c r="V172" s="9"/>
      <c r="W172" s="15" t="s">
        <v>1411</v>
      </c>
      <c r="X172" s="15">
        <v>71867</v>
      </c>
      <c r="Y172" s="9" t="s">
        <v>233</v>
      </c>
      <c r="Z172" s="15" t="s">
        <v>1410</v>
      </c>
      <c r="AA172" s="142">
        <v>62</v>
      </c>
      <c r="AB172" s="20"/>
      <c r="AC172" s="8"/>
      <c r="AD172" s="8"/>
      <c r="AE172" s="21"/>
      <c r="AF172" s="20"/>
      <c r="AG172" s="8"/>
      <c r="AH172" s="8"/>
      <c r="AI172" s="21"/>
    </row>
    <row r="173" spans="1:35" ht="30" hidden="1" x14ac:dyDescent="0.25">
      <c r="A173" s="15">
        <v>2059</v>
      </c>
      <c r="B173" s="104" t="s">
        <v>228</v>
      </c>
      <c r="C173" s="377" t="s">
        <v>1319</v>
      </c>
      <c r="D173" s="9" t="s">
        <v>230</v>
      </c>
      <c r="E173" s="9"/>
      <c r="F173" s="15" t="s">
        <v>1412</v>
      </c>
      <c r="G173" s="15"/>
      <c r="H173" s="15" t="s">
        <v>31</v>
      </c>
      <c r="I173" s="9"/>
      <c r="J173" s="9">
        <v>1E-4</v>
      </c>
      <c r="K173" s="9">
        <v>6.0000000000000006E-4</v>
      </c>
      <c r="L173" s="9">
        <v>6</v>
      </c>
      <c r="M173" s="9" t="s">
        <v>33</v>
      </c>
      <c r="N173" s="34">
        <f t="shared" si="10"/>
        <v>1.7639999999999999E-2</v>
      </c>
      <c r="O173" s="34">
        <f t="shared" si="11"/>
        <v>2.0580000000000001E-2</v>
      </c>
      <c r="P173" s="34">
        <f t="shared" si="12"/>
        <v>1.1760000000000001E-2</v>
      </c>
      <c r="Q173" s="34">
        <f t="shared" si="13"/>
        <v>8.8199999999999997E-3</v>
      </c>
      <c r="R173" s="138">
        <v>5.8800000000000005E-2</v>
      </c>
      <c r="S173" s="9">
        <v>171718.65</v>
      </c>
      <c r="T173" s="9">
        <v>103.03119000000001</v>
      </c>
      <c r="U173" s="9"/>
      <c r="V173" s="9"/>
      <c r="W173" s="15" t="s">
        <v>1413</v>
      </c>
      <c r="X173" s="15">
        <v>71867</v>
      </c>
      <c r="Y173" s="9" t="s">
        <v>233</v>
      </c>
      <c r="Z173" s="15" t="s">
        <v>1412</v>
      </c>
      <c r="AA173" s="142">
        <v>63</v>
      </c>
      <c r="AB173" s="20"/>
      <c r="AC173" s="8"/>
      <c r="AD173" s="8"/>
      <c r="AE173" s="21"/>
      <c r="AF173" s="20"/>
      <c r="AG173" s="8"/>
      <c r="AH173" s="8"/>
      <c r="AI173" s="21"/>
    </row>
    <row r="174" spans="1:35" ht="30" hidden="1" x14ac:dyDescent="0.25">
      <c r="A174" s="15">
        <v>2060</v>
      </c>
      <c r="B174" s="104" t="s">
        <v>228</v>
      </c>
      <c r="C174" s="377" t="s">
        <v>1319</v>
      </c>
      <c r="D174" s="9" t="s">
        <v>230</v>
      </c>
      <c r="E174" s="9"/>
      <c r="F174" s="15" t="s">
        <v>1414</v>
      </c>
      <c r="G174" s="15"/>
      <c r="H174" s="15" t="s">
        <v>31</v>
      </c>
      <c r="I174" s="9"/>
      <c r="J174" s="9">
        <v>5.0000000000000002E-5</v>
      </c>
      <c r="K174" s="9">
        <v>3.0000000000000003E-4</v>
      </c>
      <c r="L174" s="9">
        <v>6</v>
      </c>
      <c r="M174" s="9" t="s">
        <v>33</v>
      </c>
      <c r="N174" s="34">
        <f t="shared" si="10"/>
        <v>8.8199999999999997E-3</v>
      </c>
      <c r="O174" s="34">
        <f t="shared" si="11"/>
        <v>1.0290000000000001E-2</v>
      </c>
      <c r="P174" s="34">
        <f t="shared" si="12"/>
        <v>5.8800000000000007E-3</v>
      </c>
      <c r="Q174" s="34">
        <f t="shared" si="13"/>
        <v>4.4099999999999999E-3</v>
      </c>
      <c r="R174" s="138">
        <v>2.9400000000000003E-2</v>
      </c>
      <c r="S174" s="9">
        <v>171718.65</v>
      </c>
      <c r="T174" s="9">
        <v>51.515595000000005</v>
      </c>
      <c r="U174" s="9"/>
      <c r="V174" s="9"/>
      <c r="W174" s="15" t="s">
        <v>1415</v>
      </c>
      <c r="X174" s="15">
        <v>71867</v>
      </c>
      <c r="Y174" s="9" t="s">
        <v>233</v>
      </c>
      <c r="Z174" s="15" t="s">
        <v>1414</v>
      </c>
      <c r="AA174" s="142">
        <v>64</v>
      </c>
      <c r="AB174" s="20"/>
      <c r="AC174" s="8"/>
      <c r="AD174" s="8"/>
      <c r="AE174" s="21"/>
      <c r="AF174" s="20"/>
      <c r="AG174" s="8"/>
      <c r="AH174" s="8"/>
      <c r="AI174" s="21"/>
    </row>
    <row r="175" spans="1:35" hidden="1" x14ac:dyDescent="0.25">
      <c r="A175" s="15">
        <v>2061</v>
      </c>
      <c r="B175" s="104" t="s">
        <v>228</v>
      </c>
      <c r="C175" s="377" t="s">
        <v>1319</v>
      </c>
      <c r="D175" s="9" t="s">
        <v>230</v>
      </c>
      <c r="E175" s="9"/>
      <c r="F175" s="15" t="s">
        <v>1416</v>
      </c>
      <c r="G175" s="15"/>
      <c r="H175" s="15" t="s">
        <v>31</v>
      </c>
      <c r="I175" s="9"/>
      <c r="J175" s="9">
        <v>5.0000000000000001E-3</v>
      </c>
      <c r="K175" s="9">
        <v>0.03</v>
      </c>
      <c r="L175" s="9">
        <v>6</v>
      </c>
      <c r="M175" s="9" t="s">
        <v>33</v>
      </c>
      <c r="N175" s="34">
        <f t="shared" si="10"/>
        <v>0.88200000000000001</v>
      </c>
      <c r="O175" s="34">
        <f t="shared" si="11"/>
        <v>1.0289999999999999</v>
      </c>
      <c r="P175" s="34">
        <f t="shared" si="12"/>
        <v>0.58799999999999997</v>
      </c>
      <c r="Q175" s="34">
        <f t="shared" si="13"/>
        <v>0.441</v>
      </c>
      <c r="R175" s="138">
        <v>2.94</v>
      </c>
      <c r="S175" s="9">
        <v>171718.65</v>
      </c>
      <c r="T175" s="9">
        <v>5151.5594999999994</v>
      </c>
      <c r="U175" s="9"/>
      <c r="V175" s="9"/>
      <c r="W175" s="15" t="s">
        <v>1417</v>
      </c>
      <c r="X175" s="15">
        <v>71867</v>
      </c>
      <c r="Y175" s="9" t="s">
        <v>233</v>
      </c>
      <c r="Z175" s="15" t="s">
        <v>1416</v>
      </c>
      <c r="AA175" s="142">
        <v>65</v>
      </c>
      <c r="AB175" s="20"/>
      <c r="AC175" s="8"/>
      <c r="AD175" s="8"/>
      <c r="AE175" s="21"/>
      <c r="AF175" s="20"/>
      <c r="AG175" s="8"/>
      <c r="AH175" s="8"/>
      <c r="AI175" s="21"/>
    </row>
    <row r="176" spans="1:35" hidden="1" x14ac:dyDescent="0.25">
      <c r="A176" s="15">
        <v>2062</v>
      </c>
      <c r="B176" s="104" t="s">
        <v>228</v>
      </c>
      <c r="C176" s="377" t="s">
        <v>1319</v>
      </c>
      <c r="D176" s="9" t="s">
        <v>230</v>
      </c>
      <c r="E176" s="9"/>
      <c r="F176" s="15" t="s">
        <v>1418</v>
      </c>
      <c r="G176" s="15"/>
      <c r="H176" s="15" t="s">
        <v>31</v>
      </c>
      <c r="I176" s="9"/>
      <c r="J176" s="9">
        <v>6.0000000000000001E-3</v>
      </c>
      <c r="K176" s="9">
        <v>1.8000000000000002E-2</v>
      </c>
      <c r="L176" s="9">
        <v>3</v>
      </c>
      <c r="M176" s="9" t="s">
        <v>33</v>
      </c>
      <c r="N176" s="34">
        <f t="shared" si="10"/>
        <v>0.5292</v>
      </c>
      <c r="O176" s="34">
        <f t="shared" si="11"/>
        <v>0.61740000000000006</v>
      </c>
      <c r="P176" s="34">
        <f t="shared" si="12"/>
        <v>0.35280000000000006</v>
      </c>
      <c r="Q176" s="34">
        <f t="shared" si="13"/>
        <v>0.2646</v>
      </c>
      <c r="R176" s="138">
        <v>1.7640000000000002</v>
      </c>
      <c r="S176" s="9">
        <v>171718.65</v>
      </c>
      <c r="T176" s="9">
        <v>3090.9357000000005</v>
      </c>
      <c r="U176" s="9"/>
      <c r="V176" s="9"/>
      <c r="W176" s="15" t="s">
        <v>1419</v>
      </c>
      <c r="X176" s="15">
        <v>71867</v>
      </c>
      <c r="Y176" s="9" t="s">
        <v>233</v>
      </c>
      <c r="Z176" s="15" t="s">
        <v>1418</v>
      </c>
      <c r="AA176" s="142">
        <v>66</v>
      </c>
      <c r="AB176" s="20"/>
      <c r="AC176" s="8"/>
      <c r="AD176" s="8"/>
      <c r="AE176" s="21"/>
      <c r="AF176" s="20"/>
      <c r="AG176" s="8"/>
      <c r="AH176" s="8"/>
      <c r="AI176" s="21"/>
    </row>
    <row r="177" spans="1:35" hidden="1" x14ac:dyDescent="0.25">
      <c r="A177" s="15">
        <v>2063</v>
      </c>
      <c r="B177" s="104" t="s">
        <v>228</v>
      </c>
      <c r="C177" s="377" t="s">
        <v>1319</v>
      </c>
      <c r="D177" s="9" t="s">
        <v>230</v>
      </c>
      <c r="E177" s="9"/>
      <c r="F177" s="15" t="s">
        <v>1185</v>
      </c>
      <c r="G177" s="15"/>
      <c r="H177" s="15" t="s">
        <v>31</v>
      </c>
      <c r="I177" s="9"/>
      <c r="J177" s="9">
        <v>2.0000000000000001E-4</v>
      </c>
      <c r="K177" s="9">
        <v>4.8000000000000004E-3</v>
      </c>
      <c r="L177" s="9">
        <v>24</v>
      </c>
      <c r="M177" s="9" t="s">
        <v>33</v>
      </c>
      <c r="N177" s="34">
        <f t="shared" si="10"/>
        <v>0.14112</v>
      </c>
      <c r="O177" s="34">
        <f t="shared" si="11"/>
        <v>0.16464000000000001</v>
      </c>
      <c r="P177" s="34">
        <f t="shared" si="12"/>
        <v>9.4080000000000011E-2</v>
      </c>
      <c r="Q177" s="34">
        <f t="shared" si="13"/>
        <v>7.0559999999999998E-2</v>
      </c>
      <c r="R177" s="138">
        <v>0.47040000000000004</v>
      </c>
      <c r="S177" s="9">
        <v>171718.65</v>
      </c>
      <c r="T177" s="9">
        <v>824.24952000000008</v>
      </c>
      <c r="U177" s="9"/>
      <c r="V177" s="9"/>
      <c r="W177" s="15" t="s">
        <v>1420</v>
      </c>
      <c r="X177" s="15">
        <v>71867</v>
      </c>
      <c r="Y177" s="9" t="s">
        <v>233</v>
      </c>
      <c r="Z177" s="15" t="s">
        <v>1185</v>
      </c>
      <c r="AA177" s="142">
        <v>67</v>
      </c>
      <c r="AB177" s="20"/>
      <c r="AC177" s="8"/>
      <c r="AD177" s="8"/>
      <c r="AE177" s="21"/>
      <c r="AF177" s="20"/>
      <c r="AG177" s="8"/>
      <c r="AH177" s="8"/>
      <c r="AI177" s="21"/>
    </row>
    <row r="178" spans="1:35" ht="30" hidden="1" x14ac:dyDescent="0.25">
      <c r="A178" s="15">
        <v>2064</v>
      </c>
      <c r="B178" s="104" t="s">
        <v>228</v>
      </c>
      <c r="C178" s="377" t="s">
        <v>1319</v>
      </c>
      <c r="D178" s="9" t="s">
        <v>230</v>
      </c>
      <c r="E178" s="9"/>
      <c r="F178" s="15" t="s">
        <v>1421</v>
      </c>
      <c r="G178" s="15"/>
      <c r="H178" s="15" t="s">
        <v>31</v>
      </c>
      <c r="I178" s="9"/>
      <c r="J178" s="9">
        <v>1E-4</v>
      </c>
      <c r="K178" s="9">
        <v>1.8000000000000002E-3</v>
      </c>
      <c r="L178" s="9">
        <v>18</v>
      </c>
      <c r="M178" s="9" t="s">
        <v>33</v>
      </c>
      <c r="N178" s="34">
        <f t="shared" si="10"/>
        <v>5.2920000000000009E-2</v>
      </c>
      <c r="O178" s="34">
        <f t="shared" si="11"/>
        <v>6.1740000000000003E-2</v>
      </c>
      <c r="P178" s="34">
        <f t="shared" si="12"/>
        <v>3.5280000000000006E-2</v>
      </c>
      <c r="Q178" s="34">
        <f t="shared" si="13"/>
        <v>2.6460000000000004E-2</v>
      </c>
      <c r="R178" s="138">
        <v>0.17640000000000003</v>
      </c>
      <c r="S178" s="9">
        <v>171718.65</v>
      </c>
      <c r="T178" s="9">
        <v>309.09357</v>
      </c>
      <c r="U178" s="9"/>
      <c r="V178" s="9"/>
      <c r="W178" s="15" t="s">
        <v>425</v>
      </c>
      <c r="X178" s="15">
        <v>71867</v>
      </c>
      <c r="Y178" s="9" t="s">
        <v>233</v>
      </c>
      <c r="Z178" s="15" t="s">
        <v>1421</v>
      </c>
      <c r="AA178" s="142">
        <v>68</v>
      </c>
      <c r="AB178" s="20"/>
      <c r="AC178" s="8"/>
      <c r="AD178" s="8"/>
      <c r="AE178" s="21"/>
      <c r="AF178" s="20"/>
      <c r="AG178" s="8"/>
      <c r="AH178" s="8"/>
      <c r="AI178" s="21"/>
    </row>
    <row r="179" spans="1:35" ht="30" hidden="1" x14ac:dyDescent="0.25">
      <c r="A179" s="15">
        <v>2065</v>
      </c>
      <c r="B179" s="104" t="s">
        <v>228</v>
      </c>
      <c r="C179" s="377" t="s">
        <v>1319</v>
      </c>
      <c r="D179" s="9" t="s">
        <v>230</v>
      </c>
      <c r="E179" s="9"/>
      <c r="F179" s="15" t="s">
        <v>1422</v>
      </c>
      <c r="G179" s="15"/>
      <c r="H179" s="15" t="s">
        <v>31</v>
      </c>
      <c r="I179" s="9"/>
      <c r="J179" s="9">
        <v>1.0000000000000001E-5</v>
      </c>
      <c r="K179" s="9">
        <v>1.8000000000000001E-4</v>
      </c>
      <c r="L179" s="9">
        <v>18</v>
      </c>
      <c r="M179" s="9" t="s">
        <v>33</v>
      </c>
      <c r="N179" s="34">
        <f t="shared" si="10"/>
        <v>5.2919999999999998E-3</v>
      </c>
      <c r="O179" s="34">
        <f t="shared" si="11"/>
        <v>6.1739999999999998E-3</v>
      </c>
      <c r="P179" s="34">
        <f t="shared" si="12"/>
        <v>3.5279999999999999E-3</v>
      </c>
      <c r="Q179" s="34">
        <f t="shared" si="13"/>
        <v>2.6459999999999999E-3</v>
      </c>
      <c r="R179" s="138">
        <v>1.7639999999999999E-2</v>
      </c>
      <c r="S179" s="9">
        <v>171718.65</v>
      </c>
      <c r="T179" s="9">
        <v>30.909357</v>
      </c>
      <c r="U179" s="9"/>
      <c r="V179" s="9"/>
      <c r="W179" s="15" t="s">
        <v>427</v>
      </c>
      <c r="X179" s="15">
        <v>71867</v>
      </c>
      <c r="Y179" s="9" t="s">
        <v>233</v>
      </c>
      <c r="Z179" s="15" t="s">
        <v>1422</v>
      </c>
      <c r="AA179" s="142">
        <v>69</v>
      </c>
      <c r="AB179" s="20"/>
      <c r="AC179" s="8"/>
      <c r="AD179" s="8"/>
      <c r="AE179" s="21"/>
      <c r="AF179" s="20"/>
      <c r="AG179" s="8"/>
      <c r="AH179" s="8"/>
      <c r="AI179" s="21"/>
    </row>
    <row r="180" spans="1:35" ht="30" hidden="1" x14ac:dyDescent="0.25">
      <c r="A180" s="15">
        <v>2066</v>
      </c>
      <c r="B180" s="104" t="s">
        <v>228</v>
      </c>
      <c r="C180" s="377" t="s">
        <v>1319</v>
      </c>
      <c r="D180" s="9" t="s">
        <v>230</v>
      </c>
      <c r="E180" s="9"/>
      <c r="F180" s="15" t="s">
        <v>1423</v>
      </c>
      <c r="G180" s="15"/>
      <c r="H180" s="15" t="s">
        <v>31</v>
      </c>
      <c r="I180" s="9"/>
      <c r="J180" s="9">
        <v>1E-4</v>
      </c>
      <c r="K180" s="9">
        <v>1.8000000000000002E-3</v>
      </c>
      <c r="L180" s="9">
        <v>18</v>
      </c>
      <c r="M180" s="9" t="s">
        <v>33</v>
      </c>
      <c r="N180" s="34">
        <f t="shared" si="10"/>
        <v>5.2920000000000009E-2</v>
      </c>
      <c r="O180" s="34">
        <f t="shared" si="11"/>
        <v>6.1740000000000003E-2</v>
      </c>
      <c r="P180" s="34">
        <f t="shared" si="12"/>
        <v>3.5280000000000006E-2</v>
      </c>
      <c r="Q180" s="34">
        <f t="shared" si="13"/>
        <v>2.6460000000000004E-2</v>
      </c>
      <c r="R180" s="138">
        <v>0.17640000000000003</v>
      </c>
      <c r="S180" s="9">
        <v>171718.65</v>
      </c>
      <c r="T180" s="9">
        <v>309.09357</v>
      </c>
      <c r="U180" s="9"/>
      <c r="V180" s="9"/>
      <c r="W180" s="15" t="s">
        <v>429</v>
      </c>
      <c r="X180" s="15">
        <v>71867</v>
      </c>
      <c r="Y180" s="9" t="s">
        <v>233</v>
      </c>
      <c r="Z180" s="15" t="s">
        <v>1423</v>
      </c>
      <c r="AA180" s="142">
        <v>70</v>
      </c>
      <c r="AB180" s="20"/>
      <c r="AC180" s="8"/>
      <c r="AD180" s="8"/>
      <c r="AE180" s="21"/>
      <c r="AF180" s="20"/>
      <c r="AG180" s="8"/>
      <c r="AH180" s="8"/>
      <c r="AI180" s="21"/>
    </row>
    <row r="181" spans="1:35" hidden="1" x14ac:dyDescent="0.25">
      <c r="A181" s="15">
        <v>2067</v>
      </c>
      <c r="B181" s="104" t="s">
        <v>228</v>
      </c>
      <c r="C181" s="377" t="s">
        <v>1319</v>
      </c>
      <c r="D181" s="9" t="s">
        <v>230</v>
      </c>
      <c r="E181" s="9"/>
      <c r="F181" s="15" t="s">
        <v>1424</v>
      </c>
      <c r="G181" s="15"/>
      <c r="H181" s="15" t="s">
        <v>31</v>
      </c>
      <c r="I181" s="9"/>
      <c r="J181" s="9">
        <v>3.0000000000000001E-3</v>
      </c>
      <c r="K181" s="9">
        <v>9.0000000000000011E-3</v>
      </c>
      <c r="L181" s="9">
        <v>3</v>
      </c>
      <c r="M181" s="9" t="s">
        <v>33</v>
      </c>
      <c r="N181" s="34">
        <f t="shared" si="10"/>
        <v>0.2646</v>
      </c>
      <c r="O181" s="34">
        <f t="shared" si="11"/>
        <v>0.30870000000000003</v>
      </c>
      <c r="P181" s="34">
        <f t="shared" si="12"/>
        <v>0.17640000000000003</v>
      </c>
      <c r="Q181" s="34">
        <f t="shared" si="13"/>
        <v>0.1323</v>
      </c>
      <c r="R181" s="138">
        <v>0.88200000000000012</v>
      </c>
      <c r="S181" s="9">
        <v>171718.65</v>
      </c>
      <c r="T181" s="9">
        <v>1545.4678500000002</v>
      </c>
      <c r="U181" s="9"/>
      <c r="V181" s="9"/>
      <c r="W181" s="15" t="s">
        <v>1425</v>
      </c>
      <c r="X181" s="15">
        <v>71867</v>
      </c>
      <c r="Y181" s="9" t="s">
        <v>233</v>
      </c>
      <c r="Z181" s="15" t="s">
        <v>1424</v>
      </c>
      <c r="AA181" s="142">
        <v>71</v>
      </c>
      <c r="AB181" s="20"/>
      <c r="AC181" s="8"/>
      <c r="AD181" s="8"/>
      <c r="AE181" s="21"/>
      <c r="AF181" s="20"/>
      <c r="AG181" s="8"/>
      <c r="AH181" s="8"/>
      <c r="AI181" s="21"/>
    </row>
    <row r="182" spans="1:35" ht="45" hidden="1" x14ac:dyDescent="0.25">
      <c r="A182" s="15">
        <v>2068</v>
      </c>
      <c r="B182" s="104" t="s">
        <v>228</v>
      </c>
      <c r="C182" s="377" t="s">
        <v>1319</v>
      </c>
      <c r="D182" s="9" t="s">
        <v>230</v>
      </c>
      <c r="E182" s="9"/>
      <c r="F182" s="15" t="s">
        <v>1384</v>
      </c>
      <c r="G182" s="15"/>
      <c r="H182" s="15" t="s">
        <v>31</v>
      </c>
      <c r="I182" s="9"/>
      <c r="J182" s="9">
        <v>4.0000000000000001E-3</v>
      </c>
      <c r="K182" s="9">
        <v>3.6000000000000004E-2</v>
      </c>
      <c r="L182" s="9">
        <v>9</v>
      </c>
      <c r="M182" s="9" t="s">
        <v>51</v>
      </c>
      <c r="N182" s="34">
        <f t="shared" si="10"/>
        <v>1.0584</v>
      </c>
      <c r="O182" s="34">
        <f t="shared" si="11"/>
        <v>1.2348000000000001</v>
      </c>
      <c r="P182" s="34">
        <f t="shared" si="12"/>
        <v>0.70560000000000012</v>
      </c>
      <c r="Q182" s="34">
        <f t="shared" si="13"/>
        <v>0.5292</v>
      </c>
      <c r="R182" s="138">
        <v>3.5280000000000005</v>
      </c>
      <c r="S182" s="9">
        <v>171718.65</v>
      </c>
      <c r="T182" s="9">
        <v>6181.8714000000009</v>
      </c>
      <c r="U182" s="9"/>
      <c r="V182" s="9"/>
      <c r="W182" s="15" t="s">
        <v>1385</v>
      </c>
      <c r="X182" s="15">
        <v>71867</v>
      </c>
      <c r="Y182" s="9" t="s">
        <v>233</v>
      </c>
      <c r="Z182" s="15" t="s">
        <v>1384</v>
      </c>
      <c r="AA182" s="142">
        <v>72</v>
      </c>
      <c r="AB182" s="20"/>
      <c r="AC182" s="8"/>
      <c r="AD182" s="8"/>
      <c r="AE182" s="21"/>
      <c r="AF182" s="20"/>
      <c r="AG182" s="8"/>
      <c r="AH182" s="8"/>
      <c r="AI182" s="21"/>
    </row>
    <row r="183" spans="1:35" ht="30" hidden="1" x14ac:dyDescent="0.25">
      <c r="A183" s="15">
        <v>2069</v>
      </c>
      <c r="B183" s="104" t="s">
        <v>228</v>
      </c>
      <c r="C183" s="377" t="s">
        <v>1319</v>
      </c>
      <c r="D183" s="9" t="s">
        <v>230</v>
      </c>
      <c r="E183" s="9"/>
      <c r="F183" s="15" t="s">
        <v>1426</v>
      </c>
      <c r="G183" s="15"/>
      <c r="H183" s="15" t="s">
        <v>31</v>
      </c>
      <c r="I183" s="9"/>
      <c r="J183" s="9">
        <v>1E-4</v>
      </c>
      <c r="K183" s="9">
        <v>3.9000000000000003E-3</v>
      </c>
      <c r="L183" s="9">
        <v>39</v>
      </c>
      <c r="M183" s="9" t="s">
        <v>33</v>
      </c>
      <c r="N183" s="34">
        <f t="shared" si="10"/>
        <v>0.11466000000000001</v>
      </c>
      <c r="O183" s="34">
        <f t="shared" si="11"/>
        <v>0.13377</v>
      </c>
      <c r="P183" s="34">
        <f t="shared" si="12"/>
        <v>7.6440000000000008E-2</v>
      </c>
      <c r="Q183" s="34">
        <f t="shared" si="13"/>
        <v>5.7330000000000006E-2</v>
      </c>
      <c r="R183" s="138">
        <v>0.38220000000000004</v>
      </c>
      <c r="S183" s="9">
        <v>171718.65</v>
      </c>
      <c r="T183" s="9">
        <v>669.70273500000008</v>
      </c>
      <c r="U183" s="9"/>
      <c r="V183" s="9"/>
      <c r="W183" s="15" t="s">
        <v>375</v>
      </c>
      <c r="X183" s="15">
        <v>71867</v>
      </c>
      <c r="Y183" s="9" t="s">
        <v>233</v>
      </c>
      <c r="Z183" s="15" t="s">
        <v>1426</v>
      </c>
      <c r="AA183" s="142">
        <v>73</v>
      </c>
      <c r="AB183" s="20"/>
      <c r="AC183" s="8"/>
      <c r="AD183" s="8"/>
      <c r="AE183" s="21"/>
      <c r="AF183" s="20"/>
      <c r="AG183" s="8"/>
      <c r="AH183" s="8"/>
      <c r="AI183" s="21"/>
    </row>
    <row r="184" spans="1:35" ht="45" hidden="1" x14ac:dyDescent="0.25">
      <c r="A184" s="15">
        <v>2070</v>
      </c>
      <c r="B184" s="104" t="s">
        <v>228</v>
      </c>
      <c r="C184" s="377" t="s">
        <v>1319</v>
      </c>
      <c r="D184" s="9" t="s">
        <v>230</v>
      </c>
      <c r="E184" s="9"/>
      <c r="F184" s="15" t="s">
        <v>1427</v>
      </c>
      <c r="G184" s="15"/>
      <c r="H184" s="15" t="s">
        <v>31</v>
      </c>
      <c r="I184" s="9"/>
      <c r="J184" s="9">
        <v>5.0000000000000001E-4</v>
      </c>
      <c r="K184" s="9">
        <v>1.5E-3</v>
      </c>
      <c r="L184" s="9">
        <v>3</v>
      </c>
      <c r="M184" s="9" t="s">
        <v>33</v>
      </c>
      <c r="N184" s="34">
        <f t="shared" si="10"/>
        <v>4.4099999999999993E-2</v>
      </c>
      <c r="O184" s="34">
        <f t="shared" si="11"/>
        <v>5.1449999999999996E-2</v>
      </c>
      <c r="P184" s="34">
        <f t="shared" si="12"/>
        <v>2.9399999999999999E-2</v>
      </c>
      <c r="Q184" s="34">
        <f t="shared" si="13"/>
        <v>2.2049999999999997E-2</v>
      </c>
      <c r="R184" s="138">
        <v>0.14699999999999999</v>
      </c>
      <c r="S184" s="9">
        <v>171718.65</v>
      </c>
      <c r="T184" s="9">
        <v>257.57797499999998</v>
      </c>
      <c r="U184" s="9"/>
      <c r="V184" s="9"/>
      <c r="W184" s="15" t="s">
        <v>1428</v>
      </c>
      <c r="X184" s="15">
        <v>71867</v>
      </c>
      <c r="Y184" s="9" t="s">
        <v>233</v>
      </c>
      <c r="Z184" s="15" t="s">
        <v>1427</v>
      </c>
      <c r="AA184" s="142">
        <v>74</v>
      </c>
      <c r="AB184" s="20"/>
      <c r="AC184" s="8"/>
      <c r="AD184" s="8"/>
      <c r="AE184" s="21"/>
      <c r="AF184" s="20"/>
      <c r="AG184" s="8"/>
      <c r="AH184" s="8"/>
      <c r="AI184" s="21"/>
    </row>
    <row r="185" spans="1:35" ht="45" hidden="1" x14ac:dyDescent="0.25">
      <c r="A185" s="15">
        <v>2071</v>
      </c>
      <c r="B185" s="104" t="s">
        <v>228</v>
      </c>
      <c r="C185" s="377" t="s">
        <v>1319</v>
      </c>
      <c r="D185" s="9" t="s">
        <v>230</v>
      </c>
      <c r="E185" s="9"/>
      <c r="F185" s="15" t="s">
        <v>1429</v>
      </c>
      <c r="G185" s="15"/>
      <c r="H185" s="15" t="s">
        <v>31</v>
      </c>
      <c r="I185" s="9"/>
      <c r="J185" s="9">
        <v>4.0000000000000002E-4</v>
      </c>
      <c r="K185" s="9">
        <v>1.2000000000000001E-3</v>
      </c>
      <c r="L185" s="9">
        <v>3</v>
      </c>
      <c r="M185" s="9" t="s">
        <v>33</v>
      </c>
      <c r="N185" s="34">
        <f t="shared" si="10"/>
        <v>3.5279999999999999E-2</v>
      </c>
      <c r="O185" s="34">
        <f t="shared" si="11"/>
        <v>4.1160000000000002E-2</v>
      </c>
      <c r="P185" s="34">
        <f t="shared" si="12"/>
        <v>2.3520000000000003E-2</v>
      </c>
      <c r="Q185" s="34">
        <f t="shared" si="13"/>
        <v>1.7639999999999999E-2</v>
      </c>
      <c r="R185" s="138">
        <v>0.11760000000000001</v>
      </c>
      <c r="S185" s="9">
        <v>171718.65</v>
      </c>
      <c r="T185" s="9">
        <v>206.06238000000002</v>
      </c>
      <c r="U185" s="9"/>
      <c r="V185" s="9"/>
      <c r="W185" s="15" t="s">
        <v>1430</v>
      </c>
      <c r="X185" s="15">
        <v>71867</v>
      </c>
      <c r="Y185" s="9" t="s">
        <v>233</v>
      </c>
      <c r="Z185" s="15" t="s">
        <v>1429</v>
      </c>
      <c r="AA185" s="142">
        <v>75</v>
      </c>
      <c r="AB185" s="20"/>
      <c r="AC185" s="8"/>
      <c r="AD185" s="8"/>
      <c r="AE185" s="21"/>
      <c r="AF185" s="20"/>
      <c r="AG185" s="8"/>
      <c r="AH185" s="8"/>
      <c r="AI185" s="21"/>
    </row>
    <row r="186" spans="1:35" ht="45" hidden="1" x14ac:dyDescent="0.25">
      <c r="A186" s="15">
        <v>2072</v>
      </c>
      <c r="B186" s="104" t="s">
        <v>228</v>
      </c>
      <c r="C186" s="377" t="s">
        <v>1319</v>
      </c>
      <c r="D186" s="9" t="s">
        <v>230</v>
      </c>
      <c r="E186" s="9"/>
      <c r="F186" s="15" t="s">
        <v>1431</v>
      </c>
      <c r="G186" s="15"/>
      <c r="H186" s="15" t="s">
        <v>31</v>
      </c>
      <c r="I186" s="9"/>
      <c r="J186" s="9">
        <v>5.0000000000000001E-4</v>
      </c>
      <c r="K186" s="9">
        <v>3.0000000000000001E-3</v>
      </c>
      <c r="L186" s="9">
        <v>6</v>
      </c>
      <c r="M186" s="9" t="s">
        <v>33</v>
      </c>
      <c r="N186" s="34">
        <f t="shared" si="10"/>
        <v>8.8199999999999987E-2</v>
      </c>
      <c r="O186" s="34">
        <f t="shared" si="11"/>
        <v>0.10289999999999999</v>
      </c>
      <c r="P186" s="34">
        <f t="shared" si="12"/>
        <v>5.8799999999999998E-2</v>
      </c>
      <c r="Q186" s="34">
        <f t="shared" si="13"/>
        <v>4.4099999999999993E-2</v>
      </c>
      <c r="R186" s="138">
        <v>0.29399999999999998</v>
      </c>
      <c r="S186" s="9">
        <v>171718.65</v>
      </c>
      <c r="T186" s="9">
        <v>515.15594999999996</v>
      </c>
      <c r="U186" s="9"/>
      <c r="V186" s="9"/>
      <c r="W186" s="15" t="s">
        <v>1432</v>
      </c>
      <c r="X186" s="15">
        <v>71867</v>
      </c>
      <c r="Y186" s="9" t="s">
        <v>233</v>
      </c>
      <c r="Z186" s="15" t="s">
        <v>1431</v>
      </c>
      <c r="AA186" s="142">
        <v>76</v>
      </c>
      <c r="AB186" s="20"/>
      <c r="AC186" s="8"/>
      <c r="AD186" s="8"/>
      <c r="AE186" s="21"/>
      <c r="AF186" s="20"/>
      <c r="AG186" s="8"/>
      <c r="AH186" s="8"/>
      <c r="AI186" s="21"/>
    </row>
    <row r="187" spans="1:35" ht="45" hidden="1" x14ac:dyDescent="0.25">
      <c r="A187" s="15">
        <v>2073</v>
      </c>
      <c r="B187" s="104" t="s">
        <v>228</v>
      </c>
      <c r="C187" s="377" t="s">
        <v>1319</v>
      </c>
      <c r="D187" s="9" t="s">
        <v>230</v>
      </c>
      <c r="E187" s="9"/>
      <c r="F187" s="15" t="s">
        <v>1433</v>
      </c>
      <c r="G187" s="15"/>
      <c r="H187" s="15" t="s">
        <v>31</v>
      </c>
      <c r="I187" s="9"/>
      <c r="J187" s="9">
        <v>1E-4</v>
      </c>
      <c r="K187" s="9">
        <v>4.5000000000000005E-3</v>
      </c>
      <c r="L187" s="9">
        <v>45</v>
      </c>
      <c r="M187" s="9" t="s">
        <v>33</v>
      </c>
      <c r="N187" s="34">
        <f t="shared" si="10"/>
        <v>0.1323</v>
      </c>
      <c r="O187" s="34">
        <f t="shared" si="11"/>
        <v>0.15435000000000001</v>
      </c>
      <c r="P187" s="34">
        <f t="shared" si="12"/>
        <v>8.8200000000000014E-2</v>
      </c>
      <c r="Q187" s="34">
        <f t="shared" si="13"/>
        <v>6.615E-2</v>
      </c>
      <c r="R187" s="138">
        <v>0.44100000000000006</v>
      </c>
      <c r="S187" s="9">
        <v>171718.65</v>
      </c>
      <c r="T187" s="9">
        <v>772.73392500000011</v>
      </c>
      <c r="U187" s="9"/>
      <c r="V187" s="9"/>
      <c r="W187" s="15" t="s">
        <v>1434</v>
      </c>
      <c r="X187" s="15">
        <v>71867</v>
      </c>
      <c r="Y187" s="9" t="s">
        <v>233</v>
      </c>
      <c r="Z187" s="15" t="s">
        <v>1433</v>
      </c>
      <c r="AA187" s="142">
        <v>77</v>
      </c>
      <c r="AB187" s="20"/>
      <c r="AC187" s="8"/>
      <c r="AD187" s="8"/>
      <c r="AE187" s="21"/>
      <c r="AF187" s="20"/>
      <c r="AG187" s="8"/>
      <c r="AH187" s="8"/>
      <c r="AI187" s="21"/>
    </row>
    <row r="188" spans="1:35" ht="30" hidden="1" x14ac:dyDescent="0.25">
      <c r="A188" s="15">
        <v>2074</v>
      </c>
      <c r="B188" s="104" t="s">
        <v>228</v>
      </c>
      <c r="C188" s="377" t="s">
        <v>1319</v>
      </c>
      <c r="D188" s="9" t="s">
        <v>230</v>
      </c>
      <c r="E188" s="9"/>
      <c r="F188" s="15" t="s">
        <v>1405</v>
      </c>
      <c r="G188" s="15"/>
      <c r="H188" s="15" t="s">
        <v>31</v>
      </c>
      <c r="I188" s="9"/>
      <c r="J188" s="9">
        <v>1E-4</v>
      </c>
      <c r="K188" s="9">
        <v>4.8000000000000004E-3</v>
      </c>
      <c r="L188" s="9">
        <v>48</v>
      </c>
      <c r="M188" s="9" t="s">
        <v>33</v>
      </c>
      <c r="N188" s="34">
        <f t="shared" si="10"/>
        <v>0.14112</v>
      </c>
      <c r="O188" s="34">
        <f t="shared" si="11"/>
        <v>0.16464000000000001</v>
      </c>
      <c r="P188" s="34">
        <f t="shared" si="12"/>
        <v>9.4080000000000011E-2</v>
      </c>
      <c r="Q188" s="34">
        <f t="shared" si="13"/>
        <v>7.0559999999999998E-2</v>
      </c>
      <c r="R188" s="138">
        <v>0.47040000000000004</v>
      </c>
      <c r="S188" s="9">
        <v>171718.65</v>
      </c>
      <c r="T188" s="9">
        <v>824.24952000000008</v>
      </c>
      <c r="U188" s="9"/>
      <c r="V188" s="9"/>
      <c r="W188" s="15" t="s">
        <v>333</v>
      </c>
      <c r="X188" s="15">
        <v>71867</v>
      </c>
      <c r="Y188" s="9" t="s">
        <v>233</v>
      </c>
      <c r="Z188" s="15" t="s">
        <v>1405</v>
      </c>
      <c r="AA188" s="142">
        <v>78</v>
      </c>
      <c r="AB188" s="20"/>
      <c r="AC188" s="8"/>
      <c r="AD188" s="8"/>
      <c r="AE188" s="21"/>
      <c r="AF188" s="20"/>
      <c r="AG188" s="8"/>
      <c r="AH188" s="8"/>
      <c r="AI188" s="21"/>
    </row>
    <row r="189" spans="1:35" ht="45" hidden="1" x14ac:dyDescent="0.25">
      <c r="A189" s="15">
        <v>2075</v>
      </c>
      <c r="B189" s="104" t="s">
        <v>228</v>
      </c>
      <c r="C189" s="377" t="s">
        <v>1319</v>
      </c>
      <c r="D189" s="9" t="s">
        <v>230</v>
      </c>
      <c r="E189" s="9"/>
      <c r="F189" s="15" t="s">
        <v>1384</v>
      </c>
      <c r="G189" s="15"/>
      <c r="H189" s="15" t="s">
        <v>31</v>
      </c>
      <c r="I189" s="9"/>
      <c r="J189" s="9">
        <v>4.0000000000000001E-3</v>
      </c>
      <c r="K189" s="9">
        <v>0.06</v>
      </c>
      <c r="L189" s="9">
        <v>15</v>
      </c>
      <c r="M189" s="9" t="s">
        <v>51</v>
      </c>
      <c r="N189" s="34">
        <f t="shared" si="10"/>
        <v>1.764</v>
      </c>
      <c r="O189" s="34">
        <f t="shared" si="11"/>
        <v>2.0579999999999998</v>
      </c>
      <c r="P189" s="34">
        <f t="shared" si="12"/>
        <v>1.1759999999999999</v>
      </c>
      <c r="Q189" s="34">
        <f t="shared" si="13"/>
        <v>0.88200000000000001</v>
      </c>
      <c r="R189" s="138">
        <v>5.88</v>
      </c>
      <c r="S189" s="9">
        <v>171718.65</v>
      </c>
      <c r="T189" s="9">
        <v>10303.118999999999</v>
      </c>
      <c r="U189" s="9"/>
      <c r="V189" s="9"/>
      <c r="W189" s="15" t="s">
        <v>1385</v>
      </c>
      <c r="X189" s="15">
        <v>71867</v>
      </c>
      <c r="Y189" s="9" t="s">
        <v>233</v>
      </c>
      <c r="Z189" s="15" t="s">
        <v>1384</v>
      </c>
      <c r="AA189" s="142">
        <v>79</v>
      </c>
      <c r="AB189" s="20"/>
      <c r="AC189" s="8"/>
      <c r="AD189" s="8"/>
      <c r="AE189" s="21"/>
      <c r="AF189" s="20"/>
      <c r="AG189" s="8"/>
      <c r="AH189" s="8"/>
      <c r="AI189" s="21"/>
    </row>
    <row r="190" spans="1:35" ht="45" hidden="1" x14ac:dyDescent="0.25">
      <c r="A190" s="15">
        <v>2076</v>
      </c>
      <c r="B190" s="104" t="s">
        <v>228</v>
      </c>
      <c r="C190" s="377" t="s">
        <v>1319</v>
      </c>
      <c r="D190" s="9" t="s">
        <v>230</v>
      </c>
      <c r="E190" s="9"/>
      <c r="F190" s="15" t="s">
        <v>1435</v>
      </c>
      <c r="G190" s="15"/>
      <c r="H190" s="15" t="s">
        <v>31</v>
      </c>
      <c r="I190" s="9"/>
      <c r="J190" s="9">
        <v>1.6500000000000001E-2</v>
      </c>
      <c r="K190" s="9">
        <v>0.99</v>
      </c>
      <c r="L190" s="9">
        <v>60</v>
      </c>
      <c r="M190" s="9" t="s">
        <v>51</v>
      </c>
      <c r="N190" s="34">
        <f t="shared" si="10"/>
        <v>29.105999999999998</v>
      </c>
      <c r="O190" s="34">
        <f t="shared" si="11"/>
        <v>33.956999999999994</v>
      </c>
      <c r="P190" s="34">
        <f t="shared" si="12"/>
        <v>19.404</v>
      </c>
      <c r="Q190" s="34">
        <f t="shared" si="13"/>
        <v>14.552999999999999</v>
      </c>
      <c r="R190" s="138">
        <v>97.02</v>
      </c>
      <c r="S190" s="9">
        <v>171718.65</v>
      </c>
      <c r="T190" s="9">
        <v>170001.46349999998</v>
      </c>
      <c r="U190" s="9"/>
      <c r="V190" s="9"/>
      <c r="W190" s="15" t="s">
        <v>1436</v>
      </c>
      <c r="X190" s="15">
        <v>71868</v>
      </c>
      <c r="Y190" s="9" t="s">
        <v>233</v>
      </c>
      <c r="Z190" s="15" t="s">
        <v>1435</v>
      </c>
      <c r="AA190" s="142">
        <v>3</v>
      </c>
      <c r="AB190" s="20"/>
      <c r="AC190" s="8"/>
      <c r="AD190" s="8"/>
      <c r="AE190" s="21"/>
      <c r="AF190" s="20"/>
      <c r="AG190" s="8"/>
      <c r="AH190" s="8"/>
      <c r="AI190" s="21"/>
    </row>
    <row r="191" spans="1:35" ht="45" hidden="1" x14ac:dyDescent="0.25">
      <c r="A191" s="15">
        <v>2077</v>
      </c>
      <c r="B191" s="104" t="s">
        <v>228</v>
      </c>
      <c r="C191" s="377" t="s">
        <v>1319</v>
      </c>
      <c r="D191" s="9" t="s">
        <v>230</v>
      </c>
      <c r="E191" s="9"/>
      <c r="F191" s="15" t="s">
        <v>1437</v>
      </c>
      <c r="G191" s="15"/>
      <c r="H191" s="15" t="s">
        <v>31</v>
      </c>
      <c r="I191" s="9"/>
      <c r="J191" s="9">
        <v>0.03</v>
      </c>
      <c r="K191" s="9">
        <v>0.40499999999999997</v>
      </c>
      <c r="L191" s="9">
        <v>13.5</v>
      </c>
      <c r="M191" s="9" t="s">
        <v>1438</v>
      </c>
      <c r="N191" s="34">
        <f t="shared" si="10"/>
        <v>11.906999999999998</v>
      </c>
      <c r="O191" s="34">
        <f t="shared" si="11"/>
        <v>13.891499999999999</v>
      </c>
      <c r="P191" s="34">
        <f t="shared" si="12"/>
        <v>7.9379999999999997</v>
      </c>
      <c r="Q191" s="34">
        <f t="shared" si="13"/>
        <v>5.9534999999999991</v>
      </c>
      <c r="R191" s="138">
        <v>39.69</v>
      </c>
      <c r="S191" s="9">
        <v>171718.65</v>
      </c>
      <c r="T191" s="9">
        <v>69546.053249999997</v>
      </c>
      <c r="U191" s="9"/>
      <c r="V191" s="9"/>
      <c r="W191" s="15" t="s">
        <v>1439</v>
      </c>
      <c r="X191" s="15">
        <v>71868</v>
      </c>
      <c r="Y191" s="9" t="s">
        <v>233</v>
      </c>
      <c r="Z191" s="15" t="s">
        <v>1437</v>
      </c>
      <c r="AA191" s="142">
        <v>4</v>
      </c>
      <c r="AB191" s="20"/>
      <c r="AC191" s="8"/>
      <c r="AD191" s="8"/>
      <c r="AE191" s="21"/>
      <c r="AF191" s="20"/>
      <c r="AG191" s="8"/>
      <c r="AH191" s="8"/>
      <c r="AI191" s="21"/>
    </row>
    <row r="192" spans="1:35" ht="45" hidden="1" x14ac:dyDescent="0.25">
      <c r="A192" s="15">
        <v>2078</v>
      </c>
      <c r="B192" s="104" t="s">
        <v>228</v>
      </c>
      <c r="C192" s="377" t="s">
        <v>1319</v>
      </c>
      <c r="D192" s="9" t="s">
        <v>230</v>
      </c>
      <c r="E192" s="9"/>
      <c r="F192" s="15" t="s">
        <v>1440</v>
      </c>
      <c r="G192" s="15"/>
      <c r="H192" s="15" t="s">
        <v>31</v>
      </c>
      <c r="I192" s="9"/>
      <c r="J192" s="9">
        <v>1.2149999999999999E-2</v>
      </c>
      <c r="K192" s="9">
        <v>0.10934999999999999</v>
      </c>
      <c r="L192" s="9">
        <v>9</v>
      </c>
      <c r="M192" s="9" t="s">
        <v>51</v>
      </c>
      <c r="N192" s="34">
        <f t="shared" si="10"/>
        <v>3.2148899999999996</v>
      </c>
      <c r="O192" s="34">
        <f t="shared" si="11"/>
        <v>3.7507049999999991</v>
      </c>
      <c r="P192" s="34">
        <f t="shared" si="12"/>
        <v>2.1432599999999997</v>
      </c>
      <c r="Q192" s="34">
        <f t="shared" si="13"/>
        <v>1.6074449999999998</v>
      </c>
      <c r="R192" s="138">
        <v>10.716299999999999</v>
      </c>
      <c r="S192" s="9">
        <v>171718.65</v>
      </c>
      <c r="T192" s="9">
        <v>18777.434377499998</v>
      </c>
      <c r="U192" s="9"/>
      <c r="V192" s="9"/>
      <c r="W192" s="15" t="s">
        <v>1441</v>
      </c>
      <c r="X192" s="15">
        <v>71868</v>
      </c>
      <c r="Y192" s="9" t="s">
        <v>233</v>
      </c>
      <c r="Z192" s="15" t="s">
        <v>1440</v>
      </c>
      <c r="AA192" s="142">
        <v>5</v>
      </c>
      <c r="AB192" s="20"/>
      <c r="AC192" s="8"/>
      <c r="AD192" s="8"/>
      <c r="AE192" s="21"/>
      <c r="AF192" s="20"/>
      <c r="AG192" s="8"/>
      <c r="AH192" s="8"/>
      <c r="AI192" s="21"/>
    </row>
    <row r="193" spans="1:35" ht="60" hidden="1" x14ac:dyDescent="0.25">
      <c r="A193" s="15">
        <v>2079</v>
      </c>
      <c r="B193" s="104" t="s">
        <v>228</v>
      </c>
      <c r="C193" s="377" t="s">
        <v>1319</v>
      </c>
      <c r="D193" s="9" t="s">
        <v>230</v>
      </c>
      <c r="E193" s="9"/>
      <c r="F193" s="15" t="s">
        <v>1442</v>
      </c>
      <c r="G193" s="15"/>
      <c r="H193" s="15" t="s">
        <v>31</v>
      </c>
      <c r="I193" s="9"/>
      <c r="J193" s="9">
        <v>3.0000000000000001E-3</v>
      </c>
      <c r="K193" s="9">
        <v>4.3200000000000002E-2</v>
      </c>
      <c r="L193" s="9">
        <v>14.4</v>
      </c>
      <c r="M193" s="9" t="s">
        <v>51</v>
      </c>
      <c r="N193" s="34">
        <f t="shared" si="10"/>
        <v>1.2700799999999999</v>
      </c>
      <c r="O193" s="34">
        <f t="shared" si="11"/>
        <v>1.48176</v>
      </c>
      <c r="P193" s="34">
        <f t="shared" si="12"/>
        <v>0.84672000000000003</v>
      </c>
      <c r="Q193" s="34">
        <f t="shared" si="13"/>
        <v>0.63503999999999994</v>
      </c>
      <c r="R193" s="138">
        <v>4.2336</v>
      </c>
      <c r="S193" s="9">
        <v>171718.65</v>
      </c>
      <c r="T193" s="9">
        <v>7418.24568</v>
      </c>
      <c r="U193" s="9"/>
      <c r="V193" s="9"/>
      <c r="W193" s="15" t="s">
        <v>1443</v>
      </c>
      <c r="X193" s="15">
        <v>71868</v>
      </c>
      <c r="Y193" s="9" t="s">
        <v>233</v>
      </c>
      <c r="Z193" s="15" t="s">
        <v>1442</v>
      </c>
      <c r="AA193" s="142">
        <v>6</v>
      </c>
      <c r="AB193" s="20"/>
      <c r="AC193" s="8"/>
      <c r="AD193" s="8"/>
      <c r="AE193" s="21"/>
      <c r="AF193" s="20"/>
      <c r="AG193" s="8"/>
      <c r="AH193" s="8"/>
      <c r="AI193" s="21"/>
    </row>
    <row r="194" spans="1:35" ht="60" hidden="1" x14ac:dyDescent="0.25">
      <c r="A194" s="15">
        <v>2080</v>
      </c>
      <c r="B194" s="104" t="s">
        <v>228</v>
      </c>
      <c r="C194" s="377" t="s">
        <v>1319</v>
      </c>
      <c r="D194" s="9" t="s">
        <v>230</v>
      </c>
      <c r="E194" s="9"/>
      <c r="F194" s="15" t="s">
        <v>1444</v>
      </c>
      <c r="G194" s="15"/>
      <c r="H194" s="15" t="s">
        <v>31</v>
      </c>
      <c r="I194" s="9"/>
      <c r="J194" s="9">
        <v>1E-3</v>
      </c>
      <c r="K194" s="9">
        <v>0.114</v>
      </c>
      <c r="L194" s="9">
        <v>114</v>
      </c>
      <c r="M194" s="9" t="s">
        <v>51</v>
      </c>
      <c r="N194" s="34">
        <f t="shared" si="10"/>
        <v>3.3515999999999999</v>
      </c>
      <c r="O194" s="34">
        <f t="shared" si="11"/>
        <v>3.9102000000000001</v>
      </c>
      <c r="P194" s="34">
        <f t="shared" si="12"/>
        <v>2.2344000000000004</v>
      </c>
      <c r="Q194" s="34">
        <f t="shared" si="13"/>
        <v>1.6758</v>
      </c>
      <c r="R194" s="138">
        <v>11.172000000000001</v>
      </c>
      <c r="S194" s="9">
        <v>171718.65</v>
      </c>
      <c r="T194" s="9">
        <v>19575.926100000001</v>
      </c>
      <c r="U194" s="9"/>
      <c r="V194" s="9"/>
      <c r="W194" s="15" t="s">
        <v>1445</v>
      </c>
      <c r="X194" s="15">
        <v>71868</v>
      </c>
      <c r="Y194" s="9" t="s">
        <v>233</v>
      </c>
      <c r="Z194" s="15" t="s">
        <v>1444</v>
      </c>
      <c r="AA194" s="142">
        <v>7</v>
      </c>
      <c r="AB194" s="20"/>
      <c r="AC194" s="8"/>
      <c r="AD194" s="8"/>
      <c r="AE194" s="21"/>
      <c r="AF194" s="20"/>
      <c r="AG194" s="8"/>
      <c r="AH194" s="8"/>
      <c r="AI194" s="21"/>
    </row>
    <row r="195" spans="1:35" ht="60" hidden="1" x14ac:dyDescent="0.25">
      <c r="A195" s="15">
        <v>2081</v>
      </c>
      <c r="B195" s="104" t="s">
        <v>228</v>
      </c>
      <c r="C195" s="377" t="s">
        <v>1319</v>
      </c>
      <c r="D195" s="9" t="s">
        <v>230</v>
      </c>
      <c r="E195" s="9"/>
      <c r="F195" s="15" t="s">
        <v>1446</v>
      </c>
      <c r="G195" s="15"/>
      <c r="H195" s="15" t="s">
        <v>31</v>
      </c>
      <c r="I195" s="9"/>
      <c r="J195" s="9">
        <v>2E-3</v>
      </c>
      <c r="K195" s="9">
        <v>0.06</v>
      </c>
      <c r="L195" s="9">
        <v>30</v>
      </c>
      <c r="M195" s="9" t="s">
        <v>51</v>
      </c>
      <c r="N195" s="34">
        <f t="shared" si="10"/>
        <v>1.764</v>
      </c>
      <c r="O195" s="34">
        <f t="shared" si="11"/>
        <v>2.0579999999999998</v>
      </c>
      <c r="P195" s="34">
        <f t="shared" si="12"/>
        <v>1.1759999999999999</v>
      </c>
      <c r="Q195" s="34">
        <f t="shared" si="13"/>
        <v>0.88200000000000001</v>
      </c>
      <c r="R195" s="138">
        <v>5.88</v>
      </c>
      <c r="S195" s="9">
        <v>171718.65</v>
      </c>
      <c r="T195" s="9">
        <v>10303.118999999999</v>
      </c>
      <c r="U195" s="9"/>
      <c r="V195" s="9"/>
      <c r="W195" s="15" t="s">
        <v>1447</v>
      </c>
      <c r="X195" s="15">
        <v>71868</v>
      </c>
      <c r="Y195" s="9" t="s">
        <v>233</v>
      </c>
      <c r="Z195" s="15" t="s">
        <v>1446</v>
      </c>
      <c r="AA195" s="142">
        <v>8</v>
      </c>
      <c r="AB195" s="20"/>
      <c r="AC195" s="8"/>
      <c r="AD195" s="8"/>
      <c r="AE195" s="21"/>
      <c r="AF195" s="20"/>
      <c r="AG195" s="8"/>
      <c r="AH195" s="8"/>
      <c r="AI195" s="21"/>
    </row>
    <row r="196" spans="1:35" ht="45" hidden="1" x14ac:dyDescent="0.25">
      <c r="A196" s="15">
        <v>2082</v>
      </c>
      <c r="B196" s="104" t="s">
        <v>228</v>
      </c>
      <c r="C196" s="377" t="s">
        <v>1319</v>
      </c>
      <c r="D196" s="9" t="s">
        <v>230</v>
      </c>
      <c r="E196" s="9"/>
      <c r="F196" s="15" t="s">
        <v>1448</v>
      </c>
      <c r="G196" s="15"/>
      <c r="H196" s="15" t="s">
        <v>31</v>
      </c>
      <c r="I196" s="9"/>
      <c r="J196" s="9">
        <v>1.1000000000000001E-3</v>
      </c>
      <c r="K196" s="9">
        <v>0.14850000000000002</v>
      </c>
      <c r="L196" s="9">
        <v>135</v>
      </c>
      <c r="M196" s="9" t="s">
        <v>51</v>
      </c>
      <c r="N196" s="34">
        <f t="shared" si="10"/>
        <v>4.3659000000000008</v>
      </c>
      <c r="O196" s="34">
        <f t="shared" si="11"/>
        <v>5.0935500000000005</v>
      </c>
      <c r="P196" s="34">
        <f t="shared" si="12"/>
        <v>2.9106000000000005</v>
      </c>
      <c r="Q196" s="34">
        <f t="shared" si="13"/>
        <v>2.1829500000000004</v>
      </c>
      <c r="R196" s="138">
        <v>14.553000000000003</v>
      </c>
      <c r="S196" s="9">
        <v>171718.65</v>
      </c>
      <c r="T196" s="9">
        <v>25500.219525000004</v>
      </c>
      <c r="U196" s="9"/>
      <c r="V196" s="9"/>
      <c r="W196" s="15" t="s">
        <v>1449</v>
      </c>
      <c r="X196" s="15">
        <v>71868</v>
      </c>
      <c r="Y196" s="9" t="s">
        <v>233</v>
      </c>
      <c r="Z196" s="15" t="s">
        <v>1448</v>
      </c>
      <c r="AA196" s="142">
        <v>9</v>
      </c>
      <c r="AB196" s="126"/>
      <c r="AC196" s="72"/>
      <c r="AD196" s="72"/>
      <c r="AE196" s="127"/>
      <c r="AF196" s="126"/>
      <c r="AG196" s="72"/>
      <c r="AH196" s="72"/>
      <c r="AI196" s="127"/>
    </row>
    <row r="197" spans="1:35" hidden="1" x14ac:dyDescent="0.25">
      <c r="A197" s="15">
        <v>2083</v>
      </c>
      <c r="B197" s="104" t="s">
        <v>228</v>
      </c>
      <c r="C197" s="377" t="s">
        <v>1319</v>
      </c>
      <c r="D197" s="9" t="s">
        <v>230</v>
      </c>
      <c r="E197" s="9"/>
      <c r="F197" s="15" t="s">
        <v>747</v>
      </c>
      <c r="G197" s="15"/>
      <c r="H197" s="15" t="s">
        <v>31</v>
      </c>
      <c r="I197" s="9"/>
      <c r="J197" s="9">
        <v>1.0999999999999999E-2</v>
      </c>
      <c r="K197" s="9">
        <v>1.0999999999999999E-2</v>
      </c>
      <c r="L197" s="9">
        <v>1</v>
      </c>
      <c r="M197" s="9" t="s">
        <v>33</v>
      </c>
      <c r="N197" s="34">
        <f t="shared" si="10"/>
        <v>0.32339999999999997</v>
      </c>
      <c r="O197" s="34">
        <f t="shared" si="11"/>
        <v>0.37729999999999991</v>
      </c>
      <c r="P197" s="34">
        <f t="shared" si="12"/>
        <v>0.21559999999999999</v>
      </c>
      <c r="Q197" s="34">
        <f t="shared" si="13"/>
        <v>0.16169999999999998</v>
      </c>
      <c r="R197" s="138">
        <v>1.0779999999999998</v>
      </c>
      <c r="S197" s="9">
        <v>171718.65</v>
      </c>
      <c r="T197" s="9">
        <v>1888.9051499999998</v>
      </c>
      <c r="U197" s="9"/>
      <c r="V197" s="9"/>
      <c r="W197" s="15" t="s">
        <v>1450</v>
      </c>
      <c r="X197" s="15">
        <v>71869</v>
      </c>
      <c r="Y197" s="9" t="s">
        <v>233</v>
      </c>
      <c r="Z197" s="15" t="s">
        <v>747</v>
      </c>
      <c r="AA197" s="142">
        <v>3</v>
      </c>
      <c r="AB197" s="126"/>
      <c r="AC197" s="72"/>
      <c r="AD197" s="72"/>
      <c r="AE197" s="127"/>
      <c r="AF197" s="126"/>
      <c r="AG197" s="72"/>
      <c r="AH197" s="72"/>
      <c r="AI197" s="127"/>
    </row>
    <row r="198" spans="1:35" hidden="1" x14ac:dyDescent="0.25">
      <c r="A198" s="15">
        <v>2084</v>
      </c>
      <c r="B198" s="104" t="s">
        <v>228</v>
      </c>
      <c r="C198" s="377" t="s">
        <v>1319</v>
      </c>
      <c r="D198" s="9" t="s">
        <v>230</v>
      </c>
      <c r="E198" s="9"/>
      <c r="F198" s="15" t="s">
        <v>747</v>
      </c>
      <c r="G198" s="15"/>
      <c r="H198" s="15" t="s">
        <v>31</v>
      </c>
      <c r="I198" s="9"/>
      <c r="J198" s="9">
        <v>1.0999999999999999E-2</v>
      </c>
      <c r="K198" s="9">
        <v>1.0999999999999999E-2</v>
      </c>
      <c r="L198" s="9">
        <v>1</v>
      </c>
      <c r="M198" s="9" t="s">
        <v>33</v>
      </c>
      <c r="N198" s="34">
        <f t="shared" ref="N198:N225" si="14">R198*0.3</f>
        <v>0.32339999999999997</v>
      </c>
      <c r="O198" s="34">
        <f t="shared" ref="O198:O225" si="15">R198*0.35</f>
        <v>0.37729999999999991</v>
      </c>
      <c r="P198" s="34">
        <f t="shared" ref="P198:P225" si="16">R198*0.2</f>
        <v>0.21559999999999999</v>
      </c>
      <c r="Q198" s="34">
        <f t="shared" ref="Q198:Q225" si="17">R198*0.15</f>
        <v>0.16169999999999998</v>
      </c>
      <c r="R198" s="138">
        <v>1.0779999999999998</v>
      </c>
      <c r="S198" s="9">
        <v>171718.65</v>
      </c>
      <c r="T198" s="9">
        <v>1888.9051499999998</v>
      </c>
      <c r="U198" s="9"/>
      <c r="V198" s="9"/>
      <c r="W198" s="15" t="s">
        <v>1450</v>
      </c>
      <c r="X198" s="15">
        <v>71869</v>
      </c>
      <c r="Y198" s="9" t="s">
        <v>233</v>
      </c>
      <c r="Z198" s="15" t="s">
        <v>747</v>
      </c>
      <c r="AA198" s="142">
        <v>4</v>
      </c>
      <c r="AB198" s="126"/>
      <c r="AC198" s="72"/>
      <c r="AD198" s="72"/>
      <c r="AE198" s="127"/>
      <c r="AF198" s="126"/>
      <c r="AG198" s="72"/>
      <c r="AH198" s="72"/>
      <c r="AI198" s="127"/>
    </row>
    <row r="199" spans="1:35" hidden="1" x14ac:dyDescent="0.25">
      <c r="A199" s="15">
        <v>2085</v>
      </c>
      <c r="B199" s="104" t="s">
        <v>228</v>
      </c>
      <c r="C199" s="377" t="s">
        <v>1319</v>
      </c>
      <c r="D199" s="9" t="s">
        <v>230</v>
      </c>
      <c r="E199" s="9"/>
      <c r="F199" s="15" t="s">
        <v>747</v>
      </c>
      <c r="G199" s="15"/>
      <c r="H199" s="15" t="s">
        <v>31</v>
      </c>
      <c r="I199" s="9"/>
      <c r="J199" s="9">
        <v>1.0999999999999999E-2</v>
      </c>
      <c r="K199" s="9">
        <v>1.0999999999999999E-2</v>
      </c>
      <c r="L199" s="9">
        <v>1</v>
      </c>
      <c r="M199" s="9" t="s">
        <v>33</v>
      </c>
      <c r="N199" s="34">
        <f t="shared" si="14"/>
        <v>0.32339999999999997</v>
      </c>
      <c r="O199" s="34">
        <f t="shared" si="15"/>
        <v>0.37729999999999991</v>
      </c>
      <c r="P199" s="34">
        <f t="shared" si="16"/>
        <v>0.21559999999999999</v>
      </c>
      <c r="Q199" s="34">
        <f t="shared" si="17"/>
        <v>0.16169999999999998</v>
      </c>
      <c r="R199" s="138">
        <v>1.0779999999999998</v>
      </c>
      <c r="S199" s="9">
        <v>171718.65</v>
      </c>
      <c r="T199" s="9">
        <v>1888.9051499999998</v>
      </c>
      <c r="U199" s="9"/>
      <c r="V199" s="9"/>
      <c r="W199" s="15" t="s">
        <v>1450</v>
      </c>
      <c r="X199" s="15">
        <v>71869</v>
      </c>
      <c r="Y199" s="9" t="s">
        <v>233</v>
      </c>
      <c r="Z199" s="15" t="s">
        <v>747</v>
      </c>
      <c r="AA199" s="142">
        <v>5</v>
      </c>
      <c r="AB199" s="126"/>
      <c r="AC199" s="72"/>
      <c r="AD199" s="72"/>
      <c r="AE199" s="127"/>
      <c r="AF199" s="126"/>
      <c r="AG199" s="72"/>
      <c r="AH199" s="72"/>
      <c r="AI199" s="127"/>
    </row>
    <row r="200" spans="1:35" hidden="1" x14ac:dyDescent="0.25">
      <c r="A200" s="15">
        <v>2086</v>
      </c>
      <c r="B200" s="104" t="s">
        <v>228</v>
      </c>
      <c r="C200" s="377" t="s">
        <v>1319</v>
      </c>
      <c r="D200" s="9" t="s">
        <v>230</v>
      </c>
      <c r="E200" s="9"/>
      <c r="F200" s="15" t="s">
        <v>1451</v>
      </c>
      <c r="G200" s="15"/>
      <c r="H200" s="15" t="s">
        <v>31</v>
      </c>
      <c r="I200" s="9"/>
      <c r="J200" s="9">
        <v>0.17</v>
      </c>
      <c r="K200" s="9">
        <v>0.17</v>
      </c>
      <c r="L200" s="9">
        <v>1</v>
      </c>
      <c r="M200" s="9" t="s">
        <v>33</v>
      </c>
      <c r="N200" s="34">
        <f t="shared" si="14"/>
        <v>3.621</v>
      </c>
      <c r="O200" s="34">
        <f t="shared" si="15"/>
        <v>4.2244999999999999</v>
      </c>
      <c r="P200" s="34">
        <f t="shared" si="16"/>
        <v>2.4140000000000001</v>
      </c>
      <c r="Q200" s="34">
        <f t="shared" si="17"/>
        <v>1.8105</v>
      </c>
      <c r="R200" s="138">
        <v>12.07</v>
      </c>
      <c r="S200" s="9">
        <v>171718.65</v>
      </c>
      <c r="T200" s="9">
        <v>29192.1705</v>
      </c>
      <c r="U200" s="9"/>
      <c r="V200" s="9"/>
      <c r="W200" s="15" t="s">
        <v>1452</v>
      </c>
      <c r="X200" s="15">
        <v>71869</v>
      </c>
      <c r="Y200" s="9" t="s">
        <v>233</v>
      </c>
      <c r="Z200" s="15" t="s">
        <v>1451</v>
      </c>
      <c r="AA200" s="142">
        <v>6</v>
      </c>
      <c r="AB200" s="126"/>
      <c r="AC200" s="72"/>
      <c r="AD200" s="72"/>
      <c r="AE200" s="127"/>
      <c r="AF200" s="126"/>
      <c r="AG200" s="72"/>
      <c r="AH200" s="72"/>
      <c r="AI200" s="127"/>
    </row>
    <row r="201" spans="1:35" hidden="1" x14ac:dyDescent="0.25">
      <c r="A201" s="15">
        <v>2087</v>
      </c>
      <c r="B201" s="104" t="s">
        <v>228</v>
      </c>
      <c r="C201" s="377" t="s">
        <v>1319</v>
      </c>
      <c r="D201" s="9" t="s">
        <v>230</v>
      </c>
      <c r="E201" s="9"/>
      <c r="F201" s="15" t="s">
        <v>1451</v>
      </c>
      <c r="G201" s="15"/>
      <c r="H201" s="15" t="s">
        <v>31</v>
      </c>
      <c r="I201" s="9"/>
      <c r="J201" s="9">
        <v>0.17</v>
      </c>
      <c r="K201" s="9">
        <v>0.17</v>
      </c>
      <c r="L201" s="9">
        <v>1</v>
      </c>
      <c r="M201" s="9" t="s">
        <v>33</v>
      </c>
      <c r="N201" s="34">
        <f t="shared" si="14"/>
        <v>3.621</v>
      </c>
      <c r="O201" s="34">
        <f t="shared" si="15"/>
        <v>4.2244999999999999</v>
      </c>
      <c r="P201" s="34">
        <f t="shared" si="16"/>
        <v>2.4140000000000001</v>
      </c>
      <c r="Q201" s="34">
        <f t="shared" si="17"/>
        <v>1.8105</v>
      </c>
      <c r="R201" s="138">
        <v>12.07</v>
      </c>
      <c r="S201" s="9">
        <v>171718.65</v>
      </c>
      <c r="T201" s="9">
        <v>29192.1705</v>
      </c>
      <c r="U201" s="9"/>
      <c r="V201" s="9"/>
      <c r="W201" s="15" t="s">
        <v>1452</v>
      </c>
      <c r="X201" s="15">
        <v>71869</v>
      </c>
      <c r="Y201" s="9" t="s">
        <v>233</v>
      </c>
      <c r="Z201" s="15" t="s">
        <v>1451</v>
      </c>
      <c r="AA201" s="142">
        <v>7</v>
      </c>
      <c r="AB201" s="126"/>
      <c r="AC201" s="72"/>
      <c r="AD201" s="72"/>
      <c r="AE201" s="127"/>
      <c r="AF201" s="126"/>
      <c r="AG201" s="72"/>
      <c r="AH201" s="72"/>
      <c r="AI201" s="127"/>
    </row>
    <row r="202" spans="1:35" hidden="1" x14ac:dyDescent="0.25">
      <c r="A202" s="15">
        <v>2088</v>
      </c>
      <c r="B202" s="104" t="s">
        <v>228</v>
      </c>
      <c r="C202" s="377" t="s">
        <v>1319</v>
      </c>
      <c r="D202" s="9" t="s">
        <v>230</v>
      </c>
      <c r="E202" s="9"/>
      <c r="F202" s="15" t="s">
        <v>1451</v>
      </c>
      <c r="G202" s="15"/>
      <c r="H202" s="15" t="s">
        <v>31</v>
      </c>
      <c r="I202" s="9"/>
      <c r="J202" s="9">
        <v>0.17100000000000001</v>
      </c>
      <c r="K202" s="9">
        <v>0.17100000000000001</v>
      </c>
      <c r="L202" s="9">
        <v>1</v>
      </c>
      <c r="M202" s="9" t="s">
        <v>33</v>
      </c>
      <c r="N202" s="34">
        <f t="shared" si="14"/>
        <v>3.6423000000000005</v>
      </c>
      <c r="O202" s="34">
        <f t="shared" si="15"/>
        <v>4.2493500000000006</v>
      </c>
      <c r="P202" s="34">
        <f t="shared" si="16"/>
        <v>2.4282000000000004</v>
      </c>
      <c r="Q202" s="34">
        <f t="shared" si="17"/>
        <v>1.8211500000000003</v>
      </c>
      <c r="R202" s="138">
        <v>12.141000000000002</v>
      </c>
      <c r="S202" s="9">
        <v>171718.65</v>
      </c>
      <c r="T202" s="9">
        <v>29363.889150000003</v>
      </c>
      <c r="U202" s="9"/>
      <c r="V202" s="9"/>
      <c r="W202" s="15" t="s">
        <v>1452</v>
      </c>
      <c r="X202" s="15">
        <v>71869</v>
      </c>
      <c r="Y202" s="9" t="s">
        <v>233</v>
      </c>
      <c r="Z202" s="15" t="s">
        <v>1451</v>
      </c>
      <c r="AA202" s="142">
        <v>8</v>
      </c>
      <c r="AB202" s="126"/>
      <c r="AC202" s="72"/>
      <c r="AD202" s="72"/>
      <c r="AE202" s="127"/>
      <c r="AF202" s="126"/>
      <c r="AG202" s="72"/>
      <c r="AH202" s="72"/>
      <c r="AI202" s="127"/>
    </row>
    <row r="203" spans="1:35" ht="60" hidden="1" x14ac:dyDescent="0.25">
      <c r="A203" s="15">
        <v>2089</v>
      </c>
      <c r="B203" s="104" t="s">
        <v>228</v>
      </c>
      <c r="C203" s="377" t="s">
        <v>1319</v>
      </c>
      <c r="D203" s="9" t="s">
        <v>230</v>
      </c>
      <c r="E203" s="9"/>
      <c r="F203" s="15" t="s">
        <v>1360</v>
      </c>
      <c r="G203" s="15"/>
      <c r="H203" s="15" t="s">
        <v>31</v>
      </c>
      <c r="I203" s="9"/>
      <c r="J203" s="9">
        <v>0.01</v>
      </c>
      <c r="K203" s="9">
        <v>0.12</v>
      </c>
      <c r="L203" s="9">
        <v>12</v>
      </c>
      <c r="M203" s="9" t="s">
        <v>33</v>
      </c>
      <c r="N203" s="34">
        <f t="shared" si="14"/>
        <v>3.528</v>
      </c>
      <c r="O203" s="34">
        <f t="shared" si="15"/>
        <v>4.1159999999999997</v>
      </c>
      <c r="P203" s="34">
        <f t="shared" si="16"/>
        <v>2.3519999999999999</v>
      </c>
      <c r="Q203" s="34">
        <f t="shared" si="17"/>
        <v>1.764</v>
      </c>
      <c r="R203" s="138">
        <v>11.76</v>
      </c>
      <c r="S203" s="9">
        <v>171718.65</v>
      </c>
      <c r="T203" s="9">
        <v>20606.237999999998</v>
      </c>
      <c r="U203" s="9"/>
      <c r="V203" s="9"/>
      <c r="W203" s="15" t="s">
        <v>371</v>
      </c>
      <c r="X203" s="15">
        <v>71869</v>
      </c>
      <c r="Y203" s="9" t="s">
        <v>233</v>
      </c>
      <c r="Z203" s="15" t="s">
        <v>1360</v>
      </c>
      <c r="AA203" s="142">
        <v>9</v>
      </c>
      <c r="AB203" s="126"/>
      <c r="AC203" s="72"/>
      <c r="AD203" s="72"/>
      <c r="AE203" s="127"/>
      <c r="AF203" s="126"/>
      <c r="AG203" s="72"/>
      <c r="AH203" s="72"/>
      <c r="AI203" s="127"/>
    </row>
    <row r="204" spans="1:35" ht="60" hidden="1" x14ac:dyDescent="0.25">
      <c r="A204" s="15">
        <v>2090</v>
      </c>
      <c r="B204" s="104" t="s">
        <v>228</v>
      </c>
      <c r="C204" s="377" t="s">
        <v>1319</v>
      </c>
      <c r="D204" s="9" t="s">
        <v>230</v>
      </c>
      <c r="E204" s="9"/>
      <c r="F204" s="15" t="s">
        <v>1453</v>
      </c>
      <c r="G204" s="15"/>
      <c r="H204" s="15" t="s">
        <v>31</v>
      </c>
      <c r="I204" s="9"/>
      <c r="J204" s="9">
        <v>5.0000000000000001E-3</v>
      </c>
      <c r="K204" s="9">
        <v>0.18</v>
      </c>
      <c r="L204" s="9">
        <v>36</v>
      </c>
      <c r="M204" s="9" t="s">
        <v>33</v>
      </c>
      <c r="N204" s="34">
        <f t="shared" si="14"/>
        <v>5.2919999999999998</v>
      </c>
      <c r="O204" s="34">
        <f t="shared" si="15"/>
        <v>6.1739999999999995</v>
      </c>
      <c r="P204" s="34">
        <f t="shared" si="16"/>
        <v>3.5280000000000005</v>
      </c>
      <c r="Q204" s="34">
        <f t="shared" si="17"/>
        <v>2.6459999999999999</v>
      </c>
      <c r="R204" s="138">
        <v>17.64</v>
      </c>
      <c r="S204" s="9">
        <v>171718.65</v>
      </c>
      <c r="T204" s="9">
        <v>30909.356999999996</v>
      </c>
      <c r="U204" s="9"/>
      <c r="V204" s="9"/>
      <c r="W204" s="15" t="s">
        <v>1387</v>
      </c>
      <c r="X204" s="15">
        <v>71869</v>
      </c>
      <c r="Y204" s="9" t="s">
        <v>233</v>
      </c>
      <c r="Z204" s="15" t="s">
        <v>1453</v>
      </c>
      <c r="AA204" s="142">
        <v>10</v>
      </c>
      <c r="AB204" s="126"/>
      <c r="AC204" s="72"/>
      <c r="AD204" s="72"/>
      <c r="AE204" s="127"/>
      <c r="AF204" s="126"/>
      <c r="AG204" s="72"/>
      <c r="AH204" s="72"/>
      <c r="AI204" s="127"/>
    </row>
    <row r="205" spans="1:35" ht="45" hidden="1" x14ac:dyDescent="0.25">
      <c r="A205" s="15">
        <v>2091</v>
      </c>
      <c r="B205" s="104" t="s">
        <v>228</v>
      </c>
      <c r="C205" s="377" t="s">
        <v>1319</v>
      </c>
      <c r="D205" s="9" t="s">
        <v>230</v>
      </c>
      <c r="E205" s="9"/>
      <c r="F205" s="15" t="s">
        <v>1454</v>
      </c>
      <c r="G205" s="15"/>
      <c r="H205" s="15" t="s">
        <v>31</v>
      </c>
      <c r="I205" s="9"/>
      <c r="J205" s="9">
        <v>3.0000000000000001E-3</v>
      </c>
      <c r="K205" s="9">
        <v>1.8000000000000002E-2</v>
      </c>
      <c r="L205" s="9">
        <v>6</v>
      </c>
      <c r="M205" s="9" t="s">
        <v>33</v>
      </c>
      <c r="N205" s="34">
        <f t="shared" si="14"/>
        <v>0.5292</v>
      </c>
      <c r="O205" s="34">
        <f t="shared" si="15"/>
        <v>0.61740000000000006</v>
      </c>
      <c r="P205" s="34">
        <f t="shared" si="16"/>
        <v>0.35280000000000006</v>
      </c>
      <c r="Q205" s="34">
        <f t="shared" si="17"/>
        <v>0.2646</v>
      </c>
      <c r="R205" s="138">
        <v>1.7640000000000002</v>
      </c>
      <c r="S205" s="9">
        <v>171718.65</v>
      </c>
      <c r="T205" s="9">
        <v>3090.9357000000005</v>
      </c>
      <c r="U205" s="9"/>
      <c r="V205" s="9"/>
      <c r="W205" s="15" t="s">
        <v>1455</v>
      </c>
      <c r="X205" s="15">
        <v>71869</v>
      </c>
      <c r="Y205" s="9" t="s">
        <v>233</v>
      </c>
      <c r="Z205" s="15" t="s">
        <v>1454</v>
      </c>
      <c r="AA205" s="142">
        <v>11</v>
      </c>
      <c r="AB205" s="126"/>
      <c r="AC205" s="72"/>
      <c r="AD205" s="72"/>
      <c r="AE205" s="127"/>
      <c r="AF205" s="126"/>
      <c r="AG205" s="72"/>
      <c r="AH205" s="72"/>
      <c r="AI205" s="127"/>
    </row>
    <row r="206" spans="1:35" ht="60" hidden="1" x14ac:dyDescent="0.25">
      <c r="A206" s="15">
        <v>2092</v>
      </c>
      <c r="B206" s="104" t="s">
        <v>228</v>
      </c>
      <c r="C206" s="377" t="s">
        <v>1319</v>
      </c>
      <c r="D206" s="9" t="s">
        <v>230</v>
      </c>
      <c r="E206" s="9"/>
      <c r="F206" s="15" t="s">
        <v>1456</v>
      </c>
      <c r="G206" s="15"/>
      <c r="H206" s="15" t="s">
        <v>31</v>
      </c>
      <c r="I206" s="9"/>
      <c r="J206" s="9">
        <v>3.0000000000000001E-3</v>
      </c>
      <c r="K206" s="9">
        <v>5.3999999999999999E-2</v>
      </c>
      <c r="L206" s="9">
        <v>18</v>
      </c>
      <c r="M206" s="9" t="s">
        <v>33</v>
      </c>
      <c r="N206" s="34">
        <f t="shared" si="14"/>
        <v>1.5875999999999999</v>
      </c>
      <c r="O206" s="34">
        <f t="shared" si="15"/>
        <v>1.8521999999999998</v>
      </c>
      <c r="P206" s="34">
        <f t="shared" si="16"/>
        <v>1.0584</v>
      </c>
      <c r="Q206" s="34">
        <f t="shared" si="17"/>
        <v>0.79379999999999995</v>
      </c>
      <c r="R206" s="138">
        <v>5.2919999999999998</v>
      </c>
      <c r="S206" s="9">
        <v>171718.65</v>
      </c>
      <c r="T206" s="9">
        <v>9272.8071</v>
      </c>
      <c r="U206" s="9"/>
      <c r="V206" s="9"/>
      <c r="W206" s="15" t="s">
        <v>1457</v>
      </c>
      <c r="X206" s="15">
        <v>71869</v>
      </c>
      <c r="Y206" s="9" t="s">
        <v>233</v>
      </c>
      <c r="Z206" s="15" t="s">
        <v>1456</v>
      </c>
      <c r="AA206" s="142">
        <v>12</v>
      </c>
      <c r="AB206" s="126"/>
      <c r="AC206" s="72"/>
      <c r="AD206" s="72"/>
      <c r="AE206" s="127"/>
      <c r="AF206" s="126"/>
      <c r="AG206" s="72"/>
      <c r="AH206" s="72"/>
      <c r="AI206" s="127"/>
    </row>
    <row r="207" spans="1:35" ht="60" hidden="1" x14ac:dyDescent="0.25">
      <c r="A207" s="15">
        <v>2093</v>
      </c>
      <c r="B207" s="104" t="s">
        <v>228</v>
      </c>
      <c r="C207" s="377" t="s">
        <v>1319</v>
      </c>
      <c r="D207" s="9" t="s">
        <v>230</v>
      </c>
      <c r="E207" s="9"/>
      <c r="F207" s="15" t="s">
        <v>1458</v>
      </c>
      <c r="G207" s="15"/>
      <c r="H207" s="15" t="s">
        <v>31</v>
      </c>
      <c r="I207" s="9"/>
      <c r="J207" s="9">
        <v>3.0000000000000001E-3</v>
      </c>
      <c r="K207" s="9">
        <v>0.11700000000000001</v>
      </c>
      <c r="L207" s="9">
        <v>39</v>
      </c>
      <c r="M207" s="9" t="s">
        <v>33</v>
      </c>
      <c r="N207" s="34">
        <f t="shared" si="14"/>
        <v>3.4398000000000004</v>
      </c>
      <c r="O207" s="34">
        <f t="shared" si="15"/>
        <v>4.0131000000000006</v>
      </c>
      <c r="P207" s="34">
        <f t="shared" si="16"/>
        <v>2.2932000000000001</v>
      </c>
      <c r="Q207" s="34">
        <f t="shared" si="17"/>
        <v>1.7199000000000002</v>
      </c>
      <c r="R207" s="138">
        <v>11.466000000000001</v>
      </c>
      <c r="S207" s="9">
        <v>171718.65</v>
      </c>
      <c r="T207" s="9">
        <v>20091.082050000001</v>
      </c>
      <c r="U207" s="9"/>
      <c r="V207" s="9"/>
      <c r="W207" s="15" t="s">
        <v>1459</v>
      </c>
      <c r="X207" s="15">
        <v>71869</v>
      </c>
      <c r="Y207" s="9" t="s">
        <v>233</v>
      </c>
      <c r="Z207" s="15" t="s">
        <v>1458</v>
      </c>
      <c r="AA207" s="142">
        <v>13</v>
      </c>
      <c r="AB207" s="126"/>
      <c r="AC207" s="72"/>
      <c r="AD207" s="72"/>
      <c r="AE207" s="127"/>
      <c r="AF207" s="126"/>
      <c r="AG207" s="72"/>
      <c r="AH207" s="72"/>
      <c r="AI207" s="127"/>
    </row>
    <row r="208" spans="1:35" ht="45" hidden="1" x14ac:dyDescent="0.25">
      <c r="A208" s="15">
        <v>2094</v>
      </c>
      <c r="B208" s="104" t="s">
        <v>228</v>
      </c>
      <c r="C208" s="377" t="s">
        <v>1319</v>
      </c>
      <c r="D208" s="9" t="s">
        <v>230</v>
      </c>
      <c r="E208" s="9"/>
      <c r="F208" s="15" t="s">
        <v>1460</v>
      </c>
      <c r="G208" s="15"/>
      <c r="H208" s="15" t="s">
        <v>31</v>
      </c>
      <c r="I208" s="9"/>
      <c r="J208" s="9">
        <v>3.0000000000000001E-3</v>
      </c>
      <c r="K208" s="9">
        <v>1.8000000000000002E-2</v>
      </c>
      <c r="L208" s="9">
        <v>6</v>
      </c>
      <c r="M208" s="9" t="s">
        <v>33</v>
      </c>
      <c r="N208" s="34">
        <f t="shared" si="14"/>
        <v>0.5292</v>
      </c>
      <c r="O208" s="34">
        <f t="shared" si="15"/>
        <v>0.61740000000000006</v>
      </c>
      <c r="P208" s="34">
        <f t="shared" si="16"/>
        <v>0.35280000000000006</v>
      </c>
      <c r="Q208" s="34">
        <f t="shared" si="17"/>
        <v>0.2646</v>
      </c>
      <c r="R208" s="138">
        <v>1.7640000000000002</v>
      </c>
      <c r="S208" s="9">
        <v>171718.65</v>
      </c>
      <c r="T208" s="9">
        <v>3090.9357000000005</v>
      </c>
      <c r="U208" s="9"/>
      <c r="V208" s="9"/>
      <c r="W208" s="15" t="s">
        <v>1461</v>
      </c>
      <c r="X208" s="15">
        <v>71869</v>
      </c>
      <c r="Y208" s="9" t="s">
        <v>233</v>
      </c>
      <c r="Z208" s="15" t="s">
        <v>1460</v>
      </c>
      <c r="AA208" s="142">
        <v>14</v>
      </c>
      <c r="AB208" s="126"/>
      <c r="AC208" s="72"/>
      <c r="AD208" s="72"/>
      <c r="AE208" s="127"/>
      <c r="AF208" s="126"/>
      <c r="AG208" s="72"/>
      <c r="AH208" s="72"/>
      <c r="AI208" s="127"/>
    </row>
    <row r="209" spans="1:35" ht="30" hidden="1" x14ac:dyDescent="0.25">
      <c r="A209" s="15">
        <v>2095</v>
      </c>
      <c r="B209" s="104" t="s">
        <v>228</v>
      </c>
      <c r="C209" s="377" t="s">
        <v>1319</v>
      </c>
      <c r="D209" s="9" t="s">
        <v>230</v>
      </c>
      <c r="E209" s="9"/>
      <c r="F209" s="15" t="s">
        <v>1462</v>
      </c>
      <c r="G209" s="15"/>
      <c r="H209" s="15" t="s">
        <v>31</v>
      </c>
      <c r="I209" s="9"/>
      <c r="J209" s="9">
        <v>3.0000000000000001E-3</v>
      </c>
      <c r="K209" s="9">
        <v>1.8000000000000002E-2</v>
      </c>
      <c r="L209" s="9">
        <v>6</v>
      </c>
      <c r="M209" s="9" t="s">
        <v>33</v>
      </c>
      <c r="N209" s="34">
        <f t="shared" si="14"/>
        <v>0.5292</v>
      </c>
      <c r="O209" s="34">
        <f t="shared" si="15"/>
        <v>0.61740000000000006</v>
      </c>
      <c r="P209" s="34">
        <f t="shared" si="16"/>
        <v>0.35280000000000006</v>
      </c>
      <c r="Q209" s="34">
        <f t="shared" si="17"/>
        <v>0.2646</v>
      </c>
      <c r="R209" s="138">
        <v>1.7640000000000002</v>
      </c>
      <c r="S209" s="9">
        <v>171718.65</v>
      </c>
      <c r="T209" s="9">
        <v>3090.9357000000005</v>
      </c>
      <c r="U209" s="9"/>
      <c r="V209" s="9"/>
      <c r="W209" s="15" t="s">
        <v>1463</v>
      </c>
      <c r="X209" s="15">
        <v>71869</v>
      </c>
      <c r="Y209" s="9" t="s">
        <v>233</v>
      </c>
      <c r="Z209" s="15" t="s">
        <v>1462</v>
      </c>
      <c r="AA209" s="142">
        <v>15</v>
      </c>
      <c r="AB209" s="126"/>
      <c r="AC209" s="72"/>
      <c r="AD209" s="72"/>
      <c r="AE209" s="127"/>
      <c r="AF209" s="126"/>
      <c r="AG209" s="72"/>
      <c r="AH209" s="72"/>
      <c r="AI209" s="127"/>
    </row>
    <row r="210" spans="1:35" ht="45" hidden="1" x14ac:dyDescent="0.25">
      <c r="A210" s="15">
        <v>2096</v>
      </c>
      <c r="B210" s="104" t="s">
        <v>228</v>
      </c>
      <c r="C210" s="377" t="s">
        <v>1319</v>
      </c>
      <c r="D210" s="9" t="s">
        <v>230</v>
      </c>
      <c r="E210" s="9"/>
      <c r="F210" s="15" t="s">
        <v>1464</v>
      </c>
      <c r="G210" s="15"/>
      <c r="H210" s="15" t="s">
        <v>31</v>
      </c>
      <c r="I210" s="9"/>
      <c r="J210" s="9">
        <v>3.0000000000000001E-3</v>
      </c>
      <c r="K210" s="9">
        <v>0.16200000000000001</v>
      </c>
      <c r="L210" s="9">
        <v>54</v>
      </c>
      <c r="M210" s="9" t="s">
        <v>33</v>
      </c>
      <c r="N210" s="34">
        <f t="shared" si="14"/>
        <v>4.7628000000000004</v>
      </c>
      <c r="O210" s="34">
        <f t="shared" si="15"/>
        <v>5.5566000000000004</v>
      </c>
      <c r="P210" s="34">
        <f t="shared" si="16"/>
        <v>3.1752000000000002</v>
      </c>
      <c r="Q210" s="34">
        <f t="shared" si="17"/>
        <v>2.3814000000000002</v>
      </c>
      <c r="R210" s="138">
        <v>15.876000000000001</v>
      </c>
      <c r="S210" s="9">
        <v>171718.65</v>
      </c>
      <c r="T210" s="9">
        <v>27818.421299999998</v>
      </c>
      <c r="U210" s="9"/>
      <c r="V210" s="9"/>
      <c r="W210" s="15" t="s">
        <v>1465</v>
      </c>
      <c r="X210" s="15">
        <v>71869</v>
      </c>
      <c r="Y210" s="9" t="s">
        <v>233</v>
      </c>
      <c r="Z210" s="15" t="s">
        <v>1464</v>
      </c>
      <c r="AA210" s="142">
        <v>16</v>
      </c>
      <c r="AB210" s="126"/>
      <c r="AC210" s="72"/>
      <c r="AD210" s="72"/>
      <c r="AE210" s="127"/>
      <c r="AF210" s="126"/>
      <c r="AG210" s="72"/>
      <c r="AH210" s="72"/>
      <c r="AI210" s="127"/>
    </row>
    <row r="211" spans="1:35" ht="45" hidden="1" x14ac:dyDescent="0.25">
      <c r="A211" s="15">
        <v>2097</v>
      </c>
      <c r="B211" s="104" t="s">
        <v>228</v>
      </c>
      <c r="C211" s="377" t="s">
        <v>1319</v>
      </c>
      <c r="D211" s="9" t="s">
        <v>230</v>
      </c>
      <c r="E211" s="9"/>
      <c r="F211" s="15" t="s">
        <v>1466</v>
      </c>
      <c r="G211" s="15"/>
      <c r="H211" s="15" t="s">
        <v>31</v>
      </c>
      <c r="I211" s="9"/>
      <c r="J211" s="9">
        <v>3.0000000000000001E-3</v>
      </c>
      <c r="K211" s="9">
        <v>3.6000000000000004E-2</v>
      </c>
      <c r="L211" s="9">
        <v>12</v>
      </c>
      <c r="M211" s="9" t="s">
        <v>33</v>
      </c>
      <c r="N211" s="34">
        <f t="shared" si="14"/>
        <v>1.0584</v>
      </c>
      <c r="O211" s="34">
        <f t="shared" si="15"/>
        <v>1.2348000000000001</v>
      </c>
      <c r="P211" s="34">
        <f t="shared" si="16"/>
        <v>0.70560000000000012</v>
      </c>
      <c r="Q211" s="34">
        <f t="shared" si="17"/>
        <v>0.5292</v>
      </c>
      <c r="R211" s="138">
        <v>3.5280000000000005</v>
      </c>
      <c r="S211" s="9">
        <v>171718.65</v>
      </c>
      <c r="T211" s="9">
        <v>6181.8714000000009</v>
      </c>
      <c r="U211" s="9"/>
      <c r="V211" s="9"/>
      <c r="W211" s="15" t="s">
        <v>1467</v>
      </c>
      <c r="X211" s="15">
        <v>71869</v>
      </c>
      <c r="Y211" s="9" t="s">
        <v>233</v>
      </c>
      <c r="Z211" s="15" t="s">
        <v>1466</v>
      </c>
      <c r="AA211" s="142">
        <v>17</v>
      </c>
      <c r="AB211" s="126"/>
      <c r="AC211" s="72"/>
      <c r="AD211" s="72"/>
      <c r="AE211" s="127"/>
      <c r="AF211" s="126"/>
      <c r="AG211" s="72"/>
      <c r="AH211" s="72"/>
      <c r="AI211" s="127"/>
    </row>
    <row r="212" spans="1:35" ht="60" hidden="1" x14ac:dyDescent="0.25">
      <c r="A212" s="15">
        <v>2098</v>
      </c>
      <c r="B212" s="104" t="s">
        <v>228</v>
      </c>
      <c r="C212" s="377" t="s">
        <v>1319</v>
      </c>
      <c r="D212" s="9" t="s">
        <v>230</v>
      </c>
      <c r="E212" s="9"/>
      <c r="F212" s="15" t="s">
        <v>1468</v>
      </c>
      <c r="G212" s="15"/>
      <c r="H212" s="15" t="s">
        <v>31</v>
      </c>
      <c r="I212" s="9"/>
      <c r="J212" s="9">
        <v>3.0000000000000001E-3</v>
      </c>
      <c r="K212" s="9">
        <v>1.8000000000000002E-2</v>
      </c>
      <c r="L212" s="9">
        <v>6</v>
      </c>
      <c r="M212" s="9" t="s">
        <v>33</v>
      </c>
      <c r="N212" s="34">
        <f t="shared" si="14"/>
        <v>0.5292</v>
      </c>
      <c r="O212" s="34">
        <f t="shared" si="15"/>
        <v>0.61740000000000006</v>
      </c>
      <c r="P212" s="34">
        <f t="shared" si="16"/>
        <v>0.35280000000000006</v>
      </c>
      <c r="Q212" s="34">
        <f t="shared" si="17"/>
        <v>0.2646</v>
      </c>
      <c r="R212" s="138">
        <v>1.7640000000000002</v>
      </c>
      <c r="S212" s="9">
        <v>171718.65</v>
      </c>
      <c r="T212" s="9">
        <v>3090.9357000000005</v>
      </c>
      <c r="U212" s="9"/>
      <c r="V212" s="9"/>
      <c r="W212" s="15" t="s">
        <v>1469</v>
      </c>
      <c r="X212" s="15">
        <v>71869</v>
      </c>
      <c r="Y212" s="9" t="s">
        <v>233</v>
      </c>
      <c r="Z212" s="15" t="s">
        <v>1468</v>
      </c>
      <c r="AA212" s="142">
        <v>18</v>
      </c>
      <c r="AB212" s="126"/>
      <c r="AC212" s="72"/>
      <c r="AD212" s="72"/>
      <c r="AE212" s="127"/>
      <c r="AF212" s="126"/>
      <c r="AG212" s="72"/>
      <c r="AH212" s="72"/>
      <c r="AI212" s="127"/>
    </row>
    <row r="213" spans="1:35" ht="45" hidden="1" x14ac:dyDescent="0.25">
      <c r="A213" s="15">
        <v>2099</v>
      </c>
      <c r="B213" s="104" t="s">
        <v>228</v>
      </c>
      <c r="C213" s="377" t="s">
        <v>1319</v>
      </c>
      <c r="D213" s="9" t="s">
        <v>230</v>
      </c>
      <c r="E213" s="9"/>
      <c r="F213" s="15" t="s">
        <v>1470</v>
      </c>
      <c r="G213" s="15"/>
      <c r="H213" s="15" t="s">
        <v>31</v>
      </c>
      <c r="I213" s="9"/>
      <c r="J213" s="9">
        <v>3.0000000000000001E-3</v>
      </c>
      <c r="K213" s="9">
        <v>9.0000000000000011E-3</v>
      </c>
      <c r="L213" s="9">
        <v>3</v>
      </c>
      <c r="M213" s="9" t="s">
        <v>33</v>
      </c>
      <c r="N213" s="34">
        <f t="shared" si="14"/>
        <v>0.2646</v>
      </c>
      <c r="O213" s="34">
        <f t="shared" si="15"/>
        <v>0.30870000000000003</v>
      </c>
      <c r="P213" s="34">
        <f t="shared" si="16"/>
        <v>0.17640000000000003</v>
      </c>
      <c r="Q213" s="34">
        <f t="shared" si="17"/>
        <v>0.1323</v>
      </c>
      <c r="R213" s="138">
        <v>0.88200000000000012</v>
      </c>
      <c r="S213" s="9">
        <v>171718.65</v>
      </c>
      <c r="T213" s="9">
        <v>1545.4678500000002</v>
      </c>
      <c r="U213" s="9"/>
      <c r="V213" s="9"/>
      <c r="W213" s="15" t="s">
        <v>1471</v>
      </c>
      <c r="X213" s="15">
        <v>71869</v>
      </c>
      <c r="Y213" s="9" t="s">
        <v>233</v>
      </c>
      <c r="Z213" s="15" t="s">
        <v>1470</v>
      </c>
      <c r="AA213" s="142">
        <v>19</v>
      </c>
      <c r="AB213" s="126"/>
      <c r="AC213" s="72"/>
      <c r="AD213" s="72"/>
      <c r="AE213" s="127"/>
      <c r="AF213" s="126"/>
      <c r="AG213" s="72"/>
      <c r="AH213" s="72"/>
      <c r="AI213" s="127"/>
    </row>
    <row r="214" spans="1:35" ht="45" hidden="1" x14ac:dyDescent="0.25">
      <c r="A214" s="15">
        <v>2100</v>
      </c>
      <c r="B214" s="104" t="s">
        <v>228</v>
      </c>
      <c r="C214" s="377" t="s">
        <v>1319</v>
      </c>
      <c r="D214" s="9" t="s">
        <v>230</v>
      </c>
      <c r="E214" s="9"/>
      <c r="F214" s="15" t="s">
        <v>1472</v>
      </c>
      <c r="G214" s="15"/>
      <c r="H214" s="15" t="s">
        <v>31</v>
      </c>
      <c r="I214" s="9"/>
      <c r="J214" s="9">
        <v>3.0000000000000001E-3</v>
      </c>
      <c r="K214" s="9">
        <v>3.6000000000000004E-2</v>
      </c>
      <c r="L214" s="9">
        <v>12</v>
      </c>
      <c r="M214" s="9" t="s">
        <v>33</v>
      </c>
      <c r="N214" s="34">
        <f t="shared" si="14"/>
        <v>1.0584</v>
      </c>
      <c r="O214" s="34">
        <f t="shared" si="15"/>
        <v>1.2348000000000001</v>
      </c>
      <c r="P214" s="34">
        <f t="shared" si="16"/>
        <v>0.70560000000000012</v>
      </c>
      <c r="Q214" s="34">
        <f t="shared" si="17"/>
        <v>0.5292</v>
      </c>
      <c r="R214" s="138">
        <v>3.5280000000000005</v>
      </c>
      <c r="S214" s="9">
        <v>171718.65</v>
      </c>
      <c r="T214" s="9">
        <v>6181.8714000000009</v>
      </c>
      <c r="U214" s="9"/>
      <c r="V214" s="9"/>
      <c r="W214" s="15" t="s">
        <v>1473</v>
      </c>
      <c r="X214" s="15">
        <v>71869</v>
      </c>
      <c r="Y214" s="9" t="s">
        <v>233</v>
      </c>
      <c r="Z214" s="15" t="s">
        <v>1472</v>
      </c>
      <c r="AA214" s="142">
        <v>20</v>
      </c>
      <c r="AB214" s="126"/>
      <c r="AC214" s="72"/>
      <c r="AD214" s="72"/>
      <c r="AE214" s="127"/>
      <c r="AF214" s="126"/>
      <c r="AG214" s="72"/>
      <c r="AH214" s="72"/>
      <c r="AI214" s="127"/>
    </row>
    <row r="215" spans="1:35" ht="30" hidden="1" x14ac:dyDescent="0.25">
      <c r="A215" s="15">
        <v>2101</v>
      </c>
      <c r="B215" s="104" t="s">
        <v>228</v>
      </c>
      <c r="C215" s="377" t="s">
        <v>1319</v>
      </c>
      <c r="D215" s="9" t="s">
        <v>230</v>
      </c>
      <c r="E215" s="9"/>
      <c r="F215" s="15" t="s">
        <v>1474</v>
      </c>
      <c r="G215" s="15"/>
      <c r="H215" s="15" t="s">
        <v>31</v>
      </c>
      <c r="I215" s="9"/>
      <c r="J215" s="9">
        <v>3.0000000000000001E-3</v>
      </c>
      <c r="K215" s="9">
        <v>7.2000000000000008E-2</v>
      </c>
      <c r="L215" s="9">
        <v>24</v>
      </c>
      <c r="M215" s="9" t="s">
        <v>33</v>
      </c>
      <c r="N215" s="34">
        <f t="shared" si="14"/>
        <v>2.1168</v>
      </c>
      <c r="O215" s="34">
        <f t="shared" si="15"/>
        <v>2.4696000000000002</v>
      </c>
      <c r="P215" s="34">
        <f t="shared" si="16"/>
        <v>1.4112000000000002</v>
      </c>
      <c r="Q215" s="34">
        <f t="shared" si="17"/>
        <v>1.0584</v>
      </c>
      <c r="R215" s="138">
        <v>7.0560000000000009</v>
      </c>
      <c r="S215" s="9">
        <v>171718.65</v>
      </c>
      <c r="T215" s="9">
        <v>12363.742800000002</v>
      </c>
      <c r="U215" s="9"/>
      <c r="V215" s="9"/>
      <c r="W215" s="15" t="s">
        <v>1475</v>
      </c>
      <c r="X215" s="15">
        <v>71869</v>
      </c>
      <c r="Y215" s="9" t="s">
        <v>233</v>
      </c>
      <c r="Z215" s="15" t="s">
        <v>1474</v>
      </c>
      <c r="AA215" s="142">
        <v>21</v>
      </c>
      <c r="AB215" s="126"/>
      <c r="AC215" s="72"/>
      <c r="AD215" s="72"/>
      <c r="AE215" s="127"/>
      <c r="AF215" s="126"/>
      <c r="AG215" s="72"/>
      <c r="AH215" s="72"/>
      <c r="AI215" s="127"/>
    </row>
    <row r="216" spans="1:35" ht="45" hidden="1" x14ac:dyDescent="0.25">
      <c r="A216" s="15">
        <v>2102</v>
      </c>
      <c r="B216" s="104" t="s">
        <v>228</v>
      </c>
      <c r="C216" s="377" t="s">
        <v>1319</v>
      </c>
      <c r="D216" s="9" t="s">
        <v>230</v>
      </c>
      <c r="E216" s="9"/>
      <c r="F216" s="15" t="s">
        <v>1476</v>
      </c>
      <c r="G216" s="15"/>
      <c r="H216" s="15" t="s">
        <v>31</v>
      </c>
      <c r="I216" s="9"/>
      <c r="J216" s="9">
        <v>3.0000000000000001E-3</v>
      </c>
      <c r="K216" s="9">
        <v>1.8000000000000002E-2</v>
      </c>
      <c r="L216" s="9">
        <v>6</v>
      </c>
      <c r="M216" s="9" t="s">
        <v>33</v>
      </c>
      <c r="N216" s="34">
        <f t="shared" si="14"/>
        <v>0.5292</v>
      </c>
      <c r="O216" s="34">
        <f t="shared" si="15"/>
        <v>0.61740000000000006</v>
      </c>
      <c r="P216" s="34">
        <f t="shared" si="16"/>
        <v>0.35280000000000006</v>
      </c>
      <c r="Q216" s="34">
        <f t="shared" si="17"/>
        <v>0.2646</v>
      </c>
      <c r="R216" s="138">
        <v>1.7640000000000002</v>
      </c>
      <c r="S216" s="9">
        <v>171718.65</v>
      </c>
      <c r="T216" s="9">
        <v>3090.9357000000005</v>
      </c>
      <c r="U216" s="9"/>
      <c r="V216" s="9"/>
      <c r="W216" s="15" t="s">
        <v>1477</v>
      </c>
      <c r="X216" s="15">
        <v>71869</v>
      </c>
      <c r="Y216" s="9" t="s">
        <v>233</v>
      </c>
      <c r="Z216" s="15" t="s">
        <v>1476</v>
      </c>
      <c r="AA216" s="142">
        <v>22</v>
      </c>
      <c r="AB216" s="126"/>
      <c r="AC216" s="72"/>
      <c r="AD216" s="72"/>
      <c r="AE216" s="127"/>
      <c r="AF216" s="126"/>
      <c r="AG216" s="72"/>
      <c r="AH216" s="72"/>
      <c r="AI216" s="127"/>
    </row>
    <row r="217" spans="1:35" hidden="1" x14ac:dyDescent="0.25">
      <c r="A217" s="15">
        <v>2103</v>
      </c>
      <c r="B217" s="104" t="s">
        <v>228</v>
      </c>
      <c r="C217" s="377" t="s">
        <v>1319</v>
      </c>
      <c r="D217" s="9" t="s">
        <v>230</v>
      </c>
      <c r="E217" s="9"/>
      <c r="F217" s="15" t="s">
        <v>1478</v>
      </c>
      <c r="G217" s="15"/>
      <c r="H217" s="15" t="s">
        <v>31</v>
      </c>
      <c r="I217" s="9"/>
      <c r="J217" s="9">
        <v>4.0000000000000001E-3</v>
      </c>
      <c r="K217" s="9">
        <v>4.8000000000000001E-2</v>
      </c>
      <c r="L217" s="9">
        <v>12</v>
      </c>
      <c r="M217" s="9" t="s">
        <v>33</v>
      </c>
      <c r="N217" s="34">
        <f t="shared" si="14"/>
        <v>1.4111999999999998</v>
      </c>
      <c r="O217" s="34">
        <f t="shared" si="15"/>
        <v>1.6463999999999999</v>
      </c>
      <c r="P217" s="34">
        <f t="shared" si="16"/>
        <v>0.94079999999999997</v>
      </c>
      <c r="Q217" s="34">
        <f t="shared" si="17"/>
        <v>0.70559999999999989</v>
      </c>
      <c r="R217" s="138">
        <v>4.7039999999999997</v>
      </c>
      <c r="S217" s="9">
        <v>171718.65</v>
      </c>
      <c r="T217" s="9">
        <v>8242.4951999999994</v>
      </c>
      <c r="U217" s="9"/>
      <c r="V217" s="9"/>
      <c r="W217" s="15" t="s">
        <v>1479</v>
      </c>
      <c r="X217" s="15">
        <v>71869</v>
      </c>
      <c r="Y217" s="9" t="s">
        <v>233</v>
      </c>
      <c r="Z217" s="15" t="s">
        <v>1478</v>
      </c>
      <c r="AA217" s="142">
        <v>23</v>
      </c>
      <c r="AB217" s="126"/>
      <c r="AC217" s="72"/>
      <c r="AD217" s="72"/>
      <c r="AE217" s="127"/>
      <c r="AF217" s="126"/>
      <c r="AG217" s="72"/>
      <c r="AH217" s="72"/>
      <c r="AI217" s="127"/>
    </row>
    <row r="218" spans="1:35" hidden="1" x14ac:dyDescent="0.25">
      <c r="A218" s="15">
        <v>2104</v>
      </c>
      <c r="B218" s="104" t="s">
        <v>228</v>
      </c>
      <c r="C218" s="377" t="s">
        <v>1319</v>
      </c>
      <c r="D218" s="9" t="s">
        <v>230</v>
      </c>
      <c r="E218" s="9"/>
      <c r="F218" s="15" t="s">
        <v>1478</v>
      </c>
      <c r="G218" s="15"/>
      <c r="H218" s="15" t="s">
        <v>31</v>
      </c>
      <c r="I218" s="9"/>
      <c r="J218" s="9">
        <v>5.0000000000000001E-3</v>
      </c>
      <c r="K218" s="9">
        <v>0.03</v>
      </c>
      <c r="L218" s="9">
        <v>6</v>
      </c>
      <c r="M218" s="9" t="s">
        <v>33</v>
      </c>
      <c r="N218" s="34">
        <f t="shared" si="14"/>
        <v>0.88200000000000001</v>
      </c>
      <c r="O218" s="34">
        <f t="shared" si="15"/>
        <v>1.0289999999999999</v>
      </c>
      <c r="P218" s="34">
        <f t="shared" si="16"/>
        <v>0.58799999999999997</v>
      </c>
      <c r="Q218" s="34">
        <f t="shared" si="17"/>
        <v>0.441</v>
      </c>
      <c r="R218" s="138">
        <v>2.94</v>
      </c>
      <c r="S218" s="9">
        <v>171718.65</v>
      </c>
      <c r="T218" s="9">
        <v>5151.5594999999994</v>
      </c>
      <c r="U218" s="9"/>
      <c r="V218" s="9"/>
      <c r="W218" s="15" t="s">
        <v>1480</v>
      </c>
      <c r="X218" s="15">
        <v>71869</v>
      </c>
      <c r="Y218" s="9" t="s">
        <v>233</v>
      </c>
      <c r="Z218" s="15" t="s">
        <v>1478</v>
      </c>
      <c r="AA218" s="142">
        <v>24</v>
      </c>
      <c r="AB218" s="126"/>
      <c r="AC218" s="72"/>
      <c r="AD218" s="72"/>
      <c r="AE218" s="127"/>
      <c r="AF218" s="126"/>
      <c r="AG218" s="72"/>
      <c r="AH218" s="72"/>
      <c r="AI218" s="127"/>
    </row>
    <row r="219" spans="1:35" hidden="1" x14ac:dyDescent="0.25">
      <c r="A219" s="15">
        <v>2105</v>
      </c>
      <c r="B219" s="104" t="s">
        <v>228</v>
      </c>
      <c r="C219" s="377" t="s">
        <v>1319</v>
      </c>
      <c r="D219" s="9" t="s">
        <v>230</v>
      </c>
      <c r="E219" s="9"/>
      <c r="F219" s="15" t="s">
        <v>1481</v>
      </c>
      <c r="G219" s="15"/>
      <c r="H219" s="15" t="s">
        <v>31</v>
      </c>
      <c r="I219" s="9"/>
      <c r="J219" s="9">
        <v>4.0000000000000001E-3</v>
      </c>
      <c r="K219" s="9">
        <v>4.8000000000000001E-2</v>
      </c>
      <c r="L219" s="9">
        <v>12</v>
      </c>
      <c r="M219" s="9" t="s">
        <v>33</v>
      </c>
      <c r="N219" s="34">
        <f t="shared" si="14"/>
        <v>1.4111999999999998</v>
      </c>
      <c r="O219" s="34">
        <f t="shared" si="15"/>
        <v>1.6463999999999999</v>
      </c>
      <c r="P219" s="34">
        <f t="shared" si="16"/>
        <v>0.94079999999999997</v>
      </c>
      <c r="Q219" s="34">
        <f t="shared" si="17"/>
        <v>0.70559999999999989</v>
      </c>
      <c r="R219" s="138">
        <v>4.7039999999999997</v>
      </c>
      <c r="S219" s="9">
        <v>171718.65</v>
      </c>
      <c r="T219" s="9">
        <v>8242.4951999999994</v>
      </c>
      <c r="U219" s="9"/>
      <c r="V219" s="9"/>
      <c r="W219" s="15" t="s">
        <v>1482</v>
      </c>
      <c r="X219" s="15">
        <v>71869</v>
      </c>
      <c r="Y219" s="9" t="s">
        <v>233</v>
      </c>
      <c r="Z219" s="15" t="s">
        <v>1481</v>
      </c>
      <c r="AA219" s="142">
        <v>25</v>
      </c>
      <c r="AB219" s="126"/>
      <c r="AC219" s="72"/>
      <c r="AD219" s="72"/>
      <c r="AE219" s="127"/>
      <c r="AF219" s="126"/>
      <c r="AG219" s="72"/>
      <c r="AH219" s="72"/>
      <c r="AI219" s="127"/>
    </row>
    <row r="220" spans="1:35" ht="60" hidden="1" x14ac:dyDescent="0.25">
      <c r="A220" s="15">
        <v>2106</v>
      </c>
      <c r="B220" s="104" t="s">
        <v>228</v>
      </c>
      <c r="C220" s="377" t="s">
        <v>1319</v>
      </c>
      <c r="D220" s="9" t="s">
        <v>230</v>
      </c>
      <c r="E220" s="9"/>
      <c r="F220" s="15" t="s">
        <v>1483</v>
      </c>
      <c r="G220" s="15"/>
      <c r="H220" s="15" t="s">
        <v>31</v>
      </c>
      <c r="I220" s="9"/>
      <c r="J220" s="9">
        <v>3.0000000000000001E-3</v>
      </c>
      <c r="K220" s="9">
        <v>0.18</v>
      </c>
      <c r="L220" s="9">
        <v>60</v>
      </c>
      <c r="M220" s="9" t="s">
        <v>33</v>
      </c>
      <c r="N220" s="34">
        <f t="shared" si="14"/>
        <v>5.2919999999999998</v>
      </c>
      <c r="O220" s="34">
        <f t="shared" si="15"/>
        <v>6.1739999999999995</v>
      </c>
      <c r="P220" s="34">
        <f t="shared" si="16"/>
        <v>3.5280000000000005</v>
      </c>
      <c r="Q220" s="34">
        <f t="shared" si="17"/>
        <v>2.6459999999999999</v>
      </c>
      <c r="R220" s="138">
        <v>17.64</v>
      </c>
      <c r="S220" s="9">
        <v>171718.65</v>
      </c>
      <c r="T220" s="9">
        <v>30909.356999999996</v>
      </c>
      <c r="U220" s="9"/>
      <c r="V220" s="9"/>
      <c r="W220" s="15" t="s">
        <v>353</v>
      </c>
      <c r="X220" s="15">
        <v>71869</v>
      </c>
      <c r="Y220" s="9" t="s">
        <v>233</v>
      </c>
      <c r="Z220" s="15" t="s">
        <v>1483</v>
      </c>
      <c r="AA220" s="142">
        <v>26</v>
      </c>
      <c r="AB220" s="126"/>
      <c r="AC220" s="72"/>
      <c r="AD220" s="72"/>
      <c r="AE220" s="127"/>
      <c r="AF220" s="126"/>
      <c r="AG220" s="72"/>
      <c r="AH220" s="72"/>
      <c r="AI220" s="127"/>
    </row>
    <row r="221" spans="1:35" ht="30" hidden="1" x14ac:dyDescent="0.25">
      <c r="A221" s="15">
        <v>2107</v>
      </c>
      <c r="B221" s="104" t="s">
        <v>228</v>
      </c>
      <c r="C221" s="377" t="s">
        <v>1319</v>
      </c>
      <c r="D221" s="9" t="s">
        <v>230</v>
      </c>
      <c r="E221" s="9"/>
      <c r="F221" s="15" t="s">
        <v>1484</v>
      </c>
      <c r="G221" s="15"/>
      <c r="H221" s="15" t="s">
        <v>31</v>
      </c>
      <c r="I221" s="9"/>
      <c r="J221" s="9">
        <v>3.0000000000000001E-3</v>
      </c>
      <c r="K221" s="9">
        <v>1.8000000000000002E-2</v>
      </c>
      <c r="L221" s="9">
        <v>6</v>
      </c>
      <c r="M221" s="9" t="s">
        <v>33</v>
      </c>
      <c r="N221" s="34">
        <f t="shared" si="14"/>
        <v>0.5292</v>
      </c>
      <c r="O221" s="34">
        <f t="shared" si="15"/>
        <v>0.61740000000000006</v>
      </c>
      <c r="P221" s="34">
        <f t="shared" si="16"/>
        <v>0.35280000000000006</v>
      </c>
      <c r="Q221" s="34">
        <f t="shared" si="17"/>
        <v>0.2646</v>
      </c>
      <c r="R221" s="138">
        <v>1.7640000000000002</v>
      </c>
      <c r="S221" s="9">
        <v>171718.65</v>
      </c>
      <c r="T221" s="9">
        <v>3090.9357000000005</v>
      </c>
      <c r="U221" s="9"/>
      <c r="V221" s="9"/>
      <c r="W221" s="15" t="s">
        <v>1485</v>
      </c>
      <c r="X221" s="15">
        <v>71869</v>
      </c>
      <c r="Y221" s="9" t="s">
        <v>233</v>
      </c>
      <c r="Z221" s="15" t="s">
        <v>1484</v>
      </c>
      <c r="AA221" s="142">
        <v>27</v>
      </c>
      <c r="AB221" s="126"/>
      <c r="AC221" s="72"/>
      <c r="AD221" s="72"/>
      <c r="AE221" s="127"/>
      <c r="AF221" s="126"/>
      <c r="AG221" s="72"/>
      <c r="AH221" s="72"/>
      <c r="AI221" s="127"/>
    </row>
    <row r="222" spans="1:35" ht="45" hidden="1" x14ac:dyDescent="0.25">
      <c r="A222" s="15">
        <v>2108</v>
      </c>
      <c r="B222" s="104" t="s">
        <v>228</v>
      </c>
      <c r="C222" s="377" t="s">
        <v>1319</v>
      </c>
      <c r="D222" s="9" t="s">
        <v>230</v>
      </c>
      <c r="E222" s="9"/>
      <c r="F222" s="15" t="s">
        <v>1486</v>
      </c>
      <c r="G222" s="15"/>
      <c r="H222" s="15" t="s">
        <v>31</v>
      </c>
      <c r="I222" s="9"/>
      <c r="J222" s="9">
        <v>3.0000000000000001E-3</v>
      </c>
      <c r="K222" s="9">
        <v>1.8000000000000002E-2</v>
      </c>
      <c r="L222" s="9">
        <v>6</v>
      </c>
      <c r="M222" s="9" t="s">
        <v>33</v>
      </c>
      <c r="N222" s="34">
        <f t="shared" si="14"/>
        <v>0.5292</v>
      </c>
      <c r="O222" s="34">
        <f t="shared" si="15"/>
        <v>0.61740000000000006</v>
      </c>
      <c r="P222" s="34">
        <f t="shared" si="16"/>
        <v>0.35280000000000006</v>
      </c>
      <c r="Q222" s="34">
        <f t="shared" si="17"/>
        <v>0.2646</v>
      </c>
      <c r="R222" s="138">
        <v>1.7640000000000002</v>
      </c>
      <c r="S222" s="9">
        <v>171718.65</v>
      </c>
      <c r="T222" s="9">
        <v>3090.9357000000005</v>
      </c>
      <c r="U222" s="9"/>
      <c r="V222" s="9"/>
      <c r="W222" s="15" t="s">
        <v>1487</v>
      </c>
      <c r="X222" s="15">
        <v>71869</v>
      </c>
      <c r="Y222" s="9" t="s">
        <v>233</v>
      </c>
      <c r="Z222" s="15" t="s">
        <v>1486</v>
      </c>
      <c r="AA222" s="142">
        <v>28</v>
      </c>
      <c r="AB222" s="126"/>
      <c r="AC222" s="72"/>
      <c r="AD222" s="72"/>
      <c r="AE222" s="127"/>
      <c r="AF222" s="126"/>
      <c r="AG222" s="72"/>
      <c r="AH222" s="72"/>
      <c r="AI222" s="127"/>
    </row>
    <row r="223" spans="1:35" ht="30" hidden="1" x14ac:dyDescent="0.25">
      <c r="A223" s="15">
        <v>2109</v>
      </c>
      <c r="B223" s="104" t="s">
        <v>228</v>
      </c>
      <c r="C223" s="377" t="s">
        <v>1319</v>
      </c>
      <c r="D223" s="9" t="s">
        <v>230</v>
      </c>
      <c r="E223" s="9"/>
      <c r="F223" s="15" t="s">
        <v>1488</v>
      </c>
      <c r="G223" s="15"/>
      <c r="H223" s="15" t="s">
        <v>31</v>
      </c>
      <c r="I223" s="9"/>
      <c r="J223" s="9">
        <v>3.0000000000000001E-3</v>
      </c>
      <c r="K223" s="9">
        <v>3.6000000000000004E-2</v>
      </c>
      <c r="L223" s="9">
        <v>12</v>
      </c>
      <c r="M223" s="9" t="s">
        <v>33</v>
      </c>
      <c r="N223" s="34">
        <f t="shared" si="14"/>
        <v>1.0584</v>
      </c>
      <c r="O223" s="34">
        <f t="shared" si="15"/>
        <v>1.2348000000000001</v>
      </c>
      <c r="P223" s="34">
        <f t="shared" si="16"/>
        <v>0.70560000000000012</v>
      </c>
      <c r="Q223" s="34">
        <f t="shared" si="17"/>
        <v>0.5292</v>
      </c>
      <c r="R223" s="138">
        <v>3.5280000000000005</v>
      </c>
      <c r="S223" s="9">
        <v>171718.65</v>
      </c>
      <c r="T223" s="9">
        <v>6181.8714000000009</v>
      </c>
      <c r="U223" s="9"/>
      <c r="V223" s="9"/>
      <c r="W223" s="15" t="s">
        <v>1489</v>
      </c>
      <c r="X223" s="15">
        <v>71869</v>
      </c>
      <c r="Y223" s="9" t="s">
        <v>233</v>
      </c>
      <c r="Z223" s="15" t="s">
        <v>1488</v>
      </c>
      <c r="AA223" s="142">
        <v>29</v>
      </c>
      <c r="AB223" s="126"/>
      <c r="AC223" s="72"/>
      <c r="AD223" s="72"/>
      <c r="AE223" s="127"/>
      <c r="AF223" s="126"/>
      <c r="AG223" s="72"/>
      <c r="AH223" s="72"/>
      <c r="AI223" s="127"/>
    </row>
    <row r="224" spans="1:35" ht="45" hidden="1" x14ac:dyDescent="0.25">
      <c r="A224" s="15">
        <v>2110</v>
      </c>
      <c r="B224" s="104" t="s">
        <v>228</v>
      </c>
      <c r="C224" s="377" t="s">
        <v>1319</v>
      </c>
      <c r="D224" s="9" t="s">
        <v>230</v>
      </c>
      <c r="E224" s="9"/>
      <c r="F224" s="15" t="s">
        <v>1490</v>
      </c>
      <c r="G224" s="15"/>
      <c r="H224" s="15" t="s">
        <v>31</v>
      </c>
      <c r="I224" s="9"/>
      <c r="J224" s="9">
        <v>3.0000000000000001E-3</v>
      </c>
      <c r="K224" s="9">
        <v>5.3999999999999999E-2</v>
      </c>
      <c r="L224" s="9">
        <v>18</v>
      </c>
      <c r="M224" s="9" t="s">
        <v>33</v>
      </c>
      <c r="N224" s="34">
        <f t="shared" si="14"/>
        <v>1.5875999999999999</v>
      </c>
      <c r="O224" s="34">
        <f t="shared" si="15"/>
        <v>1.8521999999999998</v>
      </c>
      <c r="P224" s="34">
        <f t="shared" si="16"/>
        <v>1.0584</v>
      </c>
      <c r="Q224" s="34">
        <f t="shared" si="17"/>
        <v>0.79379999999999995</v>
      </c>
      <c r="R224" s="138">
        <v>5.2919999999999998</v>
      </c>
      <c r="S224" s="9">
        <v>171718.65</v>
      </c>
      <c r="T224" s="9">
        <v>9272.8071</v>
      </c>
      <c r="U224" s="9"/>
      <c r="V224" s="9"/>
      <c r="W224" s="15" t="s">
        <v>1491</v>
      </c>
      <c r="X224" s="15">
        <v>71869</v>
      </c>
      <c r="Y224" s="9" t="s">
        <v>233</v>
      </c>
      <c r="Z224" s="15" t="s">
        <v>1490</v>
      </c>
      <c r="AA224" s="142">
        <v>30</v>
      </c>
      <c r="AB224" s="126"/>
      <c r="AC224" s="72"/>
      <c r="AD224" s="72"/>
      <c r="AE224" s="127"/>
      <c r="AF224" s="126"/>
      <c r="AG224" s="72"/>
      <c r="AH224" s="72"/>
      <c r="AI224" s="127"/>
    </row>
    <row r="225" spans="1:35" ht="45.75" hidden="1" thickBot="1" x14ac:dyDescent="0.3">
      <c r="A225" s="15">
        <v>2111</v>
      </c>
      <c r="B225" s="104" t="s">
        <v>228</v>
      </c>
      <c r="C225" s="377" t="s">
        <v>1319</v>
      </c>
      <c r="D225" s="9" t="s">
        <v>230</v>
      </c>
      <c r="E225" s="9"/>
      <c r="F225" s="15" t="s">
        <v>1492</v>
      </c>
      <c r="G225" s="15"/>
      <c r="H225" s="15" t="s">
        <v>31</v>
      </c>
      <c r="I225" s="9"/>
      <c r="J225" s="9">
        <v>3.0000000000000001E-3</v>
      </c>
      <c r="K225" s="9">
        <v>1.8000000000000002E-2</v>
      </c>
      <c r="L225" s="9">
        <v>6</v>
      </c>
      <c r="M225" s="9" t="s">
        <v>33</v>
      </c>
      <c r="N225" s="34">
        <f t="shared" si="14"/>
        <v>0.5292</v>
      </c>
      <c r="O225" s="34">
        <f t="shared" si="15"/>
        <v>0.61740000000000006</v>
      </c>
      <c r="P225" s="34">
        <f t="shared" si="16"/>
        <v>0.35280000000000006</v>
      </c>
      <c r="Q225" s="34">
        <f t="shared" si="17"/>
        <v>0.2646</v>
      </c>
      <c r="R225" s="138">
        <v>1.7640000000000002</v>
      </c>
      <c r="S225" s="9">
        <v>171718.65</v>
      </c>
      <c r="T225" s="9">
        <v>3090.9357000000005</v>
      </c>
      <c r="U225" s="9"/>
      <c r="V225" s="9"/>
      <c r="W225" s="15" t="s">
        <v>1493</v>
      </c>
      <c r="X225" s="15">
        <v>71869</v>
      </c>
      <c r="Y225" s="9" t="s">
        <v>233</v>
      </c>
      <c r="Z225" s="15" t="s">
        <v>1492</v>
      </c>
      <c r="AA225" s="142">
        <v>31</v>
      </c>
      <c r="AB225" s="258"/>
      <c r="AC225" s="128"/>
      <c r="AD225" s="128"/>
      <c r="AE225" s="129"/>
      <c r="AF225" s="258"/>
      <c r="AG225" s="128"/>
      <c r="AH225" s="128"/>
      <c r="AI225" s="129"/>
    </row>
  </sheetData>
  <autoFilter ref="A3:X225" xr:uid="{00000000-0009-0000-0000-000012000000}">
    <filterColumn colId="23">
      <colorFilter dxfId="0"/>
    </filterColumn>
  </autoFilter>
  <mergeCells count="2">
    <mergeCell ref="AB1:AE1"/>
    <mergeCell ref="AF1:AI1"/>
  </mergeCells>
  <conditionalFormatting sqref="E1:E3">
    <cfRule type="duplicateValues" dxfId="13" priority="2"/>
  </conditionalFormatting>
  <conditionalFormatting sqref="F1:F3">
    <cfRule type="duplicateValues" dxfId="12" priority="1"/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L11"/>
  <sheetViews>
    <sheetView workbookViewId="0">
      <selection activeCell="H19" sqref="H19"/>
    </sheetView>
  </sheetViews>
  <sheetFormatPr defaultRowHeight="15" x14ac:dyDescent="0.25"/>
  <cols>
    <col min="1" max="1" width="12.42578125" customWidth="1"/>
    <col min="2" max="2" width="8.42578125" bestFit="1" customWidth="1"/>
    <col min="3" max="3" width="10.5703125" bestFit="1" customWidth="1"/>
    <col min="4" max="4" width="31.28515625" bestFit="1" customWidth="1"/>
    <col min="5" max="5" width="10.5703125" bestFit="1" customWidth="1"/>
    <col min="6" max="6" width="25.7109375" bestFit="1" customWidth="1"/>
    <col min="7" max="7" width="7" bestFit="1" customWidth="1"/>
    <col min="8" max="8" width="25.28515625" bestFit="1" customWidth="1"/>
    <col min="9" max="9" width="15.85546875" bestFit="1" customWidth="1"/>
    <col min="10" max="10" width="22.7109375" bestFit="1" customWidth="1"/>
    <col min="11" max="11" width="23.140625" customWidth="1"/>
    <col min="12" max="12" width="9.7109375" bestFit="1" customWidth="1"/>
  </cols>
  <sheetData>
    <row r="1" spans="1:12" x14ac:dyDescent="0.25">
      <c r="A1" s="463" t="s">
        <v>1497</v>
      </c>
      <c r="B1" s="387" t="s">
        <v>1498</v>
      </c>
      <c r="C1" s="387" t="s">
        <v>1499</v>
      </c>
      <c r="D1" s="387" t="s">
        <v>1498</v>
      </c>
      <c r="E1" s="387" t="s">
        <v>1499</v>
      </c>
      <c r="F1" s="388" t="s">
        <v>1498</v>
      </c>
      <c r="G1" s="388" t="s">
        <v>1500</v>
      </c>
      <c r="H1" s="463" t="s">
        <v>1501</v>
      </c>
      <c r="I1" s="465" t="s">
        <v>1502</v>
      </c>
      <c r="J1" s="467" t="s">
        <v>1503</v>
      </c>
      <c r="K1" s="467" t="s">
        <v>1504</v>
      </c>
      <c r="L1" s="461" t="s">
        <v>1505</v>
      </c>
    </row>
    <row r="2" spans="1:12" ht="15.75" thickBot="1" x14ac:dyDescent="0.3">
      <c r="A2" s="464"/>
      <c r="B2" s="389" t="s">
        <v>1506</v>
      </c>
      <c r="C2" s="389" t="s">
        <v>1507</v>
      </c>
      <c r="D2" s="389" t="s">
        <v>1507</v>
      </c>
      <c r="E2" s="389" t="s">
        <v>1508</v>
      </c>
      <c r="F2" s="390" t="s">
        <v>1509</v>
      </c>
      <c r="G2" s="390" t="s">
        <v>1510</v>
      </c>
      <c r="H2" s="464"/>
      <c r="I2" s="466"/>
      <c r="J2" s="468"/>
      <c r="K2" s="468"/>
      <c r="L2" s="462"/>
    </row>
    <row r="3" spans="1:12" ht="15.75" thickBot="1" x14ac:dyDescent="0.3">
      <c r="A3" s="391"/>
      <c r="B3" s="392" t="s">
        <v>1511</v>
      </c>
      <c r="C3" s="392"/>
      <c r="D3" s="392" t="s">
        <v>1312</v>
      </c>
      <c r="E3" s="392"/>
      <c r="F3" s="392" t="s">
        <v>1312</v>
      </c>
      <c r="G3" s="392">
        <v>1</v>
      </c>
      <c r="H3" s="392" t="s">
        <v>1512</v>
      </c>
      <c r="I3" s="392">
        <v>9500</v>
      </c>
      <c r="J3" s="392">
        <v>120</v>
      </c>
      <c r="K3" s="392" t="s">
        <v>1513</v>
      </c>
      <c r="L3" s="392" t="s">
        <v>1514</v>
      </c>
    </row>
    <row r="4" spans="1:12" ht="15.75" thickBot="1" x14ac:dyDescent="0.3">
      <c r="A4" s="391"/>
      <c r="B4" s="392" t="s">
        <v>1515</v>
      </c>
      <c r="C4" s="392"/>
      <c r="D4" s="392" t="s">
        <v>1312</v>
      </c>
      <c r="E4" s="392"/>
      <c r="F4" s="392" t="s">
        <v>1312</v>
      </c>
      <c r="G4" s="392">
        <v>2</v>
      </c>
      <c r="H4" s="392" t="s">
        <v>1516</v>
      </c>
      <c r="I4" s="392">
        <v>500</v>
      </c>
      <c r="J4" s="392">
        <v>5</v>
      </c>
      <c r="K4" s="392" t="s">
        <v>1517</v>
      </c>
      <c r="L4" s="392" t="s">
        <v>1518</v>
      </c>
    </row>
    <row r="5" spans="1:12" ht="15.75" thickBot="1" x14ac:dyDescent="0.3">
      <c r="A5" s="391"/>
      <c r="B5" s="392" t="s">
        <v>1519</v>
      </c>
      <c r="C5" s="392"/>
      <c r="D5" s="392" t="s">
        <v>1312</v>
      </c>
      <c r="E5" s="392"/>
      <c r="F5" s="392" t="s">
        <v>1312</v>
      </c>
      <c r="G5" s="392">
        <v>3</v>
      </c>
      <c r="H5" s="392" t="s">
        <v>1516</v>
      </c>
      <c r="I5" s="392">
        <v>500</v>
      </c>
      <c r="J5" s="392">
        <v>5</v>
      </c>
      <c r="K5" s="392" t="s">
        <v>1517</v>
      </c>
      <c r="L5" s="392" t="s">
        <v>1518</v>
      </c>
    </row>
    <row r="6" spans="1:12" ht="15.75" thickBot="1" x14ac:dyDescent="0.3">
      <c r="A6" s="391"/>
      <c r="B6" s="392" t="s">
        <v>1511</v>
      </c>
      <c r="C6" s="392"/>
      <c r="D6" s="392" t="s">
        <v>1276</v>
      </c>
      <c r="E6" s="392"/>
      <c r="F6" s="392" t="s">
        <v>1276</v>
      </c>
      <c r="G6" s="392">
        <v>1</v>
      </c>
      <c r="H6" s="392" t="s">
        <v>1512</v>
      </c>
      <c r="I6" s="392">
        <v>9500</v>
      </c>
      <c r="J6" s="392">
        <v>120</v>
      </c>
      <c r="K6" s="392" t="s">
        <v>1513</v>
      </c>
      <c r="L6" s="392" t="s">
        <v>1514</v>
      </c>
    </row>
    <row r="7" spans="1:12" ht="15.75" thickBot="1" x14ac:dyDescent="0.3">
      <c r="A7" s="391"/>
      <c r="B7" s="392" t="s">
        <v>1515</v>
      </c>
      <c r="C7" s="392"/>
      <c r="D7" s="392" t="s">
        <v>1276</v>
      </c>
      <c r="E7" s="392"/>
      <c r="F7" s="392" t="s">
        <v>1276</v>
      </c>
      <c r="G7" s="392">
        <v>2</v>
      </c>
      <c r="H7" s="392" t="s">
        <v>1516</v>
      </c>
      <c r="I7" s="392">
        <v>500</v>
      </c>
      <c r="J7" s="392">
        <v>5</v>
      </c>
      <c r="K7" s="392" t="s">
        <v>1517</v>
      </c>
      <c r="L7" s="392" t="s">
        <v>1518</v>
      </c>
    </row>
    <row r="8" spans="1:12" ht="15.75" thickBot="1" x14ac:dyDescent="0.3">
      <c r="A8" s="391"/>
      <c r="B8" s="392" t="s">
        <v>1519</v>
      </c>
      <c r="C8" s="392"/>
      <c r="D8" s="392" t="s">
        <v>1276</v>
      </c>
      <c r="E8" s="392"/>
      <c r="F8" s="392" t="s">
        <v>1276</v>
      </c>
      <c r="G8" s="392">
        <v>3</v>
      </c>
      <c r="H8" s="392" t="s">
        <v>1516</v>
      </c>
      <c r="I8" s="392">
        <v>500</v>
      </c>
      <c r="J8" s="392">
        <v>5</v>
      </c>
      <c r="K8" s="392" t="s">
        <v>1517</v>
      </c>
      <c r="L8" s="392" t="s">
        <v>1518</v>
      </c>
    </row>
    <row r="9" spans="1:12" ht="15.75" thickBot="1" x14ac:dyDescent="0.3">
      <c r="A9" s="391"/>
      <c r="B9" s="392" t="s">
        <v>1511</v>
      </c>
      <c r="C9" s="392"/>
      <c r="D9" s="392" t="s">
        <v>1276</v>
      </c>
      <c r="E9" s="392"/>
      <c r="F9" s="392" t="s">
        <v>1276</v>
      </c>
      <c r="G9" s="392">
        <v>1</v>
      </c>
      <c r="H9" s="392" t="s">
        <v>1512</v>
      </c>
      <c r="I9" s="392">
        <v>9500</v>
      </c>
      <c r="J9" s="392">
        <v>120</v>
      </c>
      <c r="K9" s="392" t="s">
        <v>1513</v>
      </c>
      <c r="L9" s="392" t="s">
        <v>1514</v>
      </c>
    </row>
    <row r="10" spans="1:12" ht="15.75" thickBot="1" x14ac:dyDescent="0.3">
      <c r="A10" s="391"/>
      <c r="B10" s="392" t="s">
        <v>1515</v>
      </c>
      <c r="C10" s="392"/>
      <c r="D10" s="392" t="s">
        <v>1276</v>
      </c>
      <c r="E10" s="392"/>
      <c r="F10" s="392" t="s">
        <v>1276</v>
      </c>
      <c r="G10" s="392">
        <v>2</v>
      </c>
      <c r="H10" s="392" t="s">
        <v>1516</v>
      </c>
      <c r="I10" s="392">
        <v>500</v>
      </c>
      <c r="J10" s="392">
        <v>5</v>
      </c>
      <c r="K10" s="392" t="s">
        <v>1517</v>
      </c>
      <c r="L10" s="392" t="s">
        <v>1518</v>
      </c>
    </row>
    <row r="11" spans="1:12" ht="15.75" thickBot="1" x14ac:dyDescent="0.3">
      <c r="A11" s="391"/>
      <c r="B11" s="392" t="s">
        <v>1519</v>
      </c>
      <c r="C11" s="392"/>
      <c r="D11" s="392" t="s">
        <v>1276</v>
      </c>
      <c r="E11" s="392"/>
      <c r="F11" s="392" t="s">
        <v>1276</v>
      </c>
      <c r="G11" s="392">
        <v>3</v>
      </c>
      <c r="H11" s="392" t="s">
        <v>1516</v>
      </c>
      <c r="I11" s="392">
        <v>500</v>
      </c>
      <c r="J11" s="392">
        <v>5</v>
      </c>
      <c r="K11" s="392" t="s">
        <v>1517</v>
      </c>
      <c r="L11" s="392" t="s">
        <v>1518</v>
      </c>
    </row>
  </sheetData>
  <mergeCells count="6">
    <mergeCell ref="L1:L2"/>
    <mergeCell ref="A1:A2"/>
    <mergeCell ref="H1:H2"/>
    <mergeCell ref="I1:I2"/>
    <mergeCell ref="J1:J2"/>
    <mergeCell ref="K1:K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71"/>
  <sheetViews>
    <sheetView topLeftCell="A10" zoomScale="115" zoomScaleNormal="115" workbookViewId="0">
      <selection activeCell="H41" sqref="H41"/>
    </sheetView>
  </sheetViews>
  <sheetFormatPr defaultRowHeight="15" x14ac:dyDescent="0.25"/>
  <cols>
    <col min="1" max="1" width="9.7109375" customWidth="1"/>
    <col min="2" max="2" width="40" customWidth="1"/>
    <col min="3" max="3" width="37.140625" customWidth="1"/>
  </cols>
  <sheetData>
    <row r="1" spans="1:4" ht="15.75" thickBot="1" x14ac:dyDescent="0.3">
      <c r="A1" s="359"/>
      <c r="B1" s="359"/>
      <c r="C1" s="359"/>
    </row>
    <row r="2" spans="1:4" ht="19.5" thickBot="1" x14ac:dyDescent="0.3">
      <c r="A2" s="423" t="s">
        <v>1089</v>
      </c>
      <c r="B2" s="431" t="s">
        <v>1090</v>
      </c>
      <c r="C2" s="446" t="s">
        <v>1554</v>
      </c>
      <c r="D2" s="447" t="s">
        <v>0</v>
      </c>
    </row>
    <row r="3" spans="1:4" ht="18.75" x14ac:dyDescent="0.25">
      <c r="A3" s="432">
        <v>1</v>
      </c>
      <c r="B3" s="421" t="s">
        <v>1091</v>
      </c>
      <c r="C3" s="422" t="s">
        <v>1092</v>
      </c>
      <c r="D3" s="448">
        <v>1</v>
      </c>
    </row>
    <row r="4" spans="1:4" ht="18.75" x14ac:dyDescent="0.25">
      <c r="A4" s="433">
        <v>2</v>
      </c>
      <c r="B4" s="409" t="s">
        <v>1093</v>
      </c>
      <c r="C4" s="410" t="s">
        <v>1092</v>
      </c>
      <c r="D4" s="449">
        <v>2</v>
      </c>
    </row>
    <row r="5" spans="1:4" ht="18.75" x14ac:dyDescent="0.25">
      <c r="A5" s="433">
        <v>3</v>
      </c>
      <c r="B5" s="409" t="s">
        <v>1094</v>
      </c>
      <c r="C5" s="410" t="s">
        <v>1092</v>
      </c>
      <c r="D5" s="449">
        <v>3</v>
      </c>
    </row>
    <row r="6" spans="1:4" ht="18.75" x14ac:dyDescent="0.25">
      <c r="A6" s="433">
        <v>4</v>
      </c>
      <c r="B6" s="411" t="s">
        <v>1095</v>
      </c>
      <c r="C6" s="410" t="s">
        <v>1092</v>
      </c>
      <c r="D6" s="449">
        <v>4</v>
      </c>
    </row>
    <row r="7" spans="1:4" ht="18.75" x14ac:dyDescent="0.25">
      <c r="A7" s="433">
        <v>5</v>
      </c>
      <c r="B7" s="411" t="s">
        <v>1096</v>
      </c>
      <c r="C7" s="410" t="s">
        <v>1092</v>
      </c>
      <c r="D7" s="449">
        <v>5</v>
      </c>
    </row>
    <row r="8" spans="1:4" ht="18.75" x14ac:dyDescent="0.25">
      <c r="A8" s="433">
        <v>6</v>
      </c>
      <c r="B8" s="411" t="s">
        <v>1097</v>
      </c>
      <c r="C8" s="410" t="s">
        <v>1092</v>
      </c>
      <c r="D8" s="449">
        <v>6</v>
      </c>
    </row>
    <row r="9" spans="1:4" ht="18.75" x14ac:dyDescent="0.25">
      <c r="A9" s="433">
        <v>7</v>
      </c>
      <c r="B9" s="411" t="s">
        <v>1098</v>
      </c>
      <c r="C9" s="410" t="s">
        <v>1092</v>
      </c>
      <c r="D9" s="449">
        <v>7</v>
      </c>
    </row>
    <row r="10" spans="1:4" ht="18.75" x14ac:dyDescent="0.25">
      <c r="A10" s="433">
        <v>8</v>
      </c>
      <c r="B10" s="412" t="s">
        <v>1099</v>
      </c>
      <c r="C10" s="410" t="s">
        <v>1092</v>
      </c>
      <c r="D10" s="449">
        <v>8</v>
      </c>
    </row>
    <row r="11" spans="1:4" ht="18.75" x14ac:dyDescent="0.25">
      <c r="A11" s="433">
        <v>9</v>
      </c>
      <c r="B11" s="414" t="s">
        <v>1100</v>
      </c>
      <c r="C11" s="410" t="s">
        <v>1092</v>
      </c>
      <c r="D11" s="449">
        <v>9</v>
      </c>
    </row>
    <row r="12" spans="1:4" ht="18.75" x14ac:dyDescent="0.25">
      <c r="A12" s="433">
        <v>10</v>
      </c>
      <c r="B12" s="413" t="s">
        <v>1101</v>
      </c>
      <c r="C12" s="410" t="s">
        <v>1092</v>
      </c>
      <c r="D12" s="449">
        <v>10</v>
      </c>
    </row>
    <row r="13" spans="1:4" ht="18.75" x14ac:dyDescent="0.25">
      <c r="A13" s="433">
        <v>11</v>
      </c>
      <c r="B13" s="409" t="s">
        <v>1102</v>
      </c>
      <c r="C13" s="410" t="s">
        <v>1092</v>
      </c>
      <c r="D13" s="449">
        <v>11</v>
      </c>
    </row>
    <row r="14" spans="1:4" ht="18.75" x14ac:dyDescent="0.25">
      <c r="A14" s="433">
        <v>12</v>
      </c>
      <c r="B14" s="424" t="s">
        <v>1117</v>
      </c>
      <c r="C14" s="410" t="s">
        <v>1092</v>
      </c>
      <c r="D14" s="449">
        <v>12</v>
      </c>
    </row>
    <row r="15" spans="1:4" ht="18.75" x14ac:dyDescent="0.25">
      <c r="A15" s="433">
        <v>13</v>
      </c>
      <c r="B15" s="425" t="s">
        <v>1538</v>
      </c>
      <c r="C15" s="410" t="s">
        <v>1092</v>
      </c>
      <c r="D15" s="449">
        <v>13</v>
      </c>
    </row>
    <row r="16" spans="1:4" ht="18.75" x14ac:dyDescent="0.25">
      <c r="A16" s="433">
        <v>14</v>
      </c>
      <c r="B16" s="424" t="s">
        <v>1125</v>
      </c>
      <c r="C16" s="410" t="s">
        <v>1092</v>
      </c>
      <c r="D16" s="449">
        <v>14</v>
      </c>
    </row>
    <row r="17" spans="1:4" ht="19.5" thickBot="1" x14ac:dyDescent="0.3">
      <c r="A17" s="434">
        <v>15</v>
      </c>
      <c r="B17" s="435" t="s">
        <v>1539</v>
      </c>
      <c r="C17" s="436" t="s">
        <v>1092</v>
      </c>
      <c r="D17" s="450">
        <v>15</v>
      </c>
    </row>
    <row r="18" spans="1:4" ht="19.5" thickBot="1" x14ac:dyDescent="0.3">
      <c r="A18" s="472"/>
      <c r="B18" s="473"/>
      <c r="C18" s="473"/>
      <c r="D18" s="474"/>
    </row>
    <row r="19" spans="1:4" ht="18.75" x14ac:dyDescent="0.25">
      <c r="A19" s="437">
        <v>1</v>
      </c>
      <c r="B19" s="438" t="s">
        <v>1103</v>
      </c>
      <c r="C19" s="439" t="s">
        <v>1104</v>
      </c>
      <c r="D19" s="451">
        <v>16</v>
      </c>
    </row>
    <row r="20" spans="1:4" ht="18.75" x14ac:dyDescent="0.25">
      <c r="A20" s="433">
        <v>2</v>
      </c>
      <c r="B20" s="417" t="s">
        <v>1105</v>
      </c>
      <c r="C20" s="416" t="s">
        <v>1104</v>
      </c>
      <c r="D20" s="449">
        <v>17</v>
      </c>
    </row>
    <row r="21" spans="1:4" ht="18.75" x14ac:dyDescent="0.25">
      <c r="A21" s="433">
        <v>3</v>
      </c>
      <c r="B21" s="415" t="s">
        <v>1106</v>
      </c>
      <c r="C21" s="416" t="s">
        <v>1104</v>
      </c>
      <c r="D21" s="449">
        <v>18</v>
      </c>
    </row>
    <row r="22" spans="1:4" ht="18.75" x14ac:dyDescent="0.25">
      <c r="A22" s="433">
        <v>4</v>
      </c>
      <c r="B22" s="418" t="s">
        <v>1107</v>
      </c>
      <c r="C22" s="416" t="s">
        <v>1104</v>
      </c>
      <c r="D22" s="449">
        <v>19</v>
      </c>
    </row>
    <row r="23" spans="1:4" ht="18.75" x14ac:dyDescent="0.25">
      <c r="A23" s="433">
        <v>5</v>
      </c>
      <c r="B23" s="415" t="s">
        <v>1108</v>
      </c>
      <c r="C23" s="416" t="s">
        <v>1104</v>
      </c>
      <c r="D23" s="449">
        <v>20</v>
      </c>
    </row>
    <row r="24" spans="1:4" ht="18.75" x14ac:dyDescent="0.25">
      <c r="A24" s="433">
        <v>6</v>
      </c>
      <c r="B24" s="419" t="s">
        <v>1109</v>
      </c>
      <c r="C24" s="416" t="s">
        <v>1104</v>
      </c>
      <c r="D24" s="449">
        <v>21</v>
      </c>
    </row>
    <row r="25" spans="1:4" ht="18.75" x14ac:dyDescent="0.25">
      <c r="A25" s="433">
        <v>7</v>
      </c>
      <c r="B25" s="417" t="s">
        <v>1110</v>
      </c>
      <c r="C25" s="416" t="s">
        <v>1104</v>
      </c>
      <c r="D25" s="449">
        <v>22</v>
      </c>
    </row>
    <row r="26" spans="1:4" ht="18.75" x14ac:dyDescent="0.25">
      <c r="A26" s="433">
        <v>8</v>
      </c>
      <c r="B26" s="417" t="s">
        <v>1111</v>
      </c>
      <c r="C26" s="416" t="s">
        <v>1104</v>
      </c>
      <c r="D26" s="449">
        <v>23</v>
      </c>
    </row>
    <row r="27" spans="1:4" ht="18.75" x14ac:dyDescent="0.25">
      <c r="A27" s="433">
        <v>9</v>
      </c>
      <c r="B27" s="426" t="s">
        <v>1540</v>
      </c>
      <c r="C27" s="416" t="s">
        <v>1104</v>
      </c>
      <c r="D27" s="449">
        <v>24</v>
      </c>
    </row>
    <row r="28" spans="1:4" ht="18.75" x14ac:dyDescent="0.25">
      <c r="A28" s="433">
        <v>10</v>
      </c>
      <c r="B28" s="427" t="s">
        <v>1136</v>
      </c>
      <c r="C28" s="416" t="s">
        <v>1104</v>
      </c>
      <c r="D28" s="449">
        <v>25</v>
      </c>
    </row>
    <row r="29" spans="1:4" ht="18.75" x14ac:dyDescent="0.25">
      <c r="A29" s="433">
        <v>11</v>
      </c>
      <c r="B29" s="427" t="s">
        <v>1541</v>
      </c>
      <c r="C29" s="416" t="s">
        <v>1104</v>
      </c>
      <c r="D29" s="449">
        <v>26</v>
      </c>
    </row>
    <row r="30" spans="1:4" ht="18.75" x14ac:dyDescent="0.25">
      <c r="A30" s="433">
        <v>12</v>
      </c>
      <c r="B30" s="427" t="s">
        <v>1137</v>
      </c>
      <c r="C30" s="416" t="s">
        <v>1104</v>
      </c>
      <c r="D30" s="449">
        <v>27</v>
      </c>
    </row>
    <row r="31" spans="1:4" ht="18.75" x14ac:dyDescent="0.25">
      <c r="A31" s="433">
        <v>13</v>
      </c>
      <c r="B31" s="427" t="s">
        <v>1115</v>
      </c>
      <c r="C31" s="416" t="s">
        <v>1104</v>
      </c>
      <c r="D31" s="449">
        <v>28</v>
      </c>
    </row>
    <row r="32" spans="1:4" ht="18.75" x14ac:dyDescent="0.25">
      <c r="A32" s="433">
        <v>14</v>
      </c>
      <c r="B32" s="428" t="s">
        <v>1542</v>
      </c>
      <c r="C32" s="416" t="s">
        <v>1104</v>
      </c>
      <c r="D32" s="449">
        <v>29</v>
      </c>
    </row>
    <row r="33" spans="1:4" ht="18.75" x14ac:dyDescent="0.25">
      <c r="A33" s="433">
        <v>15</v>
      </c>
      <c r="B33" s="427" t="s">
        <v>1543</v>
      </c>
      <c r="C33" s="416" t="s">
        <v>1104</v>
      </c>
      <c r="D33" s="449">
        <v>30</v>
      </c>
    </row>
    <row r="34" spans="1:4" ht="18.75" x14ac:dyDescent="0.25">
      <c r="A34" s="433">
        <v>16</v>
      </c>
      <c r="B34" s="427" t="s">
        <v>1544</v>
      </c>
      <c r="C34" s="416" t="s">
        <v>1104</v>
      </c>
      <c r="D34" s="449">
        <v>31</v>
      </c>
    </row>
    <row r="35" spans="1:4" ht="18.75" x14ac:dyDescent="0.25">
      <c r="A35" s="433">
        <v>17</v>
      </c>
      <c r="B35" s="427" t="s">
        <v>1129</v>
      </c>
      <c r="C35" s="416" t="s">
        <v>1104</v>
      </c>
      <c r="D35" s="449">
        <v>32</v>
      </c>
    </row>
    <row r="36" spans="1:4" ht="18.75" x14ac:dyDescent="0.25">
      <c r="A36" s="433">
        <v>18</v>
      </c>
      <c r="B36" s="427" t="s">
        <v>1141</v>
      </c>
      <c r="C36" s="416" t="s">
        <v>1104</v>
      </c>
      <c r="D36" s="449">
        <v>33</v>
      </c>
    </row>
    <row r="37" spans="1:4" ht="18.75" x14ac:dyDescent="0.25">
      <c r="A37" s="433">
        <v>19</v>
      </c>
      <c r="B37" s="427" t="s">
        <v>1139</v>
      </c>
      <c r="C37" s="416" t="s">
        <v>1104</v>
      </c>
      <c r="D37" s="449">
        <v>34</v>
      </c>
    </row>
    <row r="38" spans="1:4" ht="18.75" x14ac:dyDescent="0.25">
      <c r="A38" s="433">
        <v>20</v>
      </c>
      <c r="B38" s="429" t="s">
        <v>1545</v>
      </c>
      <c r="C38" s="420" t="s">
        <v>1104</v>
      </c>
      <c r="D38" s="449">
        <v>35</v>
      </c>
    </row>
    <row r="39" spans="1:4" ht="19.5" thickBot="1" x14ac:dyDescent="0.3">
      <c r="A39" s="434">
        <v>21</v>
      </c>
      <c r="B39" s="440" t="s">
        <v>1120</v>
      </c>
      <c r="C39" s="441" t="s">
        <v>1104</v>
      </c>
      <c r="D39" s="450">
        <v>36</v>
      </c>
    </row>
    <row r="40" spans="1:4" ht="19.5" thickBot="1" x14ac:dyDescent="0.3">
      <c r="A40" s="469"/>
      <c r="B40" s="470"/>
      <c r="C40" s="470"/>
      <c r="D40" s="471"/>
    </row>
    <row r="41" spans="1:4" ht="18.75" x14ac:dyDescent="0.25">
      <c r="A41" s="437">
        <v>1</v>
      </c>
      <c r="B41" s="442" t="s">
        <v>1112</v>
      </c>
      <c r="C41" s="443" t="s">
        <v>1113</v>
      </c>
      <c r="D41" s="451">
        <v>37</v>
      </c>
    </row>
    <row r="42" spans="1:4" ht="18.75" x14ac:dyDescent="0.25">
      <c r="A42" s="433">
        <v>2</v>
      </c>
      <c r="B42" s="360" t="s">
        <v>1114</v>
      </c>
      <c r="C42" s="366" t="s">
        <v>1113</v>
      </c>
      <c r="D42" s="449">
        <v>38</v>
      </c>
    </row>
    <row r="43" spans="1:4" ht="18.75" x14ac:dyDescent="0.25">
      <c r="A43" s="433">
        <v>3</v>
      </c>
      <c r="B43" s="364" t="s">
        <v>1116</v>
      </c>
      <c r="C43" s="366" t="s">
        <v>1113</v>
      </c>
      <c r="D43" s="449">
        <v>39</v>
      </c>
    </row>
    <row r="44" spans="1:4" ht="18.75" x14ac:dyDescent="0.25">
      <c r="A44" s="433">
        <v>4</v>
      </c>
      <c r="B44" s="360" t="s">
        <v>1118</v>
      </c>
      <c r="C44" s="366" t="s">
        <v>1113</v>
      </c>
      <c r="D44" s="449">
        <v>40</v>
      </c>
    </row>
    <row r="45" spans="1:4" ht="18.75" x14ac:dyDescent="0.25">
      <c r="A45" s="433">
        <v>5</v>
      </c>
      <c r="B45" s="360" t="s">
        <v>1119</v>
      </c>
      <c r="C45" s="366" t="s">
        <v>1113</v>
      </c>
      <c r="D45" s="449">
        <v>41</v>
      </c>
    </row>
    <row r="46" spans="1:4" ht="18.75" x14ac:dyDescent="0.25">
      <c r="A46" s="433">
        <v>6</v>
      </c>
      <c r="B46" s="364" t="s">
        <v>1121</v>
      </c>
      <c r="C46" s="366" t="s">
        <v>1113</v>
      </c>
      <c r="D46" s="449">
        <v>42</v>
      </c>
    </row>
    <row r="47" spans="1:4" ht="18.75" x14ac:dyDescent="0.25">
      <c r="A47" s="433">
        <v>7</v>
      </c>
      <c r="B47" s="365" t="s">
        <v>1122</v>
      </c>
      <c r="C47" s="366" t="s">
        <v>1113</v>
      </c>
      <c r="D47" s="449">
        <v>43</v>
      </c>
    </row>
    <row r="48" spans="1:4" ht="18.75" x14ac:dyDescent="0.25">
      <c r="A48" s="433">
        <v>8</v>
      </c>
      <c r="B48" s="363" t="s">
        <v>1123</v>
      </c>
      <c r="C48" s="366" t="s">
        <v>1113</v>
      </c>
      <c r="D48" s="449">
        <v>44</v>
      </c>
    </row>
    <row r="49" spans="1:4" ht="18.75" x14ac:dyDescent="0.25">
      <c r="A49" s="433">
        <v>9</v>
      </c>
      <c r="B49" s="360" t="s">
        <v>1124</v>
      </c>
      <c r="C49" s="366" t="s">
        <v>1113</v>
      </c>
      <c r="D49" s="449">
        <v>45</v>
      </c>
    </row>
    <row r="50" spans="1:4" ht="18.75" x14ac:dyDescent="0.25">
      <c r="A50" s="433">
        <v>10</v>
      </c>
      <c r="B50" s="362" t="s">
        <v>1126</v>
      </c>
      <c r="C50" s="366" t="s">
        <v>1113</v>
      </c>
      <c r="D50" s="449">
        <v>46</v>
      </c>
    </row>
    <row r="51" spans="1:4" ht="18.75" x14ac:dyDescent="0.25">
      <c r="A51" s="433">
        <v>11</v>
      </c>
      <c r="B51" s="361" t="s">
        <v>1127</v>
      </c>
      <c r="C51" s="366" t="s">
        <v>1113</v>
      </c>
      <c r="D51" s="449">
        <v>47</v>
      </c>
    </row>
    <row r="52" spans="1:4" ht="18.75" x14ac:dyDescent="0.25">
      <c r="A52" s="433">
        <v>12</v>
      </c>
      <c r="B52" s="369" t="s">
        <v>1128</v>
      </c>
      <c r="C52" s="366" t="s">
        <v>1113</v>
      </c>
      <c r="D52" s="449">
        <v>48</v>
      </c>
    </row>
    <row r="53" spans="1:4" ht="18.75" x14ac:dyDescent="0.25">
      <c r="A53" s="433">
        <v>13</v>
      </c>
      <c r="B53" s="362" t="s">
        <v>1546</v>
      </c>
      <c r="C53" s="366" t="s">
        <v>1113</v>
      </c>
      <c r="D53" s="449">
        <v>49</v>
      </c>
    </row>
    <row r="54" spans="1:4" ht="18.75" x14ac:dyDescent="0.25">
      <c r="A54" s="433">
        <v>14</v>
      </c>
      <c r="B54" s="362" t="s">
        <v>1130</v>
      </c>
      <c r="C54" s="366" t="s">
        <v>1113</v>
      </c>
      <c r="D54" s="449">
        <v>50</v>
      </c>
    </row>
    <row r="55" spans="1:4" ht="18.75" x14ac:dyDescent="0.25">
      <c r="A55" s="433">
        <v>15</v>
      </c>
      <c r="B55" s="360" t="s">
        <v>1131</v>
      </c>
      <c r="C55" s="366" t="s">
        <v>1113</v>
      </c>
      <c r="D55" s="449">
        <v>51</v>
      </c>
    </row>
    <row r="56" spans="1:4" ht="18.75" x14ac:dyDescent="0.25">
      <c r="A56" s="433">
        <v>16</v>
      </c>
      <c r="B56" s="360" t="s">
        <v>1132</v>
      </c>
      <c r="C56" s="366" t="s">
        <v>1113</v>
      </c>
      <c r="D56" s="449">
        <v>52</v>
      </c>
    </row>
    <row r="57" spans="1:4" ht="18.75" x14ac:dyDescent="0.25">
      <c r="A57" s="433">
        <v>17</v>
      </c>
      <c r="B57" s="360" t="s">
        <v>1133</v>
      </c>
      <c r="C57" s="366" t="s">
        <v>1113</v>
      </c>
      <c r="D57" s="449">
        <v>53</v>
      </c>
    </row>
    <row r="58" spans="1:4" ht="18.75" x14ac:dyDescent="0.25">
      <c r="A58" s="433">
        <v>18</v>
      </c>
      <c r="B58" s="362" t="s">
        <v>1134</v>
      </c>
      <c r="C58" s="366" t="s">
        <v>1113</v>
      </c>
      <c r="D58" s="449">
        <v>54</v>
      </c>
    </row>
    <row r="59" spans="1:4" ht="18.75" x14ac:dyDescent="0.25">
      <c r="A59" s="433">
        <v>19</v>
      </c>
      <c r="B59" s="360" t="s">
        <v>1135</v>
      </c>
      <c r="C59" s="366" t="s">
        <v>1113</v>
      </c>
      <c r="D59" s="449">
        <v>55</v>
      </c>
    </row>
    <row r="60" spans="1:4" ht="18.75" x14ac:dyDescent="0.25">
      <c r="A60" s="433">
        <v>20</v>
      </c>
      <c r="B60" s="361" t="s">
        <v>1138</v>
      </c>
      <c r="C60" s="366" t="s">
        <v>1113</v>
      </c>
      <c r="D60" s="449">
        <v>56</v>
      </c>
    </row>
    <row r="61" spans="1:4" ht="18.75" x14ac:dyDescent="0.25">
      <c r="A61" s="433">
        <v>21</v>
      </c>
      <c r="B61" s="360" t="s">
        <v>1140</v>
      </c>
      <c r="C61" s="366" t="s">
        <v>1113</v>
      </c>
      <c r="D61" s="449">
        <v>57</v>
      </c>
    </row>
    <row r="62" spans="1:4" ht="18.75" x14ac:dyDescent="0.25">
      <c r="A62" s="433">
        <v>22</v>
      </c>
      <c r="B62" s="361" t="s">
        <v>1142</v>
      </c>
      <c r="C62" s="366" t="s">
        <v>1113</v>
      </c>
      <c r="D62" s="449">
        <v>58</v>
      </c>
    </row>
    <row r="63" spans="1:4" ht="18.75" x14ac:dyDescent="0.25">
      <c r="A63" s="433">
        <v>23</v>
      </c>
      <c r="B63" s="360" t="s">
        <v>1143</v>
      </c>
      <c r="C63" s="366" t="s">
        <v>1113</v>
      </c>
      <c r="D63" s="449">
        <v>59</v>
      </c>
    </row>
    <row r="64" spans="1:4" ht="18.75" x14ac:dyDescent="0.25">
      <c r="A64" s="433">
        <v>24</v>
      </c>
      <c r="B64" s="360" t="s">
        <v>1144</v>
      </c>
      <c r="C64" s="366" t="s">
        <v>1113</v>
      </c>
      <c r="D64" s="449">
        <v>60</v>
      </c>
    </row>
    <row r="65" spans="1:4" ht="18.75" x14ac:dyDescent="0.25">
      <c r="A65" s="433">
        <v>25</v>
      </c>
      <c r="B65" s="360" t="s">
        <v>1547</v>
      </c>
      <c r="C65" s="366" t="s">
        <v>1113</v>
      </c>
      <c r="D65" s="449">
        <v>61</v>
      </c>
    </row>
    <row r="66" spans="1:4" ht="18.75" x14ac:dyDescent="0.25">
      <c r="A66" s="433">
        <v>26</v>
      </c>
      <c r="B66" s="430" t="s">
        <v>1548</v>
      </c>
      <c r="C66" s="366" t="s">
        <v>1113</v>
      </c>
      <c r="D66" s="449">
        <v>62</v>
      </c>
    </row>
    <row r="67" spans="1:4" ht="18.75" x14ac:dyDescent="0.25">
      <c r="A67" s="433">
        <v>27</v>
      </c>
      <c r="B67" s="430" t="s">
        <v>1549</v>
      </c>
      <c r="C67" s="366" t="s">
        <v>1113</v>
      </c>
      <c r="D67" s="449">
        <v>63</v>
      </c>
    </row>
    <row r="68" spans="1:4" ht="18.75" x14ac:dyDescent="0.25">
      <c r="A68" s="433">
        <v>28</v>
      </c>
      <c r="B68" s="430" t="s">
        <v>1550</v>
      </c>
      <c r="C68" s="366" t="s">
        <v>1113</v>
      </c>
      <c r="D68" s="449">
        <v>64</v>
      </c>
    </row>
    <row r="69" spans="1:4" ht="18.75" x14ac:dyDescent="0.25">
      <c r="A69" s="433">
        <v>29</v>
      </c>
      <c r="B69" s="430" t="s">
        <v>1551</v>
      </c>
      <c r="C69" s="366" t="s">
        <v>1113</v>
      </c>
      <c r="D69" s="449">
        <v>65</v>
      </c>
    </row>
    <row r="70" spans="1:4" ht="18.75" x14ac:dyDescent="0.25">
      <c r="A70" s="433">
        <v>30</v>
      </c>
      <c r="B70" s="430" t="s">
        <v>1552</v>
      </c>
      <c r="C70" s="366" t="s">
        <v>1113</v>
      </c>
      <c r="D70" s="449">
        <v>66</v>
      </c>
    </row>
    <row r="71" spans="1:4" ht="19.5" thickBot="1" x14ac:dyDescent="0.3">
      <c r="A71" s="434">
        <v>31</v>
      </c>
      <c r="B71" s="444" t="s">
        <v>1553</v>
      </c>
      <c r="C71" s="445" t="s">
        <v>1113</v>
      </c>
      <c r="D71" s="450">
        <v>67</v>
      </c>
    </row>
  </sheetData>
  <mergeCells count="2">
    <mergeCell ref="A40:D40"/>
    <mergeCell ref="A18:D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21</vt:i4>
      </vt:variant>
    </vt:vector>
  </HeadingPairs>
  <TitlesOfParts>
    <vt:vector size="21" baseType="lpstr">
      <vt:lpstr>холодильник</vt:lpstr>
      <vt:lpstr>6.28</vt:lpstr>
      <vt:lpstr>инспекция труба</vt:lpstr>
      <vt:lpstr>тележка образцов</vt:lpstr>
      <vt:lpstr>инспекция колесо</vt:lpstr>
      <vt:lpstr>накопитель труба</vt:lpstr>
      <vt:lpstr>центр. опр.конструкция</vt:lpstr>
      <vt:lpstr>Промежуточный рольганг</vt:lpstr>
      <vt:lpstr>Мотор-редуктор</vt:lpstr>
      <vt:lpstr>удаления грата</vt:lpstr>
      <vt:lpstr>уч. резки (1-4)</vt:lpstr>
      <vt:lpstr>уч. резки (5-7)</vt:lpstr>
      <vt:lpstr>Разгрузочный рольганг</vt:lpstr>
      <vt:lpstr>ППС</vt:lpstr>
      <vt:lpstr>Стенды</vt:lpstr>
      <vt:lpstr>Вакууматор</vt:lpstr>
      <vt:lpstr>АПК1</vt:lpstr>
      <vt:lpstr>АПК Свод</vt:lpstr>
      <vt:lpstr>Крышка Вакуум</vt:lpstr>
      <vt:lpstr>сварка</vt:lpstr>
      <vt:lpstr>персонал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Бортников</dc:creator>
  <cp:lastModifiedBy>1</cp:lastModifiedBy>
  <dcterms:created xsi:type="dcterms:W3CDTF">2023-11-22T13:06:50Z</dcterms:created>
  <dcterms:modified xsi:type="dcterms:W3CDTF">2024-07-17T07:18:15Z</dcterms:modified>
</cp:coreProperties>
</file>